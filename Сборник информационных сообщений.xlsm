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240" yWindow="75" windowWidth="15315" windowHeight="10035" activeTab="2"/>
  </bookViews>
  <sheets>
    <sheet name="Основные" sheetId="1" r:id="rId1"/>
    <sheet name="Дополнительные" sheetId="5" r:id="rId2"/>
    <sheet name="Аварийные" sheetId="4" r:id="rId3"/>
    <sheet name="TxtStyles" sheetId="2" r:id="rId4"/>
  </sheets>
  <calcPr calcId="145621" concurrentCalc="0"/>
</workbook>
</file>

<file path=xl/calcChain.xml><?xml version="1.0" encoding="utf-8"?>
<calcChain xmlns="http://schemas.openxmlformats.org/spreadsheetml/2006/main">
  <c r="B4" i="4" l="1"/>
  <c r="C4" i="4"/>
  <c r="D4" i="4"/>
  <c r="E4" i="4"/>
  <c r="F4" i="4"/>
  <c r="B5" i="4"/>
  <c r="C5" i="4"/>
  <c r="D5" i="4"/>
  <c r="E5" i="4"/>
  <c r="F5" i="4"/>
  <c r="B6" i="4"/>
  <c r="C6" i="4"/>
  <c r="D6" i="4"/>
  <c r="E6" i="4"/>
  <c r="F6" i="4"/>
  <c r="B7" i="4"/>
  <c r="C7" i="4"/>
  <c r="D7" i="4"/>
  <c r="E7" i="4"/>
  <c r="F7" i="4"/>
  <c r="B8" i="4"/>
  <c r="C8" i="4"/>
  <c r="D8" i="4"/>
  <c r="E8" i="4"/>
  <c r="F8" i="4"/>
  <c r="B9" i="4"/>
  <c r="C9" i="4"/>
  <c r="D9" i="4"/>
  <c r="E9" i="4"/>
  <c r="F9" i="4"/>
  <c r="B10" i="4"/>
  <c r="C10" i="4"/>
  <c r="D10" i="4"/>
  <c r="E10" i="4"/>
  <c r="F10" i="4"/>
  <c r="B11" i="4"/>
  <c r="C11" i="4"/>
  <c r="D11" i="4"/>
  <c r="E11" i="4"/>
  <c r="F11" i="4"/>
  <c r="B12" i="4"/>
  <c r="C12" i="4"/>
  <c r="D12" i="4"/>
  <c r="E12" i="4"/>
  <c r="F12" i="4"/>
  <c r="B13" i="4"/>
  <c r="C13" i="4"/>
  <c r="D13" i="4"/>
  <c r="E13" i="4"/>
  <c r="F13" i="4"/>
  <c r="B14" i="4"/>
  <c r="C14" i="4"/>
  <c r="D14" i="4"/>
  <c r="E14" i="4"/>
  <c r="F14" i="4"/>
  <c r="B15" i="4"/>
  <c r="C15" i="4"/>
  <c r="D15" i="4"/>
  <c r="E15" i="4"/>
  <c r="F15" i="4"/>
  <c r="B16" i="4"/>
  <c r="C16" i="4"/>
  <c r="D16" i="4"/>
  <c r="E16" i="4"/>
  <c r="F16" i="4"/>
  <c r="B17" i="4"/>
  <c r="C17" i="4"/>
  <c r="D17" i="4"/>
  <c r="E17" i="4"/>
  <c r="F17" i="4"/>
  <c r="B18" i="4"/>
  <c r="C18" i="4"/>
  <c r="D18" i="4"/>
  <c r="E18" i="4"/>
  <c r="F18" i="4"/>
  <c r="B19" i="4"/>
  <c r="C19" i="4"/>
  <c r="D19" i="4"/>
  <c r="E19" i="4"/>
  <c r="F19" i="4"/>
  <c r="B20" i="4"/>
  <c r="C20" i="4"/>
  <c r="D20" i="4"/>
  <c r="E20" i="4"/>
  <c r="F20" i="4"/>
  <c r="B21" i="4"/>
  <c r="C21" i="4"/>
  <c r="D21" i="4"/>
  <c r="E21" i="4"/>
  <c r="F21" i="4"/>
  <c r="B22" i="4"/>
  <c r="C22" i="4"/>
  <c r="D22" i="4"/>
  <c r="E22" i="4"/>
  <c r="F22" i="4"/>
  <c r="B23" i="4"/>
  <c r="C23" i="4"/>
  <c r="D23" i="4"/>
  <c r="E23" i="4"/>
  <c r="F23" i="4"/>
  <c r="B24" i="4"/>
  <c r="C24" i="4"/>
  <c r="D24" i="4"/>
  <c r="E24" i="4"/>
  <c r="F24" i="4"/>
  <c r="B25" i="4"/>
  <c r="C25" i="4"/>
  <c r="D25" i="4"/>
  <c r="E25" i="4"/>
  <c r="F25" i="4"/>
  <c r="B26" i="4"/>
  <c r="C26" i="4"/>
  <c r="D26" i="4"/>
  <c r="E26" i="4"/>
  <c r="F26" i="4"/>
  <c r="B27" i="4"/>
  <c r="C27" i="4"/>
  <c r="D27" i="4"/>
  <c r="E27" i="4"/>
  <c r="F27" i="4"/>
  <c r="B28" i="4"/>
  <c r="C28" i="4"/>
  <c r="D28" i="4"/>
  <c r="E28" i="4"/>
  <c r="F28" i="4"/>
  <c r="B29" i="4"/>
  <c r="C29" i="4"/>
  <c r="D29" i="4"/>
  <c r="E29" i="4"/>
  <c r="F29" i="4"/>
  <c r="B30" i="4"/>
  <c r="C30" i="4"/>
  <c r="D30" i="4"/>
  <c r="E30" i="4"/>
  <c r="F30" i="4"/>
  <c r="B31" i="4"/>
  <c r="C31" i="4"/>
  <c r="D31" i="4"/>
  <c r="E31" i="4"/>
  <c r="F31" i="4"/>
  <c r="B32" i="4"/>
  <c r="C32" i="4"/>
  <c r="D32" i="4"/>
  <c r="E32" i="4"/>
  <c r="F32" i="4"/>
  <c r="B33" i="4"/>
  <c r="C33" i="4"/>
  <c r="D33" i="4"/>
  <c r="E33" i="4"/>
  <c r="F33" i="4"/>
  <c r="B34" i="4"/>
  <c r="C34" i="4"/>
  <c r="D34" i="4"/>
  <c r="E34" i="4"/>
  <c r="F34" i="4"/>
  <c r="B35" i="4"/>
  <c r="C35" i="4"/>
  <c r="D35" i="4"/>
  <c r="E35" i="4"/>
  <c r="F35" i="4"/>
  <c r="B36" i="4"/>
  <c r="C36" i="4"/>
  <c r="D36" i="4"/>
  <c r="E36" i="4"/>
  <c r="F36" i="4"/>
  <c r="B37" i="4"/>
  <c r="C37" i="4"/>
  <c r="D37" i="4"/>
  <c r="E37" i="4"/>
  <c r="F37" i="4"/>
  <c r="B38" i="4"/>
  <c r="C38" i="4"/>
  <c r="D38" i="4"/>
  <c r="E38" i="4"/>
  <c r="F38" i="4"/>
  <c r="B39" i="4"/>
  <c r="C39" i="4"/>
  <c r="D39" i="4"/>
  <c r="E39" i="4"/>
  <c r="F39" i="4"/>
  <c r="B40" i="4"/>
  <c r="C40" i="4"/>
  <c r="D40" i="4"/>
  <c r="E40" i="4"/>
  <c r="F40" i="4"/>
  <c r="B41" i="4"/>
  <c r="C41" i="4"/>
  <c r="D41" i="4"/>
  <c r="E41" i="4"/>
  <c r="F41" i="4"/>
  <c r="B42" i="4"/>
  <c r="C42" i="4"/>
  <c r="D42" i="4"/>
  <c r="E42" i="4"/>
  <c r="F42" i="4"/>
  <c r="B43" i="4"/>
  <c r="C43" i="4"/>
  <c r="D43" i="4"/>
  <c r="E43" i="4"/>
  <c r="F43" i="4"/>
  <c r="B44" i="4"/>
  <c r="C44" i="4"/>
  <c r="D44" i="4"/>
  <c r="E44" i="4"/>
  <c r="F44" i="4"/>
  <c r="B45" i="4"/>
  <c r="C45" i="4"/>
  <c r="D45" i="4"/>
  <c r="E45" i="4"/>
  <c r="F45" i="4"/>
  <c r="B46" i="4"/>
  <c r="C46" i="4"/>
  <c r="D46" i="4"/>
  <c r="E46" i="4"/>
  <c r="F46" i="4"/>
  <c r="B47" i="4"/>
  <c r="C47" i="4"/>
  <c r="D47" i="4"/>
  <c r="E47" i="4"/>
  <c r="F47" i="4"/>
  <c r="B48" i="4"/>
  <c r="C48" i="4"/>
  <c r="D48" i="4"/>
  <c r="E48" i="4"/>
  <c r="F48" i="4"/>
  <c r="B49" i="4"/>
  <c r="C49" i="4"/>
  <c r="D49" i="4"/>
  <c r="E49" i="4"/>
  <c r="F49" i="4"/>
  <c r="B50" i="4"/>
  <c r="C50" i="4"/>
  <c r="D50" i="4"/>
  <c r="E50" i="4"/>
  <c r="F50" i="4"/>
  <c r="B51" i="4"/>
  <c r="C51" i="4"/>
  <c r="D51" i="4"/>
  <c r="E51" i="4"/>
  <c r="F51" i="4"/>
  <c r="B52" i="4"/>
  <c r="C52" i="4"/>
  <c r="D52" i="4"/>
  <c r="E52" i="4"/>
  <c r="F52" i="4"/>
  <c r="B53" i="4"/>
  <c r="C53" i="4"/>
  <c r="D53" i="4"/>
  <c r="E53" i="4"/>
  <c r="F53" i="4"/>
  <c r="B54" i="4"/>
  <c r="C54" i="4"/>
  <c r="D54" i="4"/>
  <c r="E54" i="4"/>
  <c r="F54" i="4"/>
  <c r="B55" i="4"/>
  <c r="C55" i="4"/>
  <c r="D55" i="4"/>
  <c r="E55" i="4"/>
  <c r="F55" i="4"/>
  <c r="B56" i="4"/>
  <c r="C56" i="4"/>
  <c r="D56" i="4"/>
  <c r="E56" i="4"/>
  <c r="F56" i="4"/>
  <c r="B57" i="4"/>
  <c r="C57" i="4"/>
  <c r="D57" i="4"/>
  <c r="E57" i="4"/>
  <c r="F57" i="4"/>
  <c r="B58" i="4"/>
  <c r="C58" i="4"/>
  <c r="D58" i="4"/>
  <c r="E58" i="4"/>
  <c r="F58" i="4"/>
  <c r="B59" i="4"/>
  <c r="C59" i="4"/>
  <c r="D59" i="4"/>
  <c r="E59" i="4"/>
  <c r="F59" i="4"/>
  <c r="B60" i="4"/>
  <c r="C60" i="4"/>
  <c r="D60" i="4"/>
  <c r="E60" i="4"/>
  <c r="F60" i="4"/>
  <c r="B61" i="4"/>
  <c r="C61" i="4"/>
  <c r="D61" i="4"/>
  <c r="E61" i="4"/>
  <c r="F61" i="4"/>
  <c r="B62" i="4"/>
  <c r="C62" i="4"/>
  <c r="D62" i="4"/>
  <c r="E62" i="4"/>
  <c r="F62" i="4"/>
  <c r="B63" i="4"/>
  <c r="C63" i="4"/>
  <c r="D63" i="4"/>
  <c r="E63" i="4"/>
  <c r="F63" i="4"/>
  <c r="B64" i="4"/>
  <c r="C64" i="4"/>
  <c r="D64" i="4"/>
  <c r="E64" i="4"/>
  <c r="F64" i="4"/>
  <c r="B65" i="4"/>
  <c r="C65" i="4"/>
  <c r="D65" i="4"/>
  <c r="E65" i="4"/>
  <c r="F65" i="4"/>
  <c r="B66" i="4"/>
  <c r="C66" i="4"/>
  <c r="D66" i="4"/>
  <c r="E66" i="4"/>
  <c r="F66" i="4"/>
  <c r="B67" i="4"/>
  <c r="C67" i="4"/>
  <c r="D67" i="4"/>
  <c r="E67" i="4"/>
  <c r="F67" i="4"/>
  <c r="B68" i="4"/>
  <c r="C68" i="4"/>
  <c r="D68" i="4"/>
  <c r="E68" i="4"/>
  <c r="F68" i="4"/>
  <c r="B69" i="4"/>
  <c r="C69" i="4"/>
  <c r="D69" i="4"/>
  <c r="E69" i="4"/>
  <c r="F69" i="4"/>
  <c r="B70" i="4"/>
  <c r="C70" i="4"/>
  <c r="D70" i="4"/>
  <c r="E70" i="4"/>
  <c r="F70" i="4"/>
  <c r="B71" i="4"/>
  <c r="C71" i="4"/>
  <c r="D71" i="4"/>
  <c r="E71" i="4"/>
  <c r="F71" i="4"/>
  <c r="B72" i="4"/>
  <c r="C72" i="4"/>
  <c r="D72" i="4"/>
  <c r="E72" i="4"/>
  <c r="F72" i="4"/>
  <c r="B73" i="4"/>
  <c r="C73" i="4"/>
  <c r="D73" i="4"/>
  <c r="E73" i="4"/>
  <c r="F73" i="4"/>
  <c r="B74" i="4"/>
  <c r="C74" i="4"/>
  <c r="D74" i="4"/>
  <c r="E74" i="4"/>
  <c r="F74" i="4"/>
  <c r="B75" i="4"/>
  <c r="C75" i="4"/>
  <c r="D75" i="4"/>
  <c r="E75" i="4"/>
  <c r="F75" i="4"/>
  <c r="B76" i="4"/>
  <c r="C76" i="4"/>
  <c r="D76" i="4"/>
  <c r="E76" i="4"/>
  <c r="F76" i="4"/>
  <c r="B77" i="4"/>
  <c r="C77" i="4"/>
  <c r="D77" i="4"/>
  <c r="E77" i="4"/>
  <c r="F77" i="4"/>
  <c r="B78" i="4"/>
  <c r="C78" i="4"/>
  <c r="D78" i="4"/>
  <c r="E78" i="4"/>
  <c r="F78" i="4"/>
  <c r="B79" i="4"/>
  <c r="C79" i="4"/>
  <c r="D79" i="4"/>
  <c r="E79" i="4"/>
  <c r="F79" i="4"/>
  <c r="B80" i="4"/>
  <c r="C80" i="4"/>
  <c r="D80" i="4"/>
  <c r="E80" i="4"/>
  <c r="F80" i="4"/>
  <c r="B81" i="4"/>
  <c r="C81" i="4"/>
  <c r="D81" i="4"/>
  <c r="E81" i="4"/>
  <c r="F81" i="4"/>
  <c r="B82" i="4"/>
  <c r="C82" i="4"/>
  <c r="D82" i="4"/>
  <c r="E82" i="4"/>
  <c r="F82" i="4"/>
  <c r="B83" i="4"/>
  <c r="C83" i="4"/>
  <c r="D83" i="4"/>
  <c r="E83" i="4"/>
  <c r="F83" i="4"/>
  <c r="B84" i="4"/>
  <c r="C84" i="4"/>
  <c r="D84" i="4"/>
  <c r="E84" i="4"/>
  <c r="F84" i="4"/>
  <c r="B85" i="4"/>
  <c r="C85" i="4"/>
  <c r="D85" i="4"/>
  <c r="E85" i="4"/>
  <c r="F85" i="4"/>
  <c r="B86" i="4"/>
  <c r="C86" i="4"/>
  <c r="D86" i="4"/>
  <c r="E86" i="4"/>
  <c r="F86" i="4"/>
  <c r="B87" i="4"/>
  <c r="C87" i="4"/>
  <c r="D87" i="4"/>
  <c r="E87" i="4"/>
  <c r="F87" i="4"/>
  <c r="B88" i="4"/>
  <c r="C88" i="4"/>
  <c r="D88" i="4"/>
  <c r="E88" i="4"/>
  <c r="F88" i="4"/>
  <c r="B89" i="4"/>
  <c r="C89" i="4"/>
  <c r="D89" i="4"/>
  <c r="E89" i="4"/>
  <c r="F89" i="4"/>
  <c r="B90" i="4"/>
  <c r="C90" i="4"/>
  <c r="D90" i="4"/>
  <c r="E90" i="4"/>
  <c r="F90" i="4"/>
  <c r="B91" i="4"/>
  <c r="C91" i="4"/>
  <c r="D91" i="4"/>
  <c r="E91" i="4"/>
  <c r="F91" i="4"/>
  <c r="B92" i="4"/>
  <c r="C92" i="4"/>
  <c r="D92" i="4"/>
  <c r="E92" i="4"/>
  <c r="F92" i="4"/>
  <c r="B93" i="4"/>
  <c r="C93" i="4"/>
  <c r="D93" i="4"/>
  <c r="E93" i="4"/>
  <c r="F93" i="4"/>
  <c r="B94" i="4"/>
  <c r="C94" i="4"/>
  <c r="D94" i="4"/>
  <c r="E94" i="4"/>
  <c r="F94" i="4"/>
  <c r="B95" i="4"/>
  <c r="C95" i="4"/>
  <c r="D95" i="4"/>
  <c r="E95" i="4"/>
  <c r="F95" i="4"/>
  <c r="B96" i="4"/>
  <c r="C96" i="4"/>
  <c r="D96" i="4"/>
  <c r="E96" i="4"/>
  <c r="F96" i="4"/>
  <c r="B97" i="4"/>
  <c r="C97" i="4"/>
  <c r="D97" i="4"/>
  <c r="E97" i="4"/>
  <c r="F97" i="4"/>
  <c r="B98" i="4"/>
  <c r="C98" i="4"/>
  <c r="D98" i="4"/>
  <c r="E98" i="4"/>
  <c r="F98" i="4"/>
  <c r="B99" i="4"/>
  <c r="C99" i="4"/>
  <c r="D99" i="4"/>
  <c r="E99" i="4"/>
  <c r="F99" i="4"/>
  <c r="B100" i="4"/>
  <c r="C100" i="4"/>
  <c r="D100" i="4"/>
  <c r="E100" i="4"/>
  <c r="F100" i="4"/>
  <c r="B101" i="4"/>
  <c r="C101" i="4"/>
  <c r="D101" i="4"/>
  <c r="E101" i="4"/>
  <c r="F101" i="4"/>
  <c r="B102" i="4"/>
  <c r="C102" i="4"/>
  <c r="D102" i="4"/>
  <c r="E102" i="4"/>
  <c r="F102" i="4"/>
  <c r="B103" i="4"/>
  <c r="C103" i="4"/>
  <c r="D103" i="4"/>
  <c r="E103" i="4"/>
  <c r="F103" i="4"/>
  <c r="B104" i="4"/>
  <c r="C104" i="4"/>
  <c r="D104" i="4"/>
  <c r="E104" i="4"/>
  <c r="F104" i="4"/>
  <c r="B105" i="4"/>
  <c r="C105" i="4"/>
  <c r="D105" i="4"/>
  <c r="E105" i="4"/>
  <c r="F105" i="4"/>
  <c r="B106" i="4"/>
  <c r="C106" i="4"/>
  <c r="D106" i="4"/>
  <c r="E106" i="4"/>
  <c r="F106" i="4"/>
  <c r="B107" i="4"/>
  <c r="C107" i="4"/>
  <c r="D107" i="4"/>
  <c r="E107" i="4"/>
  <c r="F107" i="4"/>
  <c r="B108" i="4"/>
  <c r="C108" i="4"/>
  <c r="D108" i="4"/>
  <c r="E108" i="4"/>
  <c r="F108" i="4"/>
  <c r="B109" i="4"/>
  <c r="C109" i="4"/>
  <c r="D109" i="4"/>
  <c r="E109" i="4"/>
  <c r="F109" i="4"/>
  <c r="B110" i="4"/>
  <c r="C110" i="4"/>
  <c r="D110" i="4"/>
  <c r="E110" i="4"/>
  <c r="F110" i="4"/>
  <c r="B111" i="4"/>
  <c r="C111" i="4"/>
  <c r="D111" i="4"/>
  <c r="E111" i="4"/>
  <c r="F111" i="4"/>
  <c r="B112" i="4"/>
  <c r="C112" i="4"/>
  <c r="D112" i="4"/>
  <c r="E112" i="4"/>
  <c r="F112" i="4"/>
  <c r="B113" i="4"/>
  <c r="C113" i="4"/>
  <c r="D113" i="4"/>
  <c r="E113" i="4"/>
  <c r="F113" i="4"/>
  <c r="B114" i="4"/>
  <c r="C114" i="4"/>
  <c r="D114" i="4"/>
  <c r="E114" i="4"/>
  <c r="F114" i="4"/>
  <c r="B115" i="4"/>
  <c r="C115" i="4"/>
  <c r="D115" i="4"/>
  <c r="E115" i="4"/>
  <c r="F115" i="4"/>
  <c r="B116" i="4"/>
  <c r="C116" i="4"/>
  <c r="D116" i="4"/>
  <c r="E116" i="4"/>
  <c r="F116" i="4"/>
  <c r="B117" i="4"/>
  <c r="C117" i="4"/>
  <c r="D117" i="4"/>
  <c r="E117" i="4"/>
  <c r="F117" i="4"/>
  <c r="B118" i="4"/>
  <c r="C118" i="4"/>
  <c r="D118" i="4"/>
  <c r="E118" i="4"/>
  <c r="F118" i="4"/>
  <c r="B119" i="4"/>
  <c r="C119" i="4"/>
  <c r="D119" i="4"/>
  <c r="E119" i="4"/>
  <c r="F119" i="4"/>
  <c r="B120" i="4"/>
  <c r="C120" i="4"/>
  <c r="D120" i="4"/>
  <c r="E120" i="4"/>
  <c r="F120" i="4"/>
  <c r="B121" i="4"/>
  <c r="C121" i="4"/>
  <c r="D121" i="4"/>
  <c r="E121" i="4"/>
  <c r="F121" i="4"/>
  <c r="B122" i="4"/>
  <c r="C122" i="4"/>
  <c r="D122" i="4"/>
  <c r="E122" i="4"/>
  <c r="F122" i="4"/>
  <c r="B123" i="4"/>
  <c r="C123" i="4"/>
  <c r="D123" i="4"/>
  <c r="E123" i="4"/>
  <c r="F123" i="4"/>
  <c r="B124" i="4"/>
  <c r="C124" i="4"/>
  <c r="D124" i="4"/>
  <c r="E124" i="4"/>
  <c r="F124" i="4"/>
  <c r="B125" i="4"/>
  <c r="C125" i="4"/>
  <c r="D125" i="4"/>
  <c r="E125" i="4"/>
  <c r="F125" i="4"/>
  <c r="B126" i="4"/>
  <c r="C126" i="4"/>
  <c r="D126" i="4"/>
  <c r="E126" i="4"/>
  <c r="F126" i="4"/>
  <c r="B127" i="4"/>
  <c r="C127" i="4"/>
  <c r="D127" i="4"/>
  <c r="E127" i="4"/>
  <c r="F127" i="4"/>
  <c r="B128" i="4"/>
  <c r="C128" i="4"/>
  <c r="D128" i="4"/>
  <c r="E128" i="4"/>
  <c r="F128" i="4"/>
  <c r="B129" i="4"/>
  <c r="C129" i="4"/>
  <c r="D129" i="4"/>
  <c r="E129" i="4"/>
  <c r="F129" i="4"/>
  <c r="B130" i="4"/>
  <c r="C130" i="4"/>
  <c r="D130" i="4"/>
  <c r="E130" i="4"/>
  <c r="F130" i="4"/>
  <c r="B131" i="4"/>
  <c r="C131" i="4"/>
  <c r="D131" i="4"/>
  <c r="E131" i="4"/>
  <c r="F131" i="4"/>
  <c r="B132" i="4"/>
  <c r="C132" i="4"/>
  <c r="D132" i="4"/>
  <c r="E132" i="4"/>
  <c r="F132" i="4"/>
  <c r="B133" i="4"/>
  <c r="C133" i="4"/>
  <c r="D133" i="4"/>
  <c r="E133" i="4"/>
  <c r="F133" i="4"/>
  <c r="B134" i="4"/>
  <c r="C134" i="4"/>
  <c r="D134" i="4"/>
  <c r="E134" i="4"/>
  <c r="F134" i="4"/>
  <c r="B135" i="4"/>
  <c r="C135" i="4"/>
  <c r="D135" i="4"/>
  <c r="E135" i="4"/>
  <c r="F135" i="4"/>
  <c r="B136" i="4"/>
  <c r="C136" i="4"/>
  <c r="D136" i="4"/>
  <c r="E136" i="4"/>
  <c r="F136" i="4"/>
  <c r="B137" i="4"/>
  <c r="C137" i="4"/>
  <c r="D137" i="4"/>
  <c r="E137" i="4"/>
  <c r="F137" i="4"/>
  <c r="B138" i="4"/>
  <c r="C138" i="4"/>
  <c r="D138" i="4"/>
  <c r="E138" i="4"/>
  <c r="F138" i="4"/>
  <c r="B139" i="4"/>
  <c r="C139" i="4"/>
  <c r="D139" i="4"/>
  <c r="E139" i="4"/>
  <c r="F139" i="4"/>
  <c r="B140" i="4"/>
  <c r="C140" i="4"/>
  <c r="D140" i="4"/>
  <c r="E140" i="4"/>
  <c r="F140" i="4"/>
  <c r="B141" i="4"/>
  <c r="C141" i="4"/>
  <c r="D141" i="4"/>
  <c r="E141" i="4"/>
  <c r="F141" i="4"/>
  <c r="B142" i="4"/>
  <c r="C142" i="4"/>
  <c r="D142" i="4"/>
  <c r="E142" i="4"/>
  <c r="F142" i="4"/>
  <c r="B143" i="4"/>
  <c r="C143" i="4"/>
  <c r="D143" i="4"/>
  <c r="E143" i="4"/>
  <c r="F143" i="4"/>
  <c r="B144" i="4"/>
  <c r="C144" i="4"/>
  <c r="D144" i="4"/>
  <c r="E144" i="4"/>
  <c r="F144" i="4"/>
  <c r="B145" i="4"/>
  <c r="C145" i="4"/>
  <c r="D145" i="4"/>
  <c r="E145" i="4"/>
  <c r="F145" i="4"/>
  <c r="B146" i="4"/>
  <c r="C146" i="4"/>
  <c r="D146" i="4"/>
  <c r="E146" i="4"/>
  <c r="F146" i="4"/>
  <c r="B147" i="4"/>
  <c r="C147" i="4"/>
  <c r="D147" i="4"/>
  <c r="E147" i="4"/>
  <c r="F147" i="4"/>
  <c r="B148" i="4"/>
  <c r="C148" i="4"/>
  <c r="D148" i="4"/>
  <c r="E148" i="4"/>
  <c r="F148" i="4"/>
  <c r="B149" i="4"/>
  <c r="C149" i="4"/>
  <c r="D149" i="4"/>
  <c r="E149" i="4"/>
  <c r="F149" i="4"/>
  <c r="B150" i="4"/>
  <c r="C150" i="4"/>
  <c r="D150" i="4"/>
  <c r="E150" i="4"/>
  <c r="F150" i="4"/>
  <c r="B151" i="4"/>
  <c r="C151" i="4"/>
  <c r="D151" i="4"/>
  <c r="E151" i="4"/>
  <c r="F151" i="4"/>
  <c r="B152" i="4"/>
  <c r="C152" i="4"/>
  <c r="D152" i="4"/>
  <c r="E152" i="4"/>
  <c r="F152" i="4"/>
  <c r="B153" i="4"/>
  <c r="C153" i="4"/>
  <c r="D153" i="4"/>
  <c r="E153" i="4"/>
  <c r="F153" i="4"/>
  <c r="B154" i="4"/>
  <c r="C154" i="4"/>
  <c r="D154" i="4"/>
  <c r="E154" i="4"/>
  <c r="F154" i="4"/>
  <c r="B155" i="4"/>
  <c r="C155" i="4"/>
  <c r="D155" i="4"/>
  <c r="E155" i="4"/>
  <c r="F155" i="4"/>
  <c r="B156" i="4"/>
  <c r="C156" i="4"/>
  <c r="D156" i="4"/>
  <c r="E156" i="4"/>
  <c r="F156" i="4"/>
  <c r="B157" i="4"/>
  <c r="C157" i="4"/>
  <c r="D157" i="4"/>
  <c r="E157" i="4"/>
  <c r="F157" i="4"/>
  <c r="B158" i="4"/>
  <c r="C158" i="4"/>
  <c r="D158" i="4"/>
  <c r="E158" i="4"/>
  <c r="F158" i="4"/>
  <c r="B159" i="4"/>
  <c r="C159" i="4"/>
  <c r="D159" i="4"/>
  <c r="E159" i="4"/>
  <c r="F159" i="4"/>
  <c r="B160" i="4"/>
  <c r="C160" i="4"/>
  <c r="D160" i="4"/>
  <c r="E160" i="4"/>
  <c r="F160" i="4"/>
  <c r="B161" i="4"/>
  <c r="C161" i="4"/>
  <c r="D161" i="4"/>
  <c r="E161" i="4"/>
  <c r="F161" i="4"/>
  <c r="B162" i="4"/>
  <c r="C162" i="4"/>
  <c r="D162" i="4"/>
  <c r="E162" i="4"/>
  <c r="F162" i="4"/>
  <c r="B163" i="4"/>
  <c r="C163" i="4"/>
  <c r="D163" i="4"/>
  <c r="E163" i="4"/>
  <c r="F163" i="4"/>
  <c r="B164" i="4"/>
  <c r="C164" i="4"/>
  <c r="D164" i="4"/>
  <c r="E164" i="4"/>
  <c r="F164" i="4"/>
  <c r="B165" i="4"/>
  <c r="C165" i="4"/>
  <c r="D165" i="4"/>
  <c r="E165" i="4"/>
  <c r="F165" i="4"/>
  <c r="B166" i="4"/>
  <c r="C166" i="4"/>
  <c r="D166" i="4"/>
  <c r="E166" i="4"/>
  <c r="F166" i="4"/>
  <c r="B167" i="4"/>
  <c r="C167" i="4"/>
  <c r="D167" i="4"/>
  <c r="E167" i="4"/>
  <c r="F167" i="4"/>
  <c r="B168" i="4"/>
  <c r="C168" i="4"/>
  <c r="D168" i="4"/>
  <c r="E168" i="4"/>
  <c r="F168" i="4"/>
  <c r="B169" i="4"/>
  <c r="C169" i="4"/>
  <c r="D169" i="4"/>
  <c r="E169" i="4"/>
  <c r="F169" i="4"/>
  <c r="B170" i="4"/>
  <c r="C170" i="4"/>
  <c r="D170" i="4"/>
  <c r="E170" i="4"/>
  <c r="F170" i="4"/>
  <c r="B171" i="4"/>
  <c r="C171" i="4"/>
  <c r="D171" i="4"/>
  <c r="E171" i="4"/>
  <c r="F171" i="4"/>
  <c r="B172" i="4"/>
  <c r="C172" i="4"/>
  <c r="D172" i="4"/>
  <c r="E172" i="4"/>
  <c r="F172" i="4"/>
  <c r="B173" i="4"/>
  <c r="C173" i="4"/>
  <c r="D173" i="4"/>
  <c r="E173" i="4"/>
  <c r="F173" i="4"/>
  <c r="B174" i="4"/>
  <c r="C174" i="4"/>
  <c r="D174" i="4"/>
  <c r="E174" i="4"/>
  <c r="F174" i="4"/>
  <c r="B175" i="4"/>
  <c r="C175" i="4"/>
  <c r="D175" i="4"/>
  <c r="E175" i="4"/>
  <c r="F175" i="4"/>
  <c r="B176" i="4"/>
  <c r="C176" i="4"/>
  <c r="D176" i="4"/>
  <c r="E176" i="4"/>
  <c r="F176" i="4"/>
  <c r="B177" i="4"/>
  <c r="C177" i="4"/>
  <c r="D177" i="4"/>
  <c r="E177" i="4"/>
  <c r="F177" i="4"/>
  <c r="B178" i="4"/>
  <c r="C178" i="4"/>
  <c r="D178" i="4"/>
  <c r="E178" i="4"/>
  <c r="F178" i="4"/>
  <c r="B179" i="4"/>
  <c r="C179" i="4"/>
  <c r="D179" i="4"/>
  <c r="E179" i="4"/>
  <c r="F179" i="4"/>
  <c r="B180" i="4"/>
  <c r="C180" i="4"/>
  <c r="D180" i="4"/>
  <c r="E180" i="4"/>
  <c r="F180" i="4"/>
  <c r="B181" i="4"/>
  <c r="C181" i="4"/>
  <c r="D181" i="4"/>
  <c r="E181" i="4"/>
  <c r="F181" i="4"/>
  <c r="B182" i="4"/>
  <c r="C182" i="4"/>
  <c r="D182" i="4"/>
  <c r="E182" i="4"/>
  <c r="F182" i="4"/>
  <c r="B183" i="4"/>
  <c r="C183" i="4"/>
  <c r="D183" i="4"/>
  <c r="E183" i="4"/>
  <c r="F183" i="4"/>
  <c r="B184" i="4"/>
  <c r="C184" i="4"/>
  <c r="D184" i="4"/>
  <c r="E184" i="4"/>
  <c r="F184" i="4"/>
  <c r="B185" i="4"/>
  <c r="C185" i="4"/>
  <c r="D185" i="4"/>
  <c r="E185" i="4"/>
  <c r="F185" i="4"/>
  <c r="B186" i="4"/>
  <c r="C186" i="4"/>
  <c r="D186" i="4"/>
  <c r="E186" i="4"/>
  <c r="F186" i="4"/>
  <c r="B187" i="4"/>
  <c r="C187" i="4"/>
  <c r="D187" i="4"/>
  <c r="E187" i="4"/>
  <c r="F187" i="4"/>
  <c r="B188" i="4"/>
  <c r="C188" i="4"/>
  <c r="D188" i="4"/>
  <c r="E188" i="4"/>
  <c r="F188" i="4"/>
  <c r="B189" i="4"/>
  <c r="C189" i="4"/>
  <c r="D189" i="4"/>
  <c r="E189" i="4"/>
  <c r="F189" i="4"/>
  <c r="B190" i="4"/>
  <c r="C190" i="4"/>
  <c r="D190" i="4"/>
  <c r="E190" i="4"/>
  <c r="F190" i="4"/>
  <c r="B4" i="1"/>
  <c r="B3" i="1"/>
  <c r="C3" i="1"/>
  <c r="C4" i="1"/>
  <c r="D3" i="1"/>
  <c r="D4" i="1"/>
  <c r="E4" i="1"/>
  <c r="F4" i="1"/>
  <c r="B5" i="1"/>
  <c r="C5" i="1"/>
  <c r="D5" i="1"/>
  <c r="E5" i="1"/>
  <c r="F5" i="1"/>
  <c r="B6" i="1"/>
  <c r="C6" i="1"/>
  <c r="D6" i="1"/>
  <c r="E6" i="1"/>
  <c r="F6" i="1"/>
  <c r="B7" i="1"/>
  <c r="C7" i="1"/>
  <c r="D7" i="1"/>
  <c r="E7" i="1"/>
  <c r="F7" i="1"/>
  <c r="B8" i="1"/>
  <c r="C8" i="1"/>
  <c r="D8" i="1"/>
  <c r="E8" i="1"/>
  <c r="F8" i="1"/>
  <c r="B9" i="1"/>
  <c r="C9" i="1"/>
  <c r="D9" i="1"/>
  <c r="E9" i="1"/>
  <c r="F9" i="1"/>
  <c r="B10" i="1"/>
  <c r="C10" i="1"/>
  <c r="D10" i="1"/>
  <c r="E10" i="1"/>
  <c r="F10" i="1"/>
  <c r="B11" i="1"/>
  <c r="C11" i="1"/>
  <c r="D11" i="1"/>
  <c r="E11" i="1"/>
  <c r="F11" i="1"/>
  <c r="B12" i="1"/>
  <c r="C12" i="1"/>
  <c r="D12" i="1"/>
  <c r="E12" i="1"/>
  <c r="F12" i="1"/>
  <c r="B13" i="1"/>
  <c r="C13" i="1"/>
  <c r="D13" i="1"/>
  <c r="E13" i="1"/>
  <c r="F13" i="1"/>
  <c r="B14" i="1"/>
  <c r="C14" i="1"/>
  <c r="D14" i="1"/>
  <c r="E14" i="1"/>
  <c r="F14" i="1"/>
  <c r="B15" i="1"/>
  <c r="C15" i="1"/>
  <c r="D15" i="1"/>
  <c r="E15" i="1"/>
  <c r="F15" i="1"/>
  <c r="B16" i="1"/>
  <c r="C16" i="1"/>
  <c r="D16" i="1"/>
  <c r="E16" i="1"/>
  <c r="F16" i="1"/>
  <c r="B17" i="1"/>
  <c r="C17" i="1"/>
  <c r="D17" i="1"/>
  <c r="E17" i="1"/>
  <c r="F17" i="1"/>
  <c r="B18" i="1"/>
  <c r="C18" i="1"/>
  <c r="D18" i="1"/>
  <c r="E18" i="1"/>
  <c r="F18" i="1"/>
  <c r="B19" i="1"/>
  <c r="C19" i="1"/>
  <c r="D19" i="1"/>
  <c r="E19" i="1"/>
  <c r="F19" i="1"/>
  <c r="B20" i="1"/>
  <c r="C20" i="1"/>
  <c r="D20" i="1"/>
  <c r="E20" i="1"/>
  <c r="F20" i="1"/>
  <c r="B21" i="1"/>
  <c r="C21" i="1"/>
  <c r="D21" i="1"/>
  <c r="E21" i="1"/>
  <c r="F21" i="1"/>
  <c r="B22" i="1"/>
  <c r="C22" i="1"/>
  <c r="D22" i="1"/>
  <c r="E22" i="1"/>
  <c r="F22" i="1"/>
  <c r="B23" i="1"/>
  <c r="C23" i="1"/>
  <c r="D23" i="1"/>
  <c r="E23" i="1"/>
  <c r="F23" i="1"/>
  <c r="B24" i="1"/>
  <c r="C24" i="1"/>
  <c r="D24" i="1"/>
  <c r="E24" i="1"/>
  <c r="F24" i="1"/>
  <c r="B25" i="1"/>
  <c r="C25" i="1"/>
  <c r="D25" i="1"/>
  <c r="E25" i="1"/>
  <c r="F25" i="1"/>
  <c r="B26" i="1"/>
  <c r="C26" i="1"/>
  <c r="D26" i="1"/>
  <c r="E26" i="1"/>
  <c r="F26" i="1"/>
  <c r="B27" i="1"/>
  <c r="C27" i="1"/>
  <c r="D27" i="1"/>
  <c r="E27" i="1"/>
  <c r="F27" i="1"/>
  <c r="B28" i="1"/>
  <c r="C28" i="1"/>
  <c r="D28" i="1"/>
  <c r="E28" i="1"/>
  <c r="F28" i="1"/>
  <c r="B29" i="1"/>
  <c r="C29" i="1"/>
  <c r="D29" i="1"/>
  <c r="E29" i="1"/>
  <c r="F29" i="1"/>
  <c r="B30" i="1"/>
  <c r="C30" i="1"/>
  <c r="D30" i="1"/>
  <c r="E30" i="1"/>
  <c r="F30" i="1"/>
  <c r="B31" i="1"/>
  <c r="C31" i="1"/>
  <c r="D31" i="1"/>
  <c r="E31" i="1"/>
  <c r="F31" i="1"/>
  <c r="B32" i="1"/>
  <c r="C32" i="1"/>
  <c r="D32" i="1"/>
  <c r="E32" i="1"/>
  <c r="F32" i="1"/>
  <c r="B33" i="1"/>
  <c r="C33" i="1"/>
  <c r="D33" i="1"/>
  <c r="E33" i="1"/>
  <c r="F33" i="1"/>
  <c r="B34" i="1"/>
  <c r="C34" i="1"/>
  <c r="D34" i="1"/>
  <c r="E34" i="1"/>
  <c r="F34" i="1"/>
  <c r="B35" i="1"/>
  <c r="C35" i="1"/>
  <c r="D35" i="1"/>
  <c r="E35" i="1"/>
  <c r="F35" i="1"/>
  <c r="B36" i="1"/>
  <c r="C36" i="1"/>
  <c r="D36" i="1"/>
  <c r="E36" i="1"/>
  <c r="F36" i="1"/>
  <c r="B37" i="1"/>
  <c r="C37" i="1"/>
  <c r="D37" i="1"/>
  <c r="E37" i="1"/>
  <c r="F37" i="1"/>
  <c r="B38" i="1"/>
  <c r="C38" i="1"/>
  <c r="D38" i="1"/>
  <c r="E38" i="1"/>
  <c r="F38" i="1"/>
  <c r="B39" i="1"/>
  <c r="C39" i="1"/>
  <c r="D39" i="1"/>
  <c r="E39" i="1"/>
  <c r="F39" i="1"/>
  <c r="B40" i="1"/>
  <c r="C40" i="1"/>
  <c r="D40" i="1"/>
  <c r="E40" i="1"/>
  <c r="F40" i="1"/>
  <c r="B41" i="1"/>
  <c r="C41" i="1"/>
  <c r="D41" i="1"/>
  <c r="E41" i="1"/>
  <c r="F41" i="1"/>
  <c r="B42" i="1"/>
  <c r="C42" i="1"/>
  <c r="D42" i="1"/>
  <c r="E42" i="1"/>
  <c r="F42" i="1"/>
  <c r="B43" i="1"/>
  <c r="C43" i="1"/>
  <c r="D43" i="1"/>
  <c r="E43" i="1"/>
  <c r="F43" i="1"/>
  <c r="B44" i="1"/>
  <c r="C44" i="1"/>
  <c r="D44" i="1"/>
  <c r="E44" i="1"/>
  <c r="F44" i="1"/>
  <c r="B45" i="1"/>
  <c r="C45" i="1"/>
  <c r="D45" i="1"/>
  <c r="E45" i="1"/>
  <c r="F45" i="1"/>
  <c r="B46" i="1"/>
  <c r="C46" i="1"/>
  <c r="D46" i="1"/>
  <c r="E46" i="1"/>
  <c r="F46" i="1"/>
  <c r="B47" i="1"/>
  <c r="C47" i="1"/>
  <c r="D47" i="1"/>
  <c r="E47" i="1"/>
  <c r="F47" i="1"/>
  <c r="B48" i="1"/>
  <c r="C48" i="1"/>
  <c r="D48" i="1"/>
  <c r="E48" i="1"/>
  <c r="F48" i="1"/>
  <c r="B49" i="1"/>
  <c r="C49" i="1"/>
  <c r="D49" i="1"/>
  <c r="E49" i="1"/>
  <c r="F49" i="1"/>
  <c r="B50" i="1"/>
  <c r="C50" i="1"/>
  <c r="D50" i="1"/>
  <c r="E50" i="1"/>
  <c r="F50" i="1"/>
  <c r="B51" i="1"/>
  <c r="C51" i="1"/>
  <c r="D51" i="1"/>
  <c r="E51" i="1"/>
  <c r="F51" i="1"/>
  <c r="B52" i="1"/>
  <c r="C52" i="1"/>
  <c r="D52" i="1"/>
  <c r="E52" i="1"/>
  <c r="F52" i="1"/>
  <c r="B53" i="1"/>
  <c r="C53" i="1"/>
  <c r="D53" i="1"/>
  <c r="E53" i="1"/>
  <c r="F53" i="1"/>
  <c r="B54" i="1"/>
  <c r="C54" i="1"/>
  <c r="D54" i="1"/>
  <c r="E54" i="1"/>
  <c r="F54" i="1"/>
  <c r="B55" i="1"/>
  <c r="C55" i="1"/>
  <c r="D55" i="1"/>
  <c r="E55" i="1"/>
  <c r="F55" i="1"/>
  <c r="B56" i="1"/>
  <c r="C56" i="1"/>
  <c r="D56" i="1"/>
  <c r="E56" i="1"/>
  <c r="F56" i="1"/>
  <c r="B57" i="1"/>
  <c r="C57" i="1"/>
  <c r="D57" i="1"/>
  <c r="E57" i="1"/>
  <c r="F57" i="1"/>
  <c r="B58" i="1"/>
  <c r="C58" i="1"/>
  <c r="D58" i="1"/>
  <c r="E58" i="1"/>
  <c r="F58" i="1"/>
  <c r="B59" i="1"/>
  <c r="C59" i="1"/>
  <c r="D59" i="1"/>
  <c r="E59" i="1"/>
  <c r="F59" i="1"/>
  <c r="B60" i="1"/>
  <c r="C60" i="1"/>
  <c r="D60" i="1"/>
  <c r="E60" i="1"/>
  <c r="F60" i="1"/>
  <c r="B61" i="1"/>
  <c r="C61" i="1"/>
  <c r="D61" i="1"/>
  <c r="E61" i="1"/>
  <c r="F61" i="1"/>
  <c r="B62" i="1"/>
  <c r="C62" i="1"/>
  <c r="D62" i="1"/>
  <c r="E62" i="1"/>
  <c r="F62" i="1"/>
  <c r="B63" i="1"/>
  <c r="C63" i="1"/>
  <c r="D63" i="1"/>
  <c r="E63" i="1"/>
  <c r="F63" i="1"/>
  <c r="B64" i="1"/>
  <c r="C64" i="1"/>
  <c r="D64" i="1"/>
  <c r="E64" i="1"/>
  <c r="F64" i="1"/>
  <c r="B65" i="1"/>
  <c r="C65" i="1"/>
  <c r="D65" i="1"/>
  <c r="E65" i="1"/>
  <c r="F65" i="1"/>
  <c r="B66" i="1"/>
  <c r="C66" i="1"/>
  <c r="D66" i="1"/>
  <c r="E66" i="1"/>
  <c r="F66" i="1"/>
  <c r="B67" i="1"/>
  <c r="C67" i="1"/>
  <c r="D67" i="1"/>
  <c r="E67" i="1"/>
  <c r="F67" i="1"/>
  <c r="B68" i="1"/>
  <c r="C68" i="1"/>
  <c r="D68" i="1"/>
  <c r="E68" i="1"/>
  <c r="F68" i="1"/>
  <c r="B69" i="1"/>
  <c r="C69" i="1"/>
  <c r="D69" i="1"/>
  <c r="E69" i="1"/>
  <c r="F69" i="1"/>
  <c r="B70" i="1"/>
  <c r="C70" i="1"/>
  <c r="D70" i="1"/>
  <c r="E70" i="1"/>
  <c r="F70" i="1"/>
  <c r="B71" i="1"/>
  <c r="C71" i="1"/>
  <c r="D71" i="1"/>
  <c r="E71" i="1"/>
  <c r="F71" i="1"/>
  <c r="B72" i="1"/>
  <c r="C72" i="1"/>
  <c r="D72" i="1"/>
  <c r="E72" i="1"/>
  <c r="F72" i="1"/>
  <c r="B73" i="1"/>
  <c r="C73" i="1"/>
  <c r="D73" i="1"/>
  <c r="E73" i="1"/>
  <c r="F73" i="1"/>
  <c r="B74" i="1"/>
  <c r="C74" i="1"/>
  <c r="D74" i="1"/>
  <c r="E74" i="1"/>
  <c r="F74" i="1"/>
  <c r="B75" i="1"/>
  <c r="C75" i="1"/>
  <c r="D75" i="1"/>
  <c r="E75" i="1"/>
  <c r="F75" i="1"/>
  <c r="B76" i="1"/>
  <c r="C76" i="1"/>
  <c r="D76" i="1"/>
  <c r="E76" i="1"/>
  <c r="F76" i="1"/>
  <c r="B77" i="1"/>
  <c r="C77" i="1"/>
  <c r="D77" i="1"/>
  <c r="E77" i="1"/>
  <c r="F77" i="1"/>
  <c r="B78" i="1"/>
  <c r="C78" i="1"/>
  <c r="D78" i="1"/>
  <c r="E78" i="1"/>
  <c r="F78" i="1"/>
  <c r="B79" i="1"/>
  <c r="C79" i="1"/>
  <c r="D79" i="1"/>
  <c r="E79" i="1"/>
  <c r="F79" i="1"/>
  <c r="B80" i="1"/>
  <c r="C80" i="1"/>
  <c r="D80" i="1"/>
  <c r="E80" i="1"/>
  <c r="F80" i="1"/>
  <c r="B81" i="1"/>
  <c r="C81" i="1"/>
  <c r="D81" i="1"/>
  <c r="E81" i="1"/>
  <c r="F81" i="1"/>
  <c r="B82" i="1"/>
  <c r="C82" i="1"/>
  <c r="D82" i="1"/>
  <c r="E82" i="1"/>
  <c r="F82" i="1"/>
  <c r="B83" i="1"/>
  <c r="C83" i="1"/>
  <c r="D83" i="1"/>
  <c r="E83" i="1"/>
  <c r="F83" i="1"/>
  <c r="B84" i="1"/>
  <c r="C84" i="1"/>
  <c r="D84" i="1"/>
  <c r="E84" i="1"/>
  <c r="F84" i="1"/>
  <c r="B85" i="1"/>
  <c r="C85" i="1"/>
  <c r="D85" i="1"/>
  <c r="E85" i="1"/>
  <c r="F85" i="1"/>
  <c r="B86" i="1"/>
  <c r="C86" i="1"/>
  <c r="D86" i="1"/>
  <c r="E86" i="1"/>
  <c r="F86" i="1"/>
  <c r="B87" i="1"/>
  <c r="C87" i="1"/>
  <c r="D87" i="1"/>
  <c r="E87" i="1"/>
  <c r="F87" i="1"/>
  <c r="B88" i="1"/>
  <c r="C88" i="1"/>
  <c r="D88" i="1"/>
  <c r="E88" i="1"/>
  <c r="F88" i="1"/>
  <c r="B89" i="1"/>
  <c r="C89" i="1"/>
  <c r="D89" i="1"/>
  <c r="E89" i="1"/>
  <c r="F89" i="1"/>
  <c r="B90" i="1"/>
  <c r="C90" i="1"/>
  <c r="D90" i="1"/>
  <c r="E90" i="1"/>
  <c r="F90" i="1"/>
  <c r="B91" i="1"/>
  <c r="C91" i="1"/>
  <c r="D91" i="1"/>
  <c r="E91" i="1"/>
  <c r="F91" i="1"/>
  <c r="B92" i="1"/>
  <c r="C92" i="1"/>
  <c r="D92" i="1"/>
  <c r="E92" i="1"/>
  <c r="F92" i="1"/>
  <c r="B93" i="1"/>
  <c r="C93" i="1"/>
  <c r="D93" i="1"/>
  <c r="E93" i="1"/>
  <c r="F93" i="1"/>
  <c r="B94" i="1"/>
  <c r="C94" i="1"/>
  <c r="D94" i="1"/>
  <c r="E94" i="1"/>
  <c r="F94" i="1"/>
  <c r="B95" i="1"/>
  <c r="C95" i="1"/>
  <c r="D95" i="1"/>
  <c r="E95" i="1"/>
  <c r="F95" i="1"/>
  <c r="B96" i="1"/>
  <c r="C96" i="1"/>
  <c r="D96" i="1"/>
  <c r="E96" i="1"/>
  <c r="F96" i="1"/>
  <c r="B97" i="1"/>
  <c r="C97" i="1"/>
  <c r="D97" i="1"/>
  <c r="E97" i="1"/>
  <c r="F97" i="1"/>
  <c r="B98" i="1"/>
  <c r="C98" i="1"/>
  <c r="D98" i="1"/>
  <c r="E98" i="1"/>
  <c r="F98" i="1"/>
  <c r="B99" i="1"/>
  <c r="C99" i="1"/>
  <c r="D99" i="1"/>
  <c r="E99" i="1"/>
  <c r="F99" i="1"/>
  <c r="B100" i="1"/>
  <c r="C100" i="1"/>
  <c r="D100" i="1"/>
  <c r="E100" i="1"/>
  <c r="F100" i="1"/>
  <c r="B101" i="1"/>
  <c r="C101" i="1"/>
  <c r="D101" i="1"/>
  <c r="E101" i="1"/>
  <c r="F101" i="1"/>
  <c r="B102" i="1"/>
  <c r="C102" i="1"/>
  <c r="D102" i="1"/>
  <c r="E102" i="1"/>
  <c r="F102" i="1"/>
  <c r="B103" i="1"/>
  <c r="C103" i="1"/>
  <c r="D103" i="1"/>
  <c r="E103" i="1"/>
  <c r="F103" i="1"/>
  <c r="B104" i="1"/>
  <c r="C104" i="1"/>
  <c r="D104" i="1"/>
  <c r="E104" i="1"/>
  <c r="F104" i="1"/>
  <c r="B105" i="1"/>
  <c r="C105" i="1"/>
  <c r="D105" i="1"/>
  <c r="E105" i="1"/>
  <c r="F105" i="1"/>
  <c r="B106" i="1"/>
  <c r="C106" i="1"/>
  <c r="D106" i="1"/>
  <c r="E106" i="1"/>
  <c r="F106" i="1"/>
  <c r="B107" i="1"/>
  <c r="C107" i="1"/>
  <c r="D107" i="1"/>
  <c r="E107" i="1"/>
  <c r="F107" i="1"/>
  <c r="B108" i="1"/>
  <c r="C108" i="1"/>
  <c r="D108" i="1"/>
  <c r="E108" i="1"/>
  <c r="F108" i="1"/>
  <c r="B109" i="1"/>
  <c r="C109" i="1"/>
  <c r="D109" i="1"/>
  <c r="E109" i="1"/>
  <c r="F109" i="1"/>
  <c r="B110" i="1"/>
  <c r="C110" i="1"/>
  <c r="D110" i="1"/>
  <c r="E110" i="1"/>
  <c r="F110" i="1"/>
  <c r="B111" i="1"/>
  <c r="C111" i="1"/>
  <c r="D111" i="1"/>
  <c r="E111" i="1"/>
  <c r="F111" i="1"/>
  <c r="B112" i="1"/>
  <c r="C112" i="1"/>
  <c r="D112" i="1"/>
  <c r="E112" i="1"/>
  <c r="F112" i="1"/>
  <c r="B113" i="1"/>
  <c r="C113" i="1"/>
  <c r="D113" i="1"/>
  <c r="E113" i="1"/>
  <c r="F113" i="1"/>
  <c r="B114" i="1"/>
  <c r="C114" i="1"/>
  <c r="D114" i="1"/>
  <c r="E114" i="1"/>
  <c r="F114" i="1"/>
  <c r="B115" i="1"/>
  <c r="C115" i="1"/>
  <c r="D115" i="1"/>
  <c r="E115" i="1"/>
  <c r="F115" i="1"/>
  <c r="B116" i="1"/>
  <c r="C116" i="1"/>
  <c r="D116" i="1"/>
  <c r="E116" i="1"/>
  <c r="F116" i="1"/>
  <c r="B117" i="1"/>
  <c r="C117" i="1"/>
  <c r="D117" i="1"/>
  <c r="E117" i="1"/>
  <c r="F117" i="1"/>
  <c r="B118" i="1"/>
  <c r="C118" i="1"/>
  <c r="D118" i="1"/>
  <c r="E118" i="1"/>
  <c r="F118" i="1"/>
  <c r="B119" i="1"/>
  <c r="C119" i="1"/>
  <c r="D119" i="1"/>
  <c r="E119" i="1"/>
  <c r="F119" i="1"/>
  <c r="B120" i="1"/>
  <c r="C120" i="1"/>
  <c r="D120" i="1"/>
  <c r="E120" i="1"/>
  <c r="F120" i="1"/>
  <c r="B121" i="1"/>
  <c r="C121" i="1"/>
  <c r="D121" i="1"/>
  <c r="E121" i="1"/>
  <c r="F121" i="1"/>
  <c r="B122" i="1"/>
  <c r="C122" i="1"/>
  <c r="D122" i="1"/>
  <c r="E122" i="1"/>
  <c r="F122" i="1"/>
  <c r="B123" i="1"/>
  <c r="C123" i="1"/>
  <c r="D123" i="1"/>
  <c r="E123" i="1"/>
  <c r="F123" i="1"/>
  <c r="B124" i="1"/>
  <c r="C124" i="1"/>
  <c r="D124" i="1"/>
  <c r="E124" i="1"/>
  <c r="F124" i="1"/>
  <c r="B125" i="1"/>
  <c r="C125" i="1"/>
  <c r="D125" i="1"/>
  <c r="E125" i="1"/>
  <c r="F125" i="1"/>
  <c r="B126" i="1"/>
  <c r="C126" i="1"/>
  <c r="D126" i="1"/>
  <c r="E126" i="1"/>
  <c r="F126" i="1"/>
  <c r="B127" i="1"/>
  <c r="C127" i="1"/>
  <c r="D127" i="1"/>
  <c r="E127" i="1"/>
  <c r="F127" i="1"/>
  <c r="B128" i="1"/>
  <c r="C128" i="1"/>
  <c r="D128" i="1"/>
  <c r="E128" i="1"/>
  <c r="F128" i="1"/>
  <c r="B129" i="1"/>
  <c r="C129" i="1"/>
  <c r="D129" i="1"/>
  <c r="E129" i="1"/>
  <c r="F129" i="1"/>
  <c r="B130" i="1"/>
  <c r="C130" i="1"/>
  <c r="D130" i="1"/>
  <c r="E130" i="1"/>
  <c r="F130" i="1"/>
  <c r="B131" i="1"/>
  <c r="C131" i="1"/>
  <c r="D131" i="1"/>
  <c r="E131" i="1"/>
  <c r="F131" i="1"/>
  <c r="B132" i="1"/>
  <c r="C132" i="1"/>
  <c r="D132" i="1"/>
  <c r="E132" i="1"/>
  <c r="F132" i="1"/>
  <c r="B133" i="1"/>
  <c r="C133" i="1"/>
  <c r="D133" i="1"/>
  <c r="E133" i="1"/>
  <c r="F133" i="1"/>
  <c r="B134" i="1"/>
  <c r="C134" i="1"/>
  <c r="D134" i="1"/>
  <c r="E134" i="1"/>
  <c r="F134" i="1"/>
  <c r="B135" i="1"/>
  <c r="C135" i="1"/>
  <c r="D135" i="1"/>
  <c r="E135" i="1"/>
  <c r="F135" i="1"/>
  <c r="B136" i="1"/>
  <c r="C136" i="1"/>
  <c r="D136" i="1"/>
  <c r="E136" i="1"/>
  <c r="F136" i="1"/>
  <c r="B137" i="1"/>
  <c r="C137" i="1"/>
  <c r="D137" i="1"/>
  <c r="E137" i="1"/>
  <c r="F137" i="1"/>
  <c r="B138" i="1"/>
  <c r="C138" i="1"/>
  <c r="D138" i="1"/>
  <c r="E138" i="1"/>
  <c r="F138" i="1"/>
  <c r="B139" i="1"/>
  <c r="C139" i="1"/>
  <c r="D139" i="1"/>
  <c r="E139" i="1"/>
  <c r="F139" i="1"/>
  <c r="B140" i="1"/>
  <c r="C140" i="1"/>
  <c r="D140" i="1"/>
  <c r="E140" i="1"/>
  <c r="F140" i="1"/>
  <c r="B141" i="1"/>
  <c r="C141" i="1"/>
  <c r="D141" i="1"/>
  <c r="E141" i="1"/>
  <c r="F141" i="1"/>
  <c r="B142" i="1"/>
  <c r="C142" i="1"/>
  <c r="D142" i="1"/>
  <c r="E142" i="1"/>
  <c r="F142" i="1"/>
  <c r="B143" i="1"/>
  <c r="C143" i="1"/>
  <c r="D143" i="1"/>
  <c r="E143" i="1"/>
  <c r="F143" i="1"/>
  <c r="B144" i="1"/>
  <c r="C144" i="1"/>
  <c r="D144" i="1"/>
  <c r="E144" i="1"/>
  <c r="F144" i="1"/>
  <c r="B145" i="1"/>
  <c r="C145" i="1"/>
  <c r="D145" i="1"/>
  <c r="E145" i="1"/>
  <c r="F145" i="1"/>
  <c r="B146" i="1"/>
  <c r="C146" i="1"/>
  <c r="D146" i="1"/>
  <c r="E146" i="1"/>
  <c r="F146" i="1"/>
  <c r="B147" i="1"/>
  <c r="C147" i="1"/>
  <c r="D147" i="1"/>
  <c r="E147" i="1"/>
  <c r="F147" i="1"/>
  <c r="B148" i="1"/>
  <c r="C148" i="1"/>
  <c r="D148" i="1"/>
  <c r="E148" i="1"/>
  <c r="F148" i="1"/>
  <c r="B149" i="1"/>
  <c r="C149" i="1"/>
  <c r="D149" i="1"/>
  <c r="E149" i="1"/>
  <c r="F149" i="1"/>
  <c r="B150" i="1"/>
  <c r="C150" i="1"/>
  <c r="D150" i="1"/>
  <c r="E150" i="1"/>
  <c r="F150" i="1"/>
  <c r="B151" i="1"/>
  <c r="C151" i="1"/>
  <c r="D151" i="1"/>
  <c r="E151" i="1"/>
  <c r="F151" i="1"/>
  <c r="B152" i="1"/>
  <c r="C152" i="1"/>
  <c r="D152" i="1"/>
  <c r="E152" i="1"/>
  <c r="F152" i="1"/>
  <c r="B153" i="1"/>
  <c r="C153" i="1"/>
  <c r="D153" i="1"/>
  <c r="E153" i="1"/>
  <c r="F153" i="1"/>
  <c r="B154" i="1"/>
  <c r="C154" i="1"/>
  <c r="D154" i="1"/>
  <c r="E154" i="1"/>
  <c r="F154" i="1"/>
  <c r="B155" i="1"/>
  <c r="C155" i="1"/>
  <c r="D155" i="1"/>
  <c r="E155" i="1"/>
  <c r="F155" i="1"/>
  <c r="B156" i="1"/>
  <c r="C156" i="1"/>
  <c r="D156" i="1"/>
  <c r="E156" i="1"/>
  <c r="F156" i="1"/>
  <c r="B157" i="1"/>
  <c r="C157" i="1"/>
  <c r="D157" i="1"/>
  <c r="E157" i="1"/>
  <c r="F157" i="1"/>
  <c r="B158" i="1"/>
  <c r="C158" i="1"/>
  <c r="D158" i="1"/>
  <c r="E158" i="1"/>
  <c r="F158" i="1"/>
  <c r="B159" i="1"/>
  <c r="C159" i="1"/>
  <c r="D159" i="1"/>
  <c r="E159" i="1"/>
  <c r="F159" i="1"/>
  <c r="B160" i="1"/>
  <c r="C160" i="1"/>
  <c r="D160" i="1"/>
  <c r="E160" i="1"/>
  <c r="F160" i="1"/>
  <c r="B161" i="1"/>
  <c r="C161" i="1"/>
  <c r="D161" i="1"/>
  <c r="E161" i="1"/>
  <c r="F161" i="1"/>
  <c r="B162" i="1"/>
  <c r="C162" i="1"/>
  <c r="D162" i="1"/>
  <c r="E162" i="1"/>
  <c r="F162" i="1"/>
  <c r="B163" i="1"/>
  <c r="C163" i="1"/>
  <c r="D163" i="1"/>
  <c r="E163" i="1"/>
  <c r="F163" i="1"/>
  <c r="B164" i="1"/>
  <c r="C164" i="1"/>
  <c r="D164" i="1"/>
  <c r="E164" i="1"/>
  <c r="F164" i="1"/>
  <c r="B165" i="1"/>
  <c r="C165" i="1"/>
  <c r="D165" i="1"/>
  <c r="E165" i="1"/>
  <c r="F165" i="1"/>
  <c r="B166" i="1"/>
  <c r="C166" i="1"/>
  <c r="D166" i="1"/>
  <c r="E166" i="1"/>
  <c r="F166" i="1"/>
  <c r="B167" i="1"/>
  <c r="C167" i="1"/>
  <c r="D167" i="1"/>
  <c r="E167" i="1"/>
  <c r="F167" i="1"/>
  <c r="B168" i="1"/>
  <c r="C168" i="1"/>
  <c r="D168" i="1"/>
  <c r="E168" i="1"/>
  <c r="F168" i="1"/>
  <c r="B169" i="1"/>
  <c r="C169" i="1"/>
  <c r="D169" i="1"/>
  <c r="E169" i="1"/>
  <c r="F169" i="1"/>
  <c r="B170" i="1"/>
  <c r="C170" i="1"/>
  <c r="D170" i="1"/>
  <c r="E170" i="1"/>
  <c r="F170" i="1"/>
  <c r="B171" i="1"/>
  <c r="C171" i="1"/>
  <c r="D171" i="1"/>
  <c r="E171" i="1"/>
  <c r="F171" i="1"/>
  <c r="B172" i="1"/>
  <c r="C172" i="1"/>
  <c r="D172" i="1"/>
  <c r="E172" i="1"/>
  <c r="F172" i="1"/>
  <c r="B173" i="1"/>
  <c r="C173" i="1"/>
  <c r="D173" i="1"/>
  <c r="E173" i="1"/>
  <c r="F173" i="1"/>
  <c r="B174" i="1"/>
  <c r="C174" i="1"/>
  <c r="D174" i="1"/>
  <c r="E174" i="1"/>
  <c r="F174" i="1"/>
  <c r="B175" i="1"/>
  <c r="C175" i="1"/>
  <c r="D175" i="1"/>
  <c r="E175" i="1"/>
  <c r="F175" i="1"/>
  <c r="B176" i="1"/>
  <c r="C176" i="1"/>
  <c r="D176" i="1"/>
  <c r="E176" i="1"/>
  <c r="F176" i="1"/>
  <c r="B177" i="1"/>
  <c r="C177" i="1"/>
  <c r="D177" i="1"/>
  <c r="E177" i="1"/>
  <c r="F177" i="1"/>
  <c r="B178" i="1"/>
  <c r="C178" i="1"/>
  <c r="D178" i="1"/>
  <c r="E178" i="1"/>
  <c r="F178" i="1"/>
  <c r="B179" i="1"/>
  <c r="C179" i="1"/>
  <c r="D179" i="1"/>
  <c r="E179" i="1"/>
  <c r="F179" i="1"/>
  <c r="B180" i="1"/>
  <c r="C180" i="1"/>
  <c r="D180" i="1"/>
  <c r="E180" i="1"/>
  <c r="F180" i="1"/>
  <c r="B181" i="1"/>
  <c r="C181" i="1"/>
  <c r="D181" i="1"/>
  <c r="E181" i="1"/>
  <c r="F181" i="1"/>
  <c r="B182" i="1"/>
  <c r="C182" i="1"/>
  <c r="D182" i="1"/>
  <c r="E182" i="1"/>
  <c r="F182" i="1"/>
  <c r="B183" i="1"/>
  <c r="C183" i="1"/>
  <c r="D183" i="1"/>
  <c r="E183" i="1"/>
  <c r="F183" i="1"/>
  <c r="B184" i="1"/>
  <c r="C184" i="1"/>
  <c r="D184" i="1"/>
  <c r="E184" i="1"/>
  <c r="F184" i="1"/>
  <c r="B185" i="1"/>
  <c r="C185" i="1"/>
  <c r="D185" i="1"/>
  <c r="E185" i="1"/>
  <c r="F185" i="1"/>
  <c r="B186" i="1"/>
  <c r="C186" i="1"/>
  <c r="D186" i="1"/>
  <c r="E186" i="1"/>
  <c r="F186" i="1"/>
  <c r="B187" i="1"/>
  <c r="C187" i="1"/>
  <c r="D187" i="1"/>
  <c r="E187" i="1"/>
  <c r="F187" i="1"/>
  <c r="B188" i="1"/>
  <c r="C188" i="1"/>
  <c r="D188" i="1"/>
  <c r="E188" i="1"/>
  <c r="F188" i="1"/>
  <c r="B189" i="1"/>
  <c r="C189" i="1"/>
  <c r="D189" i="1"/>
  <c r="E189" i="1"/>
  <c r="F189" i="1"/>
  <c r="B190" i="1"/>
  <c r="C190" i="1"/>
  <c r="D190" i="1"/>
  <c r="E190" i="1"/>
  <c r="F190" i="1"/>
  <c r="B191" i="1"/>
  <c r="C191" i="1"/>
  <c r="D191" i="1"/>
  <c r="E191" i="1"/>
  <c r="F191" i="1"/>
  <c r="B192" i="1"/>
  <c r="C192" i="1"/>
  <c r="D192" i="1"/>
  <c r="E192" i="1"/>
  <c r="F192" i="1"/>
  <c r="B193" i="1"/>
  <c r="C193" i="1"/>
  <c r="D193" i="1"/>
  <c r="E193" i="1"/>
  <c r="F193" i="1"/>
  <c r="B194" i="1"/>
  <c r="C194" i="1"/>
  <c r="D194" i="1"/>
  <c r="E194" i="1"/>
  <c r="F194" i="1"/>
  <c r="B195" i="1"/>
  <c r="C195" i="1"/>
  <c r="D195" i="1"/>
  <c r="E195" i="1"/>
  <c r="F195" i="1"/>
  <c r="B196" i="1"/>
  <c r="C196" i="1"/>
  <c r="D196" i="1"/>
  <c r="E196" i="1"/>
  <c r="F196" i="1"/>
  <c r="B197" i="1"/>
  <c r="C197" i="1"/>
  <c r="D197" i="1"/>
  <c r="E197" i="1"/>
  <c r="F197" i="1"/>
  <c r="B198" i="1"/>
  <c r="C198" i="1"/>
  <c r="D198" i="1"/>
  <c r="E198" i="1"/>
  <c r="F198" i="1"/>
  <c r="B199" i="1"/>
  <c r="C199" i="1"/>
  <c r="D199" i="1"/>
  <c r="E199" i="1"/>
  <c r="F199" i="1"/>
  <c r="B200" i="1"/>
  <c r="C200" i="1"/>
  <c r="D200" i="1"/>
  <c r="E200" i="1"/>
  <c r="F200" i="1"/>
  <c r="B201" i="1"/>
  <c r="C201" i="1"/>
  <c r="D201" i="1"/>
  <c r="E201" i="1"/>
  <c r="F201" i="1"/>
  <c r="B202" i="1"/>
  <c r="C202" i="1"/>
  <c r="D202" i="1"/>
  <c r="E202" i="1"/>
  <c r="F202" i="1"/>
  <c r="B203" i="1"/>
  <c r="C203" i="1"/>
  <c r="D203" i="1"/>
  <c r="E203" i="1"/>
  <c r="F203" i="1"/>
  <c r="B204" i="1"/>
  <c r="C204" i="1"/>
  <c r="D204" i="1"/>
  <c r="E204" i="1"/>
  <c r="F204" i="1"/>
  <c r="B205" i="1"/>
  <c r="C205" i="1"/>
  <c r="D205" i="1"/>
  <c r="E205" i="1"/>
  <c r="F205" i="1"/>
  <c r="B206" i="1"/>
  <c r="C206" i="1"/>
  <c r="D206" i="1"/>
  <c r="E206" i="1"/>
  <c r="F206" i="1"/>
  <c r="B207" i="1"/>
  <c r="C207" i="1"/>
  <c r="D207" i="1"/>
  <c r="E207" i="1"/>
  <c r="F207" i="1"/>
  <c r="B208" i="1"/>
  <c r="C208" i="1"/>
  <c r="D208" i="1"/>
  <c r="E208" i="1"/>
  <c r="F208" i="1"/>
  <c r="B209" i="1"/>
  <c r="C209" i="1"/>
  <c r="D209" i="1"/>
  <c r="E209" i="1"/>
  <c r="F209" i="1"/>
  <c r="B210" i="1"/>
  <c r="C210" i="1"/>
  <c r="D210" i="1"/>
  <c r="E210" i="1"/>
  <c r="F210" i="1"/>
  <c r="B211" i="1"/>
  <c r="C211" i="1"/>
  <c r="D211" i="1"/>
  <c r="E211" i="1"/>
  <c r="F211" i="1"/>
  <c r="B212" i="1"/>
  <c r="C212" i="1"/>
  <c r="D212" i="1"/>
  <c r="E212" i="1"/>
  <c r="F212" i="1"/>
  <c r="B213" i="1"/>
  <c r="C213" i="1"/>
  <c r="D213" i="1"/>
  <c r="E213" i="1"/>
  <c r="F213" i="1"/>
  <c r="B214" i="1"/>
  <c r="C214" i="1"/>
  <c r="D214" i="1"/>
  <c r="E214" i="1"/>
  <c r="F214" i="1"/>
  <c r="B215" i="1"/>
  <c r="C215" i="1"/>
  <c r="D215" i="1"/>
  <c r="E215" i="1"/>
  <c r="F215" i="1"/>
  <c r="B216" i="1"/>
  <c r="C216" i="1"/>
  <c r="D216" i="1"/>
  <c r="E216" i="1"/>
  <c r="F216" i="1"/>
  <c r="B217" i="1"/>
  <c r="C217" i="1"/>
  <c r="D217" i="1"/>
  <c r="E217" i="1"/>
  <c r="F217" i="1"/>
  <c r="B218" i="1"/>
  <c r="C218" i="1"/>
  <c r="D218" i="1"/>
  <c r="E218" i="1"/>
  <c r="F218" i="1"/>
  <c r="B219" i="1"/>
  <c r="C219" i="1"/>
  <c r="D219" i="1"/>
  <c r="E219" i="1"/>
  <c r="F219" i="1"/>
  <c r="B220" i="1"/>
  <c r="C220" i="1"/>
  <c r="D220" i="1"/>
  <c r="E220" i="1"/>
  <c r="F220" i="1"/>
  <c r="B221" i="1"/>
  <c r="C221" i="1"/>
  <c r="D221" i="1"/>
  <c r="E221" i="1"/>
  <c r="F221" i="1"/>
  <c r="B222" i="1"/>
  <c r="C222" i="1"/>
  <c r="D222" i="1"/>
  <c r="E222" i="1"/>
  <c r="F222" i="1"/>
  <c r="B223" i="1"/>
  <c r="C223" i="1"/>
  <c r="D223" i="1"/>
  <c r="E223" i="1"/>
  <c r="F223" i="1"/>
  <c r="B224" i="1"/>
  <c r="C224" i="1"/>
  <c r="D224" i="1"/>
  <c r="E224" i="1"/>
  <c r="F224" i="1"/>
  <c r="B225" i="1"/>
  <c r="C225" i="1"/>
  <c r="D225" i="1"/>
  <c r="E225" i="1"/>
  <c r="F225" i="1"/>
  <c r="B226" i="1"/>
  <c r="C226" i="1"/>
  <c r="D226" i="1"/>
  <c r="E226" i="1"/>
  <c r="F226" i="1"/>
  <c r="B227" i="1"/>
  <c r="C227" i="1"/>
  <c r="D227" i="1"/>
  <c r="E227" i="1"/>
  <c r="F227" i="1"/>
  <c r="B228" i="1"/>
  <c r="C228" i="1"/>
  <c r="D228" i="1"/>
  <c r="E228" i="1"/>
  <c r="F228" i="1"/>
  <c r="B229" i="1"/>
  <c r="C229" i="1"/>
  <c r="D229" i="1"/>
  <c r="E229" i="1"/>
  <c r="F229" i="1"/>
  <c r="B230" i="1"/>
  <c r="C230" i="1"/>
  <c r="D230" i="1"/>
  <c r="E230" i="1"/>
  <c r="F230" i="1"/>
  <c r="B231" i="1"/>
  <c r="C231" i="1"/>
  <c r="D231" i="1"/>
  <c r="E231" i="1"/>
  <c r="F231" i="1"/>
  <c r="B232" i="1"/>
  <c r="C232" i="1"/>
  <c r="D232" i="1"/>
  <c r="E232" i="1"/>
  <c r="F232" i="1"/>
  <c r="B233" i="1"/>
  <c r="C233" i="1"/>
  <c r="D233" i="1"/>
  <c r="E233" i="1"/>
  <c r="F233" i="1"/>
  <c r="B234" i="1"/>
  <c r="C234" i="1"/>
  <c r="D234" i="1"/>
  <c r="E234" i="1"/>
  <c r="F234" i="1"/>
  <c r="B235" i="1"/>
  <c r="C235" i="1"/>
  <c r="D235" i="1"/>
  <c r="E235" i="1"/>
  <c r="F235" i="1"/>
  <c r="B236" i="1"/>
  <c r="C236" i="1"/>
  <c r="D236" i="1"/>
  <c r="E236" i="1"/>
  <c r="F236" i="1"/>
  <c r="B237" i="1"/>
  <c r="C237" i="1"/>
  <c r="D237" i="1"/>
  <c r="E237" i="1"/>
  <c r="F237" i="1"/>
  <c r="B238" i="1"/>
  <c r="C238" i="1"/>
  <c r="D238" i="1"/>
  <c r="E238" i="1"/>
  <c r="F238" i="1"/>
  <c r="B239" i="1"/>
  <c r="C239" i="1"/>
  <c r="D239" i="1"/>
  <c r="E239" i="1"/>
  <c r="F239" i="1"/>
  <c r="B240" i="1"/>
  <c r="C240" i="1"/>
  <c r="D240" i="1"/>
  <c r="E240" i="1"/>
  <c r="F240" i="1"/>
  <c r="B241" i="1"/>
  <c r="C241" i="1"/>
  <c r="D241" i="1"/>
  <c r="E241" i="1"/>
  <c r="F241" i="1"/>
  <c r="B242" i="1"/>
  <c r="C242" i="1"/>
  <c r="D242" i="1"/>
  <c r="E242" i="1"/>
  <c r="F242" i="1"/>
  <c r="B243" i="1"/>
  <c r="C243" i="1"/>
  <c r="D243" i="1"/>
  <c r="E243" i="1"/>
  <c r="F243" i="1"/>
  <c r="B244" i="1"/>
  <c r="C244" i="1"/>
  <c r="D244" i="1"/>
  <c r="E244" i="1"/>
  <c r="F244" i="1"/>
  <c r="B245" i="1"/>
  <c r="C245" i="1"/>
  <c r="D245" i="1"/>
  <c r="E245" i="1"/>
  <c r="F245" i="1"/>
  <c r="B246" i="1"/>
  <c r="C246" i="1"/>
  <c r="D246" i="1"/>
  <c r="E246" i="1"/>
  <c r="F246" i="1"/>
  <c r="B247" i="1"/>
  <c r="C247" i="1"/>
  <c r="D247" i="1"/>
  <c r="E247" i="1"/>
  <c r="F247" i="1"/>
  <c r="B248" i="1"/>
  <c r="C248" i="1"/>
  <c r="D248" i="1"/>
  <c r="E248" i="1"/>
  <c r="F248" i="1"/>
  <c r="B249" i="1"/>
  <c r="C249" i="1"/>
  <c r="D249" i="1"/>
  <c r="E249" i="1"/>
  <c r="F249" i="1"/>
  <c r="B250" i="1"/>
  <c r="C250" i="1"/>
  <c r="D250" i="1"/>
  <c r="E250" i="1"/>
  <c r="F250" i="1"/>
  <c r="B251" i="1"/>
  <c r="C251" i="1"/>
  <c r="D251" i="1"/>
  <c r="E251" i="1"/>
  <c r="F251" i="1"/>
  <c r="B252" i="1"/>
  <c r="C252" i="1"/>
  <c r="D252" i="1"/>
  <c r="E252" i="1"/>
  <c r="F252" i="1"/>
  <c r="B253" i="1"/>
  <c r="C253" i="1"/>
  <c r="D253" i="1"/>
  <c r="E253" i="1"/>
  <c r="F253" i="1"/>
  <c r="B254" i="1"/>
  <c r="C254" i="1"/>
  <c r="D254" i="1"/>
  <c r="E254" i="1"/>
  <c r="F254" i="1"/>
  <c r="B255" i="1"/>
  <c r="C255" i="1"/>
  <c r="D255" i="1"/>
  <c r="E255" i="1"/>
  <c r="F255" i="1"/>
  <c r="B256" i="1"/>
  <c r="C256" i="1"/>
  <c r="D256" i="1"/>
  <c r="E256" i="1"/>
  <c r="F256" i="1"/>
  <c r="B257" i="1"/>
  <c r="C257" i="1"/>
  <c r="D257" i="1"/>
  <c r="E257" i="1"/>
  <c r="F257" i="1"/>
  <c r="B258" i="1"/>
  <c r="C258" i="1"/>
  <c r="D258" i="1"/>
  <c r="E258" i="1"/>
  <c r="F258" i="1"/>
  <c r="B259" i="1"/>
  <c r="C259" i="1"/>
  <c r="D259" i="1"/>
  <c r="E259" i="1"/>
  <c r="F259" i="1"/>
  <c r="B260" i="1"/>
  <c r="C260" i="1"/>
  <c r="D260" i="1"/>
  <c r="E260" i="1"/>
  <c r="F260" i="1"/>
  <c r="B261" i="1"/>
  <c r="C261" i="1"/>
  <c r="D261" i="1"/>
  <c r="E261" i="1"/>
  <c r="F261" i="1"/>
  <c r="B262" i="1"/>
  <c r="C262" i="1"/>
  <c r="D262" i="1"/>
  <c r="E262" i="1"/>
  <c r="F262" i="1"/>
  <c r="B263" i="1"/>
  <c r="C263" i="1"/>
  <c r="D263" i="1"/>
  <c r="E263" i="1"/>
  <c r="F263" i="1"/>
  <c r="B264" i="1"/>
  <c r="C264" i="1"/>
  <c r="D264" i="1"/>
  <c r="E264" i="1"/>
  <c r="F264" i="1"/>
  <c r="B265" i="1"/>
  <c r="C265" i="1"/>
  <c r="D265" i="1"/>
  <c r="E265" i="1"/>
  <c r="F265" i="1"/>
  <c r="B266" i="1"/>
  <c r="C266" i="1"/>
  <c r="D266" i="1"/>
  <c r="E266" i="1"/>
  <c r="F266" i="1"/>
  <c r="B267" i="1"/>
  <c r="C267" i="1"/>
  <c r="D267" i="1"/>
  <c r="E267" i="1"/>
  <c r="F267" i="1"/>
  <c r="B268" i="1"/>
  <c r="C268" i="1"/>
  <c r="D268" i="1"/>
  <c r="E268" i="1"/>
  <c r="F268" i="1"/>
  <c r="B269" i="1"/>
  <c r="C269" i="1"/>
  <c r="D269" i="1"/>
  <c r="E269" i="1"/>
  <c r="F269" i="1"/>
  <c r="B270" i="1"/>
  <c r="C270" i="1"/>
  <c r="D270" i="1"/>
  <c r="E270" i="1"/>
  <c r="F270" i="1"/>
  <c r="B271" i="1"/>
  <c r="C271" i="1"/>
  <c r="D271" i="1"/>
  <c r="E271" i="1"/>
  <c r="F271" i="1"/>
  <c r="B272" i="1"/>
  <c r="C272" i="1"/>
  <c r="D272" i="1"/>
  <c r="E272" i="1"/>
  <c r="F272" i="1"/>
  <c r="B273" i="1"/>
  <c r="C273" i="1"/>
  <c r="D273" i="1"/>
  <c r="E273" i="1"/>
  <c r="F273" i="1"/>
  <c r="B274" i="1"/>
  <c r="C274" i="1"/>
  <c r="D274" i="1"/>
  <c r="E274" i="1"/>
  <c r="F274" i="1"/>
  <c r="B275" i="1"/>
  <c r="C275" i="1"/>
  <c r="D275" i="1"/>
  <c r="E275" i="1"/>
  <c r="F275" i="1"/>
  <c r="B276" i="1"/>
  <c r="C276" i="1"/>
  <c r="D276" i="1"/>
  <c r="E276" i="1"/>
  <c r="F276" i="1"/>
  <c r="B277" i="1"/>
  <c r="C277" i="1"/>
  <c r="D277" i="1"/>
  <c r="E277" i="1"/>
  <c r="F277" i="1"/>
  <c r="B278" i="1"/>
  <c r="C278" i="1"/>
  <c r="D278" i="1"/>
  <c r="E278" i="1"/>
  <c r="F278" i="1"/>
  <c r="B279" i="1"/>
  <c r="C279" i="1"/>
  <c r="D279" i="1"/>
  <c r="E279" i="1"/>
  <c r="F279" i="1"/>
  <c r="B280" i="1"/>
  <c r="C280" i="1"/>
  <c r="D280" i="1"/>
  <c r="E280" i="1"/>
  <c r="F280" i="1"/>
  <c r="B281" i="1"/>
  <c r="C281" i="1"/>
  <c r="D281" i="1"/>
  <c r="E281" i="1"/>
  <c r="F281" i="1"/>
  <c r="B282" i="1"/>
  <c r="C282" i="1"/>
  <c r="D282" i="1"/>
  <c r="E282" i="1"/>
  <c r="F282" i="1"/>
  <c r="B283" i="1"/>
  <c r="C283" i="1"/>
  <c r="D283" i="1"/>
  <c r="E283" i="1"/>
  <c r="F283" i="1"/>
  <c r="B284" i="1"/>
  <c r="C284" i="1"/>
  <c r="D284" i="1"/>
  <c r="E284" i="1"/>
  <c r="F284" i="1"/>
  <c r="B285" i="1"/>
  <c r="C285" i="1"/>
  <c r="D285" i="1"/>
  <c r="E285" i="1"/>
  <c r="F285" i="1"/>
  <c r="B286" i="1"/>
  <c r="C286" i="1"/>
  <c r="D286" i="1"/>
  <c r="E286" i="1"/>
  <c r="F286" i="1"/>
  <c r="B287" i="1"/>
  <c r="C287" i="1"/>
  <c r="D287" i="1"/>
  <c r="E287" i="1"/>
  <c r="F287" i="1"/>
  <c r="B288" i="1"/>
  <c r="C288" i="1"/>
  <c r="D288" i="1"/>
  <c r="E288" i="1"/>
  <c r="F288" i="1"/>
  <c r="B289" i="1"/>
  <c r="C289" i="1"/>
  <c r="D289" i="1"/>
  <c r="E289" i="1"/>
  <c r="F289" i="1"/>
  <c r="B290" i="1"/>
  <c r="C290" i="1"/>
  <c r="D290" i="1"/>
  <c r="E290" i="1"/>
  <c r="F290" i="1"/>
  <c r="B291" i="1"/>
  <c r="C291" i="1"/>
  <c r="D291" i="1"/>
  <c r="E291" i="1"/>
  <c r="F291" i="1"/>
  <c r="B292" i="1"/>
  <c r="C292" i="1"/>
  <c r="D292" i="1"/>
  <c r="E292" i="1"/>
  <c r="F292" i="1"/>
  <c r="B293" i="1"/>
  <c r="C293" i="1"/>
  <c r="D293" i="1"/>
  <c r="E293" i="1"/>
  <c r="F293" i="1"/>
  <c r="B294" i="1"/>
  <c r="C294" i="1"/>
  <c r="D294" i="1"/>
  <c r="E294" i="1"/>
  <c r="F294" i="1"/>
  <c r="B295" i="1"/>
  <c r="C295" i="1"/>
  <c r="D295" i="1"/>
  <c r="E295" i="1"/>
  <c r="F295" i="1"/>
  <c r="B296" i="1"/>
  <c r="C296" i="1"/>
  <c r="D296" i="1"/>
  <c r="E296" i="1"/>
  <c r="F296" i="1"/>
  <c r="B297" i="1"/>
  <c r="C297" i="1"/>
  <c r="D297" i="1"/>
  <c r="E297" i="1"/>
  <c r="F297" i="1"/>
  <c r="B298" i="1"/>
  <c r="C298" i="1"/>
  <c r="D298" i="1"/>
  <c r="E298" i="1"/>
  <c r="F298" i="1"/>
  <c r="B299" i="1"/>
  <c r="C299" i="1"/>
  <c r="D299" i="1"/>
  <c r="E299" i="1"/>
  <c r="F299" i="1"/>
  <c r="B300" i="1"/>
  <c r="C300" i="1"/>
  <c r="D300" i="1"/>
  <c r="E300" i="1"/>
  <c r="F300" i="1"/>
  <c r="B301" i="1"/>
  <c r="C301" i="1"/>
  <c r="D301" i="1"/>
  <c r="E301" i="1"/>
  <c r="F301" i="1"/>
  <c r="B302" i="1"/>
  <c r="C302" i="1"/>
  <c r="D302" i="1"/>
  <c r="E302" i="1"/>
  <c r="F302" i="1"/>
  <c r="B303" i="1"/>
  <c r="C303" i="1"/>
  <c r="D303" i="1"/>
  <c r="E303" i="1"/>
  <c r="F303" i="1"/>
  <c r="B304" i="1"/>
  <c r="C304" i="1"/>
  <c r="D304" i="1"/>
  <c r="E304" i="1"/>
  <c r="F304" i="1"/>
  <c r="B305" i="1"/>
  <c r="C305" i="1"/>
  <c r="D305" i="1"/>
  <c r="E305" i="1"/>
  <c r="F305" i="1"/>
  <c r="B306" i="1"/>
  <c r="C306" i="1"/>
  <c r="D306" i="1"/>
  <c r="E306" i="1"/>
  <c r="F306" i="1"/>
  <c r="B307" i="1"/>
  <c r="C307" i="1"/>
  <c r="D307" i="1"/>
  <c r="E307" i="1"/>
  <c r="F307" i="1"/>
  <c r="B308" i="1"/>
  <c r="C308" i="1"/>
  <c r="D308" i="1"/>
  <c r="E308" i="1"/>
  <c r="F308" i="1"/>
  <c r="B309" i="1"/>
  <c r="C309" i="1"/>
  <c r="D309" i="1"/>
  <c r="E309" i="1"/>
  <c r="F309" i="1"/>
  <c r="B310" i="1"/>
  <c r="C310" i="1"/>
  <c r="D310" i="1"/>
  <c r="E310" i="1"/>
  <c r="F310" i="1"/>
  <c r="B311" i="1"/>
  <c r="C311" i="1"/>
  <c r="D311" i="1"/>
  <c r="E311" i="1"/>
  <c r="F311" i="1"/>
  <c r="B312" i="1"/>
  <c r="C312" i="1"/>
  <c r="D312" i="1"/>
  <c r="E312" i="1"/>
  <c r="F312" i="1"/>
  <c r="B313" i="1"/>
  <c r="C313" i="1"/>
  <c r="D313" i="1"/>
  <c r="E313" i="1"/>
  <c r="F313" i="1"/>
  <c r="B314" i="1"/>
  <c r="C314" i="1"/>
  <c r="D314" i="1"/>
  <c r="E314" i="1"/>
  <c r="F314" i="1"/>
  <c r="B315" i="1"/>
  <c r="C315" i="1"/>
  <c r="D315" i="1"/>
  <c r="E315" i="1"/>
  <c r="F315" i="1"/>
  <c r="B316" i="1"/>
  <c r="C316" i="1"/>
  <c r="D316" i="1"/>
  <c r="E316" i="1"/>
  <c r="F316" i="1"/>
  <c r="B317" i="1"/>
  <c r="C317" i="1"/>
  <c r="D317" i="1"/>
  <c r="E317" i="1"/>
  <c r="F317" i="1"/>
  <c r="B318" i="1"/>
  <c r="C318" i="1"/>
  <c r="D318" i="1"/>
  <c r="E318" i="1"/>
  <c r="F318" i="1"/>
  <c r="B319" i="1"/>
  <c r="C319" i="1"/>
  <c r="D319" i="1"/>
  <c r="E319" i="1"/>
  <c r="F319" i="1"/>
  <c r="B320" i="1"/>
  <c r="C320" i="1"/>
  <c r="D320" i="1"/>
  <c r="E320" i="1"/>
  <c r="F320" i="1"/>
  <c r="B321" i="1"/>
  <c r="C321" i="1"/>
  <c r="D321" i="1"/>
  <c r="E321" i="1"/>
  <c r="F321" i="1"/>
  <c r="B322" i="1"/>
  <c r="C322" i="1"/>
  <c r="D322" i="1"/>
  <c r="E322" i="1"/>
  <c r="F322" i="1"/>
  <c r="B323" i="1"/>
  <c r="C323" i="1"/>
  <c r="D323" i="1"/>
  <c r="E323" i="1"/>
  <c r="F323" i="1"/>
  <c r="B324" i="1"/>
  <c r="C324" i="1"/>
  <c r="D324" i="1"/>
  <c r="E324" i="1"/>
  <c r="F324" i="1"/>
  <c r="B325" i="1"/>
  <c r="C325" i="1"/>
  <c r="D325" i="1"/>
  <c r="E325" i="1"/>
  <c r="F325" i="1"/>
  <c r="B326" i="1"/>
  <c r="C326" i="1"/>
  <c r="D326" i="1"/>
  <c r="E326" i="1"/>
  <c r="F326" i="1"/>
  <c r="B327" i="1"/>
  <c r="C327" i="1"/>
  <c r="D327" i="1"/>
  <c r="E327" i="1"/>
  <c r="F327" i="1"/>
  <c r="B328" i="1"/>
  <c r="C328" i="1"/>
  <c r="D328" i="1"/>
  <c r="E328" i="1"/>
  <c r="F328" i="1"/>
  <c r="B329" i="1"/>
  <c r="C329" i="1"/>
  <c r="D329" i="1"/>
  <c r="E329" i="1"/>
  <c r="F329" i="1"/>
  <c r="B330" i="1"/>
  <c r="C330" i="1"/>
  <c r="D330" i="1"/>
  <c r="E330" i="1"/>
  <c r="F330" i="1"/>
  <c r="B331" i="1"/>
  <c r="C331" i="1"/>
  <c r="D331" i="1"/>
  <c r="E331" i="1"/>
  <c r="F331" i="1"/>
  <c r="B332" i="1"/>
  <c r="C332" i="1"/>
  <c r="D332" i="1"/>
  <c r="E332" i="1"/>
  <c r="F332" i="1"/>
  <c r="B333" i="1"/>
  <c r="C333" i="1"/>
  <c r="D333" i="1"/>
  <c r="E333" i="1"/>
  <c r="F333" i="1"/>
  <c r="B334" i="1"/>
  <c r="C334" i="1"/>
  <c r="D334" i="1"/>
  <c r="E334" i="1"/>
  <c r="F334" i="1"/>
  <c r="B335" i="1"/>
  <c r="C335" i="1"/>
  <c r="D335" i="1"/>
  <c r="E335" i="1"/>
  <c r="F335" i="1"/>
  <c r="B336" i="1"/>
  <c r="C336" i="1"/>
  <c r="D336" i="1"/>
  <c r="E336" i="1"/>
  <c r="F336" i="1"/>
  <c r="B337" i="1"/>
  <c r="C337" i="1"/>
  <c r="D337" i="1"/>
  <c r="E337" i="1"/>
  <c r="F337" i="1"/>
  <c r="B338" i="1"/>
  <c r="C338" i="1"/>
  <c r="D338" i="1"/>
  <c r="E338" i="1"/>
  <c r="F338" i="1"/>
  <c r="B339" i="1"/>
  <c r="C339" i="1"/>
  <c r="D339" i="1"/>
  <c r="E339" i="1"/>
  <c r="F339" i="1"/>
  <c r="B340" i="1"/>
  <c r="C340" i="1"/>
  <c r="D340" i="1"/>
  <c r="E340" i="1"/>
  <c r="F340" i="1"/>
  <c r="B341" i="1"/>
  <c r="C341" i="1"/>
  <c r="D341" i="1"/>
  <c r="E341" i="1"/>
  <c r="F341" i="1"/>
  <c r="B342" i="1"/>
  <c r="C342" i="1"/>
  <c r="D342" i="1"/>
  <c r="E342" i="1"/>
  <c r="F342" i="1"/>
  <c r="B343" i="1"/>
  <c r="C343" i="1"/>
  <c r="D343" i="1"/>
  <c r="E343" i="1"/>
  <c r="F343" i="1"/>
  <c r="B344" i="1"/>
  <c r="C344" i="1"/>
  <c r="D344" i="1"/>
  <c r="E344" i="1"/>
  <c r="F344" i="1"/>
  <c r="B345" i="1"/>
  <c r="C345" i="1"/>
  <c r="D345" i="1"/>
  <c r="E345" i="1"/>
  <c r="F345" i="1"/>
  <c r="B346" i="1"/>
  <c r="C346" i="1"/>
  <c r="D346" i="1"/>
  <c r="E346" i="1"/>
  <c r="F346" i="1"/>
  <c r="B347" i="1"/>
  <c r="C347" i="1"/>
  <c r="D347" i="1"/>
  <c r="E347" i="1"/>
  <c r="F347" i="1"/>
  <c r="B348" i="1"/>
  <c r="C348" i="1"/>
  <c r="D348" i="1"/>
  <c r="E348" i="1"/>
  <c r="F348" i="1"/>
  <c r="B349" i="1"/>
  <c r="C349" i="1"/>
  <c r="D349" i="1"/>
  <c r="E349" i="1"/>
  <c r="F349" i="1"/>
  <c r="B350" i="1"/>
  <c r="C350" i="1"/>
  <c r="D350" i="1"/>
  <c r="E350" i="1"/>
  <c r="F350" i="1"/>
  <c r="B351" i="1"/>
  <c r="C351" i="1"/>
  <c r="D351" i="1"/>
  <c r="E351" i="1"/>
  <c r="F351" i="1"/>
  <c r="B352" i="1"/>
  <c r="C352" i="1"/>
  <c r="D352" i="1"/>
  <c r="E352" i="1"/>
  <c r="F352" i="1"/>
  <c r="B353" i="1"/>
  <c r="C353" i="1"/>
  <c r="D353" i="1"/>
  <c r="E353" i="1"/>
  <c r="F353" i="1"/>
  <c r="B354" i="1"/>
  <c r="C354" i="1"/>
  <c r="D354" i="1"/>
  <c r="E354" i="1"/>
  <c r="F354" i="1"/>
  <c r="B355" i="1"/>
  <c r="C355" i="1"/>
  <c r="D355" i="1"/>
  <c r="E355" i="1"/>
  <c r="F355" i="1"/>
  <c r="B356" i="1"/>
  <c r="C356" i="1"/>
  <c r="D356" i="1"/>
  <c r="E356" i="1"/>
  <c r="F356" i="1"/>
  <c r="B357" i="1"/>
  <c r="C357" i="1"/>
  <c r="D357" i="1"/>
  <c r="E357" i="1"/>
  <c r="F357" i="1"/>
  <c r="B358" i="1"/>
  <c r="C358" i="1"/>
  <c r="D358" i="1"/>
  <c r="E358" i="1"/>
  <c r="F358" i="1"/>
  <c r="B359" i="1"/>
  <c r="C359" i="1"/>
  <c r="D359" i="1"/>
  <c r="E359" i="1"/>
  <c r="F359" i="1"/>
  <c r="B360" i="1"/>
  <c r="C360" i="1"/>
  <c r="D360" i="1"/>
  <c r="E360" i="1"/>
  <c r="F360" i="1"/>
  <c r="B361" i="1"/>
  <c r="C361" i="1"/>
  <c r="D361" i="1"/>
  <c r="E361" i="1"/>
  <c r="F361" i="1"/>
  <c r="B362" i="1"/>
  <c r="C362" i="1"/>
  <c r="D362" i="1"/>
  <c r="E362" i="1"/>
  <c r="F362" i="1"/>
  <c r="B363" i="1"/>
  <c r="C363" i="1"/>
  <c r="D363" i="1"/>
  <c r="E363" i="1"/>
  <c r="F363" i="1"/>
  <c r="B364" i="1"/>
  <c r="C364" i="1"/>
  <c r="D364" i="1"/>
  <c r="E364" i="1"/>
  <c r="F364" i="1"/>
  <c r="B365" i="1"/>
  <c r="C365" i="1"/>
  <c r="D365" i="1"/>
  <c r="E365" i="1"/>
  <c r="F365" i="1"/>
  <c r="B366" i="1"/>
  <c r="C366" i="1"/>
  <c r="D366" i="1"/>
  <c r="E366" i="1"/>
  <c r="F366" i="1"/>
  <c r="B367" i="1"/>
  <c r="C367" i="1"/>
  <c r="D367" i="1"/>
  <c r="E367" i="1"/>
  <c r="F367" i="1"/>
  <c r="B368" i="1"/>
  <c r="C368" i="1"/>
  <c r="D368" i="1"/>
  <c r="E368" i="1"/>
  <c r="F368" i="1"/>
  <c r="B369" i="1"/>
  <c r="C369" i="1"/>
  <c r="D369" i="1"/>
  <c r="E369" i="1"/>
  <c r="F369" i="1"/>
  <c r="B370" i="1"/>
  <c r="C370" i="1"/>
  <c r="D370" i="1"/>
  <c r="E370" i="1"/>
  <c r="F370" i="1"/>
  <c r="B371" i="1"/>
  <c r="C371" i="1"/>
  <c r="D371" i="1"/>
  <c r="E371" i="1"/>
  <c r="F371" i="1"/>
  <c r="B372" i="1"/>
  <c r="C372" i="1"/>
  <c r="D372" i="1"/>
  <c r="E372" i="1"/>
  <c r="F372" i="1"/>
  <c r="B373" i="1"/>
  <c r="C373" i="1"/>
  <c r="D373" i="1"/>
  <c r="E373" i="1"/>
  <c r="F373" i="1"/>
  <c r="B374" i="1"/>
  <c r="C374" i="1"/>
  <c r="D374" i="1"/>
  <c r="E374" i="1"/>
  <c r="F374" i="1"/>
  <c r="B375" i="1"/>
  <c r="C375" i="1"/>
  <c r="D375" i="1"/>
  <c r="E375" i="1"/>
  <c r="F375" i="1"/>
  <c r="B376" i="1"/>
  <c r="C376" i="1"/>
  <c r="D376" i="1"/>
  <c r="E376" i="1"/>
  <c r="F376" i="1"/>
  <c r="B377" i="1"/>
  <c r="C377" i="1"/>
  <c r="D377" i="1"/>
  <c r="E377" i="1"/>
  <c r="F377" i="1"/>
  <c r="B378" i="1"/>
  <c r="C378" i="1"/>
  <c r="D378" i="1"/>
  <c r="E378" i="1"/>
  <c r="F378" i="1"/>
  <c r="B379" i="1"/>
  <c r="C379" i="1"/>
  <c r="D379" i="1"/>
  <c r="E379" i="1"/>
  <c r="F379" i="1"/>
  <c r="B380" i="1"/>
  <c r="C380" i="1"/>
  <c r="D380" i="1"/>
  <c r="E380" i="1"/>
  <c r="F380" i="1"/>
  <c r="B381" i="1"/>
  <c r="C381" i="1"/>
  <c r="D381" i="1"/>
  <c r="E381" i="1"/>
  <c r="F381" i="1"/>
  <c r="B382" i="1"/>
  <c r="C382" i="1"/>
  <c r="D382" i="1"/>
  <c r="E382" i="1"/>
  <c r="F382" i="1"/>
  <c r="B383" i="1"/>
  <c r="C383" i="1"/>
  <c r="D383" i="1"/>
  <c r="E383" i="1"/>
  <c r="F383" i="1"/>
  <c r="B384" i="1"/>
  <c r="C384" i="1"/>
  <c r="D384" i="1"/>
  <c r="E384" i="1"/>
  <c r="F384" i="1"/>
  <c r="B385" i="1"/>
  <c r="C385" i="1"/>
  <c r="D385" i="1"/>
  <c r="E385" i="1"/>
  <c r="F385" i="1"/>
  <c r="B386" i="1"/>
  <c r="C386" i="1"/>
  <c r="D386" i="1"/>
  <c r="E386" i="1"/>
  <c r="F386" i="1"/>
  <c r="B387" i="1"/>
  <c r="C387" i="1"/>
  <c r="D387" i="1"/>
  <c r="E387" i="1"/>
  <c r="F387" i="1"/>
  <c r="B388" i="1"/>
  <c r="C388" i="1"/>
  <c r="D388" i="1"/>
  <c r="E388" i="1"/>
  <c r="F388" i="1"/>
  <c r="B389" i="1"/>
  <c r="C389" i="1"/>
  <c r="D389" i="1"/>
  <c r="E389" i="1"/>
  <c r="F389" i="1"/>
  <c r="B390" i="1"/>
  <c r="C390" i="1"/>
  <c r="D390" i="1"/>
  <c r="E390" i="1"/>
  <c r="F390" i="1"/>
  <c r="B391" i="1"/>
  <c r="C391" i="1"/>
  <c r="D391" i="1"/>
  <c r="E391" i="1"/>
  <c r="F391" i="1"/>
  <c r="B392" i="1"/>
  <c r="C392" i="1"/>
  <c r="D392" i="1"/>
  <c r="E392" i="1"/>
  <c r="F392" i="1"/>
  <c r="B393" i="1"/>
  <c r="C393" i="1"/>
  <c r="D393" i="1"/>
  <c r="E393" i="1"/>
  <c r="F393" i="1"/>
  <c r="B394" i="1"/>
  <c r="C394" i="1"/>
  <c r="D394" i="1"/>
  <c r="E394" i="1"/>
  <c r="F394" i="1"/>
  <c r="B395" i="1"/>
  <c r="C395" i="1"/>
  <c r="D395" i="1"/>
  <c r="E395" i="1"/>
  <c r="F395" i="1"/>
  <c r="B396" i="1"/>
  <c r="C396" i="1"/>
  <c r="D396" i="1"/>
  <c r="E396" i="1"/>
  <c r="F396" i="1"/>
  <c r="B397" i="1"/>
  <c r="C397" i="1"/>
  <c r="D397" i="1"/>
  <c r="E397" i="1"/>
  <c r="F397" i="1"/>
  <c r="B398" i="1"/>
  <c r="C398" i="1"/>
  <c r="D398" i="1"/>
  <c r="E398" i="1"/>
  <c r="F398" i="1"/>
  <c r="B399" i="1"/>
  <c r="C399" i="1"/>
  <c r="D399" i="1"/>
  <c r="E399" i="1"/>
  <c r="F399" i="1"/>
  <c r="B400" i="1"/>
  <c r="C400" i="1"/>
  <c r="D400" i="1"/>
  <c r="E400" i="1"/>
  <c r="F400" i="1"/>
  <c r="B401" i="1"/>
  <c r="C401" i="1"/>
  <c r="D401" i="1"/>
  <c r="E401" i="1"/>
  <c r="F401" i="1"/>
  <c r="B402" i="1"/>
  <c r="C402" i="1"/>
  <c r="D402" i="1"/>
  <c r="E402" i="1"/>
  <c r="F402" i="1"/>
  <c r="B403" i="1"/>
  <c r="C403" i="1"/>
  <c r="D403" i="1"/>
  <c r="E403" i="1"/>
  <c r="F403" i="1"/>
  <c r="B404" i="1"/>
  <c r="C404" i="1"/>
  <c r="D404" i="1"/>
  <c r="E404" i="1"/>
  <c r="F404" i="1"/>
  <c r="B405" i="1"/>
  <c r="C405" i="1"/>
  <c r="D405" i="1"/>
  <c r="E405" i="1"/>
  <c r="F405" i="1"/>
  <c r="B406" i="1"/>
  <c r="C406" i="1"/>
  <c r="D406" i="1"/>
  <c r="E406" i="1"/>
  <c r="F406" i="1"/>
  <c r="B407" i="1"/>
  <c r="C407" i="1"/>
  <c r="D407" i="1"/>
  <c r="E407" i="1"/>
  <c r="F407" i="1"/>
  <c r="B408" i="1"/>
  <c r="C408" i="1"/>
  <c r="D408" i="1"/>
  <c r="E408" i="1"/>
  <c r="F408" i="1"/>
  <c r="B409" i="1"/>
  <c r="C409" i="1"/>
  <c r="D409" i="1"/>
  <c r="E409" i="1"/>
  <c r="F409" i="1"/>
  <c r="B410" i="1"/>
  <c r="C410" i="1"/>
  <c r="D410" i="1"/>
  <c r="E410" i="1"/>
  <c r="F410" i="1"/>
  <c r="B411" i="1"/>
  <c r="C411" i="1"/>
  <c r="D411" i="1"/>
  <c r="E411" i="1"/>
  <c r="F411" i="1"/>
  <c r="B412" i="1"/>
  <c r="C412" i="1"/>
  <c r="D412" i="1"/>
  <c r="E412" i="1"/>
  <c r="F412" i="1"/>
  <c r="B413" i="1"/>
  <c r="C413" i="1"/>
  <c r="D413" i="1"/>
  <c r="E413" i="1"/>
  <c r="F413" i="1"/>
  <c r="B414" i="1"/>
  <c r="C414" i="1"/>
  <c r="D414" i="1"/>
  <c r="E414" i="1"/>
  <c r="F414" i="1"/>
  <c r="B415" i="1"/>
  <c r="C415" i="1"/>
  <c r="D415" i="1"/>
  <c r="E415" i="1"/>
  <c r="F415" i="1"/>
  <c r="B416" i="1"/>
  <c r="C416" i="1"/>
  <c r="D416" i="1"/>
  <c r="E416" i="1"/>
  <c r="F416" i="1"/>
  <c r="B417" i="1"/>
  <c r="C417" i="1"/>
  <c r="D417" i="1"/>
  <c r="E417" i="1"/>
  <c r="F417" i="1"/>
  <c r="B418" i="1"/>
  <c r="C418" i="1"/>
  <c r="D418" i="1"/>
  <c r="E418" i="1"/>
  <c r="F418" i="1"/>
  <c r="B419" i="1"/>
  <c r="C419" i="1"/>
  <c r="D419" i="1"/>
  <c r="E419" i="1"/>
  <c r="F419" i="1"/>
  <c r="B420" i="1"/>
  <c r="C420" i="1"/>
  <c r="D420" i="1"/>
  <c r="E420" i="1"/>
  <c r="F420" i="1"/>
  <c r="B421" i="1"/>
  <c r="C421" i="1"/>
  <c r="D421" i="1"/>
  <c r="E421" i="1"/>
  <c r="F421" i="1"/>
  <c r="B422" i="1"/>
  <c r="C422" i="1"/>
  <c r="D422" i="1"/>
  <c r="E422" i="1"/>
  <c r="F422" i="1"/>
  <c r="B423" i="1"/>
  <c r="C423" i="1"/>
  <c r="D423" i="1"/>
  <c r="E423" i="1"/>
  <c r="F423" i="1"/>
  <c r="B424" i="1"/>
  <c r="C424" i="1"/>
  <c r="D424" i="1"/>
  <c r="E424" i="1"/>
  <c r="F424" i="1"/>
  <c r="B425" i="1"/>
  <c r="C425" i="1"/>
  <c r="D425" i="1"/>
  <c r="E425" i="1"/>
  <c r="F425" i="1"/>
  <c r="B426" i="1"/>
  <c r="C426" i="1"/>
  <c r="D426" i="1"/>
  <c r="E426" i="1"/>
  <c r="F426" i="1"/>
  <c r="B427" i="1"/>
  <c r="C427" i="1"/>
  <c r="D427" i="1"/>
  <c r="E427" i="1"/>
  <c r="F427" i="1"/>
  <c r="B428" i="1"/>
  <c r="C428" i="1"/>
  <c r="D428" i="1"/>
  <c r="E428" i="1"/>
  <c r="F428" i="1"/>
  <c r="B429" i="1"/>
  <c r="C429" i="1"/>
  <c r="D429" i="1"/>
  <c r="E429" i="1"/>
  <c r="F429" i="1"/>
  <c r="B430" i="1"/>
  <c r="C430" i="1"/>
  <c r="D430" i="1"/>
  <c r="E430" i="1"/>
  <c r="F430" i="1"/>
  <c r="B431" i="1"/>
  <c r="C431" i="1"/>
  <c r="D431" i="1"/>
  <c r="E431" i="1"/>
  <c r="F431" i="1"/>
  <c r="B432" i="1"/>
  <c r="C432" i="1"/>
  <c r="D432" i="1"/>
  <c r="E432" i="1"/>
  <c r="F432" i="1"/>
  <c r="B433" i="1"/>
  <c r="C433" i="1"/>
  <c r="D433" i="1"/>
  <c r="E433" i="1"/>
  <c r="F433" i="1"/>
  <c r="B434" i="1"/>
  <c r="C434" i="1"/>
  <c r="D434" i="1"/>
  <c r="E434" i="1"/>
  <c r="F434" i="1"/>
  <c r="B435" i="1"/>
  <c r="C435" i="1"/>
  <c r="D435" i="1"/>
  <c r="E435" i="1"/>
  <c r="F435" i="1"/>
  <c r="B436" i="1"/>
  <c r="C436" i="1"/>
  <c r="D436" i="1"/>
  <c r="E436" i="1"/>
  <c r="F436" i="1"/>
  <c r="B437" i="1"/>
  <c r="C437" i="1"/>
  <c r="D437" i="1"/>
  <c r="E437" i="1"/>
  <c r="F437" i="1"/>
  <c r="B438" i="1"/>
  <c r="C438" i="1"/>
  <c r="D438" i="1"/>
  <c r="E438" i="1"/>
  <c r="F438" i="1"/>
  <c r="B439" i="1"/>
  <c r="C439" i="1"/>
  <c r="D439" i="1"/>
  <c r="E439" i="1"/>
  <c r="F439" i="1"/>
  <c r="B440" i="1"/>
  <c r="C440" i="1"/>
  <c r="D440" i="1"/>
  <c r="E440" i="1"/>
  <c r="F440" i="1"/>
  <c r="B441" i="1"/>
  <c r="C441" i="1"/>
  <c r="D441" i="1"/>
  <c r="E441" i="1"/>
  <c r="F441" i="1"/>
  <c r="B442" i="1"/>
  <c r="C442" i="1"/>
  <c r="D442" i="1"/>
  <c r="E442" i="1"/>
  <c r="F442" i="1"/>
  <c r="B443" i="1"/>
  <c r="C443" i="1"/>
  <c r="D443" i="1"/>
  <c r="E443" i="1"/>
  <c r="F443" i="1"/>
  <c r="B444" i="1"/>
  <c r="C444" i="1"/>
  <c r="D444" i="1"/>
  <c r="E444" i="1"/>
  <c r="F444" i="1"/>
  <c r="B445" i="1"/>
  <c r="C445" i="1"/>
  <c r="D445" i="1"/>
  <c r="E445" i="1"/>
  <c r="F445" i="1"/>
  <c r="B446" i="1"/>
  <c r="C446" i="1"/>
  <c r="D446" i="1"/>
  <c r="E446" i="1"/>
  <c r="F446" i="1"/>
  <c r="B447" i="1"/>
  <c r="C447" i="1"/>
  <c r="D447" i="1"/>
  <c r="E447" i="1"/>
  <c r="F447" i="1"/>
  <c r="B448" i="1"/>
  <c r="C448" i="1"/>
  <c r="D448" i="1"/>
  <c r="E448" i="1"/>
  <c r="F448" i="1"/>
  <c r="B449" i="1"/>
  <c r="C449" i="1"/>
  <c r="D449" i="1"/>
  <c r="E449" i="1"/>
  <c r="F449" i="1"/>
  <c r="B450" i="1"/>
  <c r="C450" i="1"/>
  <c r="D450" i="1"/>
  <c r="E450" i="1"/>
  <c r="F450" i="1"/>
  <c r="B451" i="1"/>
  <c r="C451" i="1"/>
  <c r="D451" i="1"/>
  <c r="E451" i="1"/>
  <c r="F451" i="1"/>
  <c r="B452" i="1"/>
  <c r="C452" i="1"/>
  <c r="D452" i="1"/>
  <c r="E452" i="1"/>
  <c r="F452" i="1"/>
  <c r="B453" i="1"/>
  <c r="C453" i="1"/>
  <c r="D453" i="1"/>
  <c r="E453" i="1"/>
  <c r="F453" i="1"/>
  <c r="B454" i="1"/>
  <c r="C454" i="1"/>
  <c r="D454" i="1"/>
  <c r="E454" i="1"/>
  <c r="F454" i="1"/>
  <c r="B455" i="1"/>
  <c r="C455" i="1"/>
  <c r="D455" i="1"/>
  <c r="E455" i="1"/>
  <c r="F455" i="1"/>
  <c r="B456" i="1"/>
  <c r="C456" i="1"/>
  <c r="D456" i="1"/>
  <c r="E456" i="1"/>
  <c r="F456" i="1"/>
  <c r="B457" i="1"/>
  <c r="C457" i="1"/>
  <c r="D457" i="1"/>
  <c r="E457" i="1"/>
  <c r="F457" i="1"/>
  <c r="B458" i="1"/>
  <c r="C458" i="1"/>
  <c r="D458" i="1"/>
  <c r="E458" i="1"/>
  <c r="F458" i="1"/>
  <c r="B459" i="1"/>
  <c r="C459" i="1"/>
  <c r="D459" i="1"/>
  <c r="E459" i="1"/>
  <c r="F459" i="1"/>
  <c r="B460" i="1"/>
  <c r="C460" i="1"/>
  <c r="D460" i="1"/>
  <c r="E460" i="1"/>
  <c r="F460" i="1"/>
  <c r="B461" i="1"/>
  <c r="C461" i="1"/>
  <c r="D461" i="1"/>
  <c r="E461" i="1"/>
  <c r="F461" i="1"/>
  <c r="B462" i="1"/>
  <c r="C462" i="1"/>
  <c r="D462" i="1"/>
  <c r="E462" i="1"/>
  <c r="F462" i="1"/>
  <c r="B463" i="1"/>
  <c r="C463" i="1"/>
  <c r="D463" i="1"/>
  <c r="E463" i="1"/>
  <c r="F463" i="1"/>
  <c r="B464" i="1"/>
  <c r="C464" i="1"/>
  <c r="D464" i="1"/>
  <c r="E464" i="1"/>
  <c r="F464" i="1"/>
  <c r="B465" i="1"/>
  <c r="C465" i="1"/>
  <c r="D465" i="1"/>
  <c r="E465" i="1"/>
  <c r="F465" i="1"/>
  <c r="B466" i="1"/>
  <c r="C466" i="1"/>
  <c r="D466" i="1"/>
  <c r="E466" i="1"/>
  <c r="F466" i="1"/>
  <c r="B467" i="1"/>
  <c r="C467" i="1"/>
  <c r="D467" i="1"/>
  <c r="E467" i="1"/>
  <c r="F467" i="1"/>
  <c r="B468" i="1"/>
  <c r="C468" i="1"/>
  <c r="D468" i="1"/>
  <c r="E468" i="1"/>
  <c r="F468" i="1"/>
  <c r="B469" i="1"/>
  <c r="C469" i="1"/>
  <c r="D469" i="1"/>
  <c r="E469" i="1"/>
  <c r="F469" i="1"/>
  <c r="B470" i="1"/>
  <c r="C470" i="1"/>
  <c r="D470" i="1"/>
  <c r="E470" i="1"/>
  <c r="F470" i="1"/>
  <c r="B4" i="5"/>
  <c r="B3" i="5"/>
  <c r="C3" i="5"/>
  <c r="C4" i="5"/>
  <c r="D3" i="5"/>
  <c r="D4" i="5"/>
  <c r="E4" i="5"/>
  <c r="F4" i="5"/>
  <c r="B5" i="5"/>
  <c r="C5" i="5"/>
  <c r="D5" i="5"/>
  <c r="E5" i="5"/>
  <c r="F5" i="5"/>
  <c r="B6" i="5"/>
  <c r="C6" i="5"/>
  <c r="D6" i="5"/>
  <c r="E6" i="5"/>
  <c r="F6" i="5"/>
  <c r="B7" i="5"/>
  <c r="C7" i="5"/>
  <c r="D7" i="5"/>
  <c r="E7" i="5"/>
  <c r="F7" i="5"/>
  <c r="B8" i="5"/>
  <c r="C8" i="5"/>
  <c r="D8" i="5"/>
  <c r="E8" i="5"/>
  <c r="F8" i="5"/>
  <c r="B9" i="5"/>
  <c r="C9" i="5"/>
  <c r="D9" i="5"/>
  <c r="E9" i="5"/>
  <c r="F9" i="5"/>
  <c r="B10" i="5"/>
  <c r="C10" i="5"/>
  <c r="D10" i="5"/>
  <c r="E10" i="5"/>
  <c r="F10" i="5"/>
  <c r="B11" i="5"/>
  <c r="C11" i="5"/>
  <c r="D11" i="5"/>
  <c r="E11" i="5"/>
  <c r="F11" i="5"/>
  <c r="B12" i="5"/>
  <c r="C12" i="5"/>
  <c r="D12" i="5"/>
  <c r="E12" i="5"/>
  <c r="F12" i="5"/>
  <c r="B13" i="5"/>
  <c r="C13" i="5"/>
  <c r="D13" i="5"/>
  <c r="E13" i="5"/>
  <c r="F13" i="5"/>
  <c r="B14" i="5"/>
  <c r="C14" i="5"/>
  <c r="D14" i="5"/>
  <c r="E14" i="5"/>
  <c r="F14" i="5"/>
  <c r="B15" i="5"/>
  <c r="C15" i="5"/>
  <c r="D15" i="5"/>
  <c r="E15" i="5"/>
  <c r="F15" i="5"/>
  <c r="B16" i="5"/>
  <c r="C16" i="5"/>
  <c r="D16" i="5"/>
  <c r="E16" i="5"/>
  <c r="F16" i="5"/>
  <c r="B17" i="5"/>
  <c r="C17" i="5"/>
  <c r="D17" i="5"/>
  <c r="E17" i="5"/>
  <c r="F17" i="5"/>
  <c r="B18" i="5"/>
  <c r="C18" i="5"/>
  <c r="D18" i="5"/>
  <c r="E18" i="5"/>
  <c r="F18" i="5"/>
  <c r="B19" i="5"/>
  <c r="C19" i="5"/>
  <c r="D19" i="5"/>
  <c r="E19" i="5"/>
  <c r="F19" i="5"/>
  <c r="B20" i="5"/>
  <c r="C20" i="5"/>
  <c r="D20" i="5"/>
  <c r="E20" i="5"/>
  <c r="F20" i="5"/>
  <c r="B21" i="5"/>
  <c r="C21" i="5"/>
  <c r="D21" i="5"/>
  <c r="E21" i="5"/>
  <c r="F21" i="5"/>
  <c r="B22" i="5"/>
  <c r="C22" i="5"/>
  <c r="D22" i="5"/>
  <c r="E22" i="5"/>
  <c r="F22" i="5"/>
  <c r="B23" i="5"/>
  <c r="C23" i="5"/>
  <c r="D23" i="5"/>
  <c r="E23" i="5"/>
  <c r="F23" i="5"/>
  <c r="B24" i="5"/>
  <c r="C24" i="5"/>
  <c r="D24" i="5"/>
  <c r="E24" i="5"/>
  <c r="F24" i="5"/>
  <c r="B25" i="5"/>
  <c r="C25" i="5"/>
  <c r="D25" i="5"/>
  <c r="E25" i="5"/>
  <c r="F25" i="5"/>
  <c r="B26" i="5"/>
  <c r="C26" i="5"/>
  <c r="D26" i="5"/>
  <c r="E26" i="5"/>
  <c r="F26" i="5"/>
  <c r="B27" i="5"/>
  <c r="C27" i="5"/>
  <c r="D27" i="5"/>
  <c r="E27" i="5"/>
  <c r="F27" i="5"/>
  <c r="B28" i="5"/>
  <c r="C28" i="5"/>
  <c r="D28" i="5"/>
  <c r="E28" i="5"/>
  <c r="F28" i="5"/>
  <c r="B29" i="5"/>
  <c r="C29" i="5"/>
  <c r="D29" i="5"/>
  <c r="E29" i="5"/>
  <c r="F29" i="5"/>
  <c r="B30" i="5"/>
  <c r="C30" i="5"/>
  <c r="D30" i="5"/>
  <c r="E30" i="5"/>
  <c r="F30" i="5"/>
  <c r="B31" i="5"/>
  <c r="C31" i="5"/>
  <c r="D31" i="5"/>
  <c r="E31" i="5"/>
  <c r="F31" i="5"/>
  <c r="B32" i="5"/>
  <c r="C32" i="5"/>
  <c r="D32" i="5"/>
  <c r="E32" i="5"/>
  <c r="F32" i="5"/>
  <c r="B33" i="5"/>
  <c r="C33" i="5"/>
  <c r="D33" i="5"/>
  <c r="E33" i="5"/>
  <c r="F33" i="5"/>
  <c r="B34" i="5"/>
  <c r="C34" i="5"/>
  <c r="D34" i="5"/>
  <c r="E34" i="5"/>
  <c r="F34" i="5"/>
  <c r="B35" i="5"/>
  <c r="C35" i="5"/>
  <c r="D35" i="5"/>
  <c r="E35" i="5"/>
  <c r="F35" i="5"/>
  <c r="B36" i="5"/>
  <c r="C36" i="5"/>
  <c r="D36" i="5"/>
  <c r="E36" i="5"/>
  <c r="F36" i="5"/>
  <c r="B37" i="5"/>
  <c r="C37" i="5"/>
  <c r="D37" i="5"/>
  <c r="E37" i="5"/>
  <c r="F37" i="5"/>
  <c r="B38" i="5"/>
  <c r="C38" i="5"/>
  <c r="D38" i="5"/>
  <c r="E38" i="5"/>
  <c r="F38" i="5"/>
  <c r="B39" i="5"/>
  <c r="C39" i="5"/>
  <c r="D39" i="5"/>
  <c r="E39" i="5"/>
  <c r="F39" i="5"/>
  <c r="B40" i="5"/>
  <c r="C40" i="5"/>
  <c r="D40" i="5"/>
  <c r="E40" i="5"/>
  <c r="F40" i="5"/>
  <c r="B41" i="5"/>
  <c r="C41" i="5"/>
  <c r="D41" i="5"/>
  <c r="E41" i="5"/>
  <c r="F41" i="5"/>
  <c r="B42" i="5"/>
  <c r="C42" i="5"/>
  <c r="D42" i="5"/>
  <c r="E42" i="5"/>
  <c r="F42" i="5"/>
  <c r="B43" i="5"/>
  <c r="C43" i="5"/>
  <c r="D43" i="5"/>
  <c r="E43" i="5"/>
  <c r="F43" i="5"/>
  <c r="B44" i="5"/>
  <c r="C44" i="5"/>
  <c r="D44" i="5"/>
  <c r="E44" i="5"/>
  <c r="F44" i="5"/>
  <c r="B45" i="5"/>
  <c r="C45" i="5"/>
  <c r="D45" i="5"/>
  <c r="E45" i="5"/>
  <c r="F45" i="5"/>
  <c r="B46" i="5"/>
  <c r="C46" i="5"/>
  <c r="D46" i="5"/>
  <c r="E46" i="5"/>
  <c r="F46" i="5"/>
  <c r="B47" i="5"/>
  <c r="C47" i="5"/>
  <c r="D47" i="5"/>
  <c r="E47" i="5"/>
  <c r="F47" i="5"/>
  <c r="B48" i="5"/>
  <c r="C48" i="5"/>
  <c r="D48" i="5"/>
  <c r="E48" i="5"/>
  <c r="F48" i="5"/>
  <c r="B49" i="5"/>
  <c r="C49" i="5"/>
  <c r="D49" i="5"/>
  <c r="E49" i="5"/>
  <c r="F49" i="5"/>
  <c r="B50" i="5"/>
  <c r="C50" i="5"/>
  <c r="D50" i="5"/>
  <c r="E50" i="5"/>
  <c r="F50" i="5"/>
  <c r="B51" i="5"/>
  <c r="C51" i="5"/>
  <c r="D51" i="5"/>
  <c r="E51" i="5"/>
  <c r="F51" i="5"/>
  <c r="B52" i="5"/>
  <c r="C52" i="5"/>
  <c r="D52" i="5"/>
  <c r="E52" i="5"/>
  <c r="F52" i="5"/>
  <c r="B53" i="5"/>
  <c r="C53" i="5"/>
  <c r="D53" i="5"/>
  <c r="E53" i="5"/>
  <c r="F53" i="5"/>
  <c r="B54" i="5"/>
  <c r="C54" i="5"/>
  <c r="D54" i="5"/>
  <c r="E54" i="5"/>
  <c r="F54" i="5"/>
  <c r="B55" i="5"/>
  <c r="C55" i="5"/>
  <c r="D55" i="5"/>
  <c r="E55" i="5"/>
  <c r="F55" i="5"/>
  <c r="B56" i="5"/>
  <c r="C56" i="5"/>
  <c r="D56" i="5"/>
  <c r="E56" i="5"/>
  <c r="F56" i="5"/>
  <c r="B57" i="5"/>
  <c r="C57" i="5"/>
  <c r="D57" i="5"/>
  <c r="E57" i="5"/>
  <c r="F57" i="5"/>
  <c r="B58" i="5"/>
  <c r="C58" i="5"/>
  <c r="D58" i="5"/>
  <c r="E58" i="5"/>
  <c r="F58" i="5"/>
  <c r="B59" i="5"/>
  <c r="C59" i="5"/>
  <c r="D59" i="5"/>
  <c r="E59" i="5"/>
  <c r="F59" i="5"/>
  <c r="B60" i="5"/>
  <c r="C60" i="5"/>
  <c r="D60" i="5"/>
  <c r="E60" i="5"/>
  <c r="F60" i="5"/>
  <c r="B61" i="5"/>
  <c r="C61" i="5"/>
  <c r="D61" i="5"/>
  <c r="E61" i="5"/>
  <c r="F61" i="5"/>
  <c r="B62" i="5"/>
  <c r="C62" i="5"/>
  <c r="D62" i="5"/>
  <c r="E62" i="5"/>
  <c r="F62" i="5"/>
  <c r="B63" i="5"/>
  <c r="C63" i="5"/>
  <c r="D63" i="5"/>
  <c r="E63" i="5"/>
  <c r="F63" i="5"/>
  <c r="B64" i="5"/>
  <c r="C64" i="5"/>
  <c r="D64" i="5"/>
  <c r="E64" i="5"/>
  <c r="F64" i="5"/>
  <c r="B65" i="5"/>
  <c r="C65" i="5"/>
  <c r="D65" i="5"/>
  <c r="E65" i="5"/>
  <c r="F65" i="5"/>
  <c r="B66" i="5"/>
  <c r="C66" i="5"/>
  <c r="D66" i="5"/>
  <c r="E66" i="5"/>
  <c r="F66" i="5"/>
  <c r="B67" i="5"/>
  <c r="C67" i="5"/>
  <c r="D67" i="5"/>
  <c r="E67" i="5"/>
  <c r="F67" i="5"/>
  <c r="B68" i="5"/>
  <c r="C68" i="5"/>
  <c r="D68" i="5"/>
  <c r="E68" i="5"/>
  <c r="F68" i="5"/>
  <c r="B69" i="5"/>
  <c r="C69" i="5"/>
  <c r="D69" i="5"/>
  <c r="E69" i="5"/>
  <c r="F69" i="5"/>
  <c r="B70" i="5"/>
  <c r="C70" i="5"/>
  <c r="D70" i="5"/>
  <c r="E70" i="5"/>
  <c r="F70" i="5"/>
  <c r="B71" i="5"/>
  <c r="C71" i="5"/>
  <c r="D71" i="5"/>
  <c r="E71" i="5"/>
  <c r="F71" i="5"/>
  <c r="B72" i="5"/>
  <c r="C72" i="5"/>
  <c r="D72" i="5"/>
  <c r="E72" i="5"/>
  <c r="F72" i="5"/>
  <c r="B73" i="5"/>
  <c r="C73" i="5"/>
  <c r="D73" i="5"/>
  <c r="E73" i="5"/>
  <c r="F73" i="5"/>
  <c r="B74" i="5"/>
  <c r="C74" i="5"/>
  <c r="D74" i="5"/>
  <c r="E74" i="5"/>
  <c r="F74" i="5"/>
  <c r="B75" i="5"/>
  <c r="C75" i="5"/>
  <c r="D75" i="5"/>
  <c r="E75" i="5"/>
  <c r="F75" i="5"/>
  <c r="B76" i="5"/>
  <c r="C76" i="5"/>
  <c r="D76" i="5"/>
  <c r="E76" i="5"/>
  <c r="F76" i="5"/>
  <c r="B77" i="5"/>
  <c r="C77" i="5"/>
  <c r="D77" i="5"/>
  <c r="E77" i="5"/>
  <c r="F77" i="5"/>
  <c r="B78" i="5"/>
  <c r="C78" i="5"/>
  <c r="D78" i="5"/>
  <c r="E78" i="5"/>
  <c r="F78" i="5"/>
  <c r="B79" i="5"/>
  <c r="C79" i="5"/>
  <c r="D79" i="5"/>
  <c r="E79" i="5"/>
  <c r="F79" i="5"/>
  <c r="B80" i="5"/>
  <c r="C80" i="5"/>
  <c r="D80" i="5"/>
  <c r="E80" i="5"/>
  <c r="F80" i="5"/>
  <c r="B81" i="5"/>
  <c r="C81" i="5"/>
  <c r="D81" i="5"/>
  <c r="E81" i="5"/>
  <c r="F81" i="5"/>
  <c r="B82" i="5"/>
  <c r="C82" i="5"/>
  <c r="D82" i="5"/>
  <c r="E82" i="5"/>
  <c r="F82" i="5"/>
  <c r="B83" i="5"/>
  <c r="C83" i="5"/>
  <c r="D83" i="5"/>
  <c r="E83" i="5"/>
  <c r="F83" i="5"/>
  <c r="B84" i="5"/>
  <c r="C84" i="5"/>
  <c r="D84" i="5"/>
  <c r="E84" i="5"/>
  <c r="F84" i="5"/>
  <c r="B85" i="5"/>
  <c r="C85" i="5"/>
  <c r="D85" i="5"/>
  <c r="E85" i="5"/>
  <c r="F85" i="5"/>
  <c r="B86" i="5"/>
  <c r="C86" i="5"/>
  <c r="D86" i="5"/>
  <c r="E86" i="5"/>
  <c r="F86" i="5"/>
  <c r="B87" i="5"/>
  <c r="C87" i="5"/>
  <c r="D87" i="5"/>
  <c r="E87" i="5"/>
  <c r="F87" i="5"/>
  <c r="B88" i="5"/>
  <c r="C88" i="5"/>
  <c r="D88" i="5"/>
  <c r="E88" i="5"/>
  <c r="F88" i="5"/>
  <c r="B89" i="5"/>
  <c r="C89" i="5"/>
  <c r="D89" i="5"/>
  <c r="E89" i="5"/>
  <c r="F89" i="5"/>
  <c r="B90" i="5"/>
  <c r="C90" i="5"/>
  <c r="D90" i="5"/>
  <c r="E90" i="5"/>
  <c r="F90" i="5"/>
  <c r="B91" i="5"/>
  <c r="C91" i="5"/>
  <c r="D91" i="5"/>
  <c r="E91" i="5"/>
  <c r="F91" i="5"/>
  <c r="B92" i="5"/>
  <c r="C92" i="5"/>
  <c r="D92" i="5"/>
  <c r="E92" i="5"/>
  <c r="F92" i="5"/>
  <c r="B93" i="5"/>
  <c r="C93" i="5"/>
  <c r="D93" i="5"/>
  <c r="E93" i="5"/>
  <c r="F93" i="5"/>
  <c r="B94" i="5"/>
  <c r="C94" i="5"/>
  <c r="D94" i="5"/>
  <c r="E94" i="5"/>
  <c r="F94" i="5"/>
  <c r="B95" i="5"/>
  <c r="C95" i="5"/>
  <c r="D95" i="5"/>
  <c r="E95" i="5"/>
  <c r="F95" i="5"/>
  <c r="B96" i="5"/>
  <c r="C96" i="5"/>
  <c r="D96" i="5"/>
  <c r="E96" i="5"/>
  <c r="F96" i="5"/>
  <c r="B97" i="5"/>
  <c r="C97" i="5"/>
  <c r="D97" i="5"/>
  <c r="E97" i="5"/>
  <c r="F97" i="5"/>
  <c r="B98" i="5"/>
  <c r="C98" i="5"/>
  <c r="D98" i="5"/>
  <c r="E98" i="5"/>
  <c r="F98" i="5"/>
  <c r="B99" i="5"/>
  <c r="C99" i="5"/>
  <c r="D99" i="5"/>
  <c r="E99" i="5"/>
  <c r="F99" i="5"/>
  <c r="B100" i="5"/>
  <c r="C100" i="5"/>
  <c r="D100" i="5"/>
  <c r="E100" i="5"/>
  <c r="F100" i="5"/>
  <c r="B101" i="5"/>
  <c r="C101" i="5"/>
  <c r="D101" i="5"/>
  <c r="E101" i="5"/>
  <c r="F101" i="5"/>
  <c r="B102" i="5"/>
  <c r="C102" i="5"/>
  <c r="D102" i="5"/>
  <c r="E102" i="5"/>
  <c r="F102" i="5"/>
  <c r="B103" i="5"/>
  <c r="C103" i="5"/>
  <c r="D103" i="5"/>
  <c r="E103" i="5"/>
  <c r="F103" i="5"/>
  <c r="B104" i="5"/>
  <c r="C104" i="5"/>
  <c r="D104" i="5"/>
  <c r="E104" i="5"/>
  <c r="F104" i="5"/>
  <c r="B105" i="5"/>
  <c r="C105" i="5"/>
  <c r="D105" i="5"/>
  <c r="E105" i="5"/>
  <c r="F105" i="5"/>
  <c r="B106" i="5"/>
  <c r="C106" i="5"/>
  <c r="D106" i="5"/>
  <c r="E106" i="5"/>
  <c r="F106" i="5"/>
  <c r="B107" i="5"/>
  <c r="C107" i="5"/>
  <c r="D107" i="5"/>
  <c r="E107" i="5"/>
  <c r="F107" i="5"/>
  <c r="B108" i="5"/>
  <c r="C108" i="5"/>
  <c r="D108" i="5"/>
  <c r="E108" i="5"/>
  <c r="F108" i="5"/>
  <c r="B109" i="5"/>
  <c r="C109" i="5"/>
  <c r="D109" i="5"/>
  <c r="E109" i="5"/>
  <c r="F109" i="5"/>
  <c r="B110" i="5"/>
  <c r="C110" i="5"/>
  <c r="D110" i="5"/>
  <c r="E110" i="5"/>
  <c r="F110" i="5"/>
  <c r="B111" i="5"/>
  <c r="C111" i="5"/>
  <c r="D111" i="5"/>
  <c r="E111" i="5"/>
  <c r="F111" i="5"/>
  <c r="B112" i="5"/>
  <c r="C112" i="5"/>
  <c r="D112" i="5"/>
  <c r="E112" i="5"/>
  <c r="F112" i="5"/>
  <c r="B113" i="5"/>
  <c r="C113" i="5"/>
  <c r="D113" i="5"/>
  <c r="E113" i="5"/>
  <c r="F113" i="5"/>
  <c r="B114" i="5"/>
  <c r="C114" i="5"/>
  <c r="D114" i="5"/>
  <c r="E114" i="5"/>
  <c r="F114" i="5"/>
  <c r="B115" i="5"/>
  <c r="C115" i="5"/>
  <c r="D115" i="5"/>
  <c r="E115" i="5"/>
  <c r="F115" i="5"/>
  <c r="B116" i="5"/>
  <c r="C116" i="5"/>
  <c r="D116" i="5"/>
  <c r="E116" i="5"/>
  <c r="F116" i="5"/>
  <c r="B117" i="5"/>
  <c r="C117" i="5"/>
  <c r="D117" i="5"/>
  <c r="E117" i="5"/>
  <c r="F117" i="5"/>
  <c r="B118" i="5"/>
  <c r="C118" i="5"/>
  <c r="D118" i="5"/>
  <c r="E118" i="5"/>
  <c r="F118" i="5"/>
  <c r="B119" i="5"/>
  <c r="C119" i="5"/>
  <c r="D119" i="5"/>
  <c r="E119" i="5"/>
  <c r="F119" i="5"/>
  <c r="B120" i="5"/>
  <c r="C120" i="5"/>
  <c r="D120" i="5"/>
  <c r="E120" i="5"/>
  <c r="F120" i="5"/>
  <c r="B121" i="5"/>
  <c r="C121" i="5"/>
  <c r="D121" i="5"/>
  <c r="E121" i="5"/>
  <c r="F121" i="5"/>
  <c r="B122" i="5"/>
  <c r="C122" i="5"/>
  <c r="D122" i="5"/>
  <c r="E122" i="5"/>
  <c r="F122" i="5"/>
  <c r="B123" i="5"/>
  <c r="C123" i="5"/>
  <c r="D123" i="5"/>
  <c r="E123" i="5"/>
  <c r="F123" i="5"/>
  <c r="B124" i="5"/>
  <c r="C124" i="5"/>
  <c r="D124" i="5"/>
  <c r="E124" i="5"/>
  <c r="F124" i="5"/>
  <c r="B125" i="5"/>
  <c r="C125" i="5"/>
  <c r="D125" i="5"/>
  <c r="E125" i="5"/>
  <c r="F125" i="5"/>
  <c r="B126" i="5"/>
  <c r="C126" i="5"/>
  <c r="D126" i="5"/>
  <c r="E126" i="5"/>
  <c r="F126" i="5"/>
  <c r="B127" i="5"/>
  <c r="C127" i="5"/>
  <c r="D127" i="5"/>
  <c r="E127" i="5"/>
  <c r="F127" i="5"/>
  <c r="B128" i="5"/>
  <c r="C128" i="5"/>
  <c r="D128" i="5"/>
  <c r="E128" i="5"/>
  <c r="F128" i="5"/>
  <c r="B129" i="5"/>
  <c r="C129" i="5"/>
  <c r="D129" i="5"/>
  <c r="E129" i="5"/>
  <c r="F129" i="5"/>
  <c r="B130" i="5"/>
  <c r="C130" i="5"/>
  <c r="D130" i="5"/>
  <c r="E130" i="5"/>
  <c r="F130" i="5"/>
  <c r="B131" i="5"/>
  <c r="C131" i="5"/>
  <c r="D131" i="5"/>
  <c r="E131" i="5"/>
  <c r="F131" i="5"/>
  <c r="B132" i="5"/>
  <c r="C132" i="5"/>
  <c r="D132" i="5"/>
  <c r="E132" i="5"/>
  <c r="F132" i="5"/>
  <c r="B133" i="5"/>
  <c r="C133" i="5"/>
  <c r="D133" i="5"/>
  <c r="E133" i="5"/>
  <c r="F133" i="5"/>
  <c r="B134" i="5"/>
  <c r="C134" i="5"/>
  <c r="D134" i="5"/>
  <c r="E134" i="5"/>
  <c r="F134" i="5"/>
  <c r="B135" i="5"/>
  <c r="C135" i="5"/>
  <c r="D135" i="5"/>
  <c r="E135" i="5"/>
  <c r="F135" i="5"/>
  <c r="B136" i="5"/>
  <c r="C136" i="5"/>
  <c r="D136" i="5"/>
  <c r="E136" i="5"/>
  <c r="F136" i="5"/>
  <c r="B137" i="5"/>
  <c r="C137" i="5"/>
  <c r="D137" i="5"/>
  <c r="E137" i="5"/>
  <c r="F137" i="5"/>
  <c r="B138" i="5"/>
  <c r="C138" i="5"/>
  <c r="D138" i="5"/>
  <c r="E138" i="5"/>
  <c r="F138" i="5"/>
  <c r="B139" i="5"/>
  <c r="C139" i="5"/>
  <c r="D139" i="5"/>
  <c r="E139" i="5"/>
  <c r="F139" i="5"/>
  <c r="B140" i="5"/>
  <c r="C140" i="5"/>
  <c r="D140" i="5"/>
  <c r="E140" i="5"/>
  <c r="F140" i="5"/>
  <c r="B141" i="5"/>
  <c r="C141" i="5"/>
  <c r="D141" i="5"/>
  <c r="E141" i="5"/>
  <c r="F141" i="5"/>
  <c r="B142" i="5"/>
  <c r="C142" i="5"/>
  <c r="D142" i="5"/>
  <c r="E142" i="5"/>
  <c r="F142" i="5"/>
  <c r="B143" i="5"/>
  <c r="C143" i="5"/>
  <c r="D143" i="5"/>
  <c r="E143" i="5"/>
  <c r="F143" i="5"/>
  <c r="B144" i="5"/>
  <c r="C144" i="5"/>
  <c r="D144" i="5"/>
  <c r="E144" i="5"/>
  <c r="F144" i="5"/>
  <c r="B145" i="5"/>
  <c r="C145" i="5"/>
  <c r="D145" i="5"/>
  <c r="E145" i="5"/>
  <c r="F145" i="5"/>
  <c r="B146" i="5"/>
  <c r="C146" i="5"/>
  <c r="D146" i="5"/>
  <c r="E146" i="5"/>
  <c r="F146" i="5"/>
  <c r="B147" i="5"/>
  <c r="C147" i="5"/>
  <c r="D147" i="5"/>
  <c r="E147" i="5"/>
  <c r="F147" i="5"/>
  <c r="B148" i="5"/>
  <c r="C148" i="5"/>
  <c r="D148" i="5"/>
  <c r="E148" i="5"/>
  <c r="F148" i="5"/>
  <c r="B149" i="5"/>
  <c r="C149" i="5"/>
  <c r="D149" i="5"/>
  <c r="E149" i="5"/>
  <c r="F149" i="5"/>
  <c r="B150" i="5"/>
  <c r="C150" i="5"/>
  <c r="D150" i="5"/>
  <c r="E150" i="5"/>
  <c r="F150" i="5"/>
  <c r="B151" i="5"/>
  <c r="C151" i="5"/>
  <c r="D151" i="5"/>
  <c r="E151" i="5"/>
  <c r="F151" i="5"/>
  <c r="B152" i="5"/>
  <c r="C152" i="5"/>
  <c r="D152" i="5"/>
  <c r="E152" i="5"/>
  <c r="F152" i="5"/>
  <c r="B153" i="5"/>
  <c r="C153" i="5"/>
  <c r="D153" i="5"/>
  <c r="E153" i="5"/>
  <c r="F153" i="5"/>
  <c r="B154" i="5"/>
  <c r="C154" i="5"/>
  <c r="D154" i="5"/>
  <c r="E154" i="5"/>
  <c r="F154" i="5"/>
  <c r="B155" i="5"/>
  <c r="C155" i="5"/>
  <c r="D155" i="5"/>
  <c r="E155" i="5"/>
  <c r="F155" i="5"/>
  <c r="B156" i="5"/>
  <c r="C156" i="5"/>
  <c r="D156" i="5"/>
  <c r="E156" i="5"/>
  <c r="F156" i="5"/>
  <c r="B157" i="5"/>
  <c r="C157" i="5"/>
  <c r="D157" i="5"/>
  <c r="E157" i="5"/>
  <c r="F157" i="5"/>
  <c r="B158" i="5"/>
  <c r="C158" i="5"/>
  <c r="D158" i="5"/>
  <c r="E158" i="5"/>
  <c r="F158" i="5"/>
  <c r="B159" i="5"/>
  <c r="C159" i="5"/>
  <c r="D159" i="5"/>
  <c r="E159" i="5"/>
  <c r="F159" i="5"/>
  <c r="B160" i="5"/>
  <c r="C160" i="5"/>
  <c r="D160" i="5"/>
  <c r="E160" i="5"/>
  <c r="F160" i="5"/>
  <c r="B161" i="5"/>
  <c r="C161" i="5"/>
  <c r="D161" i="5"/>
  <c r="E161" i="5"/>
  <c r="F161" i="5"/>
  <c r="B162" i="5"/>
  <c r="C162" i="5"/>
  <c r="D162" i="5"/>
  <c r="E162" i="5"/>
  <c r="F162" i="5"/>
  <c r="B163" i="5"/>
  <c r="C163" i="5"/>
  <c r="D163" i="5"/>
  <c r="E163" i="5"/>
  <c r="F163" i="5"/>
  <c r="B164" i="5"/>
  <c r="C164" i="5"/>
  <c r="D164" i="5"/>
  <c r="E164" i="5"/>
  <c r="F164" i="5"/>
  <c r="B165" i="5"/>
  <c r="C165" i="5"/>
  <c r="D165" i="5"/>
  <c r="E165" i="5"/>
  <c r="F165" i="5"/>
  <c r="B166" i="5"/>
  <c r="C166" i="5"/>
  <c r="D166" i="5"/>
  <c r="E166" i="5"/>
  <c r="F166" i="5"/>
  <c r="B167" i="5"/>
  <c r="C167" i="5"/>
  <c r="D167" i="5"/>
  <c r="E167" i="5"/>
  <c r="F167" i="5"/>
  <c r="B168" i="5"/>
  <c r="C168" i="5"/>
  <c r="D168" i="5"/>
  <c r="E168" i="5"/>
  <c r="F168" i="5"/>
  <c r="B169" i="5"/>
  <c r="C169" i="5"/>
  <c r="D169" i="5"/>
  <c r="E169" i="5"/>
  <c r="F169" i="5"/>
  <c r="B170" i="5"/>
  <c r="C170" i="5"/>
  <c r="D170" i="5"/>
  <c r="E170" i="5"/>
  <c r="F170" i="5"/>
  <c r="B171" i="5"/>
  <c r="C171" i="5"/>
  <c r="D171" i="5"/>
  <c r="E171" i="5"/>
  <c r="F171" i="5"/>
  <c r="B172" i="5"/>
  <c r="C172" i="5"/>
  <c r="D172" i="5"/>
  <c r="E172" i="5"/>
  <c r="F172" i="5"/>
  <c r="B173" i="5"/>
  <c r="C173" i="5"/>
  <c r="D173" i="5"/>
  <c r="E173" i="5"/>
  <c r="F173" i="5"/>
  <c r="B174" i="5"/>
  <c r="C174" i="5"/>
  <c r="D174" i="5"/>
  <c r="E174" i="5"/>
  <c r="F174" i="5"/>
  <c r="B175" i="5"/>
  <c r="C175" i="5"/>
  <c r="D175" i="5"/>
  <c r="E175" i="5"/>
  <c r="F175" i="5"/>
  <c r="B176" i="5"/>
  <c r="C176" i="5"/>
  <c r="D176" i="5"/>
  <c r="E176" i="5"/>
  <c r="F176" i="5"/>
  <c r="B177" i="5"/>
  <c r="C177" i="5"/>
  <c r="D177" i="5"/>
  <c r="E177" i="5"/>
  <c r="F177" i="5"/>
  <c r="B178" i="5"/>
  <c r="C178" i="5"/>
  <c r="D178" i="5"/>
  <c r="E178" i="5"/>
  <c r="F178" i="5"/>
  <c r="B179" i="5"/>
  <c r="C179" i="5"/>
  <c r="D179" i="5"/>
  <c r="E179" i="5"/>
  <c r="F179" i="5"/>
  <c r="B180" i="5"/>
  <c r="C180" i="5"/>
  <c r="D180" i="5"/>
  <c r="E180" i="5"/>
  <c r="F180" i="5"/>
  <c r="B181" i="5"/>
  <c r="C181" i="5"/>
  <c r="D181" i="5"/>
  <c r="E181" i="5"/>
  <c r="F181" i="5"/>
  <c r="B182" i="5"/>
  <c r="C182" i="5"/>
  <c r="D182" i="5"/>
  <c r="E182" i="5"/>
  <c r="F182" i="5"/>
  <c r="B183" i="5"/>
  <c r="C183" i="5"/>
  <c r="D183" i="5"/>
  <c r="E183" i="5"/>
  <c r="F183" i="5"/>
  <c r="B184" i="5"/>
  <c r="C184" i="5"/>
  <c r="D184" i="5"/>
  <c r="E184" i="5"/>
  <c r="F184" i="5"/>
  <c r="B185" i="5"/>
  <c r="C185" i="5"/>
  <c r="D185" i="5"/>
  <c r="E185" i="5"/>
  <c r="F185" i="5"/>
  <c r="B186" i="5"/>
  <c r="C186" i="5"/>
  <c r="D186" i="5"/>
  <c r="E186" i="5"/>
  <c r="F186" i="5"/>
  <c r="B187" i="5"/>
  <c r="C187" i="5"/>
  <c r="D187" i="5"/>
  <c r="E187" i="5"/>
  <c r="F187" i="5"/>
  <c r="B188" i="5"/>
  <c r="C188" i="5"/>
  <c r="D188" i="5"/>
  <c r="E188" i="5"/>
  <c r="F188" i="5"/>
  <c r="B189" i="5"/>
  <c r="C189" i="5"/>
  <c r="D189" i="5"/>
  <c r="E189" i="5"/>
  <c r="F189" i="5"/>
  <c r="B190" i="5"/>
  <c r="C190" i="5"/>
  <c r="D190" i="5"/>
  <c r="E190" i="5"/>
  <c r="F190" i="5"/>
  <c r="B191" i="5"/>
  <c r="C191" i="5"/>
  <c r="D191" i="5"/>
  <c r="E191" i="5"/>
  <c r="F191" i="5"/>
  <c r="B192" i="5"/>
  <c r="C192" i="5"/>
  <c r="D192" i="5"/>
  <c r="E192" i="5"/>
  <c r="F192" i="5"/>
  <c r="B193" i="5"/>
  <c r="C193" i="5"/>
  <c r="D193" i="5"/>
  <c r="E193" i="5"/>
  <c r="F193" i="5"/>
  <c r="B194" i="5"/>
  <c r="C194" i="5"/>
  <c r="D194" i="5"/>
  <c r="E194" i="5"/>
  <c r="F194" i="5"/>
  <c r="B195" i="5"/>
  <c r="C195" i="5"/>
  <c r="D195" i="5"/>
  <c r="E195" i="5"/>
  <c r="F195" i="5"/>
  <c r="B196" i="5"/>
  <c r="C196" i="5"/>
  <c r="D196" i="5"/>
  <c r="E196" i="5"/>
  <c r="F196" i="5"/>
  <c r="B197" i="5"/>
  <c r="C197" i="5"/>
  <c r="D197" i="5"/>
  <c r="E197" i="5"/>
  <c r="F197" i="5"/>
  <c r="B198" i="5"/>
  <c r="C198" i="5"/>
  <c r="D198" i="5"/>
  <c r="E198" i="5"/>
  <c r="F198" i="5"/>
  <c r="B199" i="5"/>
  <c r="C199" i="5"/>
  <c r="D199" i="5"/>
  <c r="E199" i="5"/>
  <c r="F199" i="5"/>
  <c r="B200" i="5"/>
  <c r="C200" i="5"/>
  <c r="D200" i="5"/>
  <c r="E200" i="5"/>
  <c r="F200" i="5"/>
  <c r="B201" i="5"/>
  <c r="C201" i="5"/>
  <c r="D201" i="5"/>
  <c r="E201" i="5"/>
  <c r="F201" i="5"/>
  <c r="B202" i="5"/>
  <c r="C202" i="5"/>
  <c r="D202" i="5"/>
  <c r="E202" i="5"/>
  <c r="F202" i="5"/>
  <c r="B203" i="5"/>
  <c r="C203" i="5"/>
  <c r="D203" i="5"/>
  <c r="E203" i="5"/>
  <c r="F203" i="5"/>
  <c r="B204" i="5"/>
  <c r="C204" i="5"/>
  <c r="D204" i="5"/>
  <c r="E204" i="5"/>
  <c r="F204" i="5"/>
  <c r="B205" i="5"/>
  <c r="C205" i="5"/>
  <c r="D205" i="5"/>
  <c r="E205" i="5"/>
  <c r="F205" i="5"/>
  <c r="B206" i="5"/>
  <c r="C206" i="5"/>
  <c r="D206" i="5"/>
  <c r="E206" i="5"/>
  <c r="F206" i="5"/>
  <c r="B207" i="5"/>
  <c r="C207" i="5"/>
  <c r="D207" i="5"/>
  <c r="E207" i="5"/>
  <c r="F207" i="5"/>
  <c r="B208" i="5"/>
  <c r="C208" i="5"/>
  <c r="D208" i="5"/>
  <c r="E208" i="5"/>
  <c r="F208" i="5"/>
  <c r="B209" i="5"/>
  <c r="C209" i="5"/>
  <c r="D209" i="5"/>
  <c r="E209" i="5"/>
  <c r="F209" i="5"/>
  <c r="B210" i="5"/>
  <c r="C210" i="5"/>
  <c r="D210" i="5"/>
  <c r="E210" i="5"/>
  <c r="F210" i="5"/>
  <c r="B211" i="5"/>
  <c r="C211" i="5"/>
  <c r="D211" i="5"/>
  <c r="E211" i="5"/>
  <c r="F211" i="5"/>
  <c r="B212" i="5"/>
  <c r="C212" i="5"/>
  <c r="D212" i="5"/>
  <c r="E212" i="5"/>
  <c r="F212" i="5"/>
  <c r="B213" i="5"/>
  <c r="C213" i="5"/>
  <c r="D213" i="5"/>
  <c r="E213" i="5"/>
  <c r="F213" i="5"/>
  <c r="B214" i="5"/>
  <c r="C214" i="5"/>
  <c r="D214" i="5"/>
  <c r="E214" i="5"/>
  <c r="F214" i="5"/>
  <c r="B215" i="5"/>
  <c r="C215" i="5"/>
  <c r="D215" i="5"/>
  <c r="E215" i="5"/>
  <c r="F215" i="5"/>
  <c r="B216" i="5"/>
  <c r="C216" i="5"/>
  <c r="D216" i="5"/>
  <c r="E216" i="5"/>
  <c r="F216" i="5"/>
  <c r="B217" i="5"/>
  <c r="C217" i="5"/>
  <c r="D217" i="5"/>
  <c r="E217" i="5"/>
  <c r="F217" i="5"/>
  <c r="B218" i="5"/>
  <c r="C218" i="5"/>
  <c r="D218" i="5"/>
  <c r="E218" i="5"/>
  <c r="F218" i="5"/>
  <c r="B219" i="5"/>
  <c r="C219" i="5"/>
  <c r="D219" i="5"/>
  <c r="E219" i="5"/>
  <c r="F219" i="5"/>
  <c r="B220" i="5"/>
  <c r="C220" i="5"/>
  <c r="D220" i="5"/>
  <c r="E220" i="5"/>
  <c r="F220" i="5"/>
  <c r="B221" i="5"/>
  <c r="C221" i="5"/>
  <c r="D221" i="5"/>
  <c r="E221" i="5"/>
  <c r="F221" i="5"/>
  <c r="B222" i="5"/>
  <c r="C222" i="5"/>
  <c r="D222" i="5"/>
  <c r="E222" i="5"/>
  <c r="F222" i="5"/>
  <c r="B223" i="5"/>
  <c r="C223" i="5"/>
  <c r="D223" i="5"/>
  <c r="E223" i="5"/>
  <c r="F223" i="5"/>
  <c r="B224" i="5"/>
  <c r="C224" i="5"/>
  <c r="D224" i="5"/>
  <c r="E224" i="5"/>
  <c r="F224" i="5"/>
  <c r="B225" i="5"/>
  <c r="C225" i="5"/>
  <c r="D225" i="5"/>
  <c r="E225" i="5"/>
  <c r="F225" i="5"/>
  <c r="B226" i="5"/>
  <c r="C226" i="5"/>
  <c r="D226" i="5"/>
  <c r="E226" i="5"/>
  <c r="F226" i="5"/>
  <c r="B227" i="5"/>
  <c r="C227" i="5"/>
  <c r="D227" i="5"/>
  <c r="E227" i="5"/>
  <c r="F227" i="5"/>
  <c r="B228" i="5"/>
  <c r="C228" i="5"/>
  <c r="D228" i="5"/>
  <c r="E228" i="5"/>
  <c r="F228" i="5"/>
  <c r="B229" i="5"/>
  <c r="C229" i="5"/>
  <c r="D229" i="5"/>
  <c r="E229" i="5"/>
  <c r="F229" i="5"/>
  <c r="B230" i="5"/>
  <c r="C230" i="5"/>
  <c r="D230" i="5"/>
  <c r="E230" i="5"/>
  <c r="F230" i="5"/>
  <c r="B231" i="5"/>
  <c r="C231" i="5"/>
  <c r="D231" i="5"/>
  <c r="E231" i="5"/>
  <c r="F231" i="5"/>
  <c r="B232" i="5"/>
  <c r="C232" i="5"/>
  <c r="D232" i="5"/>
  <c r="E232" i="5"/>
  <c r="F232" i="5"/>
  <c r="B233" i="5"/>
  <c r="C233" i="5"/>
  <c r="D233" i="5"/>
  <c r="E233" i="5"/>
  <c r="F233" i="5"/>
  <c r="B234" i="5"/>
  <c r="C234" i="5"/>
  <c r="D234" i="5"/>
  <c r="E234" i="5"/>
  <c r="F234" i="5"/>
  <c r="B235" i="5"/>
  <c r="C235" i="5"/>
  <c r="D235" i="5"/>
  <c r="E235" i="5"/>
  <c r="F235" i="5"/>
  <c r="B236" i="5"/>
  <c r="C236" i="5"/>
  <c r="D236" i="5"/>
  <c r="E236" i="5"/>
  <c r="F236" i="5"/>
  <c r="B237" i="5"/>
  <c r="C237" i="5"/>
  <c r="D237" i="5"/>
  <c r="E237" i="5"/>
  <c r="F237" i="5"/>
  <c r="B238" i="5"/>
  <c r="C238" i="5"/>
  <c r="D238" i="5"/>
  <c r="E238" i="5"/>
  <c r="F238" i="5"/>
  <c r="B239" i="5"/>
  <c r="C239" i="5"/>
  <c r="D239" i="5"/>
  <c r="E239" i="5"/>
  <c r="F239" i="5"/>
  <c r="B240" i="5"/>
  <c r="C240" i="5"/>
  <c r="D240" i="5"/>
  <c r="E240" i="5"/>
  <c r="F240" i="5"/>
  <c r="B241" i="5"/>
  <c r="C241" i="5"/>
  <c r="D241" i="5"/>
  <c r="E241" i="5"/>
  <c r="F241" i="5"/>
  <c r="B242" i="5"/>
  <c r="C242" i="5"/>
  <c r="D242" i="5"/>
  <c r="E242" i="5"/>
  <c r="F242" i="5"/>
  <c r="B243" i="5"/>
  <c r="C243" i="5"/>
  <c r="D243" i="5"/>
  <c r="E243" i="5"/>
  <c r="F243" i="5"/>
  <c r="B244" i="5"/>
  <c r="C244" i="5"/>
  <c r="D244" i="5"/>
  <c r="E244" i="5"/>
  <c r="F244" i="5"/>
  <c r="B245" i="5"/>
  <c r="C245" i="5"/>
  <c r="D245" i="5"/>
  <c r="E245" i="5"/>
  <c r="F245" i="5"/>
  <c r="B246" i="5"/>
  <c r="C246" i="5"/>
  <c r="D246" i="5"/>
  <c r="E246" i="5"/>
  <c r="F246" i="5"/>
  <c r="B3" i="4"/>
  <c r="C3" i="4"/>
  <c r="D3" i="4"/>
  <c r="E3" i="4"/>
  <c r="F3" i="4"/>
  <c r="B2" i="4"/>
  <c r="F2" i="4"/>
  <c r="E3" i="5"/>
  <c r="F3" i="5"/>
  <c r="B2" i="5"/>
  <c r="F2" i="5"/>
  <c r="B2" i="1"/>
  <c r="F2" i="1"/>
  <c r="F3" i="1"/>
  <c r="E3" i="1"/>
</calcChain>
</file>

<file path=xl/sharedStrings.xml><?xml version="1.0" encoding="utf-8"?>
<sst xmlns="http://schemas.openxmlformats.org/spreadsheetml/2006/main" count="6352" uniqueCount="3503">
  <si>
    <t>Separator</t>
  </si>
  <si>
    <t>LstNum</t>
  </si>
  <si>
    <t>Во время встречи и размещения пассажиров (СБ или PRAM) (дневной/ночной рейс)</t>
  </si>
  <si>
    <t>Читать не менее 3 раз</t>
  </si>
  <si>
    <t>Аварийные выходы и проходы должны быть свободны от ручной клади.</t>
  </si>
  <si>
    <t>Бортпроводники окажут вам необходимую помощь в размещении.</t>
  </si>
  <si>
    <t>Благодарим за внимание.</t>
  </si>
  <si>
    <t>авиакомпании «Аэрофлот – российские авиалинии», участника международного альянса SkyTeam.</t>
  </si>
  <si>
    <t>style_ID</t>
  </si>
  <si>
    <t>style_Name</t>
  </si>
  <si>
    <t>Название главы</t>
  </si>
  <si>
    <t>Заголовок2</t>
  </si>
  <si>
    <t>Заголовок3</t>
  </si>
  <si>
    <t>Режим полета</t>
  </si>
  <si>
    <t>Список</t>
  </si>
  <si>
    <t>Врезка</t>
  </si>
  <si>
    <t>TxtStyle</t>
  </si>
  <si>
    <t>Основные информационные сообщения</t>
  </si>
  <si>
    <t>Перед вылетом</t>
  </si>
  <si>
    <t>Приветствие КВС в аэропорту вылета (КВС) (дневной/ночной рейс)</t>
  </si>
  <si>
    <t>Желаю приятного полета!</t>
  </si>
  <si>
    <t>Обычный</t>
  </si>
  <si>
    <t>Уточнение1</t>
  </si>
  <si>
    <t>Уточнение2</t>
  </si>
  <si>
    <t xml:space="preserve">All aisles and emergency exits must be free of any personal items. </t>
  </si>
  <si>
    <t>The cabin crew will provide any necessary assistance.</t>
  </si>
  <si>
    <t>Thank you.</t>
  </si>
  <si>
    <t>TxtStyleN</t>
  </si>
  <si>
    <t>C1</t>
  </si>
  <si>
    <t>C2</t>
  </si>
  <si>
    <t>C3</t>
  </si>
  <si>
    <t>Аэробус А319/320/321/330;</t>
  </si>
  <si>
    <t>Боинг 737/777;</t>
  </si>
  <si>
    <t>Супер Джет</t>
  </si>
  <si>
    <t>Airbus А319/320/321/330;</t>
  </si>
  <si>
    <t>Boeing 737/777;</t>
  </si>
  <si>
    <t>Super Jet.</t>
  </si>
  <si>
    <t>в связи с ожиданием группы транзитных пассажиров;</t>
  </si>
  <si>
    <t>в связи с поздним прибытием самолета;</t>
  </si>
  <si>
    <t>в связи с забастовкой служащих аэропорта;</t>
  </si>
  <si>
    <t>в связи с производственными причинами.</t>
  </si>
  <si>
    <t>От имени всего экипажа и авиакомпании «Аэрофлот – российские авиалинии» приветствую вас на борту самолета… [тип ВС].</t>
  </si>
  <si>
    <t>Время в пути составит… часов… минут.</t>
  </si>
  <si>
    <t>The flight time will be… hours… minutes.</t>
  </si>
  <si>
    <t>Если была задержка вылета в аэропорту (более 15 минут)</t>
  </si>
  <si>
    <t xml:space="preserve">I wish you a pleasant flight. </t>
  </si>
  <si>
    <t>Airbus A319/320/321/330;</t>
  </si>
  <si>
    <t>L'équipage de cabine peut vous fournir toute l'aide nécessaire.</t>
  </si>
  <si>
    <t>Merci de votre attention.</t>
  </si>
  <si>
    <t>Notre vol à destination de… est effectué en coopération avec… [название авиакомпании по код-шер].</t>
  </si>
  <si>
    <t>La durée de vol sera… heures… minutes.</t>
  </si>
  <si>
    <t>der „Aeroflot – Russian Airlines“, eines Mitglieds der internationalen SkyTeam Allianz.</t>
  </si>
  <si>
    <t>Alle Gänge und Notausgänge müssen von Gepäckstücken vollständig frei bleiben.</t>
  </si>
  <si>
    <t>Die Besatzung wird Ihnen jederzeit behilflich sein.</t>
  </si>
  <si>
    <t>Danke.</t>
  </si>
  <si>
    <t>Die gesamte Flugdauer beträgt… Stunden und… Minuten.</t>
  </si>
  <si>
    <t>de la compañía aerea “Aeroflot – Russian Airlines”, miembro de la alianza internaсional SkyTeam.</t>
  </si>
  <si>
    <t>No obstaculice los pasillos y salidas de emergencia con sus objetos personales.</t>
  </si>
  <si>
    <t>El personal de la cabina le asistirá en todo lo que necesite.</t>
  </si>
  <si>
    <t>Gracias por su atención.</t>
  </si>
  <si>
    <t>¡Buenos días/ Buenas tardes/ noches, señoras y Señores!</t>
  </si>
  <si>
    <t>Nuestra ruta hoy es de… a… (conjuntamente con… [название авиакомпании по код-шер]).</t>
  </si>
  <si>
    <t>El tiempo total de vuelo será de… horas y… minutos.</t>
  </si>
  <si>
    <t>¡Les deseo un vuelo agradable!</t>
  </si>
  <si>
    <t>Russian</t>
  </si>
  <si>
    <t>English</t>
  </si>
  <si>
    <t>French</t>
  </si>
  <si>
    <t>German</t>
  </si>
  <si>
    <t>Spanish</t>
  </si>
  <si>
    <t>Chinese</t>
  </si>
  <si>
    <t>Japanese</t>
  </si>
  <si>
    <t>Korean</t>
  </si>
  <si>
    <t>Vietnamese</t>
  </si>
  <si>
    <t>Дополнительные информационные сообщения</t>
  </si>
  <si>
    <t>Аварийные информационные сообщения</t>
  </si>
  <si>
    <t>Говорит командир корабля… [имя и фамилия]. От имени всего экипажа и авиакомпании «Аэрофлот – российские авиалинии» приветствую вас на борту самолета… [тип ВС].</t>
  </si>
  <si>
    <t>Les habla el comandante. Me llamo… [имя и фамилия]. En nombre de toda la tripulación y de “Aeroflot – Russian Airlines” les damos la bienvenida a bordo de este… [тип ВС].</t>
  </si>
  <si>
    <t>Our flight today is from… to… (and is operated jointly with… [название авиакомпании по код-шер]).</t>
  </si>
  <si>
    <t>СБ: ¡Les deseamos un vuelo agradable!</t>
  </si>
  <si>
    <t xml:space="preserve">Приветствие СБ в аэропорту вылета (СБ) (дневной/ночной рейс) </t>
  </si>
  <si>
    <t>Информация читается СБ наизусть по СПГУ при открытых шторках, стоя в салоне класса Бизнес</t>
  </si>
  <si>
    <t>*Читается в родительном падеже, например, «выдающегося композитора Игоря Стравинского», «выдающегося путешественника Николая Миклухо-Маклая», «великого полководца Александра Суворова»</t>
  </si>
  <si>
    <t>Дамы и господа!</t>
  </si>
  <si>
    <t>Ladies and Gentlemen!</t>
  </si>
  <si>
    <t>Mesdames et Messieurs!</t>
  </si>
  <si>
    <t>Meine Damen und Herren!</t>
  </si>
  <si>
    <t>¡Señoras y señores!</t>
  </si>
  <si>
    <t xml:space="preserve">Меня зовут… [имя без фамилии]. Я – старший бортпроводник экипажа. </t>
  </si>
  <si>
    <t>My name is... [имя без фамилии] and I am the purser.</t>
  </si>
  <si>
    <t>Je m'appelle… [имя без фамилии] et je suis votre chef de cabine.</t>
  </si>
  <si>
    <t>Mein Name ist… [имя без фамилии]. Ich bin heute Ihr(e) Chefflugbegleiter(in).</t>
  </si>
  <si>
    <t>Me llamo… [имя без фамилии] y soy azafata responsable.</t>
  </si>
  <si>
    <t>Приветствую вас на борту нашего самолета, который носит имя… [указать определение рода деятельности из Приложения №2]… [имя и фамилия человека, в честь которого названо ВС*].</t>
  </si>
  <si>
    <t>Bienvenidos a bordo de este avión de Aeroflot que ha sido nombrado en honor del… [указать определение рода деятельности из Приложения №2]… [имя и фамилия человека, в честь которого названо ВС].</t>
  </si>
  <si>
    <t>Sehr geehrte Stammkunden – Mitglieder des Vielfliegerprogramms „Aeroflot Bonus” und anderer Bonusprogramme der Allianz SkyTeam der Niveaus Elite und Elite Plus! Wir danken Ihnen für die Auswahl von Fluggesellschaften der Aeroflot-Gruppe.</t>
  </si>
  <si>
    <t>Estimados clientes habituales, miembros del programa “Aeroflot Bonus” y de los programas Bonus de la alianza internacional SkyTeam de los niveles Elite y Elite Plus, les agradesemos por haber eligido líneas aereas de Aeroflot Group.</t>
  </si>
  <si>
    <t xml:space="preserve">Thank you. </t>
  </si>
  <si>
    <r>
      <t>Благодарим</t>
    </r>
    <r>
      <rPr>
        <sz val="11"/>
        <color rgb="FF000000"/>
        <rFont val="Times New Roman"/>
        <family val="1"/>
        <charset val="204"/>
      </rPr>
      <t xml:space="preserve"> </t>
    </r>
    <r>
      <rPr>
        <sz val="11"/>
        <color rgb="FF000000"/>
        <rFont val="Calibri"/>
        <family val="2"/>
        <charset val="204"/>
        <scheme val="minor"/>
      </rPr>
      <t xml:space="preserve">за внимание. </t>
    </r>
  </si>
  <si>
    <t xml:space="preserve">Приветствие в аэропорту вылета на языке страны направления на рейсах в страны СНГ (PRAM) (дневной/ночной рейс) </t>
  </si>
  <si>
    <t>От имени командира корабля и всего экипажа приветствуем вас на борту самолета авиакомпании Аэрофлот.</t>
  </si>
  <si>
    <t>Желаем приятного полета!</t>
  </si>
  <si>
    <t>При демонстрации АСС (СБ или PRAM) (дневной/ночной рейс)</t>
  </si>
  <si>
    <t>Пожалуйста, обратите внимание на демонстрацию аварийно-спасательного оборудования нашего самолета.</t>
  </si>
  <si>
    <t xml:space="preserve">Please direct your attention to the safety features demonstration. </t>
  </si>
  <si>
    <t>Prêtez attention s’il vous plaît aux demonstrations de l’ équipement de securité.</t>
  </si>
  <si>
    <t xml:space="preserve">Wir möchten Sie bitten, dieser Sicherheitsvorführung Ihre volle Aufmerksamkeit zu schenken. </t>
  </si>
  <si>
    <t>Presten por favor su atención a la demonstración de los equipos de emergencia de nuestro avión.</t>
  </si>
  <si>
    <t xml:space="preserve">Аварийные выходы </t>
  </si>
  <si>
    <t>RRJ-95</t>
  </si>
  <si>
    <t>1. Наш самолет имеет 4 аварийных выхода.</t>
  </si>
  <si>
    <t>1. This aircraft has 4 emergency exits.</t>
  </si>
  <si>
    <t>1. Cet appareil a 4 sorties de secours</t>
  </si>
  <si>
    <t>1. Dieses Flugzeug hat 4 Notausgänge.</t>
  </si>
  <si>
    <t>1. Este avión tiene 4 salidas de emergencia.</t>
  </si>
  <si>
    <t>2. Аварийные выходы расположены слева и справа по борту:</t>
  </si>
  <si>
    <t>2. The emergency exits are located on the left and right of the cabin:</t>
  </si>
  <si>
    <t>2. Les sorties de secours sont situées à gauche et à droite de la cabine:</t>
  </si>
  <si>
    <t>2. Die Notausgänge befinden sich rechts und links an Bord:</t>
  </si>
  <si>
    <t>2. Las salidas de emergencia están situadas a la izquierda y derecha del bordo:</t>
  </si>
  <si>
    <t xml:space="preserve">два – в передней и </t>
  </si>
  <si>
    <t>two – in the front and</t>
  </si>
  <si>
    <t>deux – à l’avant,</t>
  </si>
  <si>
    <t>zwei im vorderen Bereich,</t>
  </si>
  <si>
    <t>dos en la parte delantera,</t>
  </si>
  <si>
    <t xml:space="preserve">два – в хвостовой части самолета. </t>
  </si>
  <si>
    <t xml:space="preserve">two in the rear compartment of the aircraft. </t>
  </si>
  <si>
    <t>deux – dans la partie arrière de l'appareil.</t>
  </si>
  <si>
    <t>zwei im hinteren Bereich des Flugzeugs.</t>
  </si>
  <si>
    <t>dos en la parte trasera del avión.</t>
  </si>
  <si>
    <t>3. Все выходы оборудованы автоматически надуваемыми трапами.</t>
  </si>
  <si>
    <t>3. All exits are equipped with inflatable evacuation slides.</t>
  </si>
  <si>
    <t>3. Toutes les sorties sont équipées des toboggans.</t>
  </si>
  <si>
    <t xml:space="preserve">3. Alle Ausgänge sind mit aufblasbaren Notrutschen ausgerüstet. </t>
  </si>
  <si>
    <t>3. Todas las salidas están equipadas con toboganes hinchables de evacuación.</t>
  </si>
  <si>
    <t>4. Каждый выход обозначен световым табло «ВЫХОД».</t>
  </si>
  <si>
    <t>4. Chaque sortie est signalée par un panneau lumineux EXIT.</t>
  </si>
  <si>
    <t xml:space="preserve">4. Jeder Ausgang ist mit einem beleuchteten Exit-Schild gekennzeichnet. </t>
  </si>
  <si>
    <t>4. Cada salida está indicada con la señal luminosa “EXIT”.</t>
  </si>
  <si>
    <t xml:space="preserve">5. Светящаяся дорожка вдоль прохода указывает направление к выходам. </t>
  </si>
  <si>
    <t>5. The escape path lighting along the aisle will guide you to the exits.</t>
  </si>
  <si>
    <t>5. La ligne lumineuse le long du couloir vous guidera vers les sorties de secours.</t>
  </si>
  <si>
    <t>5. Die Fluchtwegbeleuchtung am Boden zeigt Ihnen den Weg zu den Notausgängen.</t>
  </si>
  <si>
    <t>5. Las señales luminosas del pasillo le conducirán hasta las salidas de emergencia.</t>
  </si>
  <si>
    <t>Обратите внимание на выход, расположенный рядом с вами.</t>
  </si>
  <si>
    <t xml:space="preserve">Please take a moment to locate the exit nearest to you. </t>
  </si>
  <si>
    <t>Prêtez attention à sortie la plus proche de vous.</t>
  </si>
  <si>
    <t>Bitte orientieren Sie sich jetzt, wo Ihr nächster Notausgang liegt.</t>
  </si>
  <si>
    <t>Por favor fíjese dónde se encuentra la salida más próxima.</t>
  </si>
  <si>
    <t>A319</t>
  </si>
  <si>
    <t>1. Наш самолет имеет 6 аварийных выходов.</t>
  </si>
  <si>
    <t>1. This aircraft has 6 emergency exits.</t>
  </si>
  <si>
    <t>1. Сet appareil a 6 sorties de secours.</t>
  </si>
  <si>
    <t>1. Dieses Flugzeug hat 6 Notausgänge.</t>
  </si>
  <si>
    <t>1. Este avión tiene 6 salidas de emergencia.</t>
  </si>
  <si>
    <t>2. Die Notausgänge befinden sich links und rechts an Bord:</t>
  </si>
  <si>
    <t xml:space="preserve">два – в передней части самолета, </t>
  </si>
  <si>
    <t>two – in the front compartment,</t>
  </si>
  <si>
    <t xml:space="preserve">два аварийных люка на плоскости крыла и </t>
  </si>
  <si>
    <t xml:space="preserve">two window exits over the wings and </t>
  </si>
  <si>
    <t>deux issues sur les ailes,</t>
  </si>
  <si>
    <t xml:space="preserve">zwei Notfenster über den Tragflächen und </t>
  </si>
  <si>
    <t xml:space="preserve">dos escotillas de emergencia sobre las alas y </t>
  </si>
  <si>
    <t>3. Alle Ausgänge sind mit aufblasbaren Notrutschen ausgerüstet.</t>
  </si>
  <si>
    <t>4. Each exit is marked with an illuminated EXIT sign.</t>
  </si>
  <si>
    <t>А320</t>
  </si>
  <si>
    <t>1. Наш самолет имеет 8 аварийных выходов.</t>
  </si>
  <si>
    <t>1. This aircraft has 8 emergency exits.</t>
  </si>
  <si>
    <t>1. Cet appareil a 8 sorties de secours.</t>
  </si>
  <si>
    <t>1. Dieses Flugzeug hat 8 Notausgänge.</t>
  </si>
  <si>
    <t>1. Este avión tiene 8 salidas de emergencia.</t>
  </si>
  <si>
    <t>2. Les sorties sont situées à gauche et à droite de la cabine:</t>
  </si>
  <si>
    <t>two in the front compartment,</t>
  </si>
  <si>
    <t xml:space="preserve">четыре аварийных люка на плоскости крыла и </t>
  </si>
  <si>
    <t>four window exits over the wings and</t>
  </si>
  <si>
    <t>quatre issues sur les ailes et</t>
  </si>
  <si>
    <t xml:space="preserve">vier Notfenster über den Tragflächen und </t>
  </si>
  <si>
    <t>cuatro escotillas de emergencia sobre las alas y</t>
  </si>
  <si>
    <t>два – в хвостовой части самолета.</t>
  </si>
  <si>
    <t xml:space="preserve">3. Toutes les sorties sont équipées des toboggans. </t>
  </si>
  <si>
    <t>5. Светящаяся дорожка вдоль прохода указывает направление к выходам.</t>
  </si>
  <si>
    <t>Prêtez attention à la sortie la plus proche de vous.</t>
  </si>
  <si>
    <t>А321</t>
  </si>
  <si>
    <t xml:space="preserve">2. Аварийные выходы расположены слева и справа по борту: </t>
  </si>
  <si>
    <t xml:space="preserve">два – в передней, </t>
  </si>
  <si>
    <t>two in the front,</t>
  </si>
  <si>
    <t xml:space="preserve">deux – à l’avant, </t>
  </si>
  <si>
    <t xml:space="preserve">два – в средней части самолета, </t>
  </si>
  <si>
    <t>two in the mid compartment,</t>
  </si>
  <si>
    <t>deux – au milieu,</t>
  </si>
  <si>
    <t>zwei im mittleren Bereich,</t>
  </si>
  <si>
    <t>dos en la parte central,</t>
  </si>
  <si>
    <t xml:space="preserve">два – за крылом и </t>
  </si>
  <si>
    <t>two behind the wings and</t>
  </si>
  <si>
    <t>deux – après les ailes,</t>
  </si>
  <si>
    <t>zwei über den Tragflächen und</t>
  </si>
  <si>
    <t>dos tras las alas y</t>
  </si>
  <si>
    <t>two in the rear compartment of the aircraft.</t>
  </si>
  <si>
    <t>deux – dans la partie arrière de l'appareil</t>
  </si>
  <si>
    <t>dos en la parte posterior del avión.</t>
  </si>
  <si>
    <t>Please take a moment to locate the exit nearest to you.</t>
  </si>
  <si>
    <t>А330-200/300</t>
  </si>
  <si>
    <t>2. Die Notausgänge befinden sich der links und rechts an Bord:</t>
  </si>
  <si>
    <t>deux – au milieu de la cabine,</t>
  </si>
  <si>
    <t xml:space="preserve">zwei im mittleren Bereich, </t>
  </si>
  <si>
    <t xml:space="preserve">zwei über den Tragflächen und </t>
  </si>
  <si>
    <t xml:space="preserve">3. Все выходы оборудованы автоматически надуваемыми трапами. </t>
  </si>
  <si>
    <t xml:space="preserve">4. Каждый выход обозначен световым табло «ВЫХОД». </t>
  </si>
  <si>
    <t>5. Светящиеся дорожки вдоль проходов указывают направление к выходам.</t>
  </si>
  <si>
    <t>5. The escape path lighting along the aisles will guide you to the exits.</t>
  </si>
  <si>
    <t>5. Les lignes lumineuses le long du couloir vous guideront vers les sorties de secours.</t>
  </si>
  <si>
    <t xml:space="preserve">Обратите внимание на выход, расположенный рядом с вами. </t>
  </si>
  <si>
    <t>при полете над водным пространством А330-200</t>
  </si>
  <si>
    <t xml:space="preserve">6. На случай вынужденной посадки на воду трапы передних, средних и хвостовых выходов могут использоваться в качестве спасательных плотов. </t>
  </si>
  <si>
    <t>6. For the event of ditching, the evacuation slides at the front, middle and rear exits can be used as emergency flotation rafts.</t>
  </si>
  <si>
    <t>6. Bei einer Notlandung auf Wasser können die Notrutschen an den vorderen, mittleren und hinteren Ausgängen als Rettungsflöße benutzt werden.</t>
  </si>
  <si>
    <t>6. En caso de amaraje, los toboganes de evacuación en las salidas de la parte delantera, central y trasera, pueden utilizarse como balsas salvavidas.</t>
  </si>
  <si>
    <t>при полете над водным пространством А330-300</t>
  </si>
  <si>
    <t xml:space="preserve">6. На случай вынужденной посадки на воду все трапы могут использоваться в качестве спасательных плотов. </t>
  </si>
  <si>
    <t>6. For the event of ditching, all the evacuation slides can be used as emergency flotation rafts.</t>
  </si>
  <si>
    <t>6. En cas d'amerrissage, les toboggans des toutes les sorties peuvent être utilisés comme canots de sauvetage.</t>
  </si>
  <si>
    <t>6. Bei einer Notlandung auf Wasser können sämtliche Notrutschen als Rettungsflöße benutzt werden.</t>
  </si>
  <si>
    <t>6. En caso de amaraje, todos los toboganes de evacuación pueden utilizarse como balsas salvavidas.</t>
  </si>
  <si>
    <t>B737</t>
  </si>
  <si>
    <t>3. Аварийные выходы в передней и хвостовой частях самолета оборудованы автоматически надуваемыми трапами.</t>
  </si>
  <si>
    <t>3. The emergency exits in the front and in the rear compartments are equipped with inflatable evacuation slides.</t>
  </si>
  <si>
    <t>3. Les sorties de secours à l’avant et à l’arriere de l'appareil sont équipées des toboggans.</t>
  </si>
  <si>
    <t>3. Die Notausgänge im vorderen und hinteren Teil des Flugzeugs sind mit aufblasbaren Notrutschen ausgerüstet.</t>
  </si>
  <si>
    <t>3. Las salidas de emergencia en las partes delantera y trasera del avión están equipadas con toboganes hinchables de evacuación.</t>
  </si>
  <si>
    <t>1. Наш самолет имеет 10 аварийных выходов.</t>
  </si>
  <si>
    <t>1. This aircraft has 10 emergency exits.</t>
  </si>
  <si>
    <t>1. Cet appareil a 10 sorties de secours.</t>
  </si>
  <si>
    <t>1. Dieses Flugzeug hat 10 Notausgänge.</t>
  </si>
  <si>
    <t>1. Este avión tiene 10 salidas de emergencia.</t>
  </si>
  <si>
    <t xml:space="preserve">2. Die Notausgänge befinden sich links und rechts an Bord.: </t>
  </si>
  <si>
    <t xml:space="preserve">четыре – в передней части самолета, </t>
  </si>
  <si>
    <t>four in the front compartment,</t>
  </si>
  <si>
    <t>quatre – à l’avant,</t>
  </si>
  <si>
    <t>vier im vorderen Bereich,</t>
  </si>
  <si>
    <t>cuatro en la parte delantera,</t>
  </si>
  <si>
    <t>два выхода на плоскости крыла и</t>
  </si>
  <si>
    <t>two over the wings,</t>
  </si>
  <si>
    <t>zwei über den Tragflächen,</t>
  </si>
  <si>
    <t>dos sobre las alas y</t>
  </si>
  <si>
    <t xml:space="preserve">четыре – в хвостовой части самолета. </t>
  </si>
  <si>
    <t>four in the rear compartment of the aircraft.</t>
  </si>
  <si>
    <t>quatre – dans la partie arrière de l’appareil.</t>
  </si>
  <si>
    <t>vier im hinteren Bereich des Flugzeugs.</t>
  </si>
  <si>
    <t>cuatro en la parte posterior del avión.</t>
  </si>
  <si>
    <t>3. Toutes les sorties sont équipées des tobbogans.</t>
  </si>
  <si>
    <t xml:space="preserve">4. Cada salida está indicada con el tablero luminoso “Exit”. </t>
  </si>
  <si>
    <t>при полете над водным пространством</t>
  </si>
  <si>
    <t>6. На случай вынужденной посадки на воду трапы передних, перед крылом, за крылом и хвостовых выходов могут использоваться в качестве спасательных плотов.</t>
  </si>
  <si>
    <t>6. For the event of ditching, the evacuation slides at the front, before the wings, behind the wings and rear exits can be used as emergency flotation rafts.</t>
  </si>
  <si>
    <t>6. En caso de amaraje, los toboganes de evacuación en las salidas de la parte delantera, antes del ala, tras el ala y los la parte posterior pueden utilizarse como balsas salvavidas.</t>
  </si>
  <si>
    <t>Кислородное оборудование</t>
  </si>
  <si>
    <t xml:space="preserve">1. В случае разгерметизации кабины кислородные маски выбрасываются автоматически из верхних панелей. </t>
  </si>
  <si>
    <t>1. In the event of cabin decompression, oxygen masks will automatically drop down from the overhead panels.</t>
  </si>
  <si>
    <t>1. En cas de dépressurisation, des masques à oxygène tomberont automatiquement devant vous.</t>
  </si>
  <si>
    <t>1. Sollte der Druck in der Kabine sinken, fallen automatisch Sauerstoffmasken aus der Kabinendecke.</t>
  </si>
  <si>
    <t>1. En caso de pérdida de presión en la cabina, de los paneles superiores descenderán automáticamente máscaras de oxígeno.</t>
  </si>
  <si>
    <t>2. Потяните маску на себя.</t>
  </si>
  <si>
    <t>2. Pull the mask towards you.</t>
  </si>
  <si>
    <t>2. Tirez un masque vers vous.</t>
  </si>
  <si>
    <t>2. Ziehen Sie die Maske zu sich heran.</t>
  </si>
  <si>
    <t>2. Tire de la máscara hacia usted.</t>
  </si>
  <si>
    <t>3. Плотно прижмите маску к носу и рту, закрепите, как мы демонстрируем, дышите нормально.</t>
  </si>
  <si>
    <t>3. Place the mask over your nose and mouth. Secure it as demonstrated and breathe normally.</t>
  </si>
  <si>
    <t>3. Placez le masque sur l e nez et la bouche, ajustez le selon la demonstration et respirez normalement.</t>
  </si>
  <si>
    <t>3. Drücken Sie die Maske fest auf Mund und Nase. Sichern Sie die Maske wie wir Ihnen zeigen und atmen Sie normal.</t>
  </si>
  <si>
    <t>3. Coloque la máscara sobre la nariz y la boca. Siga las instrucciones que le den y respire con normalidad.</t>
  </si>
  <si>
    <t>4. Если вы путешествуете с ребенком, обеспечьте маской сначала себя, затем – ребенка.</t>
  </si>
  <si>
    <t>4. If you are travelling with a child, put your own mask on first, and then attend to your child.</t>
  </si>
  <si>
    <t>4. Si vous voyagez avec un enfant, mettez d’abord votre propre masque avant de mettre un autre à l’enfant.</t>
  </si>
  <si>
    <t>4. Falls Sie mit einem Kind reisen, legen Sie bitte zuerst die eigene Maske an, bevor Sie Ihrem Kind helfen.</t>
  </si>
  <si>
    <t>4. Si viaja con un niño, primero póngase usted la máscara y luego póngasela al niño.</t>
  </si>
  <si>
    <t>Ремни безопасности</t>
  </si>
  <si>
    <t>1. Ваши ремни безопасности должны быть застегнуты после включения табло «ЗАСТЕГНИТЕ РЕМНИ».</t>
  </si>
  <si>
    <t>1. Your seat belt must be fastened whenever the FASTEN SEATBELT sign is on.</t>
  </si>
  <si>
    <t>1. Bitte achten Sie darauf, dass Sie sicher angeschnallt sind, solange die Anschnallzeichen aufleuchten.</t>
  </si>
  <si>
    <t>1. Mantenga el cinturón abrochado siempre que esté encendida la señal de “CINTURONES ABROCHADOS”.</t>
  </si>
  <si>
    <t>2. Чтобы застегнуть ремень, вставьте металлический наконечник в пряжку.</t>
  </si>
  <si>
    <t>2. To fasten your seat belt, insert the metal tip into the buckle.</t>
  </si>
  <si>
    <t>2. Pour attacher votre ceinture, introduisez l'embout métallique dans la boucle.</t>
  </si>
  <si>
    <t>2. Um den Sitzgurt zu schließen, schieben Sie das Metallende in die Abdeckklappe.</t>
  </si>
  <si>
    <t>2. Para abrochar el cinturón de seguridad inserte el extremo metálico en la hebilla.</t>
  </si>
  <si>
    <t>3. Туго затяните ремень.</t>
  </si>
  <si>
    <t>3. Tighten the strap.</t>
  </si>
  <si>
    <t>3. Serrez bien votre ceinture.</t>
  </si>
  <si>
    <t>3. Ziehen Sie den Sicherheitsgurt straff.</t>
  </si>
  <si>
    <t>3. Ajuste la correa.</t>
  </si>
  <si>
    <t>4. Чтобы отстегнуть ремень, поднимите крышку замка.</t>
  </si>
  <si>
    <t>4. To release the seat belt, lift the buckle cover.</t>
  </si>
  <si>
    <t>4. Pour détacher la ceinture, soulevez le dessus de la boucle.</t>
  </si>
  <si>
    <t>4. Um den Gurt zu öffnen, heben Sie die Abdeckklappe an.</t>
  </si>
  <si>
    <t>4. Para desabrochar el cinturón, levante la tapa de la hebilla.</t>
  </si>
  <si>
    <t>Спасательный жилет (при полете над водным пространством)</t>
  </si>
  <si>
    <t>RRJ-95, А319, А320, А321, B737</t>
  </si>
  <si>
    <t>На случай вынужденной посадки на воду на борту нашего самолета имеются спасательные жилеты.</t>
  </si>
  <si>
    <t xml:space="preserve">For the event of ditching, the aircraft is equipped with life vests. </t>
  </si>
  <si>
    <t>En cas d'ammerrissage, l'appareil est équipé de gilets de sauvetage.</t>
  </si>
  <si>
    <t>Im Falle einer Notlandung auf Wasser ist das Flugzeug mit Schwimmwesten ausgerüstet.</t>
  </si>
  <si>
    <t>En caso de amaraje, hay chalecos-salvavidas a bordo de este avión.</t>
  </si>
  <si>
    <t>Все типы</t>
  </si>
  <si>
    <t>1. Спасательный жилет находится под вашим креслом.</t>
  </si>
  <si>
    <t>1. Your life vest is located beneath your seat.</t>
  </si>
  <si>
    <t>1. Votre gilet de sauvetage se trouve sous votre siège.</t>
  </si>
  <si>
    <t>1. Ihre Schwimmweste befindet sich unter Ihrem Sitz.</t>
  </si>
  <si>
    <t>1. Su chaleco salvavidas está debajo de su asiento.</t>
  </si>
  <si>
    <t>2. Достаньте жилет, вытащите из упаковки и наденьте через голову.</t>
  </si>
  <si>
    <t>2. Remove your vest from the package and pull it over your head.</t>
  </si>
  <si>
    <t>2. Retirez le gilet de son emballage et enfilez-le par la tête.</t>
  </si>
  <si>
    <t>2. Nehmen Sie die Weste aus der Hülle und ziehen Sie sie über den Kopf.</t>
  </si>
  <si>
    <t>2. Saque el chaleco de la bolsa y póngaselo a travez de la cabeza.</t>
  </si>
  <si>
    <t>3. Оберните тесьму вокруг талии, застегните впереди под жилетом и туго затяните.</t>
  </si>
  <si>
    <t xml:space="preserve">3. Adjust the strap around your waist, fasten it at the front under the vest and tighten the strap. </t>
  </si>
  <si>
    <t>3. Ajustez la sangle autour de votre taille, attachez-la à l'avant sous le gilet. et serrez-la bien.</t>
  </si>
  <si>
    <t>3. Führen Sie das Band um Ihre Taille, und befestigen sie es vorne unter der Weste. Dann ziehen Sie das Band straff.</t>
  </si>
  <si>
    <t>3. Pase la cinta alrededor de la cintura, abróchela en la parte delantera bajo el chaleco y ajuste la cinta.</t>
  </si>
  <si>
    <t>4. Надуйте жилет у выхода при покидании самолета, дернув за красные колпачки.</t>
  </si>
  <si>
    <t>4. Just before leaving the aircraft, pull down the red tags to inflate the life vest.</t>
  </si>
  <si>
    <t xml:space="preserve">4. Juste avant de quitter l'appareil, tirez sur les poignées rouges pour gonfler le gilet. </t>
  </si>
  <si>
    <t>4. Erst beim Verlassen des Flugzeugs ziehen Sie die roten Knöpfe fest nach unten, um die Schwimmweste aufzublasen.</t>
  </si>
  <si>
    <t xml:space="preserve">4. Justo antes de abandonar el avión, tire de las lengüetas rojas para inflar el chaleco salvavidas. </t>
  </si>
  <si>
    <t>5. Поддуть жилет можно через клапаны поддува.</t>
  </si>
  <si>
    <t>5. You can blow the vest up using the tubes.</t>
  </si>
  <si>
    <t xml:space="preserve">5. Die Weste kann mit Hilfe der Mundschläuche weiter aufgeblasen werden. </t>
  </si>
  <si>
    <t>5. Puede inflarlo soplando por los tubos.</t>
  </si>
  <si>
    <t>6. В жилете имеется лампочка, которая зажигается в воде.</t>
  </si>
  <si>
    <t>6. It also has a lamp which illuminates in water.</t>
  </si>
  <si>
    <t>6. Les gilets sont équipés d'une lampe qui s'allume dans l'eau.</t>
  </si>
  <si>
    <t>6. Sie hat zudem eine Signallampe, die bei Kontakt mit Wasser automatisch aufleuchtet.</t>
  </si>
  <si>
    <t>6. También tiene un bombilla de luz que se enciende en el agua.</t>
  </si>
  <si>
    <t>7. Не надувайте жилет в салоне самолета.</t>
  </si>
  <si>
    <t xml:space="preserve">7. Do not inflate the life vest inside the cabin. </t>
  </si>
  <si>
    <t>7. Ne gonflez pas le gilet dans l'appareil.</t>
  </si>
  <si>
    <t>7. Blasen Sie die Schwimmweste auf keinen Fall schon in der Kabine auf.</t>
  </si>
  <si>
    <t>7. No infle el chaleco salvavidas dentro del avión.</t>
  </si>
  <si>
    <t xml:space="preserve">Инструкция по безопасности </t>
  </si>
  <si>
    <t xml:space="preserve">Более подробно ознакомиться с аварийно-спасательным оборудованием нашего самолета вам поможет «Инструкция по безопасности», которая находится в кармане перед вами. Просмотрите ее внимательно. </t>
  </si>
  <si>
    <t xml:space="preserve">You can get more detailed information about the on-board safety equipment in the Safety Instruction, located in the pocket in front of you. Please read it carefully. </t>
  </si>
  <si>
    <t>Vous pouvez obtenir des informations plus détaillées sur ces équipements dans les consignes de sécurité situées dans la pochette du siège devant vous. Veuillez bien les étudier.</t>
  </si>
  <si>
    <t>Weitere Einzelheiten über die Sicherheitsausrüstung an Bord entnehmen Sie bitte der Informationskarte in der Sitztasche vor Ihnen. Bitte lesen Sie die Karte sorgfältig durch.</t>
  </si>
  <si>
    <t>Para obtener más información detallada sobre los equipos de emergencia a bordo del avión, consulte “La Tarjeta de emergencia” que se encuentra en el bolsillo frente a usted. Por favor, léala con atención.</t>
  </si>
  <si>
    <t>При подготовке пассажирской кабины к взлету (СБ или PRAM) (дневной/ночной рейс)</t>
  </si>
  <si>
    <t xml:space="preserve">Дамы и господа! </t>
  </si>
  <si>
    <t>Мы готовимся к взлету и просим вас:</t>
  </si>
  <si>
    <t xml:space="preserve">To prepare for take off please: </t>
  </si>
  <si>
    <t>Pour préparer le décollage veuillez</t>
  </si>
  <si>
    <t>Wir sind startbereit. Bitte:</t>
  </si>
  <si>
    <t>En preparación para el despegue por favor:</t>
  </si>
  <si>
    <t>разместить ручную кладь на багажной полке или под сиденьем кресла перед вами;</t>
  </si>
  <si>
    <t>place hand luggage in the overhead bin or under the seat in front of you;</t>
  </si>
  <si>
    <t>placer vos bagages à main dans les coffres ou sous le siège devant vous.</t>
  </si>
  <si>
    <t>verstauen Sie Ihr Handgepäck in der Ablage über Ihnen, oder unter Ihrem Vordersitz;</t>
  </si>
  <si>
    <t>застегнуть ремень безопасности;</t>
  </si>
  <si>
    <t>fasten your seat belt;</t>
  </si>
  <si>
    <t>attacher votre ceinture;</t>
  </si>
  <si>
    <t>schließen Sie Ihren Sicherheitsgurt;</t>
  </si>
  <si>
    <t>abróchense el cinturón de seguridad;</t>
  </si>
  <si>
    <t>привести спинку кресла в вертикальное положение;</t>
  </si>
  <si>
    <t>return your seat to the upright position;</t>
  </si>
  <si>
    <t>redresser le dossier de votre siège;</t>
  </si>
  <si>
    <t>stellen Sie Ihre Sitzlehne senkrecht;</t>
  </si>
  <si>
    <t>pongan su asiento en posición vertical;</t>
  </si>
  <si>
    <t xml:space="preserve">убрать откидной столик; </t>
  </si>
  <si>
    <t>stow your tray table;</t>
  </si>
  <si>
    <t>ranger votre tablette;</t>
  </si>
  <si>
    <t>klappen Sie Ihr Tischchen ein;</t>
  </si>
  <si>
    <t>guarden su mesilla;</t>
  </si>
  <si>
    <t>открыть шторку иллюминатора;</t>
  </si>
  <si>
    <t>open your window blind;</t>
  </si>
  <si>
    <t>ouvrir votre-hublot.</t>
  </si>
  <si>
    <t>und öffnen Sie Ihre Sichtblende;</t>
  </si>
  <si>
    <t>abran la persiana de su ventanilla;</t>
  </si>
  <si>
    <t>выключить мобильные телефоны и все виды электронных устройств.</t>
  </si>
  <si>
    <t>switch off your mobile phones and all electronic devices.</t>
  </si>
  <si>
    <t>éteindre vos téléphones portables et autres appareils électroniques.</t>
  </si>
  <si>
    <t>schalten Sie Ihre Mobiltelephone sowie alle anderen elektronischen Geräte aus.</t>
  </si>
  <si>
    <t>apaguen sus teléfonos móviles y todos sus equipos electrónicos.</t>
  </si>
  <si>
    <t>При недостаточном освещении за бортом и в ночном рейсе</t>
  </si>
  <si>
    <t>На время взлета мы выключаем основное освещение. Вы можете воспользоваться лампочкой индивидуального освещения.</t>
  </si>
  <si>
    <t>L'éclairage de cabine va être réduit pour le décollage. Vous pouvez utiliser votre lampe de lecture.</t>
  </si>
  <si>
    <t>Wir sind startbereit und werden nun einen Teil der Kabinenbeleuchtung abschalten. Allerdings können Sie weiterhin von Ihrer Leselampe Gebrauch machen.</t>
  </si>
  <si>
    <t>Las luces de la cabina se atenuarán para el despegue. Pueden utilizar las luces individuales.</t>
  </si>
  <si>
    <t xml:space="preserve">Danke. </t>
  </si>
  <si>
    <t>Противообледенительная обработка (КВС или СБ или PRAM) (дневной/ночной рейс)</t>
  </si>
  <si>
    <t xml:space="preserve">Mesdames et Messieurs! </t>
  </si>
  <si>
    <t xml:space="preserve">Наш самолет должен пройти противообледенительную обработку. </t>
  </si>
  <si>
    <t>The aircraft needs to be de-iced.</t>
  </si>
  <si>
    <t xml:space="preserve">Nous devons effectuer le dégivrage de l’avion. </t>
  </si>
  <si>
    <t>Das Flugzeug muss enteist werden.</t>
  </si>
  <si>
    <t>El avión necesita ser sometido a un proceso de deshielo.</t>
  </si>
  <si>
    <t>Просим вас оставаться на своих местах с застегнутыми ремнями безопасности.</t>
  </si>
  <si>
    <t>Please remain in your seat and keep your seat belt fastened.</t>
  </si>
  <si>
    <t>Veuillez rester à vos places avec les ceintures attachées.</t>
  </si>
  <si>
    <t>Bitte bleiben Sie angeschnallt sitzen.</t>
  </si>
  <si>
    <t>Por favor permanezcan sentados con su cinturón de seguridad abrochado.</t>
  </si>
  <si>
    <t>Danke für Ihre Aufmerksamkeit.</t>
  </si>
  <si>
    <t>Hier spricht Ihr Kapitän. Mein Name ist… [имя и фамилия]. Im Namen der gesamten Besatzung und von „Aeroflot – Russian Airlines“ begrüße ich Sie herzlich an Bord dieses Flugzeugs/dieser… [тип ВС].</t>
  </si>
  <si>
    <t>Unsere Flugroute geht heute von… nach… (in Partnerschaft mit der Fluggesellschaft… [название авиакомпании по код-шер]).</t>
  </si>
  <si>
    <t>Die Ursache ist die Verspätung der Transitpassagiere.</t>
  </si>
  <si>
    <t>Die Ursache ist die verspätete Ankunft des Flugzeugs.</t>
  </si>
  <si>
    <t>Die Ursache ist der Streik am Flughafen.</t>
  </si>
  <si>
    <t>Die Ursache ist betriebsbedingte Gründen.</t>
  </si>
  <si>
    <t>СБ: Wir wünschen I hnen guten Flug.</t>
  </si>
  <si>
    <t>6. Im Falle einer Notlandung auf Wasser können die Notrutschen an den vorderen Ausgängen, vor den Tragflächen, hinter den Tragflächen und an den hinteren Ausgängen als Rettungsflöße benutzt werden.</t>
  </si>
  <si>
    <t>The cabin lights will be dimmed for take off. You may use your individual reading light.</t>
  </si>
  <si>
    <t>Во время ожидания разрешения на взлет (КВС) (дневной/ночной рейс)</t>
  </si>
  <si>
    <t>Говорит командир корабля.</t>
  </si>
  <si>
    <t>This is your Сaptain speaking.</t>
  </si>
  <si>
    <t>C’est le commandant qui vous parle.</t>
  </si>
  <si>
    <t>Hier spricht Ihr Kapitän.</t>
  </si>
  <si>
    <t>Les habla el comandante.</t>
  </si>
  <si>
    <t>СБ: Le commandant nous informe que…</t>
  </si>
  <si>
    <t>СБ: Der Flugkapitän hat uns folgendes mitgeteilt.</t>
  </si>
  <si>
    <t>СБ: El comandante nos informa de que…</t>
  </si>
  <si>
    <t>Прошу вас оставаться на своих местах с застегнутыми ремнями безопасности.</t>
  </si>
  <si>
    <t>Veuillez rester à votre siège et garder votre ceinture attachée.</t>
  </si>
  <si>
    <t>Por favor permanezcan sentados con el cinturón de seguridad abrochado.</t>
  </si>
  <si>
    <t>We are waiting for the take off clearance. This will take… minutes/several minutes.</t>
  </si>
  <si>
    <t>Wir warten auf die Starterlaubnis und müssen uns noch… Minuten/ein paar Minuten gedulden.</t>
  </si>
  <si>
    <t>Estamos esperando el permiso para el despegue, lo que llevará… minutos/varios minutos.</t>
  </si>
  <si>
    <t>Готовность к взлету (СБ или PRAM) (дневной/ночной рейс)</t>
  </si>
  <si>
    <t xml:space="preserve">Наш самолет готов к взлету. </t>
  </si>
  <si>
    <t>The aircraft is ready for take off.</t>
  </si>
  <si>
    <t>L'appareil est prêt au décollage.</t>
  </si>
  <si>
    <t>Wir sind nun startbereit.</t>
  </si>
  <si>
    <t>El avión está listo para el despegue.</t>
  </si>
  <si>
    <t>Просим вас убедиться, что:</t>
  </si>
  <si>
    <t xml:space="preserve">Please ensure that: </t>
  </si>
  <si>
    <t>Veuillez-vous assurer que:</t>
  </si>
  <si>
    <t>Por favor asegúrese de que:</t>
  </si>
  <si>
    <t>Желаем приятного полета.</t>
  </si>
  <si>
    <t>We wish you a pleasant flight.</t>
  </si>
  <si>
    <t>Nous vous souhaitons un agréable vol.</t>
  </si>
  <si>
    <t>Wir wünschen Ihnen einen angenehmen Flug.</t>
  </si>
  <si>
    <t>Le deseamos un vuelo agradable.</t>
  </si>
  <si>
    <t>все электронные устройства выключены;</t>
  </si>
  <si>
    <t>ремень безопасности застегнут;</t>
  </si>
  <si>
    <t>спинка кресла в вертикальном положении;</t>
  </si>
  <si>
    <t xml:space="preserve">столик убран. </t>
  </si>
  <si>
    <t>all electronic devices are switched off;</t>
  </si>
  <si>
    <t>your seatbelt is fastened;</t>
  </si>
  <si>
    <t>your seat is in the upright position, and</t>
  </si>
  <si>
    <t>your tray table is stowed.</t>
  </si>
  <si>
    <t>tous les appareils électroniques sont éteints;</t>
  </si>
  <si>
    <t>votre ceinture est bien attachée;</t>
  </si>
  <si>
    <t>votre siège est en position redressée;</t>
  </si>
  <si>
    <t>votre tablette est relevée.</t>
  </si>
  <si>
    <t>alle elektronischen Geräte ausgeschaltet sind;</t>
  </si>
  <si>
    <t>Ihr Sicherheitsgurt geschlossen ist;</t>
  </si>
  <si>
    <t xml:space="preserve">Ihre Sitzlehne senkrecht steht </t>
  </si>
  <si>
    <t>und Ihr Tischchen eingeklappt ist.</t>
  </si>
  <si>
    <t>todos los equipos electrónicos están apagados;</t>
  </si>
  <si>
    <t>su cinturón de seguridad está abrochado;</t>
  </si>
  <si>
    <t>su asiento está en posición vertical;</t>
  </si>
  <si>
    <t>su mesilla está plegada.</t>
  </si>
  <si>
    <t>Информация в полете</t>
  </si>
  <si>
    <t xml:space="preserve">Предоставляемые услуги в рейсе (СБ) (дневной/ночной рейс) </t>
  </si>
  <si>
    <t>Читать во время набора высоты через 7 минут после взлета</t>
  </si>
  <si>
    <t>Время в пути до… [пункт назначения] …часов …минут.</t>
  </si>
  <si>
    <t>The flight time to… [пункт назначения] is …hours …minutes.</t>
  </si>
  <si>
    <t>La durée de vol jusqu’à… [пункт назначения] est …heures et …minutes.</t>
  </si>
  <si>
    <t>Die Flugzeit nach… [пункт назначения] beträgt …Stunden und …Minuten.</t>
  </si>
  <si>
    <t>Este vuelo a… [пункт назначения] tiene una duración de …horas y …minutos.</t>
  </si>
  <si>
    <t>Welcome on board the Aeroflot aircraft named after the… [указать определение рода деятельности из Приложения №2]… [имя и фамилия человека, в честь которого названо ВС].</t>
  </si>
  <si>
    <t>Die Ursache ist schlechte Wetterbedingungen am Startflughafen/ am Zielflughafen/ auf unserer vorgesehen Flugstrecke.</t>
  </si>
  <si>
    <t>Питание</t>
  </si>
  <si>
    <t>Im Flug werden wir… [выбрать необходимое] servieren.</t>
  </si>
  <si>
    <t>ужин</t>
  </si>
  <si>
    <t>dinner</t>
  </si>
  <si>
    <t>un diner</t>
  </si>
  <si>
    <t>Abendessen</t>
  </si>
  <si>
    <t>una cena</t>
  </si>
  <si>
    <t>на рейсах длительной продолжительности</t>
  </si>
  <si>
    <t>und… [выбрать 2-й рацион питания] servieren.</t>
  </si>
  <si>
    <t>Торговля</t>
  </si>
  <si>
    <t>для дневных рейсов до 2 часов</t>
  </si>
  <si>
    <t>для ночных рейсов любой продолжительности</t>
  </si>
  <si>
    <t xml:space="preserve">Приглашаем вас сделать покупки товаров «Sky Shop». </t>
  </si>
  <si>
    <t>Während des Fluges haben Sie eine Gelegenheit, in unserem „Sky Shop“ einzukaufen.</t>
  </si>
  <si>
    <t>Пожалуйста, обратитесь к бортпроводникам до начала снижения самолета.</t>
  </si>
  <si>
    <t>Please address a cabin attendant before the aircraft starts to descend.</t>
  </si>
  <si>
    <t xml:space="preserve">Falls Sie etwas einkaufen möchten, sprechen Sie bitte vor dem Landeanflug mit einem Ihrer Flugbegleiter. </t>
  </si>
  <si>
    <t>Si desean realizar una compra, diríjanse al personal de cabina antes de que el avión comience su descenso.</t>
  </si>
  <si>
    <t>для дневных рейсов от 2 часов и более</t>
  </si>
  <si>
    <t>После обслуживания питанием вы сможете приобрести товары «Sky Shop».</t>
  </si>
  <si>
    <t>Для вашего удобства предлагаем вам заполнить купон на покупку товара из каталога «Sky Shop» и передать его бортпроводникам. Мы выполним ваш заказ до начала снижения самолета.</t>
  </si>
  <si>
    <t xml:space="preserve">Für Ihre Bequemlichkeit schlagen wir Ihnen vor, den Inflight-Shopping Coupon in Ihrem „Sky Shop“-Magazin auszufüllen und einem Ihrer Flugbegleiter zu geben. Wir werden Ihren Auftrag vor dem Landeanflug erledigen. </t>
  </si>
  <si>
    <t xml:space="preserve">Para su comodidad pueden rellenar el cupón de compra que está en la revista “Sky Shop” y entregarlo al personal de cabina. Su compra se completará antes del descenso del avión. </t>
  </si>
  <si>
    <t>Развлекательная программа</t>
  </si>
  <si>
    <t>для А330, В777</t>
  </si>
  <si>
    <t>Развлекательная аудио- и видеопрограмма на борту представлена в киногиде «Синема».</t>
  </si>
  <si>
    <t>In der Kinobroschüre „Cinema“ finden Sie eine volle Liste des Audio- und Video-Programms.</t>
  </si>
  <si>
    <t>Encontrarán una lista completa de programas audiovisuales a bordo en el folleto “Cinema”.</t>
  </si>
  <si>
    <t>при неисправности аудио/видео системы</t>
  </si>
  <si>
    <t>Мы сожалеем, что демонстрация аудио- и видеопрограммы не состоится из-за неисправности системы развлечений на борту.</t>
  </si>
  <si>
    <t xml:space="preserve">Unfortunately, the audio video program is unavailable due to a malfunction with the entertainment system. </t>
  </si>
  <si>
    <t>Nous avons le regret de vous annoncer que par suite d’une panne du systeme de distraction le programme audio et video ne peut pas être présenté.</t>
  </si>
  <si>
    <t>Leider können wir Ihnen das Audio/Videoprogramm in diesem Flug wegen eines technischen Mangels im Unterhaltungssystem nicht vorführen.</t>
  </si>
  <si>
    <t>Lamentablemente el programa audiovisual de este vuelo no está disponible debido a un defecto del sistema de entretenimiento.</t>
  </si>
  <si>
    <t>Приносим вам свои извинения и благодарим за понимание.</t>
  </si>
  <si>
    <t>We apologise for any inconvenience and thank you for your understanding.</t>
  </si>
  <si>
    <t>Nous vous prions d’accepter nos excuses et vous remercions de votre compréhension.</t>
  </si>
  <si>
    <t>Wir entschuldigen uns dafür, und bitten um Ihr Verständnis.</t>
  </si>
  <si>
    <t>Pedimos disculpas por las molestias y agradecemos su comprensión.</t>
  </si>
  <si>
    <t>На всех рейсах</t>
  </si>
  <si>
    <t>Будем благодарны за ваши предложения и отзывы о качестве предоставляемых услуг.</t>
  </si>
  <si>
    <t xml:space="preserve">We will appreciate your comments and feedback about the quality of our service. </t>
  </si>
  <si>
    <t>Nous vous remercions de vos opinions concernant les services fournis.</t>
  </si>
  <si>
    <t>Wir würden auch gerne Ihre Meinung und Ihre Kommentare über unseren Service in Erfahrung bringen.</t>
  </si>
  <si>
    <t>Les agradesemos sus sugerencias sobre la calidad de nuestros servicios.</t>
  </si>
  <si>
    <t>При выключении табло «ЗАСТЕГНИТЕ РЕМНИ» (СБ или PRAM) (дневной/ночной рейс)</t>
  </si>
  <si>
    <t xml:space="preserve">Погасло табло «Застегните ремни». Вы можете свободно передвигаться по салону. </t>
  </si>
  <si>
    <t>Das Anschnallzeichen ist jetzt ausgeschaltet. Sie können sich frei durch die Kabine bewegen.</t>
  </si>
  <si>
    <t>Se ha apagado la señal de “Cinturones Abrochados” y ahora pueden moverse libremente por la cabina.</t>
  </si>
  <si>
    <t>Однако, для вашей безопасности, рекомендуем оставлять ремни застегнутыми, когда вы сидите.</t>
  </si>
  <si>
    <t xml:space="preserve">However, for your safety we recommend that you keep your seat belt fastened while seated. </t>
  </si>
  <si>
    <t>Pour votre sécurité, nous vous recommandons de maintenir votre ceinture attachée lorsque vous êtes assis.</t>
  </si>
  <si>
    <t xml:space="preserve">Aus Sicherheitsgründen empfehlen wir Ihnen jedoch, während des Sitzens angeschnallt zu bleiben. </t>
  </si>
  <si>
    <t>No obstante, para su seguridad les recomendamos que mantengan abrochados sus cinturónes de seguridad mientras estén sentados.</t>
  </si>
  <si>
    <t>Информация по использованию электронных устройств на борту представлена в журнале «Аэрофлот».</t>
  </si>
  <si>
    <t>Eine Liste der elektronischen Geräte, die Sie während des Fluges benutzen dürfen, finden Sie in Ihrem „Aeroflot“-Magazin.</t>
  </si>
  <si>
    <t>La información sobre el uso de dispositivos electronicos a bordo está en la revista “Aeroflot”.</t>
  </si>
  <si>
    <t>Развлекательная программа через Wi-Fi (ВС В737) (СБ) (дневной рейс)</t>
  </si>
  <si>
    <t>Для просмотра развлекательной программы, представленной в киногиде «Синема», подключитесь к Wi-Fi на своем электронном устройстве и откройте любой браузер. Услуга предоставляется бесплатно.</t>
  </si>
  <si>
    <t>Für die Vorführung unseres Unterhaltungsprogramms, das in der Flugschrift Cinema ausführlich beschreibt ist, aktivieren Sie Wireless LAN Ihres Gerätes und öffnen Sie jeglichen Browser. Dieser Service ist kostenlos.</t>
  </si>
  <si>
    <t>Para ver el programa divertido ofrecido en el folleto “Cinema” hay que conectarse a Wi-Fi y abrir cualquier Internet-Navegador. El servicio es gratis.</t>
  </si>
  <si>
    <t>При неисправности развлекательной системы через Wi-Fi (ВС В737) (СБ) (дневной рейс)</t>
  </si>
  <si>
    <t>Ich wünsche Ihnen guten Flug.</t>
  </si>
  <si>
    <t>Willkommen an Bord dieser Aeroflot Maschine. Sie trägt den Namen… [указать определение рода деятельности из Приложения №2]… [имя и фамилия человека, в честь которого названо ВС].</t>
  </si>
  <si>
    <t>deux – sur les ailes,</t>
  </si>
  <si>
    <t>Благодарю за внимание.</t>
  </si>
  <si>
    <t xml:space="preserve">Nach dem Essen haben Sie eine Gelegenheit in unserem „Sky Shop“ einzukaufen. </t>
  </si>
  <si>
    <t>Мы сожалеем, что просмотр аудиовидеопрограммы невозможен из-за неисправности системы развлечений на борту.</t>
  </si>
  <si>
    <t>Unfortunately, the audio video program is unavailable due to a malfunction with the entertainment system.</t>
  </si>
  <si>
    <t>Приносим вам свои извинения за причиненные неудобства.</t>
  </si>
  <si>
    <t>We apologise for any inconvenience caused.</t>
  </si>
  <si>
    <t>Les pedimos disculpas por las molestias causadas.</t>
  </si>
  <si>
    <t>Мобильная связь и Интернет на борту ВС</t>
  </si>
  <si>
    <t>Услуга мобильной связи и доступа в Интернет (ВС А320/А321) (СБ) (дневной рейс)</t>
  </si>
  <si>
    <t>На борту нашего самолета вы можете воспользоваться платной услугой мобильной связи и доступа в Интернет. Услуга доступна только при отключенном табло «Выключить телефоны».</t>
  </si>
  <si>
    <t>An Bord unseres Flugzeuges stehen Ihnen der Mobilfunk und der Internetzugang zur Verfügung. Dieser Service ist gebührenpflichtig und erst dann verfügbar, wenn das Leuchtzeichen „Mobilfunk nicht zulässig“ ausgeschaltet ist.</t>
  </si>
  <si>
    <t>Услуга доступа в Интернет (ВС А330/B777) (СБ) (дневной рейс)</t>
  </si>
  <si>
    <t>На борту нашего самолета вы можете воспользоваться платной услугой доступа в Интернет. Услуга доступна только при отключенном табло «Выключить телефоны». </t>
  </si>
  <si>
    <t>An Bord unseres Flugzeuges steht Ihnen der Internetzugang zur Verfügung. Dieser Service ist gebührenpflichtig und erst dann verfügbar, wenn das Leuchtzeichen „Mobilfunk nicht zulässig“ ausgeschaltet ist.</t>
  </si>
  <si>
    <t xml:space="preserve">Активируйте Wi-Fi на Вашем персональном устройстве, выберите сеть доступа “Aeroflot” и запустите Интернет-браузер. </t>
  </si>
  <si>
    <t>Aktivieren Sie Wireless LAN Ihres Gerätes, verbinden Sie diese mit unserem Netzwerk „Aeroflot“ und öffnen Sie Ihren Browser.</t>
  </si>
  <si>
    <t>Необходимая информация по использованию услуги и тарифы представлены на сайте регистрации.</t>
  </si>
  <si>
    <t>You can find all necessary information about the service and its tariffs on the log-in portal.</t>
  </si>
  <si>
    <t>Une information nécessaire sur l’utilisation de ce service et les tarifs sont présentées sur la page d’inscription.</t>
  </si>
  <si>
    <t>Alle nötigen Informationen finden Sie im Anmeldefenster.</t>
  </si>
  <si>
    <t>Недоступность услуги мобильной связи и доступа в Интернет (СБ) (дневной рейс)</t>
  </si>
  <si>
    <t>Мы сожалеем, что услуга доступа в Интернет (и мобильной связи) недоступна из-за отсутствия сигнала в системе.</t>
  </si>
  <si>
    <t>Unfortunately, the Internet access (and mobile phone connection) on board our aircraft is unavailable due to lack of signal in the system.</t>
  </si>
  <si>
    <t>Перед началом торговли на борту (СБ) (дневной рейс от 2 часов и более)</t>
  </si>
  <si>
    <t xml:space="preserve">Мы готовы предложить вам товары «Sky Shop». </t>
  </si>
  <si>
    <t>Wir sind jetzt bereit, Ihnen die Artikel aus dem „Sky Shop“ anzubieten.</t>
  </si>
  <si>
    <t xml:space="preserve">(Говорит командир корабля.) </t>
  </si>
  <si>
    <t>(This is your Сaptain speaking.)</t>
  </si>
  <si>
    <t>(C’est le commandant qui vous parle.)</t>
  </si>
  <si>
    <t>(Les habla el comandante.)</t>
  </si>
  <si>
    <t>Благодарю (благодарим) за внимание.</t>
  </si>
  <si>
    <t>Nous volons actuellement à l’altitude …mètres.</t>
  </si>
  <si>
    <t>Unsere derzeitige Flughöhe beträgt …Meter.</t>
  </si>
  <si>
    <t>Estamos volando a una altura de …metros</t>
  </si>
  <si>
    <t>Und unsere Fluggeschwindigkeit ist …Kilometer pro Stunde.</t>
  </si>
  <si>
    <t>Y a una velocidad de …kilómetros por hora.</t>
  </si>
  <si>
    <t>Die Flugstrecke beträgt …Kilometer.</t>
  </si>
  <si>
    <t>El trayecto de vuelo es de …kilómetros.</t>
  </si>
  <si>
    <t>Сейчас наш полет проходит над территорией… [страна, город, горы, океан, море и др.].</t>
  </si>
  <si>
    <t>We are currently flying over… [country, city, mountains, sea, ocean и др.].</t>
  </si>
  <si>
    <t>Nous survolons actuellement [pays, ville, montagne, mer, océan и др.].</t>
  </si>
  <si>
    <t>Wir überfliegen derzeit… [Land, Stadt, Berge, Meer, See и др.].</t>
  </si>
  <si>
    <t>Estamos sobrevolando… [país, ciudad, montañas, mar, océano и др.]</t>
  </si>
  <si>
    <t>Через …часов …минут мы будем пролетать / Наш маршрут будет проходить над… [страна, город, горы, океан, море и др.].</t>
  </si>
  <si>
    <t>(In …hours …minutes) we will pass over… [country, city, mountains, sea, ocean и др.].</t>
  </si>
  <si>
    <t>(Dans …heures …minutes) nous survolerons… [pays, ville, montagne, mer, océan и др.].</t>
  </si>
  <si>
    <t>In einer Stunde (In …Stunden) …Minuten werden wir… [Land, Stadt, Berge, Meer, See и др.] überfliegen.</t>
  </si>
  <si>
    <t>(Dentro de …horas y …minutos) sobrevolaremos [país, ciudad, montañas, mar, océano и др.].</t>
  </si>
  <si>
    <t>Расчетное время прибытия в… [название города], аэропорт… [название аэропорта] …часов …минут по московскому/по местному времени. Разница во времени между… [название города] и Москвой плюс/минус …часов.</t>
  </si>
  <si>
    <t>Notre arrivée à… [название города]/… [название аэропорта] est prévue à …heures …minutes heure de Moscou/heure locale. Le décalage horaire entre… [название города] et Moscou est plus/moins …heures.</t>
  </si>
  <si>
    <t>Unsere voraussichtliche Ankunft in… [название города], Flughafen… [название аэропорта] ist um …Uhr …Minuten Ortszeit/Moskauer Zeit. Der Zeitunterschied zwischen… [название города] und Moskau beträgt minus/plus …Stunden (eine Stunde).</t>
  </si>
  <si>
    <t>Nuestra hora aproximada de llegada al aeropuerto… [название аэропорта] de… [название города] es de …horas y …minutos hora de Moscú/hora local. La diferencia horaria entre… [название города] y Moscú es de …horas más/menos.</t>
  </si>
  <si>
    <t>Программа «Аэрофлот Бонус» (СБ или PRAM) (дневной рейс)</t>
  </si>
  <si>
    <t>Наша авиакомпания представляет программу премирования пассажиров «Аэрофлот Бонус», участие в которой позволяет накапливать мили и обменивать их на авиабилеты авиакомпаний Группы Аэрофлот и альянса SkyTeam, а также на услуги партнеров по всему миру.</t>
  </si>
  <si>
    <t>Dürfen wir Ihnen nun das „Aeroflot Bonus“ Programm von „Aeroflot – Russian Airlines“ vorstellen. Sie können Ihre Flugmeilen für Prämien-Tickets bei Aeroflot oder anderen SkyTeam Mitgliedern, oder aber auch für andere Partnerangebote einlösen.</t>
  </si>
  <si>
    <t>Владельцы карт элитных уровней «Аэрофлот Бонус» получают дополнительные привилегии на рейсах авиакомпаний Группы Аэрофлот и альянса SkyTeam.</t>
  </si>
  <si>
    <t xml:space="preserve">Holders of Aeroflot Bonus Elite cards obtain additional benefits on the flights of the airlines of Aeroflot Group and SkyTeam. </t>
  </si>
  <si>
    <t>Inhaber von Aeroflot-Bonuskarten der Eliteniveaus genießen zusätzliche Vorteile auf den Flügen, der an der Aeroflot-Gruppe beteiligten Fluggesellschaften, sowie anderer SkyTeam Mitglieder.</t>
  </si>
  <si>
    <t>Los poseedores de tarjetas de “Aeroflot Bonus” Elite y Elite Plus tienen otros beneficios adicionales en los vuelos de las lineas aereas del Aeroflot Group y de la alianza internacional SkyTeam.</t>
  </si>
  <si>
    <t xml:space="preserve">Получить подробную информацию и стать участником программы вы можете на сайте Аэрофлота. </t>
  </si>
  <si>
    <t>You can get more detailed information and join the program at the Aeroflot website.</t>
  </si>
  <si>
    <t>Pour obtenir plus d'information et joindre le programme adressez-vous à la web-site d’Aeroflot.</t>
  </si>
  <si>
    <t>Wenn Sie weitere Informationen haben und dem Programm beitreten möchten, besuchen Sie bitte die Webseite der Aeroflot.</t>
  </si>
  <si>
    <t>Pueden obtener más información o incorporarse al programa en web página de Aeroflot.</t>
  </si>
  <si>
    <t>Зона турбулентности (СБ или PRAM) (дневной/ночной рейс)</t>
  </si>
  <si>
    <t>Обязательно читать в случае возникновения турбулентности любой силы</t>
  </si>
  <si>
    <t>Просим вас оставаться на своих местах с застегнутыми ремнями безопасности до выключения табло «Застегните ремни».</t>
  </si>
  <si>
    <t xml:space="preserve">Bitte kehren Sie zu Ihren Plätzen zurück, schließen Sie Ihren Sicherheitsgurt, und bleiben Sie so lange angeschnallt sitzen, bis die Anschnallzeichen erloschen sind. </t>
  </si>
  <si>
    <t>Les pedimos quédense en sus asientos con cinturones abrochados hasta que la señal de cinturones de seguridad sea apagada.</t>
  </si>
  <si>
    <t>Прерывание обслуживания в зоне турбулентности (СБ или PRAM) (дневной/ночной рейс)</t>
  </si>
  <si>
    <t>Мы вынуждены прекратить обслуживание и возобновим его, как только передвижение по салону станет безопасным.</t>
  </si>
  <si>
    <t xml:space="preserve">We have to interrupt service and will resume it when it becomes safe to move about the cabin. </t>
  </si>
  <si>
    <t>Nous sommes obligés d’interrompre notre service. Le service sera repris dès que le danger de déplacement dans la cabine aura été minimal.</t>
  </si>
  <si>
    <t xml:space="preserve">Unser Kabinen-Service wird vorübergehend eingestellt und erst dann wieder aufgenommen, wenn sich die Turbulenzen gelegt haben. </t>
  </si>
  <si>
    <t>Tenemos que cesar los servicios de vuelo temporalmente y se reanudarán una vez sea posible moverse por la cabina.</t>
  </si>
  <si>
    <t>Невозможность предоставления горячих напитков в зоне турбулентности (СБ или PRAM) (дневной/ночной рейс)</t>
  </si>
  <si>
    <t xml:space="preserve">Командир корабля сообщил, что наш самолет находится в зоне турбулентности. </t>
  </si>
  <si>
    <t xml:space="preserve">The Captain has informed us that the aircraft is in the area of turbulence. </t>
  </si>
  <si>
    <t>Le commandant nous informe que notre avion se trouve dans une zone de turbulence.</t>
  </si>
  <si>
    <t>El comandante nos informa de que nuestro avión está en una zona de turbulencia.</t>
  </si>
  <si>
    <t>Для вашей безопасности мы вынуждены прекратить обслуживание горячими напитками до выхода самолета из зоны турбулентности.</t>
  </si>
  <si>
    <t xml:space="preserve">For your safety, we will stop serving hot drinks until the aircraft leaves the area of turbulence. </t>
  </si>
  <si>
    <t>Pour votre sécurité, nous sommes obligés d’interrompre le service des boissons chaudes.</t>
  </si>
  <si>
    <t>Aus Sicherheitsgründen wird unser Kabinen-Service eingestellt. Heiße Getränke werden erst dann wieder serviert werden, wenn wir die Schlechtwetterzone durchflogen haben.</t>
  </si>
  <si>
    <t>Перед вторым предоставлением питания (СБ) (дневной рейс)</t>
  </si>
  <si>
    <t>Good morning (afternoon, evening), Ladies and Gentlemen!</t>
  </si>
  <si>
    <t>Доброе утро (день, вечер), дамы и господа!</t>
  </si>
  <si>
    <t>Bonjour/Bonsoir, Mesdames et Messieurs!</t>
  </si>
  <si>
    <t>Guten Morgen/Tag/Abend, meine Damen und Herren!</t>
  </si>
  <si>
    <t>Wir werden in Kürze… [выбрать необходимое] servieren.</t>
  </si>
  <si>
    <t>The remaining time to… [пункт назначения] is …hours …minutes.</t>
  </si>
  <si>
    <t xml:space="preserve">La durée de vol jusqu’à… [пункт назначения] est …heures …minutes. </t>
  </si>
  <si>
    <t>Die restliche Flugzeit bis zur Landung in… [пункт назначения] beträgt …Stunden und …Minuten.</t>
  </si>
  <si>
    <t>El tiempo que queda para nuestra llegada a… [пункт назначения] es de …horas y …minutos.</t>
  </si>
  <si>
    <t xml:space="preserve">Заполнение формуляров на международных рейсах </t>
  </si>
  <si>
    <t>Всем пассажирам необходимо заполнить таможенную декларацию. На семью требуется одна декларация, заполняемая главой семьи.</t>
  </si>
  <si>
    <t>Tous les passagers doivent remplir une déclaration de douane. Il suffit de remplir une déclaration pour chaque famille, qui doît-être remplie par le chef de famille.</t>
  </si>
  <si>
    <t>Alle Passagiere müssen eine Zollerklärung ausfüllen Für die Familie ist eine vom Oberhaupt der Familie Zollerklärung erforderlich.</t>
  </si>
  <si>
    <t xml:space="preserve">Просим вас заполнить бланки на английском языке печатными заглавными буквами и сохранить для предъявления властям. </t>
  </si>
  <si>
    <t>We request that you complete all forms in English, using clear capital letters, and keep these with you for inspection by the border staff.</t>
  </si>
  <si>
    <t>Nous vous prions de remplir les formulaires en anglais en caractères imprimés et de les garder pour présenter aux autorités d'immigration.</t>
  </si>
  <si>
    <t>Wir bitten Sie, alle Formulare auf Englisch auszufüllen. Bitte schreiben Sie in Großbuchstaben, und halten Sie die Formulare nach der Landung für die Prüfung durch die Einreise- und Zollkontrolle bereit.</t>
  </si>
  <si>
    <t>Les pedimos llenar formularios con letras de imprenta y guardar hasta presentar a las autoridades</t>
  </si>
  <si>
    <t>С порядком заполнения можно ознакомиться в журнале «Аэрофлот».</t>
  </si>
  <si>
    <t>Anweisungen zum Ausfüllen der Formulare finden Sie in Ihrem „Aeroflot“-Magazin.</t>
  </si>
  <si>
    <t>Формуляры должны быть заполнены до выхода из самолета.</t>
  </si>
  <si>
    <t xml:space="preserve">The forms must be completed before leaving the aircraft. </t>
  </si>
  <si>
    <t>Les formulaires doivent être remplis avant le débarquement.</t>
  </si>
  <si>
    <t xml:space="preserve">Die Formulare müssen vor dem Verlassen des Flugzeugs ausgefüllt werden. </t>
  </si>
  <si>
    <t>Los formularios han de rellenarse antes de abandonar el avión.</t>
  </si>
  <si>
    <t>Если вам нужна помощь, пожалуйста, обращайтесь, к бортпроводникам.</t>
  </si>
  <si>
    <t>If you have any questions, please do not hesitate to ask the cabin attendants for assistance.</t>
  </si>
  <si>
    <t>Si vous avez besoin de l’aide adressez-vous au personnel de cabine.</t>
  </si>
  <si>
    <t>Falls Sie Hilfe benötigen, wenden Sie sich bitte an einen Ihrer Flugbegleiter.</t>
  </si>
  <si>
    <t>Si ustedes necesitan ayuda, diríjanse, por favor, al personal de la cabina.</t>
  </si>
  <si>
    <t>Заполнение формуляров для въезда в другие страны (СБ) (дневной/ночной рейс)</t>
  </si>
  <si>
    <t>In Übereinstimmung mit den Anforderungen der Staatsbehörden sollen alle Fluggäste außer Staatsangehörigen von… [название страны] … [выбрать необходимое] ausfüllen.</t>
  </si>
  <si>
    <t>une carte d'immigration;</t>
  </si>
  <si>
    <t>При наличии бланков на борту</t>
  </si>
  <si>
    <t xml:space="preserve">Просим вас заполнить бланки печатными буквами и сохранить для предъявления властям. </t>
  </si>
  <si>
    <t>Please fill in the forms in block letters and retain them to present at the airport.</t>
  </si>
  <si>
    <t>Nous vous prions de les remplir en caractères imprimés et les garder pour présenter aux autorités d'immigration.</t>
  </si>
  <si>
    <t>Bitte füllen Sie die Formulare in Großbuchstaben aus, und halten Sie diese bereit, um bei der Einreise vorzulegen.</t>
  </si>
  <si>
    <t>При отсутствии бланков на борту</t>
  </si>
  <si>
    <t>Бланки будут предоставлены вам в аэропорту. Просим вас заполнить формуляры печатными буквами.</t>
  </si>
  <si>
    <t xml:space="preserve">Blank forms will be provided at the airport. The forms must be completed in block letters. </t>
  </si>
  <si>
    <t>Заполнение формуляров для въезда в США (СБ или PRAM) (дневной/ночной рейс)</t>
  </si>
  <si>
    <t>Die Formulare müssen vor dem Verlassen des Flugzeugs ausgefüllt werden.</t>
  </si>
  <si>
    <t xml:space="preserve">Si ustedes necesitan ayuda, diríjanse por favor al personal de cabina. </t>
  </si>
  <si>
    <t>Перед посадкой</t>
  </si>
  <si>
    <t>Информация для трансферных пассажиров.</t>
  </si>
  <si>
    <t>This information is for transfer passengers.</t>
  </si>
  <si>
    <t>Und hier noch Informationen für Transferpassagiere.</t>
  </si>
  <si>
    <t>Esta información es para pasajeros de tránsito.</t>
  </si>
  <si>
    <t>По всем вопросам, включая регистрацию на следующий рейс, обращайтесь к сотрудникам стойки «Трансфер».</t>
  </si>
  <si>
    <t xml:space="preserve">In allen Fragen, einschließlich Registrierung, wenden Sie sich ans Personal am Transferschalter. </t>
  </si>
  <si>
    <t>Si tiene preguntas, incluso la registracion para su próximo vuelo por favor pónganse en contacto con el personal de la la oficina de tránsitos.</t>
  </si>
  <si>
    <t>Информация для трансферных пассажиров перед посадкой в Москве – для прочтения сразу после получения информации от КВС</t>
  </si>
  <si>
    <t xml:space="preserve">Изменение выходов на посадку (СБ) (дневной/ночной рейс) </t>
  </si>
  <si>
    <t>Ожидание трансферных пассажиров на выходе из самолета для сопровождения («спасение стыковки») (СБ) (дневной/ночной рейс)</t>
  </si>
  <si>
    <t xml:space="preserve">После выхода из самолета, в здании аэровокзала, вас ожидает сотрудник Аэрофлота, который будет сопровождать вас к выходу на посадку стыковочного рейса. </t>
  </si>
  <si>
    <t xml:space="preserve">Just after you enter the airport there is an Aeroflot staff waiting to accompany you to the gate of your next flight. </t>
  </si>
  <si>
    <t>Время стыковки ограничено, просим вас не задерживаться.</t>
  </si>
  <si>
    <t xml:space="preserve">Your connecting time is limited. Please don’t be late for your flight. </t>
  </si>
  <si>
    <t>Wir bitten Sie, sich wie möglich zu beeilen, weil die Anschlusszeit eingeschränkt ist.</t>
  </si>
  <si>
    <t>El tiempo de conexión está limitada. Tengan prisa, por favor.</t>
  </si>
  <si>
    <t>Вниманию трансферных пассажиров, продолжающих свой полет рейсом Аэрофлота/рейсом… [название авиакомпании] … [номер рейса] в… [пункт назначения]!</t>
  </si>
  <si>
    <t>Information for transfer passengers with connecting Aeroflot/… [название авиакомпании] flight… [номер рейса] to… [пункт назначения]!</t>
  </si>
  <si>
    <t xml:space="preserve">Meine Damen und Herren! Und hier noch Informationen für Transferfluggäste, die mit von Aeroflot/… [указать авиакомпанию] erfülltem Anschlußflug… [номер рейса] nach… [пункт назначения] weiterfliegen. </t>
  </si>
  <si>
    <t>Información para pasajeros de tránsito que siguen su vuelo con Aeroflot /… [указать авиакомпанию] numero… [номер рейса] a… [пункт назначения]!</t>
  </si>
  <si>
    <t xml:space="preserve">Если вы пользовались ручной кладью во время полета, разместите ее на багажной полке или под сиденьем кресла перед вами. </t>
  </si>
  <si>
    <t xml:space="preserve">If you have been using your hand luggage during the flight, please place it in the overhead bin or under the seat in front of you. </t>
  </si>
  <si>
    <t>Sollten Sie während Ihres Fluges Ihr Handgepäck benutzt haben, verstauen Sie es bitte wieder in der Ablage über Ihnen oder unter Ihrem Vordersitz.</t>
  </si>
  <si>
    <t xml:space="preserve">Благодарим за внимание. </t>
  </si>
  <si>
    <t>Командир корабля сообщил, что через …минут мы приступим к снижению.</t>
  </si>
  <si>
    <t>The Сaptain has informed us that in …minutes we will start our descent.</t>
  </si>
  <si>
    <t>Le commandant nous informe que la descente aura lieu dans …minutes.</t>
  </si>
  <si>
    <t xml:space="preserve">El comandante nos ha informado de que en …minutos empezaremos nuestro descenso. </t>
  </si>
  <si>
    <t>При включении табло «ЗАСТЕГНИТЕ РЕМНИ» (СБ) (дневной/ночной рейс)</t>
  </si>
  <si>
    <t>Командир корабля включил табло «Застегните ремни».</t>
  </si>
  <si>
    <t>Der Kapitän hat die Anschnallzeichen eingeschaltet.</t>
  </si>
  <si>
    <t>El comandante ha encendido la señal de ”Cinturones Abrochados”.</t>
  </si>
  <si>
    <t>El avión ha comenzado el descenso y en …minutos aterrizará en… [выбрать необходимое].</t>
  </si>
  <si>
    <t>el aeropuerto Sheremetyevo de Moscú, la terminal B/C/D/E/F;</t>
  </si>
  <si>
    <t>в… [название города], аэропорт… [название аэропорта], Терминал… [указать при наличии информации], выход… [указать при наличии информации].</t>
  </si>
  <si>
    <t xml:space="preserve">à… [название города] l’aéroport… [название аэропорта], aérogare… [указать] , sortie… [указать при наличии информации]. </t>
  </si>
  <si>
    <t>in… [название города] , auf dem Flughafen… [название аэропорта], Terminal… [указать], Flugsteig… [указать при наличии информации] landen.</t>
  </si>
  <si>
    <t>el aeropuerto… [название аэропорта] de… [название города], la terminal… [указать], la Puerta… [указать при наличии информации].</t>
  </si>
  <si>
    <t>Для Москвы</t>
  </si>
  <si>
    <t>Трансферным пассажирам мы рекомендуем ознакомиться со схемой терминалов аэропорта и местами расположения стоек регистрации трансфера в журнале «Аэрофлот».</t>
  </si>
  <si>
    <t>Для Санкт-Петербурга</t>
  </si>
  <si>
    <t>Схема аэропорта размещена в журнале «Аэрофлот».</t>
  </si>
  <si>
    <t>Einen Plan der Flughafenterminals finden Sie in Ihrem „Aeroflot“-Magazin.</t>
  </si>
  <si>
    <t>Для всех рейсов</t>
  </si>
  <si>
    <t>Мы прекращаем обслуживание и начинаем подготовку к посадке. Просим вас:</t>
  </si>
  <si>
    <t>We have to stop our service as we are now preparing for landing. Please:</t>
  </si>
  <si>
    <t>Unser Bordservice wird nun eingestellt, da wir uns auf die Landung vorbereiten. Bitte:</t>
  </si>
  <si>
    <t>Los servicios de a bordo cesan ahora en preparación para el aterrizaje, por favor:</t>
  </si>
  <si>
    <t>Все электронные устройства должны быть выключены до момента полной остановки самолета.</t>
  </si>
  <si>
    <t>All electronic devices must be switched off until the aircraft comes to a complete stop.</t>
  </si>
  <si>
    <t>Nous vous rappelons que tous les appareils électroniques doivent être éteints jusqu'à l'arrêt complet de l'appareil.</t>
  </si>
  <si>
    <t xml:space="preserve">Погода в… [название города назначения] … (хорошая, солнечная, дождливая, ненастная, др.). </t>
  </si>
  <si>
    <t>The weather in… [название города назначения] is… (good, sunny, rainy, poor, etc.)</t>
  </si>
  <si>
    <t xml:space="preserve">Il… (fait beau, fait soleil, il pleut и др.) à… [название города назначения]. </t>
  </si>
  <si>
    <t>Das Wetter in… [название города назначения] ist… (gut, sonnig, regnerisch, schlecht usw).</t>
  </si>
  <si>
    <t>занять свое кресло;</t>
  </si>
  <si>
    <t>return to your seat;</t>
  </si>
  <si>
    <t>retourner à votre siège;</t>
  </si>
  <si>
    <t>kehren Sie zu Ihrem Sitzplatz zurück;</t>
  </si>
  <si>
    <t>regresen a su asiento;</t>
  </si>
  <si>
    <t>убедиться, что ручная кладь размещена на багажной полке или под сиденьем кресла перед вами;</t>
  </si>
  <si>
    <t>check that your hand luggage is located in the overhead bin or under the seat in front of you;</t>
  </si>
  <si>
    <t>assurer que vos bagages à mains soient dans les coffres à bagages ou sous le siège devant vous</t>
  </si>
  <si>
    <t>fasten your seatbelt;</t>
  </si>
  <si>
    <t>mettre votre siège en position vertical;</t>
  </si>
  <si>
    <t>vuelvan a poner su asiento en posición vertical;</t>
  </si>
  <si>
    <t>убрать откидной столик;</t>
  </si>
  <si>
    <t>stow the tray table;</t>
  </si>
  <si>
    <t>klappen Sie Ihr Tischchen ein,</t>
  </si>
  <si>
    <t>plieguen la mesilla;</t>
  </si>
  <si>
    <t>открыть шторку иллюминатора.</t>
  </si>
  <si>
    <t>open the window blind.</t>
  </si>
  <si>
    <t>ouvrir le store de l’hublot.</t>
  </si>
  <si>
    <t>öffnen Sie ihre Sichtblende.</t>
  </si>
  <si>
    <t>abran la persiana de la ventanilla.</t>
  </si>
  <si>
    <t>Обращаем ваше внимание, что пледы и подушки являются собственностью авиакомпании.</t>
  </si>
  <si>
    <t>Please note that the blankets and pillows are property of the airline.</t>
  </si>
  <si>
    <t>Nous vous rappelons que les coussins et les couvertures appartiennent à la compagnie.</t>
  </si>
  <si>
    <t>Les recordamos que las mantas y almohadas son propiedad de la aerolínea.</t>
  </si>
  <si>
    <t>Для ночного рейса</t>
  </si>
  <si>
    <t>На время посадки мы выключаем основное освещение. Вы можете воспользоваться лампочкой индивидуального освещения.</t>
  </si>
  <si>
    <t>Cabin lights will be dimmed during landing. You may use your individual reading light.</t>
  </si>
  <si>
    <t>L’éclairage général de la cabine va être réduite pendant l'atterrissage. Vous pouvez utiliser votre lampe de lecture.</t>
  </si>
  <si>
    <t>Während des Landeanflugs wird ein Teil der Kabinenbeleuchtung ausgeschaltet. Sie können aber weiterhin Ihre Leselampe benutzen.</t>
  </si>
  <si>
    <t>Готовность к посадке (СБ) (дневной/ночной рейс)</t>
  </si>
  <si>
    <t xml:space="preserve">Наш самолет готов к посадке. </t>
  </si>
  <si>
    <t>The aircraft is ready for landing.</t>
  </si>
  <si>
    <t>Unser Flugzeug ist für die Landung bereit.</t>
  </si>
  <si>
    <t>El avión está listo para el aterrizaje.</t>
  </si>
  <si>
    <t>Please ensure that:</t>
  </si>
  <si>
    <t>tous les appareils électroniques sont éteints,</t>
  </si>
  <si>
    <t>votre ceinture est bien attachée,</t>
  </si>
  <si>
    <t>Ihr Sicherheitsgurt geschlossen ist,</t>
  </si>
  <si>
    <t>your seat is in the upright position and</t>
  </si>
  <si>
    <t>votre siège est en position redressée,</t>
  </si>
  <si>
    <t>Ihre Sitzlehne senkrecht steht und</t>
  </si>
  <si>
    <t>столик убран.</t>
  </si>
  <si>
    <t>votre tablette est relevée,</t>
  </si>
  <si>
    <t>Ihr Tischchen eingeklappt ist.</t>
  </si>
  <si>
    <t>После посадки</t>
  </si>
  <si>
    <t>Наш самолет совершил посадку в… [название города], аэропорт… [название аэропорта], Терминал… [указать].</t>
  </si>
  <si>
    <t>El avión ha aterrizado en el aeropuerto… [название аэропорта] de… [название города], la terminal… [указать].</t>
  </si>
  <si>
    <t>Местное время …часов …минут.</t>
  </si>
  <si>
    <t>Local time is …a.m./p.m.</t>
  </si>
  <si>
    <t>L’heure locale est …heures …minutes.</t>
  </si>
  <si>
    <t>Die Ortszeit (Moskauer Zeit) ist …Uhr …Minuten.</t>
  </si>
  <si>
    <t>Unser Flugzeug ist soeben auf dem Flughafen… [название аэропорта], Terminal… [указать], in… [название города] gelandet.</t>
  </si>
  <si>
    <t>La hora local es …horas y …minutos.</t>
  </si>
  <si>
    <t xml:space="preserve">В интересах вашей безопасности просим вас оставаться на своих местах с застегнутыми ремнями до выключения табло «Застегните ремни». </t>
  </si>
  <si>
    <t>Aus Sicherheitsgründen bleiben Sie bitte solange angeschnallt sitzen, bis die Anschnallzeichen erloschen sind.</t>
  </si>
  <si>
    <t>Пожалуйста, при выходе из самолета не забывайте свои личные вещи.</t>
  </si>
  <si>
    <t>Please ensure you take all your belongings with you when leaving the aircraft.</t>
  </si>
  <si>
    <t xml:space="preserve">N’oubliez pas vos objets peronnels à bord de l’avion. </t>
  </si>
  <si>
    <t>Lassen Sie bitte, kein Handgepäck in der Kabine liegen.</t>
  </si>
  <si>
    <t>No olvide por favor su equipaje de mano.</t>
  </si>
  <si>
    <t>Обращаем ваше внимание, что первыми к выходу приглашаются пассажиры класса Бизнес.</t>
  </si>
  <si>
    <t>Please note that we invite to exit the aircraft business class passengers first.</t>
  </si>
  <si>
    <t>Nous vous rappelons que les passagers de la classe ‘affaire’ ont la priorité à débarquer.</t>
  </si>
  <si>
    <t>Por favor presten atención que primero invitamos a salir a los pasajeros de la clase business.</t>
  </si>
  <si>
    <t>The weather in… [название города назначения] is… (good, sunny, rainy, poor, др.)</t>
  </si>
  <si>
    <t xml:space="preserve">Il… (fait beau, fait soleil, il pleut и др.) à… [название города]. </t>
  </si>
  <si>
    <t>Das Wetter in… [название города] ist … (gut, sonnig, regnerisch, schlecht и др.).</t>
  </si>
  <si>
    <t>При наличии пункта проката Европкар в аэропорту (в соответствии со списком направлений, предоставленным Европкар)</t>
  </si>
  <si>
    <t>Если вам необходимо арендовать автомобиль, рекомендуем обратиться в пункт проката Европкар в аэропорту и получить информацию о наличии специальных скидок для пассажиров Аэрофлота и участников программы «Аэрофлот Бонус» элитных уровней.</t>
  </si>
  <si>
    <t>If you need to rent a car, please contact the Europcar counter at the airport to benefit from special discounts for holders of Aeroflot Bonus Elite cards and for Aeroflot passengers upon availability.</t>
  </si>
  <si>
    <t>При задержке рейса по прибытию 15 минут и более</t>
  </si>
  <si>
    <t>Еще раз приносим вам свои извинения за задержку вылета и причиненные неудобства.</t>
  </si>
  <si>
    <t xml:space="preserve">Once again we apologise for the delayed departure and for any inconvenience caused. </t>
  </si>
  <si>
    <t>Encore une fois, nous vous prions d’accepter nos excuses pour le retard et les inconvéniants rencontrés.</t>
  </si>
  <si>
    <t>Wir möchten uns noch einmal für den verzögerten Abflug entschuldigen und danken für Ihr Verständnis.</t>
  </si>
  <si>
    <t>Una vez más les pedimos disculpas por el retraso en la salida y por las molestias causadas.</t>
  </si>
  <si>
    <t>Nous espérons que vous avez aimé notre vol et nous aurons le plaisir de vous revoir à bord.</t>
  </si>
  <si>
    <t>До свидания!</t>
  </si>
  <si>
    <t>Thank you. Goodbye!</t>
  </si>
  <si>
    <t>Nous vous souhaitons une bonne journée/soirée.</t>
  </si>
  <si>
    <t>Vielen Dank für Ihre Aufmerksamkeit. Auf Wiedersehen.</t>
  </si>
  <si>
    <t>Просим пассажиров, продолжающих свой полет до… [пункт назначения], взять ручную кладь и пройти в зал ожидания. В аэропорту Шереметьево произойдет замена самолета и смена экипажа.</t>
  </si>
  <si>
    <t>Passagiere des Anschlussflugs nach… [пункт назначения] sollten ihr Handgepäck mitnehmen und sich zum Wartebereich begeben. Das Flugzeug und seine Besatzung werden auf dem Flughafen Scheremetjewo ausgetauscht.</t>
  </si>
  <si>
    <t>Les pedimos a los pasajeros con destino a… [пункт назначения] tomar su equipaje de mano y proceder hacia el área de espera. El avión y la tripulación serán reemplazados en el aeropuerto Sheremetyevo.</t>
  </si>
  <si>
    <t xml:space="preserve">Продолжительность стоянки – …часов …минут. </t>
  </si>
  <si>
    <t>The waiting time will be …hours and …minutes.</t>
  </si>
  <si>
    <t>L'escale sera …heures …minutes.</t>
  </si>
  <si>
    <t>Die Wartezeit beträgt …Stunden und …Minuten.</t>
  </si>
  <si>
    <t>El tiempo de espera será de …hora(s) y …minutos.</t>
  </si>
  <si>
    <t>Наш полет завершен.</t>
  </si>
  <si>
    <t>Дамы и господа! Наш полет завершен. Благодарим вас за выбор авиакомпании Аэрофлот.</t>
  </si>
  <si>
    <t>Во время руления ВС, когда пассажиры встают с мест (СБ или PRAM) (дневной/ночной рейс)</t>
  </si>
  <si>
    <t xml:space="preserve">Meine Damen und Herren! </t>
  </si>
  <si>
    <t>Наш самолет находится в движении.</t>
  </si>
  <si>
    <t>The aircraft is still moving.</t>
  </si>
  <si>
    <t>L'appareil roule encore.</t>
  </si>
  <si>
    <t>Das Flugzeug hat seine endgültige Parkposition noch nicht erreicht.</t>
  </si>
  <si>
    <t>El avión aún está en movimiento.</t>
  </si>
  <si>
    <t>Aus Sicherheitsgründen bitten wir Sie, solange angeschnallt sitzen zu bleiben, bis das Flugzeug vollständig zum Stillstand gekommen ist und die Anschnallzeichen erloschen sind.</t>
  </si>
  <si>
    <t>К выходу мы вас пригласим.</t>
  </si>
  <si>
    <t xml:space="preserve">We will invite you to exit the aircraft. </t>
  </si>
  <si>
    <t>Nous vous inviterons pour le débarquement.</t>
  </si>
  <si>
    <t>Wir werden Sie zum Aussteigen einladen.</t>
  </si>
  <si>
    <t>Les diremos cuándo pueden desembarcar.</t>
  </si>
  <si>
    <t>Для вашей безопасности просим вас оставаться на своих местах до полной остановки самолета и выключения табло «Застегните ремни».</t>
  </si>
  <si>
    <t>После заруливания на стоянку и выключения двигателей (КВС) (дневной/ночной рейс)</t>
  </si>
  <si>
    <t xml:space="preserve">Говорит командир корабля. </t>
  </si>
  <si>
    <t xml:space="preserve">Les habla el comandante. </t>
  </si>
  <si>
    <t>We have arrived at our destination.</t>
  </si>
  <si>
    <t>Notre vol est terminé.</t>
  </si>
  <si>
    <t xml:space="preserve">Wir haben unseren Zielflughafen erreicht. </t>
  </si>
  <si>
    <t>Hemos llegado a nuestro destino.</t>
  </si>
  <si>
    <t>Желаю хорошего дня/вечера!</t>
  </si>
  <si>
    <t>Have a nice day/evening.</t>
  </si>
  <si>
    <t>Je vous souhaite une agréable journée/soirée.</t>
  </si>
  <si>
    <t>Ich wünsche Ihnen einen angenehmen Tag/Abend.</t>
  </si>
  <si>
    <t>¡Que tengan un buen día/una buena noche!</t>
  </si>
  <si>
    <t>От имени всего экипажа благодарю за выбор авиакомпании «Аэрофлот – российские авиалинии», участника международного альянса SkyTeam (и авиакомпании «…» [название авиакомпании по код-шер]).</t>
  </si>
  <si>
    <t>En nombre de toda la tripulación, gracias por haber elegido “Aeroflot-Russian Airlines”, miembro de la alianza internaсional SkyTeam (y… [название авиакомпании по код-шер]).</t>
  </si>
  <si>
    <t>СБ: El comandante nos informa que hemos llegado a nuestro destino. El comandante en nombre de toda la tripulación, les agradece por haber elegido “Aeroflot-Russian Airlines”, miembro de la alianza internaсional SkyTeam (y… [название авиакомпании по код-шер]). ¡Que tengan un buen día/una buena noche!</t>
  </si>
  <si>
    <t>Высадка пассажиров по подъездным трапам (СБ или PRAM) (дневной/ночной рейс)</t>
  </si>
  <si>
    <t xml:space="preserve">Через несколько минут подъедет автобус, который доставит вас до здания аэровокзала. </t>
  </si>
  <si>
    <t>In a few minutes a bus will arrive to take you to the airport.</t>
  </si>
  <si>
    <t xml:space="preserve">Dans quelques instants, un bus sera disponible pour vous conduire à l'aérogare. </t>
  </si>
  <si>
    <t xml:space="preserve">In wenigen Minuten werden Sie mit einem Bus zum Flughafengebäude gebracht. </t>
  </si>
  <si>
    <t>En breve llegará un autobús para trasladarles al aeropuerto.</t>
  </si>
  <si>
    <t>Пожалуйста, будьте осторожны, спускаясь по трапу.</t>
  </si>
  <si>
    <t>Please be careful when walking down the airstairs.</t>
  </si>
  <si>
    <t>Veuillez faire attention en descendant l'escabeau.</t>
  </si>
  <si>
    <t>Bitte seien Sie vorsichtig, wenn Sie die Gangway hinuntergehen.</t>
  </si>
  <si>
    <t>При получении информации от КВС о высадке через ротонду терминала D Шереметьево (СБ) (дневной/ночной рейс)</t>
  </si>
  <si>
    <t>После выхода из самолета, пожалуйста, пройдите по телетрапу и спуститесь вниз по лестнице для посадки в автобус, который доставит вас к терминалу.</t>
  </si>
  <si>
    <t>When you exit the aircraft please pass along the jet bridge and then proceed downstairs to the bus which will take you to the terminal.</t>
  </si>
  <si>
    <t>Después de salir del avión pasen por favor por la pasarela y bajen la escalera para tomar el autobús que les llevará a la terminal.</t>
  </si>
  <si>
    <t>При проверке документов на борту после посадки (СБ или PRAM) (дневной/ночной рейс)</t>
  </si>
  <si>
    <t xml:space="preserve">Ladies and Gentlemen! </t>
  </si>
  <si>
    <t>По требованию иммиграционных властей вам необходимо пройти дополнительный паспортный контроль при выходе из самолета.</t>
  </si>
  <si>
    <t xml:space="preserve">The immigration authorities will carry out an additional passport check when you leave the aircraft. </t>
  </si>
  <si>
    <t>Les autorités d'immigration vont procéder à un contrôle supplémentaire des passeports à la sortie de l'appareil.</t>
  </si>
  <si>
    <t xml:space="preserve">Beim Verlassen des Flugzeugs werden die Einreisestellen eine zusätzliche Passkontrolle durchführen. </t>
  </si>
  <si>
    <t>Segun las exigencias de las autoridades de imigracion tienen que pasar el control de pasaportes complimentario a la salida del avión.</t>
  </si>
  <si>
    <t xml:space="preserve">Просим вас приготовить паспорта. </t>
  </si>
  <si>
    <t>Please prepare your passport.</t>
  </si>
  <si>
    <t>Veuillez préparer vos passeports.</t>
  </si>
  <si>
    <t>Bitte halten Sie Ihren Pass bereit.</t>
  </si>
  <si>
    <t>Приглашение к выходу (СБ) (дневной/ночной рейс)</t>
  </si>
  <si>
    <t>Ladies and gentlemen,</t>
  </si>
  <si>
    <t>im vorderen Bereich;</t>
  </si>
  <si>
    <t>im mittleren Bereich;</t>
  </si>
  <si>
    <t>im vorderen und mittleren Bereich;</t>
  </si>
  <si>
    <t>Bitte gehen Sie zum Ausgang… [выбрать необходимое] des Flugzeugs.</t>
  </si>
  <si>
    <t>Приглашение к выходу трансферных пассажиров с короткой стыковкой (СБ) (дневной/ночной рейс)</t>
  </si>
  <si>
    <t>Просим пассажиров класса Эконом оставаться на своих местах и дать возможность пассажирам, следующим до… [название пункта назначения], пройти к выходу первыми.</t>
  </si>
  <si>
    <t xml:space="preserve">We kindly ask the economy class passengers to remain in their seats and allow the passengers travelling to… [название пункта назначения] to leave the aircraft first. </t>
  </si>
  <si>
    <t>Bitte bleiben Sie sitzen, damit Transitreisende nach… [название пункта назначения] als erste aussteigen können.</t>
  </si>
  <si>
    <t>Por favor permanezcan en sus asientos para permitir que los pasajeros en tránsito hacia… [название пункта назначения] abandonen el avión primeros.</t>
  </si>
  <si>
    <t>Задержки</t>
  </si>
  <si>
    <t>Говорит старший бортпроводник экипажа/командир корабля.</t>
  </si>
  <si>
    <t>This is your Purser/Captain speaking.</t>
  </si>
  <si>
    <t xml:space="preserve">Приносим вам свои извинения за причиненные неудобства. </t>
  </si>
  <si>
    <t>Благодарим (благодарю) за внимание.</t>
  </si>
  <si>
    <t xml:space="preserve">Gracias por su atención. </t>
  </si>
  <si>
    <t>weather conditions at… airport;</t>
  </si>
  <si>
    <t>Наземные службы в… [название пункта назначения] предупреждены о задержке вылета и окажут вам необходимую помощь и содействие.</t>
  </si>
  <si>
    <t>The airport staff in… [название пункта назначения] have been informed about the delay and will provide any necessary assistance.</t>
  </si>
  <si>
    <t>Les services au sol à… [название пункта назначения] ont été avertis et seront à votre diposition.</t>
  </si>
  <si>
    <t>Bodenpersonal am Flughafen in… [название пункта назначения] sind über die Verspätung informiert worden und werden ihr Bestes tun, um Ihnen bei allen Fragen zu helfen.</t>
  </si>
  <si>
    <t>Los servicios terrestres en… [название пункта назначения] han sido informados del retraso y le proporcionarán la asistencia necesaria.</t>
  </si>
  <si>
    <t xml:space="preserve">Возвращение на место стоянки перед вылетом (КВС или СБ по указанию КВС) (дневной/ночной рейс) </t>
  </si>
  <si>
    <t xml:space="preserve">мы вынуждены вернуться на место стоянки. </t>
  </si>
  <si>
    <t>the aircraft is returning to the stand.</t>
  </si>
  <si>
    <t>l'avion retourne au parking.</t>
  </si>
  <si>
    <t>kehrt das Flugzeug nun auf seinen Halteplatz zurück.</t>
  </si>
  <si>
    <t>el avión regresa al aparcamiento.</t>
  </si>
  <si>
    <t xml:space="preserve">Прошу вас оставаться на своих местах с застегнутыми ремнями безопасности. </t>
  </si>
  <si>
    <t>Please remain in your seat with your seat belt fastened.</t>
  </si>
  <si>
    <t>Как только будет получена дополнительная информация, мы вам ее сообщим.</t>
  </si>
  <si>
    <t>As soon as we have more information, we will inform you immediately.</t>
  </si>
  <si>
    <t>Weitere Informationen folgen.</t>
  </si>
  <si>
    <t>Le proporcionaremos más información cuando la tengamos.</t>
  </si>
  <si>
    <t xml:space="preserve">В связи с производственными причинами </t>
  </si>
  <si>
    <t xml:space="preserve">Due to operational reasons </t>
  </si>
  <si>
    <t>Pour des raisons opérationnelles</t>
  </si>
  <si>
    <t>Aus betriebsbedingten Gründen</t>
  </si>
  <si>
    <t>Por motivos operacionales</t>
  </si>
  <si>
    <t>Заправка топливом с пассажирами на борту (СБ) (дневной/ночной рейс)</t>
  </si>
  <si>
    <t>В настоящий момент наш самолет заправляют топливом.</t>
  </si>
  <si>
    <t>The aircraft is currently being refueled.</t>
  </si>
  <si>
    <t>Notre avion est en train de faire plein d’essence.</t>
  </si>
  <si>
    <t>Das Flugzeug wird derzeit aufgetankt.</t>
  </si>
  <si>
    <t>El avión está siendo repostado.</t>
  </si>
  <si>
    <t>Просим вас отстегнуть ремни безопасности и оставаться на своих местах.</t>
  </si>
  <si>
    <t xml:space="preserve">Please unfasten your seatbelt and remain in your seat. </t>
  </si>
  <si>
    <t>Bitte öffnen Sie Ihren Sicherheitsgurt und bleiben Sie bitte sitzen.</t>
  </si>
  <si>
    <t>Por favor desabróchense el cinturón de seguridad y permanezcan sentados.</t>
  </si>
  <si>
    <t xml:space="preserve">Аварийные выходы и проходы в салонах должны быть свободными. </t>
  </si>
  <si>
    <t>All aisles and emergency exits must be clear of any personal belongings.</t>
  </si>
  <si>
    <t>Alle Gänge und Notausgänge müssen von sämtlichen Gepäckstücken vollständig frei bleiben.</t>
  </si>
  <si>
    <t>No obstaculicen con su equipaje de mano pasillos o salidas de emergencia.</t>
  </si>
  <si>
    <t>Мы сообщим вам об окончании заправки.</t>
  </si>
  <si>
    <t>We will inform you when refueling is completed.</t>
  </si>
  <si>
    <t>Nous vous informerons lorsque la prise d’essence est finie.</t>
  </si>
  <si>
    <t>Wir werden Ihnen Bescheid geben, sobald die Maschine aufgetankt ist.</t>
  </si>
  <si>
    <t>Les informaremos cuando hayamos acabado de repostar.</t>
  </si>
  <si>
    <t>Окончание заправки топливом с пассажирами на борту (СБ) (дневной/ночной рейс)</t>
  </si>
  <si>
    <t>Заправка самолета закончена.</t>
  </si>
  <si>
    <t>Refueling is now completed.</t>
  </si>
  <si>
    <t>La prise d’essence est finie.</t>
  </si>
  <si>
    <t xml:space="preserve">Die Maschine ist nun aufgetankt. </t>
  </si>
  <si>
    <t>Hemos concluido el repostaje.</t>
  </si>
  <si>
    <t>Le décollage est prévu dans …/quelques minutes.</t>
  </si>
  <si>
    <t>Esperamos despegar en …/algunos minutos.</t>
  </si>
  <si>
    <t>Мы рассчитываем вылететь через …минут/несколько минут.</t>
  </si>
  <si>
    <t>We expect to take off in …minutes/ several minutes.</t>
  </si>
  <si>
    <t>Wir werden in …Minuten starten.</t>
  </si>
  <si>
    <t>Задержка посадки ВС (СБ по указанию КВС) (дневной/ночной рейс)</t>
  </si>
  <si>
    <t>Por favor permanezcan en sus asientos con los cinturónes de seguridad abrochados.</t>
  </si>
  <si>
    <t>Во время ожидания парковки ВС (КВС) (дневной/ночной рейс)</t>
  </si>
  <si>
    <t xml:space="preserve">Благодарю за внимание. </t>
  </si>
  <si>
    <t>СБ: Der Kapitän teilt uns folgendes mit.</t>
  </si>
  <si>
    <t>СБ: El comandante nos informa de que.</t>
  </si>
  <si>
    <t>СБ: Le commandant nous informe que.</t>
  </si>
  <si>
    <t>Во время ожидания разрешения наземных служб на высадку из ВС (СБ) (дневной/ночной рейс)</t>
  </si>
  <si>
    <t>Мы ожидаем разрешения наземных служб аэропорта на высадку из самолета. Просим вас оставаться на своих местах.</t>
  </si>
  <si>
    <t>We are waiting for the ground staff permission for disembarking. Please remain in your seats.</t>
  </si>
  <si>
    <t xml:space="preserve">Nous attendons l’autorisation du personnel au sol de l’aéroport pour le débarquement. Veuillez garder vos sièges. </t>
  </si>
  <si>
    <t>Wir warten auf die Aussteigenerlaubnis. Wir bitten Sie auf Ihren Plätzen zu bleiben.</t>
  </si>
  <si>
    <t>Esperamos el permiso de servisios terrestres para desembarque. Les pedimos quédense en sus asientos.</t>
  </si>
  <si>
    <t>We will invite you to exit the aircraft.</t>
  </si>
  <si>
    <t>Nous vous inviterons à débarquer.</t>
  </si>
  <si>
    <t>Wir werden Sie zum Aussteigen auffordern.</t>
  </si>
  <si>
    <t>Les invitaremos a salir.</t>
  </si>
  <si>
    <t>Приветствие КВС в аэропорту вылета при открытии новой трассы (КВС) (дневной/ночной рейс)</t>
  </si>
  <si>
    <t>Hier spricht Ihr Kapitän. Mein Name ist… [имя и фамилия]. Im Namen der gesamten Besatzung und von „Aeroflot – Russian Airlines“ begrüße ich Sie herzlich an Bord dieses/dieser… [тип ВС].</t>
  </si>
  <si>
    <t>Les habla el comandante. Me llamo… [имя и фамилия]. En nombre de toda la tripulación y de “Aeroflot – Russian Airlines” les damos la bienvenida a bordo de este… [тип ВС].</t>
  </si>
  <si>
    <t>Сегодня мы открываем новую трассу Москва – … [конечный пункт трассы]. (Наш рейс выполняется совместно с авиакомпанией «…» [название авиакомпании по код-шер]). Длина маршрута …километров.</t>
  </si>
  <si>
    <t>Aujourd'hui, nous inaugurons une nouvelle ligne entre Moscou et… [конечный пункт трассы]. (Notre vol est effectué en coopération avec… [название авиакомпании по код-шер]). La distance est …kilomètres.</t>
  </si>
  <si>
    <t>Today we are starting a new route from Moscow to… [конечный пункт трассы]. (This flight is operated jointly with… [название авиакомпании по код-шер]). The distance is …kilometres.</t>
  </si>
  <si>
    <t>Heute eröffnen wir eine neue Flugroute von Moskau nach… [конечный пункт трассы]. (Dieser Flug wird in Partnerschaft mit der Fluggesellschaft… [название авиакомпании по код-шер]) veranstaltet. Die Flugstrecke beträgt …Kilometer.</t>
  </si>
  <si>
    <t>Hoy hemos comenzado una nueva ruta de Moscú a… [конечный пункт трассы]. (Este vuelo se realiza conjuntamente con… [название авиакомпании по код-шер]). La distancia es de …kilómetros.</t>
  </si>
  <si>
    <t>Время в пути составит …часов …минут.</t>
  </si>
  <si>
    <t>The flight time will be …hours …minutes.</t>
  </si>
  <si>
    <t>La durée de vol sera …heures …minutes.</t>
  </si>
  <si>
    <t>Die gesamte Flugdauer beträgt …Stunden und …Minuten.</t>
  </si>
  <si>
    <t>El tiempo total de vuelo será de …horas y …minutos.</t>
  </si>
  <si>
    <t>Приветствие КВС в аэропорту вылета Новый год и Рождество (КВС) (дневной/ночной рейс)</t>
  </si>
  <si>
    <t>Читать в период с 24.12 по 08.01 включительно</t>
  </si>
  <si>
    <t xml:space="preserve">Говорит командир корабля… [имя и фамилия]. Поздравляю вас с (наступающим) Новым годом и Рождеством! </t>
  </si>
  <si>
    <t>Je suis votre commandant de bord… [имя и фамилия]. Je vous souhaite un joyeux Noël et une bonne année!</t>
  </si>
  <si>
    <t>Hier spricht Ihr Kapitän. Mein Name ist… [имя и фамилия]. Ich wünsche Ihnen allen fröhliche Weihnachten und ein glückliches Neues Jahr.</t>
  </si>
  <si>
    <t xml:space="preserve">Les habla el comandante. Me llamo… [имя и фамилия]. Les deseo a todos una Feliz Navidad y un Feliz Año Nuevo. </t>
  </si>
  <si>
    <t>Im Namen der gesamten Besatzung und von „Aeroflot – Russian Airlines“ begrüße ich Sie herzlich an Bord dieses/dieser… [тип ВС].</t>
  </si>
  <si>
    <t>En nombre de toda la tripulación y de “Aeroflot – Russian Airlines” les damos la bienvenida a bordo de este… [тип ВС].</t>
  </si>
  <si>
    <t xml:space="preserve">Приветствие СБ в аэропорту вылета Новый год и Рождество (СБ) (дневной/ночной рейс) </t>
  </si>
  <si>
    <t>От имени всего экипажа поздравляю вас с (наступающим) Новым годом и Рождеством! Желаю вам в новом году здоровья, удачи, благополучия, хороших новостей, ярких идей, успешных начинаний!</t>
  </si>
  <si>
    <t>On behalf of our crew, I would like to wish you all a Merry Christmas and a Happy New Year.</t>
  </si>
  <si>
    <t>De la part de l'équipage, je vous souhaite un Joyeux Noël et une bonne année!</t>
  </si>
  <si>
    <t>En nombre de nuestra tripulación les deseo una Feliz Navidad y un Feliz Año Nuevo. Les deseamos salud, éxitos, noticias buenas, iniciativas exitosas.</t>
  </si>
  <si>
    <t>My name is… [имя без фамилии] and I am the purser.</t>
  </si>
  <si>
    <t>Я и мои коллеги сделаем все возможное, чтобы сегодняшний полет был приятным для вас.</t>
  </si>
  <si>
    <t>Я и мои коллеги всегда к вашим услугам и рады оказать вам заботу и внимание.</t>
  </si>
  <si>
    <t>Я и мои коллеги сделаем все возможное, чтобы сегодняшний полет доставил вам удовольствие.</t>
  </si>
  <si>
    <t xml:space="preserve">My colleagues and I will do our best to ensure that you have a pleasant flight. </t>
  </si>
  <si>
    <t xml:space="preserve">My colleagues and I are at your service and will be glad to assist you. </t>
  </si>
  <si>
    <t>Mes collègues et moi ferons le maximum pour vous assurer un vol agréable.</t>
  </si>
  <si>
    <t>Mes collègues et moi sont à votre service et à votre disposition.</t>
  </si>
  <si>
    <t>Meine Kollegen und ich (Wir) werden unser Bestes tun, um Ihren Aufenthalt an Bord so angenehm wie möglich zu gestalten.</t>
  </si>
  <si>
    <t>Meine Mitarbeiter und ich (Wir) stehen Ihnen jederzeit zu Diensten und sind Ihnen in allen Fragen gerne behilflich.</t>
  </si>
  <si>
    <t>Meine Kollegen und ich (Wir) werden unser Bestes tun, damit der heutige Flug Ihnen Spaß mächte.</t>
  </si>
  <si>
    <t>Mis colegas y yo haremos todo lo posible para garantizarle un vuelo agradable.</t>
  </si>
  <si>
    <t>Mis colegas y yo estamos a su disposición y le ayudaremos en todo lo que podamos.</t>
  </si>
  <si>
    <t>Mis colegas y yo haremos todo lo posible para que su vuelo de hoy sea agradable.</t>
  </si>
  <si>
    <t>Перед посадкой пассажиров в транзитном аэропорту (СБ) (дневной/ночной рейс)</t>
  </si>
  <si>
    <t>Просим вас занять место, номер которого указан в вашем посадочном талоне.</t>
  </si>
  <si>
    <t>Please take the seat according to your boarding pass.</t>
  </si>
  <si>
    <t>Veuillez retourner à votre siège. Le numéro de votre siège est indiqué sur votre carte d'embarquement.</t>
  </si>
  <si>
    <t>Bitte kehren Sie zu Ihrem Sitzplatz zurück. Ihre Platznummer steht auf Ihrer Bordkarte.</t>
  </si>
  <si>
    <t>Por favor regresen a sus asientos, el número de su asiento se indica en la tarjeta de embarque.</t>
  </si>
  <si>
    <t xml:space="preserve">Merci de votre attention. </t>
  </si>
  <si>
    <t xml:space="preserve">Мы начинаем посадку пассажиров из аэропорта… [название аэропорта]. </t>
  </si>
  <si>
    <t>We are about to board passengers from… airport .</t>
  </si>
  <si>
    <t>Nous allons procéder à l'embarquement des passagers de l'aéroport… [название аэропорта].</t>
  </si>
  <si>
    <t>In Kürze werden Reisende vom Flughafen… [название аэропорта] zusteigen.</t>
  </si>
  <si>
    <t>Vamos a embarcar a los pasajeros procedentes del aeropuerto de… [название аэропорта].</t>
  </si>
  <si>
    <t>Подсчет пассажиров (СБ) (дневной/ночной рейс)</t>
  </si>
  <si>
    <t>Нам необходимо уточнить количество пассажиров на борту.</t>
  </si>
  <si>
    <t xml:space="preserve">We need to check the number of passengers on board. </t>
  </si>
  <si>
    <t>Nous devons verifier le nombre de passagers à bord.</t>
  </si>
  <si>
    <t>Jetzt ist es nötig, die Zahl der Fluggäste an Bord festzustellen.</t>
  </si>
  <si>
    <t xml:space="preserve">Necesitamos hacer un recuento de los pasajeros a bordo. </t>
  </si>
  <si>
    <t>Просим вас занять свое место согласно посадочному талону и приготовить посадочный талон для дополнительной проверки.</t>
  </si>
  <si>
    <t>Please take the seat according to your boarding pass and prepare the boarding pass for additional check.</t>
  </si>
  <si>
    <t>Bitte nehmen Sie Ihre Sitzplätze in der Kabine laut der Bordkarten ein, und halten Sie bitte Ihre Bordkarten für eine zusätzliche Überprüfung bereit.</t>
  </si>
  <si>
    <t>Por favor regresen a su asiento, el numero de su asiento se indica en la tarjeta de embarque. Por favor tengan listos su tarjeta de embarque.</t>
  </si>
  <si>
    <t>Our flight… [номер рейса] is from… to… (and it is operated jointly with… [название авиакомпании по код-шер]).</t>
  </si>
  <si>
    <t>Наш рейс… [номер рейса] выполняется по маршруту …–… (совместно с авиакомпанией «…» [название авиакомпании по код-шер]).</t>
  </si>
  <si>
    <t>Notre vol… [номер рейса] á destination de… (est effectué en cooperation avec… [название авиакомпании по код-шер]).</t>
  </si>
  <si>
    <t xml:space="preserve">Nuestro vuelo número… [номер рейса] hoy es de… a… (conjuntamente con… [название авиакомпании по код-шер]). </t>
  </si>
  <si>
    <t>Розыск пассажира (СБ) (дневной/ночной рейс)</t>
  </si>
  <si>
    <t>Просим господина/госпожу… обратиться к… (бортпроводникам, персоналу…) (при выходе из самолета).</t>
  </si>
  <si>
    <t>Monsieur/Madame… veuillez-vous faire connaître auprès de… (du personnel de cabine) (en quittant l'appareil).</t>
  </si>
  <si>
    <t>Dies ist ein Aufruf für Herr/Frau… Bitte melden Sie sich… (beim Bordpersonal, beim Personal nach dem Verlassen des Flugzeugs).</t>
  </si>
  <si>
    <t>Le pedimos al señor/a la señora… diríjanse (al personal de la cabina, personal…) por favor (antes de abandonar el avión).</t>
  </si>
  <si>
    <t>Неопознанный багаж (СБ или PRAM) (дневной/ночной рейс)</t>
  </si>
  <si>
    <t>В целях обеспечения безопасности полета просим вас выйти из самолета и опознать свой багаж.</t>
  </si>
  <si>
    <t>To ensure the safety of the flight, please leave the aircraft and identify your baggage.</t>
  </si>
  <si>
    <t>Pour assurer la sécurité du vol, veuillez débarquer et identifier votre bagage.</t>
  </si>
  <si>
    <t>Aus Sicherheitsgründen möchten wir Sie bitten, das Flugzeug zu verlassen und Ihr Gepäck zu identifizieren.</t>
  </si>
  <si>
    <t>Para asegurar la seguridad del vuelo, por favor salgan del avión e identifiquen su equipaje.</t>
  </si>
  <si>
    <t>Неопознанный багаж останется в аэропорту.</t>
  </si>
  <si>
    <t>Any unidentified baggage will be left at the airport.</t>
  </si>
  <si>
    <t>Les bagages non identifiés seront laissés à l'aéroport.</t>
  </si>
  <si>
    <t>Nicht identifizierte Gepäckstücke werden am Flughafen zurückgelassen.</t>
  </si>
  <si>
    <t>Todo equipaje que no esté identificado se dejará en el aeropuerto.</t>
  </si>
  <si>
    <t>Les pedimos disculpas por las molestías causadas.</t>
  </si>
  <si>
    <t>Нарушение пассажиром правил поведения на борту ВС (СБ или PRAM) (дневной/ночной рейс)</t>
  </si>
  <si>
    <t>В случае курения</t>
  </si>
  <si>
    <t>Экипаж обнаружил табачный дым в туалетной комнате.</t>
  </si>
  <si>
    <t>The crew have found tobacco smoke in the lavatory.</t>
  </si>
  <si>
    <t>Die Besatzung hat Tabakrauch in der Bordtoilette entdeckt.</t>
  </si>
  <si>
    <t xml:space="preserve">La tripulación ha detectado humo en el aseo. </t>
  </si>
  <si>
    <t>В случае распития алкогольных напитков</t>
  </si>
  <si>
    <t>Напоминаем вам, что на борту самолета запрещено употребление алкогольных напитков, принесенных с собой.</t>
  </si>
  <si>
    <t xml:space="preserve">We remind you that consuming alcohol which you have brought on board is prohibited. </t>
  </si>
  <si>
    <t>Nous vous rappelons qu'il est interdit de consommer les boissons alcoolisées que vous avez amené a bord.</t>
  </si>
  <si>
    <t>Dürfen wir Sie daran erinnern, dass der Konsum alkoholischer Getränke, die Sie an Bord mitgebracht haben, verboten ist.</t>
  </si>
  <si>
    <t>Le recordamos que está prohibido el consumo del alcohol que no se le ofrece a bordo.</t>
  </si>
  <si>
    <t>Обращаем ваше внимание, что в соответствии со статьей 107 Воздушного кодекса Российской Федерации в случае нарушения пассажиром правил поведения на борту и невыполнения требований экипажа воздушного судна, авиакомпания вправе применить следующие санкции:</t>
  </si>
  <si>
    <t>Article 107 of the Russian Federation Air Code allows airlines to take the following sanctions against passengers that break the rules of conduct or refuse to carry out cabin crew instructions:</t>
  </si>
  <si>
    <t>Im Rahmen der russischen Luftfahrtbestimmungen, Artikel 107, können Fluggesellschaften folgende Maßnahmen gegen Passagiere ergreifen, die sich den Verhaltensregeln oder den Anweisungen der Besatzung widersetzen:</t>
  </si>
  <si>
    <t>El artículo 107 del Código de Aviación de la Federación de Rusia establece que las aerolíneas pueden imponer las siguientes sanciones sobre los pasajeros que infrinjan las normas de conducta o se nieguen a seguir las instrucciones de la tripulación:</t>
  </si>
  <si>
    <t>С «Правилами поведения пассажиров на борту» вы можете ознакомиться в журнале «Аэрофлот».</t>
  </si>
  <si>
    <t>Die Verhaltensregeln für Luftfahrtpassagiere entnehmen Sie bitte Ihrem „Aeroflot“-Magazin.</t>
  </si>
  <si>
    <t>Puede leer las “Normas de conducta del pasajero” a bordo en la revista “Aeroflot”.</t>
  </si>
  <si>
    <t>передать пассажира в правоохранительные органы в аэропорту прибытия;</t>
  </si>
  <si>
    <t>handing over to the law enforcement authorities at the arrival airport;</t>
  </si>
  <si>
    <t>le transfert du passager aux autorités policières à l'aéroport d'arrivée;</t>
  </si>
  <si>
    <t>Übergabe an die Strafverfolgungsbehörden am Ankunftsflughafen;</t>
  </si>
  <si>
    <t>entrega a las fuerzas del orden público a la llegada al aeropuerto;</t>
  </si>
  <si>
    <t>аннулировать договор о перевозке без компенсации его стоимости.</t>
  </si>
  <si>
    <t>cancellation of the current contract for air carriage without compensation.</t>
  </si>
  <si>
    <t>l'annulation du contrat de voyage sans rembourcement.</t>
  </si>
  <si>
    <t>Kündigung des Luftbeförderungsvertrags ohne Entschädigung.</t>
  </si>
  <si>
    <t>cancelación del contrato de vuelo sin compensación.</t>
  </si>
  <si>
    <t>Получение покупок Duty Free при вылете из городов США (СБ) (дневной/ночной рейс)</t>
  </si>
  <si>
    <t>Вы можете получить товары, приобретенные в магазине Duty Free, в переднем/среднем вестибюле.</t>
  </si>
  <si>
    <t>If you purchased goods in the Duty Free Shop today, please collect them from the front/mid compartment of the cabin.</t>
  </si>
  <si>
    <t>Si vous avez acheté des articles hors-taxe, veuillez les récupérer à l’avant/au milieu de l'appareil.</t>
  </si>
  <si>
    <t>Si han adquirido productos libres de impuestos, por favor recójanlos en la parte delantera/central de la cabina.</t>
  </si>
  <si>
    <t>Falls Sie Artikel im Duty Free Shop gekauft haben, holen Sie diese bitte im vorderen/mittleren Bereich der Kabine ab.</t>
  </si>
  <si>
    <t>Транспортные услуги (СБ) (дневной/ночной рейс)</t>
  </si>
  <si>
    <t>для рейсов короткой продолжительности</t>
  </si>
  <si>
    <t>для рейсов средней и длительной продолжительности</t>
  </si>
  <si>
    <t>Анкетирование пассажиров (СБ или PRAM) (дневной/ночной рейс)</t>
  </si>
  <si>
    <t>Благодарим вас за выбор авиакомпании «Аэрофлот – российские авиалинии».</t>
  </si>
  <si>
    <t>Wir bedanken uns, dass Sie heute mit „Aeroflot – Russian Airlines“ geflogen sind.</t>
  </si>
  <si>
    <t>Gracias por haber elegido companía aerea “Aeroflot – Russian Airlines”.</t>
  </si>
  <si>
    <t xml:space="preserve">Нам важно знать ваше мнение о качестве предоставляемых услуг – мы хотим сделать его лучше. </t>
  </si>
  <si>
    <t>We highly appreciate your feedback, as it helps us to provide you with the best services.</t>
  </si>
  <si>
    <t>Votre opinion concernant les services fournis est très important pour nous. Notre but est d’améliorer les services.</t>
  </si>
  <si>
    <t>Wir würden gerne Ihre Kommentare über unseren Service in Erfahrung bringen, damit wir unsere Dienstleistungen noch weiter verbessern können.</t>
  </si>
  <si>
    <t>Queremos conocer su opinión sobre la calidad de nuestros servicios, para poder mejorarlos.</t>
  </si>
  <si>
    <t xml:space="preserve">Будем благодарны, если вы заполните нашу анкету и передадите ее бортпроводникам. </t>
  </si>
  <si>
    <t>We would be grateful if you could complete our questionnaire and hand it to a cabin attendant.</t>
  </si>
  <si>
    <t>Nous vous serions reconnaissants de bien vouloir remplir un questionnaire et de le remettre au personnel de cabine.</t>
  </si>
  <si>
    <t>Wir wären Ihnen dankbar, wenn Sie unseren Fragebogen ausfüllen und einem Ihren Flugbegleiter geben könnten.</t>
  </si>
  <si>
    <t>Les agradeceremos que completen nuestro cuestionario y lo entreguen al personal de cabina.</t>
  </si>
  <si>
    <t>Отсутствие воды</t>
  </si>
  <si>
    <t>Отсутствие воды – напитки (СБ или PRAM) (дневной/ночной рейс)</t>
  </si>
  <si>
    <t xml:space="preserve">Мы предложим вам прохладительные напитки вместо горячих в связи с отсутствием воды в системе водоснабжения кухонь. </t>
  </si>
  <si>
    <t>Due to a shortage of water in the galley we can only offer cold drinks.</t>
  </si>
  <si>
    <t>Wegen Wasserknappheit in der Bordküche können wir Ihnen nur Erfrischungsgetränke anbieten.</t>
  </si>
  <si>
    <t>Debido a la escasez de agua en la cocina, solo podemos ofrecer bebidas frías.</t>
  </si>
  <si>
    <t>Отсутствие воды – туалеты (СБ) (дневной/ночной рейс)</t>
  </si>
  <si>
    <t>Meine Damen und Herren.</t>
  </si>
  <si>
    <t>туалет(ы) в передней/средней/хвостовой части самолета в течение/до окончания рейса работать не будет (не будут). Можете пользоваться туалетом (туалетами) в передней/средней/хвостовой части самолета;</t>
  </si>
  <si>
    <t>the lavatory (lavatories) in the front/mid/rear compartment of the aircraft is (are) not working/will not work for the remainder of the flight. You may use the lavatory (lavatories) in the front/mid/rear compartment of the aircraft;</t>
  </si>
  <si>
    <t>все туалеты на борту самолета работать не будут. Поэтому мы совершаем вынужденную посадку в аэропорту… [название аэропорта] города… [название города].</t>
  </si>
  <si>
    <t>the lavatories of the aircraft have stopped working and we will be making an early landing at… airport in… [название города].</t>
  </si>
  <si>
    <t>toutes les toilettes à bord de l’avion sont en panne. Nous allons faire escale à l'aéroport… [название аэропорта] de… [название города].</t>
  </si>
  <si>
    <t xml:space="preserve">in allen Bereichen des Flugzeugs außer Betrieb. Wir werden deshalb auf dem… [название аэропорта] Flughafen in… [название города] eine Frühlandung machen. </t>
  </si>
  <si>
    <t>todos los aseos del avión están fuera de servicio y tendremos que hacer un aterrizaje forzoso en el aeropuerto… [название аэропорта] en… [название города].</t>
  </si>
  <si>
    <t>Неисправность светового табло (СБ) (дневной/ночной рейс)</t>
  </si>
  <si>
    <t>В связи с неисправностью светового табло… [указать, например, «Застегните ремни», «Выключить мобильные телефоны»] просим вас внимательно следить за информационными сообщениями и следовать указаниям экипажа.</t>
  </si>
  <si>
    <t>Wegen des Ausfalls des Leuchtzeichens… [указать: „Sicherheitsgurte anschnallen“, „Mobilfunk nicht zulässig“, „Rauchen verboten“], bitten wir Sie den Informationsberichten und den Anweisungen der Flugzeugbesatzung unbedingt zu folgen.</t>
  </si>
  <si>
    <t>Невозможность предоставления питания и торгового обслуживания из-за недостатка времени (СБ) (дневной/ночной рейс)</t>
  </si>
  <si>
    <t>обслуживание питанием;</t>
  </si>
  <si>
    <t>to continue serving meals;</t>
  </si>
  <si>
    <t>de continuer le service du repas;</t>
  </si>
  <si>
    <t>weitere Mahlzeiten zu servieren;</t>
  </si>
  <si>
    <t>continuar con el servicio de comidas;</t>
  </si>
  <si>
    <t>продажу товаров «Sky Shop».</t>
  </si>
  <si>
    <t>to offer goods for purchase from the ‘Sky Shop’.</t>
  </si>
  <si>
    <t>Artikel aus dem „Sky Shop“ zu verkaufen.</t>
  </si>
  <si>
    <t>ofrecer artículos de compra de nuestra “Sky Shop”.</t>
  </si>
  <si>
    <t>Образование конденсата в пассажирском салоне в жаркое время года (СБ или PRAM) (дневной/ночной рейс)</t>
  </si>
  <si>
    <t>Конденсат, который вы наблюдаете в салоне, образовался в результате работы системы кондиционирования воздуха. Просим вас не беспокоиться.</t>
  </si>
  <si>
    <t xml:space="preserve">The condensation you can see in the cabin is due to the air conditioning system operation and is not a cause for any concern. </t>
  </si>
  <si>
    <t xml:space="preserve">La condensation que vous pouvez apercevoir dans la cabine est dû à l’utilisation du système de climatisation de l'air. Prière de rester calme. </t>
  </si>
  <si>
    <t xml:space="preserve">Die in der Kabine aufgetretene Kondensation ist von der Klimaanlage verursacht worden. Es besteht kein Grund zur Besorgnis. </t>
  </si>
  <si>
    <t xml:space="preserve">La condensación que puede ver en la cabina se debe al sistema de aire acondicionado y no hay ningún motivo de alarma. </t>
  </si>
  <si>
    <t>Необходимость медицинской помощи (СБ или PRAM) (дневной/ночной рейс)</t>
  </si>
  <si>
    <t>Одному из пассажиров (срочно) требуется медицинская помощь.</t>
  </si>
  <si>
    <t>One of the passengers (urgently) requires medical assistance.</t>
  </si>
  <si>
    <t xml:space="preserve">Un des passagers nécessite une assistance médicale (d'urgence). </t>
  </si>
  <si>
    <t>Ein Mitreisender/ eine Mitreisende benötigt (dringend) ärztliche Hilfe.</t>
  </si>
  <si>
    <t>Un pasajero necesita ayuda médica (urgentemente).</t>
  </si>
  <si>
    <t xml:space="preserve">Если среди вас есть медицинский работник, просим сообщить бортпроводникам. </t>
  </si>
  <si>
    <t>If there is a doctor or a medically trained person on board, please identify yourself to the cabin crew.</t>
  </si>
  <si>
    <t>Si un médecin se trouve à bord, veuillez-vous faire connaître auprès du personnel de cabine.</t>
  </si>
  <si>
    <t>Falls sich ein Arzt oder ein medizinisch ausgebildeter Passagier an Bord befindet, melden Sie sich bitte beim Kabinenpersonal.</t>
  </si>
  <si>
    <t>Si alguno de ustedes es médico, por favor comuníquelo a la tripulación.</t>
  </si>
  <si>
    <t>Нам (очень) необходима Ваша помощь.</t>
  </si>
  <si>
    <t>We (urgently) need your help.</t>
  </si>
  <si>
    <t>Nous avons besoin de votre aide (d'urgence).</t>
  </si>
  <si>
    <t xml:space="preserve">Wir benötigen (dringend) Ihre Hilfe. </t>
  </si>
  <si>
    <t>Necesitamos (mucho) su ayuda.</t>
  </si>
  <si>
    <t>Необходимость использования средств защиты при обнаружении больного на борту ВС (СБ) (дневной/ночной рейс)</t>
  </si>
  <si>
    <t>На борту находится пассажир с подозрением на инфекционное заболевание.</t>
  </si>
  <si>
    <t>There is a passenger with a suspected infectious disease on board our aircraft.</t>
  </si>
  <si>
    <t>Для обеспечения выполнения требований российских и международных организаций здравоохранения и защиты здоровья пассажиров бортпроводники раздадут вам индивидуальные маски.</t>
  </si>
  <si>
    <t>To ensure compliance of the Russian and international health organizations’ requirements and in order to protect your health, the flight attendants will distribute individual masks.</t>
  </si>
  <si>
    <t>Según las exigencias de las organizaciones de proteccion de la salud las azafatas les distribuirán las máscaras individuales.</t>
  </si>
  <si>
    <t>Просим вас занять свое кресло, надеть маску и оставаться в ней до окончания рейса.</t>
  </si>
  <si>
    <t>Please take your seat, put and keep the mask on until the end of the flight.</t>
  </si>
  <si>
    <t>Bitte, kehren Sie zu Ihrem Sitzplatz zurück und legen Sie, bitte, die Maske an. Wir bitten Sie mit der angelegten Maske bis zum Ende des Flugs zu bleiben.</t>
  </si>
  <si>
    <t>Les pedimos ocupen sus asientos, pongan las máscaras, quédense en las máscaras hasta aterrizaje.</t>
  </si>
  <si>
    <t>В соответствии с требованиями органов здравоохранения вам необходимо заполнить медицинские формуляры.</t>
  </si>
  <si>
    <t>In a few minutes we will distribute forms that you have to fill in as required by the health authorities.</t>
  </si>
  <si>
    <t xml:space="preserve">Dans quelques minutes le personnel de cabine va distribuer les formulaires qui doivent-être remplis selon les exigences des organes de la santé publique. </t>
  </si>
  <si>
    <t>Формуляры должны быть заполнены печатными заглавными буквами с обязательным указанием адреса места пребывания в течение 30 дней с даты въезда.</t>
  </si>
  <si>
    <t>You must fill in the card in block letters and specify your address of residence during 30 days after arrival.</t>
  </si>
  <si>
    <t>Просим вас передать заполненные формуляры бортпроводникам до выхода из самолета.</t>
  </si>
  <si>
    <t>Please, give back completed forms to the  cabin attendants before leaving the aircraft.</t>
  </si>
  <si>
    <t>Общая информация</t>
  </si>
  <si>
    <t>Если вам нужна помощь или вы почувствовали недомогание, обращайтесь к бортпроводникам.</t>
  </si>
  <si>
    <t>If you need any help or you feel unwell, please contact the flight attendants.</t>
  </si>
  <si>
    <t>Si vous avez besoin de l’aide ou vous vous sentez malade, adressez-vous au personnel de cabine.</t>
  </si>
  <si>
    <t>Розыск и нахождение потерянных вещей (СБ) (дневной/ночной рейс)</t>
  </si>
  <si>
    <t>Розыск потерянных вещей</t>
  </si>
  <si>
    <t>Мы разыскиваем… [указать что именно], потерянный (потерянную/-ое/-ые) одним из пассажиров. Если вы его (ее, их) найдете, просим передать бортпроводникам.</t>
  </si>
  <si>
    <t>Wir suchen nach einem/einer/ … [указать что именно], der/das/die von einem Mitreisenden verloren wurde. Falls Sie ihn/es/sie finden, übergeben Sie ihn/es/sie bitte dem Kabinenpersonal.</t>
  </si>
  <si>
    <t>Estamos buscando… [указать что именно] que ha (han) sido perdido (perdida, perdidos, perdidas) por uno de los pasajeros. Si los (las) encuentran por favor entréguelos (entréguelas) al personal de cabina.</t>
  </si>
  <si>
    <t>Нахождение потерянных вещей</t>
  </si>
  <si>
    <t>Ein/eine… [указать что именно] ist in der/dem… [указать где: Kabine, Toilette, др.] gefunden worden. Falls Sie ihn/es/ sie verloren haben könnten, melden Sie sich bitte beim Kabinenpersonal.</t>
  </si>
  <si>
    <t>Se ha (han) encontrado un (una) … [указать что именно] en… [указать где]. Si cree que es (son) suyo(s) contacte con personal de la cabina.</t>
  </si>
  <si>
    <t xml:space="preserve">Изменение маршрута полета (КВС или СБ по указанию КВС) (дневной/ночной рейс) </t>
  </si>
  <si>
    <t xml:space="preserve">Im Namen der Besatzung danken wir Ihnen, daß Sie mit „Aeroflot – Russian Airlines“, einem SkyTeam – Mitglied (und mit der Fluggesellschaft… [название авиакомпании по код-шер]) geflogen sind. </t>
  </si>
  <si>
    <t>Beachten Sie bitte, daß die Fluggäste der Business Klasse als erste zum Ausstieg gebeten werden.</t>
  </si>
  <si>
    <t xml:space="preserve">В связи с тем, что одному из пассажиров на борту требуется медицинская помощь, </t>
  </si>
  <si>
    <t>One of the passengers requires medical assistance and,</t>
  </si>
  <si>
    <t>À cause d’un des passagers qui nécessite une assistance médicale;</t>
  </si>
  <si>
    <t>Um einen Mitreisenden mit ärztlicher Hilfe zu versorgen</t>
  </si>
  <si>
    <t>Uno de los pasajeros requiere asistencia médica, por lo que,</t>
  </si>
  <si>
    <t>мы совершим посадку в ближайшем аэропорту города… [название города].</t>
  </si>
  <si>
    <t xml:space="preserve">we will be landing at the nearest available airport in… [название города]. </t>
  </si>
  <si>
    <t>nous allons atterrir à l'aéroport le plus proche à… [название города].</t>
  </si>
  <si>
    <t>aterrizaremos en el aeropuerto disponible más próximo en… [название города].</t>
  </si>
  <si>
    <t>Наземные службы аэропорта… [название аэропорта] в… [название города] окажут вам необходимую помощь и содействие.</t>
  </si>
  <si>
    <t>Les services au sol de l'aéroport… [название аэропорта] à… [название города] seront à votre diposition.</t>
  </si>
  <si>
    <t xml:space="preserve">Bodenpersonal am Flughafen… [название аэропорта] in… [название города] werden Ihnen bei allen Fragen helfen. </t>
  </si>
  <si>
    <t>Переруливание в другой терминал аэропорта Шереметьево (СБ) (дневной/ночной рейс)</t>
  </si>
  <si>
    <t>Наш самолет совершит посадку в аэропорту Шереметьево, Терминал B/C/D/E/F, из-за загруженности Терминала D/E/F.</t>
  </si>
  <si>
    <t>The aircraft will be landing at Sheremetyevo Terminal B/C/D/E/F due to heavy traffic at Terminal D/E/F.</t>
  </si>
  <si>
    <t>Notre avion atterira à l’aérogare B/C/D/E/F de l’aéroport Shéremetievo pour des raisons de surcharge de l’aérogare D/E/F.</t>
  </si>
  <si>
    <t>Wegen des hohen Flugaufkommens auf Terminal B/C/D/E/F wird die Maschine auf Scheremetjewo Terminal D/E/F landen.</t>
  </si>
  <si>
    <t>El avión aterrizará en la Terminal B/C/D/E/F de aeropuerto Sheremetyevo debido a exceso de tráfico en la Terminal D/E/F.</t>
  </si>
  <si>
    <t>В зале прилета будет сделано объявление для встречающих.</t>
  </si>
  <si>
    <t>An announcement will be made in the arrival hall.</t>
  </si>
  <si>
    <t>On va faire l’annonce dans la salle d'arrivée.</t>
  </si>
  <si>
    <t>Die Ankunftshalle ist informiert.</t>
  </si>
  <si>
    <t>La terminal de llegadas ya ha sido informada.</t>
  </si>
  <si>
    <t>Обработка салона самолета инсектицидами (СБ или PRAM) (дневной/ночной рейс)</t>
  </si>
  <si>
    <t>В соответствии с медицинскими требованиями страны прибытия салон будет обработан инсектицидами. Эти препараты соответствуют международным стандартам и не опасны для вашего здоровья.</t>
  </si>
  <si>
    <t>The local medical regulations require that the cabin be treated with insecticides. These substances comply with the international standards and are not harmful.</t>
  </si>
  <si>
    <t>Im Rahmen der internationalen Gesundheitsvorschriften muss die Kabine mit einem Insektizid ausgesprüht werden. Diese Substanzen entsprechen den internationalen Richtlinien und sind völlig ungefährlich.</t>
  </si>
  <si>
    <t>Según el reglamento médico internacional es necesario tratar la cabina con insecticidas. Estas sustancias cumplen con los estándares internacionales y no son en absoluto nocivas.</t>
  </si>
  <si>
    <t xml:space="preserve">Просим вас не покидать своих мест до окончания обработки. </t>
  </si>
  <si>
    <t>Please remain in your seat until the process is completed.</t>
  </si>
  <si>
    <t>Veuillez rester assis pendant cette opération.</t>
  </si>
  <si>
    <t>Bitte bleiben Sie sitzen, bis der Sprühvorgang beendet ist.</t>
  </si>
  <si>
    <t>Por favor permanezca en su asiento hasta que acabe el tratamiento.</t>
  </si>
  <si>
    <t>Проверка посадочных талонов и паспортов на борту после посадки в аэропорту Шереметьево в случае превышения фактического количества пассажиров (СБ) (дневной/ночной рейс)</t>
  </si>
  <si>
    <t>По требованию служб аэропорта Шереметьево вам необходимо пройти дополнительный контроль при выходе из самолета.</t>
  </si>
  <si>
    <t xml:space="preserve">The airport staff of Sheremetyevo airport will carry out an additional check when you leave the aircraft. </t>
  </si>
  <si>
    <t xml:space="preserve">Das Bodenpersonal des Flughafens Scheremetjewo führt eine zusätzliche Kontrolle durch. </t>
  </si>
  <si>
    <t>Segun las exigencias de los servicios terrestres del aeropuerto Sheremetyvo Ustedes tienen que pasar el control complimentario a la salida del avión.</t>
  </si>
  <si>
    <t xml:space="preserve">Просим вас приготовить посадочные талоны и паспорта. </t>
  </si>
  <si>
    <t>Please prepare your boarding pass and passport.</t>
  </si>
  <si>
    <t>Halten Sie bitte beim Verlassen des Flugzeugs Ihren Pass und Ihre Bordkarte bereit.</t>
  </si>
  <si>
    <t>Por favor tengan listos sus pasaporte y talones de embarque.</t>
  </si>
  <si>
    <t xml:space="preserve">Информация КВС/СБ об аварийной посадке (КВС или СБ по команде КВС) </t>
  </si>
  <si>
    <t>Sehr geehrte Damen und Herren!</t>
  </si>
  <si>
    <t>(Говорит командир корабля.)</t>
  </si>
  <si>
    <t>(This is your Captain speaking.)</t>
  </si>
  <si>
    <t>(C’est votre commandant de bord qui vous parle.)</t>
  </si>
  <si>
    <t>(Hier spricht der Kapitän.)</t>
  </si>
  <si>
    <t>(Les habla el comandante)</t>
  </si>
  <si>
    <t>Прошу внимания, с вами говорит старший бортпроводник.</t>
  </si>
  <si>
    <t>We need your attention. This is your Purser speaking.</t>
  </si>
  <si>
    <t>Attention, c’est le chef de cabine qui vous parle.</t>
  </si>
  <si>
    <t>Hier spricht der (die) Chefflugbefleiter(in). Ich bitte um Ihre Aufmerksamkeit.</t>
  </si>
  <si>
    <t xml:space="preserve">Pido su atención, les habla el mayor auxiliar de la tripulacion. </t>
  </si>
  <si>
    <t>Посадка произойдет через …минут.</t>
  </si>
  <si>
    <t>We will be landing in …minutes.</t>
  </si>
  <si>
    <t>L’atterrissage aura lieu dans …minutes.</t>
  </si>
  <si>
    <t>На борту нашего самолета имеется необходимое аварийно-спасательное оборудование.</t>
  </si>
  <si>
    <t>Our aircraft is equipped with all necessary survival equipment.</t>
  </si>
  <si>
    <t>L’équipement de sauvetage nécessaire se trouve à bord de notre avion.</t>
  </si>
  <si>
    <t>Am Bord unseres Flugzeiges ist die notwendige Notfall- und Rettungsausrüstung vorhanden.</t>
  </si>
  <si>
    <t>Мы приняли все необходимые меры предосторожности.</t>
  </si>
  <si>
    <t>We have initiated all necessary safety procedures.</t>
  </si>
  <si>
    <t>Nous avons pris toutes les mesures nécessaires de précaution.</t>
  </si>
  <si>
    <t>Wir haben die erforderlichen Sicherheitsmaßnahmen getroffen.</t>
  </si>
  <si>
    <t>Hemos tomado todas las medidas de precausión.</t>
  </si>
  <si>
    <t>Экипаж и бортпроводники подготовлены к действиям в аварийных ситуациях.</t>
  </si>
  <si>
    <t>You can rely on the members of our crew, who have been specially trained for emergencies of this sort.</t>
  </si>
  <si>
    <t>Сохраняйте спокойствие.</t>
  </si>
  <si>
    <t>Remain calm.</t>
  </si>
  <si>
    <t>Mantengan calma.</t>
  </si>
  <si>
    <t>Les services de sauvetage de l’aéroport de destination sont informés.</t>
  </si>
  <si>
    <t>Поисково-спасательные службы проинформированы.</t>
  </si>
  <si>
    <t>We have informed the Rescue Services.</t>
  </si>
  <si>
    <t>Die Such- und Rettungsdienste sind informiert.</t>
  </si>
  <si>
    <t xml:space="preserve">Аварийные информации по типам ВС (СБ) </t>
  </si>
  <si>
    <t>Знать всем бортпроводникам наизусть</t>
  </si>
  <si>
    <t>Работников Аэрофлота или других авиакомпаний, пожарных, спасателей просим обратиться к бортпроводникам.</t>
  </si>
  <si>
    <t>Employees of Aeroflot or other airlines as well as fire fighters and members of Rescue Services are asked to identify themselves to the cabin attendants.</t>
  </si>
  <si>
    <t>Personal von Aeroflot und anderen Fluggesellschaften, Angehörige von Feuerwehren oder technischen Hilfswerken bitten wir sich beim Kabinenpersonal zu melden.</t>
  </si>
  <si>
    <t>A los empleados de Aeroflot u otras aerolíneas, a los bomberos, guardavidas les pedimos que se dirijan a la tripulación.</t>
  </si>
  <si>
    <t>Бортпроводникам выбрать и пересадить пассажиров-помощников</t>
  </si>
  <si>
    <t>Сохраняйте спокойствие. Выполняйте наши указания.</t>
  </si>
  <si>
    <t>Remain calm. Follow our instructions.</t>
  </si>
  <si>
    <t>Mantengan calma. Sigan nuestras indicaciones.</t>
  </si>
  <si>
    <t>Приведите спинку кресла в вертикальное положение, уберите столик.</t>
  </si>
  <si>
    <t>Return the backrest of your seat to its upright position and fold up all tables.</t>
  </si>
  <si>
    <t xml:space="preserve"> Stellen Sie Ihre Rückenlehne senkrecht, klappen Sie das Tischchen vor Ihnen zurück.</t>
  </si>
  <si>
    <t>Pongan el respaldo en la posición vertical, guarde la mesa.</t>
  </si>
  <si>
    <t>Снимите галстуки и расстегните воротники.</t>
  </si>
  <si>
    <t>Remove neckties and loosen shirt collars.</t>
  </si>
  <si>
    <t>Desaten las corbatas, Desabrochen los cuellos.</t>
  </si>
  <si>
    <t>Снимите все предметы, которые могут нанести повреждения: очки, контактные линзы, зубные протезы. Уберите их в свою ручную кладь (между сиденьями кресел).</t>
  </si>
  <si>
    <t>Remove all objects which may cause injury, such as eye glasses, contact lenses, dentures. Put them in your hand luggage (between seat cushions).</t>
  </si>
  <si>
    <t>Quítense todos los objetos que pueden causar daño: anteojos, lentes de contacto, prótesis dentales. Guárdenlos en los equipajes de mano (entre los asientos).</t>
  </si>
  <si>
    <t>Уберите ручную кладь под кресло перед вами или на верхнюю полку.</t>
  </si>
  <si>
    <t>Place your hand luggage under the seat in front of you or in the overhead bin.</t>
  </si>
  <si>
    <t>Guarden el equipaje de mano debajo del asiento delantero o en la cabina superior.</t>
  </si>
  <si>
    <t>После посадки оставьте вещи на борту.</t>
  </si>
  <si>
    <t>For your own safety leave your hand luggage on board.</t>
  </si>
  <si>
    <t>Después del aterrizaje dejen las cosas a bordo.</t>
  </si>
  <si>
    <t>Снимите обувь. Уберите ее под кресло перед вами.</t>
  </si>
  <si>
    <t>Remove your shoes. Stow them under the front seat.</t>
  </si>
  <si>
    <t>Ziehen Sie Ihre Schuhe aus. Verstauen Sie diese unter dem Vordersitz.</t>
  </si>
  <si>
    <t>Quítense el calzado. Guárdenlo debajo del asiento delantero.</t>
  </si>
  <si>
    <t>Сейчас мы покажем аварийные выходы.</t>
  </si>
  <si>
    <t>Now we will point out the emergency exits.</t>
  </si>
  <si>
    <t>Nous vous montrons maintenant les sorties d’urgence.</t>
  </si>
  <si>
    <t>Jetzt zeigen wir Ihnen die Notausgänge.</t>
  </si>
  <si>
    <t>Ahora mostraremos las salidas de emergencia.</t>
  </si>
  <si>
    <t>Аварийные выходы расположены слева и справа по борту:</t>
  </si>
  <si>
    <t>The emergency exits are located on the left and the right of the cabin:</t>
  </si>
  <si>
    <t>Les sorties de secours sont situées à gauche et à droite de la cabine:</t>
  </si>
  <si>
    <t>Die Notausgänge befinden sich links und rechts an Bord:</t>
  </si>
  <si>
    <t>Las salidas de emergencia están situadas a la izquierda y derecha del bordo:</t>
  </si>
  <si>
    <t xml:space="preserve">two – in the front and </t>
  </si>
  <si>
    <t>zwei – im vorderen Bereich,</t>
  </si>
  <si>
    <t xml:space="preserve">dos en la parte delantera, </t>
  </si>
  <si>
    <t>deux – dans la partie arrière de l’appareil.</t>
  </si>
  <si>
    <t>zwei – im hinteren Bereich des Flugzeuges.</t>
  </si>
  <si>
    <t>Каждый выход обозначен световым табло «ВЫХОД».</t>
  </si>
  <si>
    <t>Cada salida está indicada con la señal luminosa “EXIT”.</t>
  </si>
  <si>
    <t xml:space="preserve">Светящаяся дорожка вдоль прохода указывает направление к выходам. </t>
  </si>
  <si>
    <t>The escape path lighting along the aisle will guide you to the exits.</t>
  </si>
  <si>
    <t>La ligne lumineuse le long du couloir vous guidera vers les sorties de secours. Prêtez attention à sortie la plus proche de vous.</t>
  </si>
  <si>
    <t>Die Fluchtwegbeleuchtung am Boden zeigt Ihnen den Weg zu den Notausgängen. Bitte orientieren Sie sich jetzt, wo Ihr nächster Notausgang liegt.</t>
  </si>
  <si>
    <t>Las señales luminosas del pasillo le conducirán hasta las salidas de emergencia.</t>
  </si>
  <si>
    <t>при аварийной посадке на сушу</t>
  </si>
  <si>
    <t>Все выходы снабжены надувными трапами.</t>
  </si>
  <si>
    <t>All exits are equipped with inflatable evacuation slides.</t>
  </si>
  <si>
    <t>Alle Notausgänge sind mit automatisch aufblasbaren Notrutschen ausgerüstet.</t>
  </si>
  <si>
    <t>Todas las salidas están equipadas con escaleras inflables.</t>
  </si>
  <si>
    <t>Покидая самолет по трапу, прыгайте в положении сидя, руки вперед. Бегите от самолета.</t>
  </si>
  <si>
    <t>When leaving the plane by the slide, jump in sitting position hands in front. Run away from the aircraft.</t>
  </si>
  <si>
    <t>Si abandonan el avión por la escalera, salten en la posición sentada, los brazos para adelante. Corran del avión.</t>
  </si>
  <si>
    <t>при аварийной посадке на воду</t>
  </si>
  <si>
    <t>Эвакуируйтесь через ближайший аварийный выход. Прыгайте в воду, держитесь за трап.</t>
  </si>
  <si>
    <t>Leave the aircraft through nearest emergency exit. Jump into the water. Hold on to the slide.</t>
  </si>
  <si>
    <t>Evacúense por la salida de emergencia más cercana. Salte al agua, agarre la escalera.</t>
  </si>
  <si>
    <t>А319, A320, В737</t>
  </si>
  <si>
    <t>Nous vous montrons maintenant les sorties de secours.</t>
  </si>
  <si>
    <t>Ahora les mostraremos las salidas de emergencia.</t>
  </si>
  <si>
    <t xml:space="preserve">Аварийные выходы расположены слева и справа по борту: </t>
  </si>
  <si>
    <t>Les sorties de secours sont situées à gauche et à droite de l’appareil:</t>
  </si>
  <si>
    <t>Las salidas de emergencia están ubicadas a la derecha y a la izquierda del salón:</t>
  </si>
  <si>
    <t xml:space="preserve">deux – dans la partie avant de l’avion, </t>
  </si>
  <si>
    <t>zwei – im vorderen Bereich des Flugzeuges,</t>
  </si>
  <si>
    <t>dos en la parte delantera del avión,</t>
  </si>
  <si>
    <t xml:space="preserve">два/четыре аварийных люка на плоскости крыла и </t>
  </si>
  <si>
    <t xml:space="preserve">two/four window exits over the wings, and </t>
  </si>
  <si>
    <t>deux (quatre) trappes de secours sur les ailes et</t>
  </si>
  <si>
    <t>zwei (vier) Notfenster über den Tragflächen und</t>
  </si>
  <si>
    <t xml:space="preserve">dos (cuatro) puertas de emergencia sobre las alas y </t>
  </si>
  <si>
    <t>deux – dans la partie arrière de l’avion.</t>
  </si>
  <si>
    <t>Светящиеся дорожки вдоль прохода указывают направление к выходам.</t>
  </si>
  <si>
    <t>Die Fluchtwegbeleuchtung am Boden zeigt Ihnen den Weg zu den Notausgängen.</t>
  </si>
  <si>
    <t xml:space="preserve"> Las señales luminosas del pasillo le conducirán hasta las salidas de emergencia.</t>
  </si>
  <si>
    <t>при аварийной посадке на сушу А319, A320</t>
  </si>
  <si>
    <t>When leaving the plane by the slide, jump feet first with upper body and arms extended forward. Get away from the plane.</t>
  </si>
  <si>
    <t>Покидая самолет через выход на крыло, следуйте правилу: «НОГА-ГОЛОВА-НОГА», следуйте по стрелкам. Прыгайте на трап в положении сидя, руки вперед. Бегите от самолета.</t>
  </si>
  <si>
    <t>Beim Verlassen des Flugzeugs durch die Notausgänge über den Tragflächen, folgen Sie der Regel „BEIN-KOPF-BEIN“.Laufen Sie in Pfeilrichtung. Springen Sie auf die Notrutsche in der sitzenden Position mit den Füssen hinein; Oberkörper und Armen nach vorne. Laufen Sie dann weg vom Flugzeug.</t>
  </si>
  <si>
    <t>Si abandonan el avión por la salida sobre el ala sigan la regla “PIERNA-CABEZA-PIERNA”, sigan las flechas. Salten en la posición sentada, los brazos para adelante. Corran del avión.</t>
  </si>
  <si>
    <t>при аварийной посадке на сушу В737</t>
  </si>
  <si>
    <t>Выходы в передней и хвостовой частях самолета снабжены надувными трапами.</t>
  </si>
  <si>
    <t>The exits in the front and in the rear compartments are equipped with inflatable evacuation slides.</t>
  </si>
  <si>
    <t>Die Notausgänge im vorderen und hinteren Bereich des Flugzeugs sind mit aufblasbaren Notrutschen ausgerüstet.</t>
  </si>
  <si>
    <t>Las salidas de emergencia en las partes delantera y trasera del avión están equipadas con toboganes hinchables de evacuación.</t>
  </si>
  <si>
    <t>Покидая самолет через выход на крыло, следуйте правилу: «НОГА-ГОЛОВА-НОГА, бегите по стрелкам, садитесь, съезжайте по закрылкам. Бегите от самолета.</t>
  </si>
  <si>
    <t>Beim Verlassen des Flugzeugs durch die Notausgänge über den Tragflächen, folgen Sie der Regel „BEIN-KOPF BEIN“, laufen Sie in Pfeilrichtung, setzen Sie sich und rutschen. Laufen Sie dann weg vom Flugzeug.</t>
  </si>
  <si>
    <t>Si abandonan el avión por la salida sobre el ala sigan la regla “PIERNA-CABEZA-PIERNA”, sigan las flechas, sientense y bajense. Corran del avión.</t>
  </si>
  <si>
    <t>при аварийной посадке на воду А319, A320, В737</t>
  </si>
  <si>
    <t>Verlassen Sie das Flugzeug durch den nächstliegenden Notausgang. Springen Sie ins Wasser und halten Sie sich an die Rutsche fest.</t>
  </si>
  <si>
    <t>Покидая самолет через выход на крыло, следуйте правилу: «НОГА-ГОЛОВА-НОГА». Оставайтесь на крыле, действуйте по указанию экипажа.</t>
  </si>
  <si>
    <t>Beim Verlassen des Flugzeugs durch die Notausgänge über den Tragflächen, folgen Sie der Regel „BEIN-KOPF-BEIN“. Bleiben Sie auf der Tragfläche und folgen Sie den Anweisungen der Besatzung.</t>
  </si>
  <si>
    <t>Si abandonan el avión por la salida sobre el ala sigan la regla “PIERNA-CABEZA-PIERNA”. Permanezcan en el ala, sigan las instrucciones de la tripulación.</t>
  </si>
  <si>
    <t>А321, А330-200/300</t>
  </si>
  <si>
    <t>Diese Notausgänge befinden sich links und rechts am Bord:</t>
  </si>
  <si>
    <t xml:space="preserve">dos en la parte delantera del avión, </t>
  </si>
  <si>
    <t xml:space="preserve">deux – au centre, </t>
  </si>
  <si>
    <t>zwei – im mittleren Bereich,</t>
  </si>
  <si>
    <t xml:space="preserve">dos en la central, </t>
  </si>
  <si>
    <t xml:space="preserve">deux – après des ailes et </t>
  </si>
  <si>
    <t>zwei – hinter den Tragflächen und</t>
  </si>
  <si>
    <t xml:space="preserve">dos salidas están detrás de las alas y </t>
  </si>
  <si>
    <t xml:space="preserve"> Cada salida está indicada con la señal luminosa “EXIT”.</t>
  </si>
  <si>
    <t>при аварийной посадке на сушу А321, А330-200/300</t>
  </si>
  <si>
    <t>When leaving the plane by the slide jump feet first with upper body and arms extended forward. Get away from the plane.</t>
  </si>
  <si>
    <t>при аварийной посадке на воду А321</t>
  </si>
  <si>
    <t>Эвакуируйтесь через ближайший аварийный выход. Прыгайте в воду. Держитесь за трап.</t>
  </si>
  <si>
    <t>Verlassen Sie das Flugzeug durch den nächstliegenden Notausgang. Springen Sie ins Wasser. Halten Sie sich an die Rutsche fest.</t>
  </si>
  <si>
    <t>при аварийной посадке на воду А330-200</t>
  </si>
  <si>
    <t>Эвакуируйтесь через передние, средние и хвостовые выходы. Они снабжены плотами. Проходите в дальний конец плота и садитесь.</t>
  </si>
  <si>
    <t>Leave the aircraft through the front, mid and rear exits. They are equipped with rafts. Move to the far end of the raft and sit down.</t>
  </si>
  <si>
    <t>Verlassen Sie das Flugzeug durch die vorderen, mittleren und hinteren Notausgänge. Diese sind mit den Rettungsflössen ausgerüstet. Gehen Sie an das Ende des Flosses und setzen Sie sich hin.</t>
  </si>
  <si>
    <t>Evacúense por las salidas delanteras, centrales y posteriores. Están equipadas con balsas. Pasen al fondo de la balsa y siéntense.</t>
  </si>
  <si>
    <t>при аварийной посадке на воду А330-300</t>
  </si>
  <si>
    <t>Эвакуируйтесь через ближайший аварийный выход. Все выходы снабжены плотами. Проходите в дальний конец плота и садитесь.</t>
  </si>
  <si>
    <t>Leave the aircraft through the nearest emergency exit. All exits are equipped with rafts. Move to the far end of the raft and sit down.</t>
  </si>
  <si>
    <t>Evacúense por la salida de emergencia más cercana. Todas las salidas están equipadas con balsas. Pasen al fondo de la balsa y siéntense.</t>
  </si>
  <si>
    <t>Les sorties sont situées à gauche et à droite de la cabine:</t>
  </si>
  <si>
    <t>Die Notausgänge befinden sich links und rechts am Bord:</t>
  </si>
  <si>
    <t>четыре – в передней части самолета,</t>
  </si>
  <si>
    <t xml:space="preserve">quatre – à l’avant, </t>
  </si>
  <si>
    <t>vier – im vorderen Bereich des Flugzeugs,</t>
  </si>
  <si>
    <t xml:space="preserve">cuatro en la parte delantera, </t>
  </si>
  <si>
    <t>two over the wings and</t>
  </si>
  <si>
    <t xml:space="preserve">deux – sur les ailes, </t>
  </si>
  <si>
    <t>zwei – über den Tragflächen,</t>
  </si>
  <si>
    <t xml:space="preserve">dos al ala, </t>
  </si>
  <si>
    <t>четыре – в хвостовой части самолета.</t>
  </si>
  <si>
    <t>vier – im hinteren Bereich des Flugzeuges.</t>
  </si>
  <si>
    <t>Jeder Notausgang ist mit einem beleuchteten Exit- Schild gekennzeichnet.</t>
  </si>
  <si>
    <t>Светящиеся дорожки вдоль проходов указывают направление к выходам.</t>
  </si>
  <si>
    <t>Les lignes lumineuses le long du couloir vous guideront vers les sorties de secours.</t>
  </si>
  <si>
    <t>Bei Benutzunf der Notrutschen springen Sie zuerst in der sitzenden Position mit den Füssen hinein, Oberkörper und Armen nach vorne. Laufen Sie weg vom Flugzeug.</t>
  </si>
  <si>
    <t>Эвакуируйтесь через передние и хвостовые выходы. Они снабжены плотами. Проходите в дальний конец плота и садитесь.</t>
  </si>
  <si>
    <t>Leave the aircraft through the front and rear exits. They are equipped with rafts. Move to the far end of the raft and sit down.</t>
  </si>
  <si>
    <t>Verlassen Sie das Flugzeug durch die vorderen und hinteren Notausgänge. Sie sind mit den Rettungsflössen ausgerüstet. Gehen Sie an das Ende des Flosses und setzen Sie sich hin.</t>
  </si>
  <si>
    <t>Evacúense por las salidas delanteras y posteriores. Están equipadas con balsas. Pasen al fondo de la balsa y siéntense.</t>
  </si>
  <si>
    <t xml:space="preserve">О спасательном жилете (СБ) </t>
  </si>
  <si>
    <t>For the event of ditching, the aircraft is equipped with life vests.</t>
  </si>
  <si>
    <t>Für die Notwasserung sind an Bord unseres Flugzeugs die Schwimmwesten vorhanden.</t>
  </si>
  <si>
    <t>Para el caso de amaraje forzoso abordo hay chaleco salvavidas.</t>
  </si>
  <si>
    <t>Возьмите спасательный жилет под вашим креслом, вытащите из упаковки и наденьте через голову.</t>
  </si>
  <si>
    <t>Take your life vest from under your seat, remove it from the package and pull the vest over your head.</t>
  </si>
  <si>
    <t>Nehmen Sie jetzt die Schwimmweste unter Ihrem Sitz, entfernen Sie die se aus der Verpackung und ziehen Sie die Schwimmweste über den Kopf.</t>
  </si>
  <si>
    <t>Tomen el chaleco salvavidas debajo de sus asientos, sáquenlo del envase e introduzcan la cabeza por la abertura.</t>
  </si>
  <si>
    <t>Оберните тесьму вокруг талии, застегните впереди под жилетом и туго затяните.</t>
  </si>
  <si>
    <t>Adjust the strap around your waist, fasten the buckle in front and tighten the strap.</t>
  </si>
  <si>
    <t>Führen Sie das Band um Ihre Taille und befestigen Sie es vorne unter der Weste. Dann ziehen Sie das Band straff.</t>
  </si>
  <si>
    <t>Pasen la cinta alrededor de la cintura, abróchenla adelante debajo del chaleco y ajusten fuertemente.</t>
  </si>
  <si>
    <t>Надуйте жилет у выхода при покидании самолета, дернув за красные колпачки.</t>
  </si>
  <si>
    <t>Just before leaving the aircraft pull down the red tags to inflate the vest.</t>
  </si>
  <si>
    <t>Inflen el chaleco a la salida del avión, durante la evacuación tirando la palanca roja.</t>
  </si>
  <si>
    <t>Использование средств спасения на воде для детей мы объясним индивидуально.</t>
  </si>
  <si>
    <t>We will explain children’s life vest use personally.</t>
  </si>
  <si>
    <t>Nous expliquerons individuellement l’utilisation des moyens de sauvetage dans l’eau pour les enfants.</t>
  </si>
  <si>
    <t>Die Verwendung der Rettungsausrüstung für Kleinkinder erklären wir Ihnen persönlich.</t>
  </si>
  <si>
    <t>El uso de equipamento salvavidas en el agua para niños se explicará individualmente.</t>
  </si>
  <si>
    <t>Если времени недостаточно</t>
  </si>
  <si>
    <t>Ваш спасательный жилет находится под вашим креслом, достаньте и наденьте жилет только после посадки самолета.</t>
  </si>
  <si>
    <t>Your life vest is under your seat. Take the vest and pull it over your head only after ditching.</t>
  </si>
  <si>
    <t>Ihre Schwimmweste befindet sich unter Ihrem Sitz. Erst nach der Landung des Flugzeugs entfernen Sie die Weste und ziehen Sie diese an.</t>
  </si>
  <si>
    <t>Su chaleco salvavidas se encuentra debajo de sus asientos, extráiganlo y pónganselo solamente después del aterrizaje del avión.</t>
  </si>
  <si>
    <t xml:space="preserve">О принятии безопасной позы (СБ) </t>
  </si>
  <si>
    <t xml:space="preserve">В момент аварийной посадки вы должны принять безопасную позу. Сейчас мы ее продемонстрируем. </t>
  </si>
  <si>
    <t>For the emergency landing/ditching you must take a safety position. Now we are demonstrating it to you.</t>
  </si>
  <si>
    <t xml:space="preserve">Für die Notlandung müssen Sie eine Schutzhaltung einnehmen, die wir Ihnen jetzt zeigen. </t>
  </si>
  <si>
    <t>Durante el aterrizaje de emergencia, tienen que tomar la posición de seguridad. Ahora la demostraremos.</t>
  </si>
  <si>
    <t>По команде «Safety position», я повторяю, «Safety position», толкните спинку кресла перед вами.</t>
  </si>
  <si>
    <t>Auf das Kommando „Safety position“, ich wiederhole „Safety position“, drücken Sie die Rückenlehne des Vordersitzes nach vorne.</t>
  </si>
  <si>
    <t>Cuando suene el orden «Safety position», repito, «Safety position», empujen el respaldo del asiento delantero.</t>
  </si>
  <si>
    <t>Положите голову на колени.</t>
  </si>
  <si>
    <t>Place your head on your knees.</t>
  </si>
  <si>
    <t>Mettez votre tête sur les genoux.</t>
  </si>
  <si>
    <t>Legen Sie den Kopf auf die Knie.</t>
  </si>
  <si>
    <t>Pongan la cabeza sobre las rodillas.</t>
  </si>
  <si>
    <t xml:space="preserve">Обхватите ноги под коленями и крепко держите. </t>
  </si>
  <si>
    <t>Cross your arms under your thighs and hold tightly.</t>
  </si>
  <si>
    <t>Abracen las piernas por debajo de las rodillas y agárrenlas fuertemente.</t>
  </si>
  <si>
    <t>Колени вместе, ступни врозь.</t>
  </si>
  <si>
    <t>Hold your knees together but keep your feet apart.</t>
  </si>
  <si>
    <t xml:space="preserve"> Knie zusammen, Füße auseinander.</t>
  </si>
  <si>
    <t>Ponga las rodillas juntas, los pies separados.</t>
  </si>
  <si>
    <t>Если для этой позы мало места, толкните спинку кресла перед вами.</t>
  </si>
  <si>
    <t>If there is not enough room to take this position, push the backrest of the seat in front of you forward.</t>
  </si>
  <si>
    <t>Reicht der Sitzabstand für diese Schutzhaltung nicht aus, drücken Sie die Rückenlehne des Vordersitzes nach vorne.</t>
  </si>
  <si>
    <t>Si tienen poco espacio para tomar esta posición, empujen el respaldo del asiento delantero.</t>
  </si>
  <si>
    <t>Положите на нее скрещенные руки, плотно прижмитесь лбом к рукам, ступни врозь.</t>
  </si>
  <si>
    <t>Fold your arms, place them on the backrest in front of you and press your forehead firmly against your arms. Keep feet apart.</t>
  </si>
  <si>
    <t>Pongan sobre él respaldo los brazos cruzados, apriétenlos fuertemente con la frente, los pies separados.</t>
  </si>
  <si>
    <t>Попробуйте сейчас принять позу безопасности, затем примите нормальное положение.</t>
  </si>
  <si>
    <t>At this moment you should exercise the safety position once.</t>
  </si>
  <si>
    <t>Versuchen Sie jetzt Ihre Schutzhaltung einzunehmen, danach nehmen Sie wieder Ihre normale Position ein.</t>
  </si>
  <si>
    <t>Intenten ahora tomar la posición de seguridad y luego vuelvan a la posición normal.</t>
  </si>
  <si>
    <t>Безопасную позу для пассажиров с детьми мы объясним индивидуально.</t>
  </si>
  <si>
    <t>We will explain the safety position for children personally.</t>
  </si>
  <si>
    <t>La posición de seguridad para pasajeros con niños será explicada individualmente.</t>
  </si>
  <si>
    <t>При посадке может быть несколько ударов. Оставайтесь в безопасной позе до новых команд.</t>
  </si>
  <si>
    <t>We will probably experience several impacts upon landing. Remain in the safety position until we give you further instructions.</t>
  </si>
  <si>
    <t>Bei der Notlandung sind mehrere Stöße möglich. Bleiben Sie bitte in der Schutzhaltung, bis die neue Anweisungen gegeben werden.</t>
  </si>
  <si>
    <t>Durante el aterrizaje puede haber varios choques. Permanezca en la posición de seguridad hasta nuevos órdenes.</t>
  </si>
  <si>
    <t xml:space="preserve">Дополнительно о поведении при аварийной посадке (СБ) </t>
  </si>
  <si>
    <t>При аварийной посадке на сушу</t>
  </si>
  <si>
    <t>все типы ВС</t>
  </si>
  <si>
    <t>Только по команде экипажа «покинуть самолет» отстегните ремни и бегите быстрее к ближайшему выходу.</t>
  </si>
  <si>
    <t>Only after receiving instruction from the crew to leave the plane, open your seat belt and move quickly to the nearest exit.</t>
  </si>
  <si>
    <t>Nur auf die Anweisung der Besatzung die Kabine zu verlassen, schnallen Sie Ihren Sitzgurt ab und laufen Sie sofort zum nächstliegenden Notausgang.</t>
  </si>
  <si>
    <t>Únicamente después de la instrucción de la tripulación “abandonar el avión” desabrochen el cinturón y corran rápido hacia la salida más cercana.</t>
  </si>
  <si>
    <t xml:space="preserve">При аварийной посадке на воду </t>
  </si>
  <si>
    <t>RRJ-95, А319/320/321, А330-300, В737</t>
  </si>
  <si>
    <t>A330-200</t>
  </si>
  <si>
    <t>Только по команде экипажа «покинуть самолет» отстегните ремни и бегите быстрее к передним, средним и хвостовым выходам.</t>
  </si>
  <si>
    <t>Only after receiving instruction from the crew to leave the plane, open your seat belt and move quickly to the front, mid and rear exits.</t>
  </si>
  <si>
    <t>Únicamente después de la instrucción de la tripulación “abandonar el avión”, desabrochen el cinturón y corran rápido hacia las salidas delanteras, centrales y posteriores.</t>
  </si>
  <si>
    <t>Только по команде экипажа «покинуть самолет» отстегните ремни и бегите быстрее к передним и хвостовым выходам.</t>
  </si>
  <si>
    <t>Only after receiving instruction from the crew to leave the plane, open your seat belt and move quickly to the front and rear exits.</t>
  </si>
  <si>
    <t>Únicamente después de la instrucción de la tripulación “abandonar el avión”, desabrochen el cinturón y corran rápido hacia las salidas delanteras y posteriores.</t>
  </si>
  <si>
    <t xml:space="preserve">О ремнях безопасности (СБ) </t>
  </si>
  <si>
    <t>А сейчас сядьте прямо и застегните ремни. Чтобы отстегнуть ремень, поднимите крышку замка. Застегните и туго затяните ремень.</t>
  </si>
  <si>
    <t>Sit back firmly in your seat and fasten your seat belt. To release your seat belt lift the buckle cover. Now fasten your seat belt and tighten the strap.</t>
  </si>
  <si>
    <t>Ahora siéntense derecho y abrochen los cinturones. Para desabrochar el cinturón levanten la lengüeta de la hebilla. Abroche y ajuste fuertemente el cinturón.</t>
  </si>
  <si>
    <t>Инструкция по безопасности находится в кармане перед вами.</t>
  </si>
  <si>
    <t>Review once more the safety instruction located in the seat pocket in front of you</t>
  </si>
  <si>
    <t>Die Sicherheitsinstruktion befindent sich in der Tasche vor Ihnen.</t>
  </si>
  <si>
    <t>La instrucción de seguridad está colocada en el bolsillo delantero del asiento.</t>
  </si>
  <si>
    <t>Просмотрите ее еще раз. Обратите особое внимание на расположение аварийных выходов.</t>
  </si>
  <si>
    <t>Pay special attention to the location of the emergency exits</t>
  </si>
  <si>
    <t>Sehen Sie sich diese nochmals aufmerksam durch. Achten Sie besonders auf die Anordnung der Notausgänge.</t>
  </si>
  <si>
    <t>Míren la una vez más. Presten atención especial a la ubicación de las salidas de emergencia.</t>
  </si>
  <si>
    <t xml:space="preserve">Бортпроводникам подготовить пассажиров-помощников </t>
  </si>
  <si>
    <t>Последняя поверка готовности – провести</t>
  </si>
  <si>
    <t>Форменная одежда – полная</t>
  </si>
  <si>
    <t>Освещение пассажирских салонов – по ситуации</t>
  </si>
  <si>
    <t>Аварийно-спасательное оборудование – доступно</t>
  </si>
  <si>
    <t>Дверь пилотской кабины – открыть</t>
  </si>
  <si>
    <t>Бортпроводникам занять свои места</t>
  </si>
  <si>
    <t>30-секундный настрой – провести</t>
  </si>
  <si>
    <t>Бортпроводникам собрать предметы обслуживания и подготовить рабочие зоны</t>
  </si>
  <si>
    <t>Положение селекторов аварийных выходов – по ситуации</t>
  </si>
  <si>
    <t>Брифинг для бригады – СБ;</t>
  </si>
  <si>
    <t>Освещение пассажирских салонов – полное (100%);</t>
  </si>
  <si>
    <t>Информация для пассажиров – КВС (СБ)</t>
  </si>
  <si>
    <t xml:space="preserve">При сообщении о взрывном устройстве </t>
  </si>
  <si>
    <t>Мы получили сообщение о том, что на одном из самолетов, возможно, находится взрывное устройство.</t>
  </si>
  <si>
    <t xml:space="preserve">We were informed that there is an explosive on board one of the aircraft. </t>
  </si>
  <si>
    <t>Wir haben die Mitteilung bekommen, dass sich in einem der Flugzeuge vermutlich ein Sprengkörper befindet.</t>
  </si>
  <si>
    <t>Hemos recibido un comunicado de que en uno de los aviones puede estar guardado un dispositivo explosivo.</t>
  </si>
  <si>
    <t>Чтобы удостовериться в нашей безопасности, необходимо принять меры предосторожности и проверить самолет.</t>
  </si>
  <si>
    <t>To make sure we are safe, it is necessary to take precaution measures and check up our aircraft.</t>
  </si>
  <si>
    <t>Zur Gewährleistung Ihrer Sicherheit müssen wir entsprechende Sicherheitsmaßnahmen treffen und die Maschine durchsuchen.</t>
  </si>
  <si>
    <t>Para comprobar nuestra seguridad es indispensable tomar medidas de precaución y revisar el avión.</t>
  </si>
  <si>
    <t>Просим вас сохранять спокойствие и оказать содействие.</t>
  </si>
  <si>
    <t>We ask you to keep calm and get ready for co-operation.</t>
  </si>
  <si>
    <t>Bitte bewahren Sie Ruhe und unterstützen Sie uns.</t>
  </si>
  <si>
    <t>Les pedimos que mantengan calma y colaboren.</t>
  </si>
  <si>
    <t xml:space="preserve">Обратите особое внимание на наличие посторонних предметов рядом с вами. </t>
  </si>
  <si>
    <t>Pay special attention to the presence of foreign objects near to you.</t>
  </si>
  <si>
    <t>Achten Sie besonders auf fremde Gegenstände in Ihrer Nähe.</t>
  </si>
  <si>
    <t>Presten atención especial a la presencia de objetos no identificados a su alrededor.</t>
  </si>
  <si>
    <t>При обнаружении постороннего предмета, не трогая его, сообщите бортпроводникам.</t>
  </si>
  <si>
    <t>Sollten Sie einen fremden Gegenstand feststellen, berühren Sie diesen nicht, sondern informieren Sie umgehend die Flugbegleitung.</t>
  </si>
  <si>
    <t>Si encuentra algún objeto ajeno, sin tocarlo, comúniquenlo a la tripulación.</t>
  </si>
  <si>
    <t>Просим вас сохранять спокойствие, занять свое место и приготовиться к посадке.</t>
  </si>
  <si>
    <t>We ask you to keep calm. Take your seat and get ready for landing.</t>
  </si>
  <si>
    <t>Bewahren Sie bitte Ruhe, nehmen Sie Ihre Plätze ein und bereiten Sie sich auf die Landung vor.</t>
  </si>
  <si>
    <t>Les pedimos mantener la calma, ocupar sus asientos y preparase para el aterrizaje.</t>
  </si>
  <si>
    <t>Мы возвращаемся в аэропорт… [название аэропорта].</t>
  </si>
  <si>
    <t>We will return to the airport… [название аэропорта].</t>
  </si>
  <si>
    <t>Nous retournons à l’aéroport… [название аэропорта].</t>
  </si>
  <si>
    <t>Wir kehren zum Flughafen… [название аэропорта] zurück.</t>
  </si>
  <si>
    <t>Regresamos al aeropuerto… [название аэропорта].</t>
  </si>
  <si>
    <t>Die Landung wird in …Minuten erfolgen.</t>
  </si>
  <si>
    <t>El aterrizaje se realizará en …minutos.</t>
  </si>
  <si>
    <t>После включения табло «ЗАСТЕГНИТЕ РЕМНИ» прочесть информацию «При включении табло «Застегните ремни»</t>
  </si>
  <si>
    <t>После посадки с ВУ на борту (СБ по указанию КВС)</t>
  </si>
  <si>
    <t>При поиске ВУ в полете (КВС или СБ)</t>
  </si>
  <si>
    <t>При изменении маршрута в связи с ВУ (КВС или СБ)</t>
  </si>
  <si>
    <t>Sehr geehrte Damen und Herren.</t>
  </si>
  <si>
    <t>Дальнейшую информацию вы получите в аэропорту.</t>
  </si>
  <si>
    <t>Further information will be given at the airport.</t>
  </si>
  <si>
    <t>Vous recevrez plus d’information à l’aéroport.</t>
  </si>
  <si>
    <t>Weitere Informationen erhalten Sie im Flughafengebäude.</t>
  </si>
  <si>
    <t>Las siguientes instrucciones les serán comunicadas en el aeropuerto.</t>
  </si>
  <si>
    <t>Просим вас оставить ручную кладь на борту и покинуть самолет.</t>
  </si>
  <si>
    <t>Please now deplane. Your hand luggage must remain on board.</t>
  </si>
  <si>
    <t>Wir bitten Sie, Ihre persönlichen Gegenstände an Bord zu lassen und das Flugzeug zu verlassen;</t>
  </si>
  <si>
    <t>Les pedimos dejar los objetos personales a bordo y abandonar el avión.</t>
  </si>
  <si>
    <t>При задымлении кабины (КВС или СБ)</t>
  </si>
  <si>
    <t xml:space="preserve">Мы принимаем все необходимые меры для обеспечения безопасности полета и будем постоянно информировать вас. </t>
  </si>
  <si>
    <t>We have initiated all necessary safety procedures and will keep informing you.</t>
  </si>
  <si>
    <t>Nosotros tomamos todas las medidas necesarias de seguridad del vuelo y vamos constatemente mantenerlos informados.</t>
  </si>
  <si>
    <t>Remain calm</t>
  </si>
  <si>
    <t>Guarden tranquilidad.</t>
  </si>
  <si>
    <t>Для защиты от дыма плотно прижмите салфетку или подголовник к носу и рту и наклонитесь вперед как можно ниже.</t>
  </si>
  <si>
    <t>For protection from smoke put a tissue or the headrest cover of your seat over your nose and mouth and lean forward as low as possible.</t>
  </si>
  <si>
    <t>Para la defenza contra el humo mantenga firme la servilleta o pañuelo hacia la nariz y boca y agachense hacia abajo cuanto mas puedan.</t>
  </si>
  <si>
    <t>В… (передней, средней, хвостовой) части самолета распространяется дым.</t>
  </si>
  <si>
    <t>There is some smoke in the… (front, middle, rear) part of the cabin.</t>
  </si>
  <si>
    <t>La partie… (avant, centrale, arrière) de l’avion est enfumée.</t>
  </si>
  <si>
    <t>Im… (vorderen, mittleren, hinteren) Bereich des Flugzeuges ist Rauchentwicklung festgestellt.</t>
  </si>
  <si>
    <t>En… (la parte delantera, el centro, la parte de atras) del aviòn se dispersa humo.</t>
  </si>
  <si>
    <t>При разгерметизации при достижении безопасной высоты (КВС)</t>
  </si>
  <si>
    <t>Наш самолет занял безопасную высоту. Вы можете снять кислородные маски.</t>
  </si>
  <si>
    <t>Our aircraft has reached the safety level. You may now put off your oxygen masks.</t>
  </si>
  <si>
    <t>Unser Flugzeug hat eine sichere Höhe erreicht. Sie können jetzt Ihre Sauerstoffmasken abnehmen.</t>
  </si>
  <si>
    <t>Nuestro avion se encuentra en una altura sin peligro. Pueden retirar las mascaras de oxigenos.</t>
  </si>
  <si>
    <t>После команды «Controlled disembarkation using… with airstairs» (СБ)</t>
  </si>
  <si>
    <t xml:space="preserve">Возьмите личные вещи и пройдите к выходам… </t>
  </si>
  <si>
    <t>Please take your personal belongings and proceed to the… (front, mid, rear) exits.</t>
  </si>
  <si>
    <t xml:space="preserve">Lleve con sigo sus cosas personales y dirijase a la salida… </t>
  </si>
  <si>
    <t>Оставьте личные вещи на борту и пройдите к выходам…</t>
  </si>
  <si>
    <t>Please leave your hand luggage on board and proceed to… (front, mid, rear) exits.</t>
  </si>
  <si>
    <t>Deje sus cosas personales a bordo y dirijase a la salida…</t>
  </si>
  <si>
    <t>Los servicios de rescate están informados.</t>
  </si>
  <si>
    <t>A bordo de nuestro avión hay equipamento salvavidos necesario.</t>
  </si>
  <si>
    <t>Die Piloten und die Flugbegleiter sind in den Handlungen bei den Notfällen trainiert und ausgebildet.</t>
  </si>
  <si>
    <t>La tripulación está preparada para actuar en situaciones de emergencia.</t>
  </si>
  <si>
    <t>Bewahren Sie Ruhe.</t>
  </si>
  <si>
    <t>Bewahren Sie Ruhe. Folgen Sie unseren Anweisungen.</t>
  </si>
  <si>
    <t>Legen Sie Ihre Krawatte ab und öffnen Sie Ihren Kragen.</t>
  </si>
  <si>
    <t>Schieben Sie das Handgepäck unter den Sitz vor Ihnen oder verstauen Sie es in der oberen Gepäckablagen.</t>
  </si>
  <si>
    <t>Nach der Landung lassen Sie das Handgepäck an Bord.</t>
  </si>
  <si>
    <t>Bei Benutzung der Rutschen, springen Sie zuerst in der sitzenden Position mit den Füssen hinein, Oberkörper und Armen nach vorne. Laufen Sie dann weg vom Flugzeug.</t>
  </si>
  <si>
    <t>Jeder Notausgang ist mit einem beleuchteten EXIT Schild gekennzeichnet.</t>
  </si>
  <si>
    <t>Bei Benutzung der Notrutschen springen Sie zuerst in der sitzenden Position mit den Füssen hinein, Oberkörper und Arme nach vorne. Laufen Sie dann weg vom Flugzeug.</t>
  </si>
  <si>
    <t>Bei Benutzung der Notrutschen, springen Sie zuerst in der sitzenden Position mit den Füssen hinein, Oberkörper und Armen nach vorne. Laufen Sie dann weg vom Flugzeug.</t>
  </si>
  <si>
    <t>Bei Benutzung der Rutschen springen Sie zuerst in der sitzenden Position mit den Füssen hinein, Oberkörper und Armen nach vorne. Laufen Sie dann weg vom Flugzeug.</t>
  </si>
  <si>
    <t>Verlassen Sie das Flugzeug durch den nächstliegenden Notausgang. Alle Notausgänge sind mit den Rettungsflössen ausgerüstet. Gehen Sie an das Ende des Flosses und setzen Sie sich hin.</t>
  </si>
  <si>
    <t>два выхода – на плоскости крыла и</t>
  </si>
  <si>
    <t>Erst beim Verlassen des Flugzeugs ziehen Sie die roten Knöpfe fest nach unten, um die Schwimmweste aufzublasen.</t>
  </si>
  <si>
    <t xml:space="preserve">Umspannen Sie die Oberschenkel mit den Armen und halten Sie diese fest. </t>
  </si>
  <si>
    <t>Legen Sie Ihre gekreuzten Arme auf die Rückenlehne des Vordersitzes, und drücken Sie den Kopf dagegen, Füße auseinander.</t>
  </si>
  <si>
    <t>Die Schutzhaltung für die Passagiere mit Kleinkindern erklären wir Ihnen persönlich.</t>
  </si>
  <si>
    <t>Nur auf die Anweisung der Besatzung die Kabine zu verlassen, schnallen Sie Ihren Sitzgurt ab und laufen Sie sofort zu den vorderen, mittleren und hinteren Notausgängen.</t>
  </si>
  <si>
    <t>Nur auf die Anweisung der Besatzung die Kabine zu verlassen, schnallen Sie Ihren Sitzgurt ab und laufen Sie sofort zu den vorderen und hinteren Notausgängen.</t>
  </si>
  <si>
    <t>Jetzt setzen Sie sich bitte aufrecht und schnallen Sie Ihren Sicherheitsgurt an. Um den Gurt abzuschnallen, heben Sie die Abdeckklappe an. Schnallen Sie Ihren Sicherheitsgurturt an und ziehen Sie ihn straff.</t>
  </si>
  <si>
    <t>Wir werden alle notwendigen Maßnahmen für die Sicherheit des Fluges treffen und werden Sie ständig informieren.</t>
  </si>
  <si>
    <t>Zum Schutz vor dem Rauch drücken Sie eine Serviette oder den Kopfstützenbezug an Mund und Nase und beugen Sie sich so tief wie möglich nach unten.</t>
  </si>
  <si>
    <t>Wir bitten Sie, Ihre persönlichen Gegenstände mitzunehmen und sich zu den Ausgängen zu begeben…</t>
  </si>
  <si>
    <t>Wir bitten Sie, Ihre persönlichen Gegenstände an Bord zu lassen und sich zu den Ausgängen zu begeben.</t>
  </si>
  <si>
    <t>Verlassen Sie das Flugzeug duch den nächstliegenden Notausgang. Springen Sie ins Wasser und halten Sie sich an die Rutsche fest.</t>
  </si>
  <si>
    <t xml:space="preserve">Im Namen der Crew gratuliere ich Ihnen zum Weihnachtsfest und Neujahr! Ich wünsche Ihnen gute Gesundheit, viel Erfolg und Wohlergehen. </t>
  </si>
  <si>
    <t>Unser Flug… [номер рейса] von… nach… (wird in Partnerschaft mit… [название авиакомпании по код-шер]) ausgeführt.</t>
  </si>
  <si>
    <t>An Bord unseres Flugzeugs befindet sich ein Mitreisender (eine Mitreisende), der (die)bei uns Verdacht erregt, infiziert worden zu sein.</t>
  </si>
  <si>
    <t xml:space="preserve">A bordo hay un pasajero con sospecha a una enfermedad infecciosa. </t>
  </si>
  <si>
    <t>En application des règlements sanitaires locaux et internationaux, et pour protéger votre santé le personnel de cabine va distribuer les masques individuelles.</t>
  </si>
  <si>
    <t>Nous vous prions de prendre vos sièges, mettre les masques et les garder jusqu’à la fin du vol.</t>
  </si>
  <si>
    <t>In wenigen Minuten geben wir Ihnen die Formulare aus, die Sie laut der Forderung der Gesundheitsorgane ausfüllen müssen.</t>
  </si>
  <si>
    <t>En breve distribuiremos los formularios que hay que llenar según las exigencias de las organizaciones médicas.</t>
  </si>
  <si>
    <t>Die Formulare werden mit Druckbuchstaben ausgefüllt. Die Adresse Ihres Aufenthalts im Laufe von nächsten 30 Tagen seit dem Einreisedatum ist erforderlich zum ausfüllen.</t>
  </si>
  <si>
    <t>Wir bitten Sie, die ausgefüllten Formulare den Flugbegleitern vor dem Verlassen des Flugzeugs zu geben.</t>
  </si>
  <si>
    <t>Wenn Ihnen etwas fehlt und Sie sich nicht wohl fühlen, oder falls Sie Hilfe brauchen, melden Sie sich bitte sofort bei einem Ihrer Flugbegleiter.</t>
  </si>
  <si>
    <t xml:space="preserve">Si necesitan ayuda médica, diríjance al personal de cabina. </t>
  </si>
  <si>
    <t>В… [указать где: салоне, туалетной комнате, др.] найден (найдена/-о) … [указать что именно]. Если он (она, оно) принадлежит вам, пожалуйста, обратитесь к бортпроводникам.</t>
  </si>
  <si>
    <t xml:space="preserve">СБ: Wir wünschen Ihnen guten Flug. </t>
  </si>
  <si>
    <t xml:space="preserve">La información sobre el uso y precios está en web-página. (вариант: …los precios están en…) </t>
  </si>
  <si>
    <t>Lamentamos que acceso a Internet (enlace móbil) no es disponible debido a la falta de la seňal en el sistema.</t>
  </si>
  <si>
    <t xml:space="preserve">Our estimated time of arrival at… [название города],… [название аэропорта] airport is …a.m./p.m. Moscow/local time. The time difference between… [название города] and Moscow is plus/minus …hours. </t>
  </si>
  <si>
    <t>Les formulaires exigés vous pouvez remplir à l’aéroport. Les formulaires doivent être remplis en caractères imprimés.</t>
  </si>
  <si>
    <t>Sie bekommen die Formulare im Flughaffengebäude. Bitte füllen Sie die Formulare in Großbuchstaben aus.</t>
  </si>
  <si>
    <t>Cette information concerne les passagers en transfert à continuation aux vols d’Aéroflot/… [название авиакомпании] vol… [номер рейса] à destination de… [пункт назначения]!</t>
  </si>
  <si>
    <t>Après avoir quitté l’avion vous allez être accompagnés par un personnel d’Aéroflot jusqu’à la sortie de votre prochain vol.</t>
  </si>
  <si>
    <t xml:space="preserve">Der Mitarbeiter der Aeroflot wartet auf Sie neben der Flugzeugbrücke im Flughafengebäude und wird Sie nach dem Verlassen des Flugzeugs bis zum Anschlussflugsteig begleiten. </t>
  </si>
  <si>
    <t>Después de salir del avión les espera el agente de Aeroflot quien les acompaňará a la puerta de salida de su vuelo de conexión.</t>
  </si>
  <si>
    <t>Wir empfehlen den Transferfluggästen, sich mit dem Plan der Flughafenterminals und mit der Anordnung der Registrierungsstellen für Anschlußflüge bekannt zu machen. Diese Informationen finden Sie in Ihrem „Aeroflot“-Magazin.</t>
  </si>
  <si>
    <t>Les recomendamos a los pasajeros de tránsito familiarizarse con el plan de las terminales y de la ubicación de los mostradores de registración en la revista Aeroflot.</t>
  </si>
  <si>
    <t>L'appareil est prêt à l'atterrissage.</t>
  </si>
  <si>
    <t>Wenn Sie ein Auto verleihen sollten, empfehlen wir Ihnen, sich an den Autoverleihdienst Europcar im Flughafen zu wenden. Dort erhalten Sie weitere Informationen über den Bestand von den Sonderpreißnachlässen für die Fluggäste der Aeroflot und für die Inhaber von Aeroflot Bonus Karten der Eliteneveaus.</t>
  </si>
  <si>
    <t>После посадки в Москве для рейсов Токио-Москва-Рим/Париж/Лондон-Токио (СБ) (дневной/ночной рейс)</t>
  </si>
  <si>
    <t xml:space="preserve">The passengers with an onward flight to… [пункт назначения] should take their hand luggage and proceed to the waiting area. The aircraft and crew will be changed at Sheremetyevo airport. </t>
  </si>
  <si>
    <t>После посадки в аэропорту назначения на языке страны направления для рейсов в страны СНГ (PRAM) (дневной/ночной рейс)</t>
  </si>
  <si>
    <t>Nach dem Verlassen des Flugzeuges passieren Sie bitte zuerst die Flugzeugbrücke, dann gehen Sie bitte die Treppe hinunter. Dort steigen Sie bitte in den Bus ein, der Sie zum Flughafengebäude bringt.</t>
  </si>
  <si>
    <t xml:space="preserve">Hier spricht Ihr Kapitän. </t>
  </si>
  <si>
    <t>Bitte vergewissern Sie sich daß:</t>
  </si>
  <si>
    <t xml:space="preserve">Wir bedauern es sehr, daß der Internetzugang (und der Mobilfunk) aufgrund fehlender Signale vorübergehend nicht zur Verfügung steht (stehen). </t>
  </si>
  <si>
    <t xml:space="preserve">Der Kapitän hat uns mitgeteilt, daß wir uns in einer Schlechtwetterzone befinden. </t>
  </si>
  <si>
    <t>Der Kapitän hat uns informiert, daß wir in …Minuten mit dem Landeanflug beginnen.</t>
  </si>
  <si>
    <t>vergewissern Sie sich, daß Ihr Handgepäck in der Ablage über Ihnen oder unter Ihrem Vordersitz verstaut ist;</t>
  </si>
  <si>
    <t>Dürfen wir Sie daran erinnern, daß alle elektronischen Geräte solange ausgeschaltet bleiben müssen, bis das Flugzeug zum vollständigen Stillstand gekommen ist.</t>
  </si>
  <si>
    <t>Dürfen wir Sie daran erinnern, daß die Decken und die Kissen ein Eigentum der Fluglinie sind.</t>
  </si>
  <si>
    <t>Bitte vergewissern Sie sich, daß</t>
  </si>
  <si>
    <t>alle elektronischen Geräte ausgeschaltet sind,</t>
  </si>
  <si>
    <t>Les couloirs et les sorties de secours doivent être libres de tout objet personnel.</t>
  </si>
  <si>
    <r>
      <t xml:space="preserve">6. En cas d'amerrissage, les toboggans des sorties à l'avant, au milieu et à l'arrière de la cabine peuvent </t>
    </r>
    <r>
      <rPr>
        <sz val="11"/>
        <color rgb="FF963634"/>
        <rFont val="Calibri"/>
        <family val="2"/>
        <charset val="204"/>
      </rPr>
      <t>être utilisés comme</t>
    </r>
    <r>
      <rPr>
        <sz val="11"/>
        <color rgb="FF963634"/>
        <rFont val="Calibri"/>
        <family val="2"/>
        <charset val="204"/>
        <scheme val="minor"/>
      </rPr>
      <t xml:space="preserve"> canots de sauvetage.</t>
    </r>
  </si>
  <si>
    <r>
      <t>6. En cas d’ammerrissage, les tobbogans de toutes les sorties peuvent être utilis</t>
    </r>
    <r>
      <rPr>
        <sz val="11"/>
        <color rgb="FF963634"/>
        <rFont val="Calibri"/>
        <family val="2"/>
        <charset val="204"/>
      </rPr>
      <t>é</t>
    </r>
    <r>
      <rPr>
        <sz val="11"/>
        <color rgb="FF963634"/>
        <rFont val="Calibri"/>
        <family val="2"/>
        <charset val="204"/>
        <scheme val="minor"/>
      </rPr>
      <t>s comme canots de sauvetage.</t>
    </r>
  </si>
  <si>
    <t>5. Vous pouvez gonfler le gilet d’avantage en utilisant les embouts buccaux.</t>
  </si>
  <si>
    <r>
      <t xml:space="preserve">Nous attendons l'autorisation pour décoller, </t>
    </r>
    <r>
      <rPr>
        <sz val="11"/>
        <color rgb="FF963634"/>
        <rFont val="Calibri"/>
        <family val="2"/>
        <charset val="204"/>
      </rPr>
      <t>ç</t>
    </r>
    <r>
      <rPr>
        <sz val="11"/>
        <color rgb="FF963634"/>
        <rFont val="Calibri"/>
        <family val="2"/>
        <charset val="204"/>
        <scheme val="minor"/>
      </rPr>
      <t>a prendra… minutes/quelques minutes.</t>
    </r>
  </si>
  <si>
    <t>Si vous souhaitez faire des achats, veuillez vous adresser à un personnel de bord avant la descente de l’avion.</t>
  </si>
  <si>
    <t>Nous avons le regret de vous annoncer que la connection mobile et l’accès à l’Internet à bord sont hors de service à cause de la manque du signal dans le systhème.</t>
  </si>
  <si>
    <r>
      <t>La durée de la connection est limitée. Veuillez vous dépêcher, s'il vous pla</t>
    </r>
    <r>
      <rPr>
        <sz val="11"/>
        <color rgb="FF963634"/>
        <rFont val="Calibri"/>
        <family val="2"/>
        <charset val="204"/>
      </rPr>
      <t>ît</t>
    </r>
    <r>
      <rPr>
        <sz val="11"/>
        <color rgb="FF963634"/>
        <rFont val="Calibri"/>
        <family val="2"/>
        <charset val="204"/>
        <scheme val="minor"/>
      </rPr>
      <t>.</t>
    </r>
  </si>
  <si>
    <t>Veuillez, s’il vous plaît, ranger tous vos objets. Les bagages doivent être placés sous le siège devant vous ou dans les coffres à bagages au-dessus de vous.</t>
  </si>
  <si>
    <t>Notre avion vient d'atterir à l'aéroport à… [название города], aéroport… [название аэропорта], aérogare… [указать].</t>
  </si>
  <si>
    <t>Les passagers à continuation au vol à destination de… [пункт назначения] doivent prendre leurs bagages à main et passer dans la salle d'attente. L'équipage et l'avion vont être changés à l'aéroport Shéremetievo.</t>
  </si>
  <si>
    <t>Après avoir quitté l’avion nous vous prions de traverser la passerelle téléscopique et descendre l’escalier afin de prendre l’aérobus qui vous amènera à l’aérogare.</t>
  </si>
  <si>
    <r>
      <t xml:space="preserve">Attention des passagers de la classe </t>
    </r>
    <r>
      <rPr>
        <sz val="11"/>
        <color rgb="FF963634"/>
        <rFont val="Calibri"/>
        <family val="2"/>
        <charset val="204"/>
      </rPr>
      <t>économique!</t>
    </r>
    <r>
      <rPr>
        <sz val="11"/>
        <color rgb="FF963634"/>
        <rFont val="Calibri"/>
        <family val="2"/>
        <charset val="204"/>
        <scheme val="minor"/>
      </rPr>
      <t xml:space="preserve"> Veuillez rester vos sièges pour permettre aux passagers en correspondance pour… [название пункта назначения] de débarquer en premier.</t>
    </r>
  </si>
  <si>
    <t>Veuillez détacher votre ceinture et garder votre siège.</t>
  </si>
  <si>
    <t>Les couloirs et les sorties de secours doivent être libres.</t>
  </si>
  <si>
    <t>Veuillez rester assis et garder votre ceinture attachée.</t>
  </si>
  <si>
    <r>
      <t>Vous êtes pri</t>
    </r>
    <r>
      <rPr>
        <sz val="11"/>
        <color rgb="FF963634"/>
        <rFont val="Calibri"/>
        <family val="2"/>
        <charset val="204"/>
      </rPr>
      <t>é</t>
    </r>
    <r>
      <rPr>
        <sz val="11"/>
        <color rgb="FF963634"/>
        <rFont val="Calibri"/>
        <family val="2"/>
        <charset val="204"/>
        <scheme val="minor"/>
      </rPr>
      <t>s de prendre places selon vos cartes d’embarquement. Veuillez les préparer pour un contrôle supplémentaire.</t>
    </r>
  </si>
  <si>
    <t>L'équipage a aperçu de la fumée de tabac dans une toilette.</t>
  </si>
  <si>
    <t>Selon l’article 107 du Code de l'Aviation Civile de la Fédération de la Russie les compagnies aériennes sont autorisées à appliquer les sanctions suivantes en cas de la violation par un passager des règles de la conduite à bord de l’avion aussi bien que la non-exécution des ordres de l'équipage:</t>
  </si>
  <si>
    <t>Nous avons le regret de vous annoncer que les boissons chaudes seront remplacées par les rafraichissements à cause de la pénurie d'eau.</t>
  </si>
  <si>
    <t xml:space="preserve">Un passager avec la suspicion à une maladie infectieuse se trouve à bord. </t>
  </si>
  <si>
    <r>
      <t>Les formulaires remplis doivent-</t>
    </r>
    <r>
      <rPr>
        <sz val="11"/>
        <color rgb="FF963634"/>
        <rFont val="Calibri"/>
        <family val="2"/>
        <charset val="204"/>
      </rPr>
      <t>être remis au personnel de cabine</t>
    </r>
    <r>
      <rPr>
        <sz val="11"/>
        <color rgb="FF963634"/>
        <rFont val="Calibri"/>
        <family val="2"/>
        <charset val="204"/>
        <scheme val="minor"/>
      </rPr>
      <t xml:space="preserve"> avant le débarquement.</t>
    </r>
  </si>
  <si>
    <t>Nous sommes à la recherche de … [указать что именно] qui a (ont) été égaré par un des passagers. Si vous le (la, les) trouvez, veuillez le (la, les) remettre au personnel de cabine.</t>
  </si>
  <si>
    <t>Un/une (des)… [указать что именно] a (ont) été trouvé dans… [указать где: toilettes, partie de cabine, др.]. Veuillez contacter le personnel de cabine.</t>
  </si>
  <si>
    <t>En conformité des réglements médicaux internationaux la cabine va être desinsectée. Les produits utilisés correspondent aux normes internationales et ne présentent aucun danger pour votre santé.</t>
  </si>
  <si>
    <t>Veuillez préparer vos cartes d’embarquement et les passeports.</t>
  </si>
  <si>
    <t>Le personnel au sol de l’aéroport Shéremetievo va procéder à un contrôle supplémentaire à la sortie de l'appareil.</t>
  </si>
  <si>
    <t>L’équipage et le personnel de cabin sont formés à réagir aux situations d’urgence.</t>
  </si>
  <si>
    <t>Gardez votre calme.</t>
  </si>
  <si>
    <t>Nous prions les employés d’Aéroflot ou des autres compagnies aériennes, les pompiers et les sauveteurs de s’adresser au personnel de cabine.</t>
  </si>
  <si>
    <t>Gardez votre calme. Suivez nos instructions.</t>
  </si>
  <si>
    <t>Placez le dossier du fauteuil en la position verticale, relevez la tablette.</t>
  </si>
  <si>
    <r>
      <t>Enlevez les cravates et d</t>
    </r>
    <r>
      <rPr>
        <sz val="11"/>
        <color rgb="FF963634"/>
        <rFont val="Calibri"/>
        <family val="2"/>
        <charset val="204"/>
      </rPr>
      <t>éboutonnez</t>
    </r>
    <r>
      <rPr>
        <sz val="11"/>
        <color rgb="FF963634"/>
        <rFont val="Calibri"/>
        <family val="2"/>
        <charset val="204"/>
        <scheme val="minor"/>
      </rPr>
      <t xml:space="preserve"> les cols.</t>
    </r>
  </si>
  <si>
    <t>Rangez les bagages à main sous le siège en face de vous ou dans les coffres à bagage au-dessus de vous.</t>
  </si>
  <si>
    <t>Laissez tous bagages à bord après l’atterrissage.</t>
  </si>
  <si>
    <t>Enlevez vos chaussures. Mettez-les sous le siège devant vous.</t>
  </si>
  <si>
    <t xml:space="preserve">Toutes les sorties sont équipées de toboggans. </t>
  </si>
  <si>
    <t>Quittez l'avion par la sortie de secours la plus proche. Sautez dans l’eau. Tenez-vous au toboggan.</t>
  </si>
  <si>
    <t>Les lignes lumineuses le long des couloirsvous guident vers les sorties de secours.</t>
  </si>
  <si>
    <t>Toutes les sorties sont équipées de toboggans.</t>
  </si>
  <si>
    <t xml:space="preserve">En quittant l’avion par la passerelle, sautez dans la position assise, les bras en avant. Éloignez-vous vite de l’avion. </t>
  </si>
  <si>
    <t>Les sorties de secours à l’avant et à l’arriere de l'appareil sont équipées de toboggans</t>
  </si>
  <si>
    <t>En quittant l’avion par la passerelle, sautez dans la position assise, les bras en avant. Éloignez-vous vite de l’avion.</t>
  </si>
  <si>
    <t>Quittez par la sortie de secours la plus proche. Sautez dans l’eau. Tenez-vous à la passerelle gonflable.</t>
  </si>
  <si>
    <t>Les lignes lumineuses le long du couloir vous guidera vers les sorties de secour.</t>
  </si>
  <si>
    <t>Evacuez-vous par la sortie de secours la plus proche. Sautez dans l’eau. Tenez-vous à la passerelle gonflable.</t>
  </si>
  <si>
    <t>Evacuez-vous par les sorties avants, centrales et arrières. Elles sont équipées de cannot de sauvetage. Passez en avant et asseyez-vous.</t>
  </si>
  <si>
    <t xml:space="preserve"> Evacuez-vous par la sortie de secour la plus proche. Toutes les sorties sont équipées de cannot de sauvetage. Passez en avant et asseyez-vous.</t>
  </si>
  <si>
    <t>Evacuez-vous par la sortie de secours la plus proche. Toutes les sorties sont équipées de cannots de sauvetage. Passez en avant et asseyez-vous.</t>
  </si>
  <si>
    <r>
      <t xml:space="preserve">En cas d’ammerissage </t>
    </r>
    <r>
      <rPr>
        <sz val="11"/>
        <color rgb="FF963634"/>
        <rFont val="Calibri"/>
        <family val="2"/>
        <charset val="204"/>
      </rPr>
      <t>à</t>
    </r>
    <r>
      <rPr>
        <sz val="11"/>
        <color rgb="FF963634"/>
        <rFont val="Calibri"/>
        <family val="2"/>
        <charset val="204"/>
        <scheme val="minor"/>
      </rPr>
      <t xml:space="preserve"> bord de notre avion il y a les gilets de sauvetage.</t>
    </r>
  </si>
  <si>
    <r>
      <t>Prenez le gilet de sauvetage sous votre si</t>
    </r>
    <r>
      <rPr>
        <sz val="11"/>
        <color rgb="FF963634"/>
        <rFont val="Calibri"/>
        <family val="2"/>
        <charset val="204"/>
      </rPr>
      <t>ège</t>
    </r>
    <r>
      <rPr>
        <sz val="11"/>
        <color rgb="FF963634"/>
        <rFont val="Calibri"/>
        <family val="2"/>
        <charset val="204"/>
        <scheme val="minor"/>
      </rPr>
      <t>, sortez-le de l’emballage et enfilez-le par la tête.</t>
    </r>
  </si>
  <si>
    <r>
      <t xml:space="preserve">Ajustez la sangle autour de votre taille, attachez-la </t>
    </r>
    <r>
      <rPr>
        <sz val="11"/>
        <color rgb="FF963634"/>
        <rFont val="Calibri"/>
        <family val="2"/>
        <charset val="204"/>
      </rPr>
      <t>à l'avant</t>
    </r>
    <r>
      <rPr>
        <sz val="11"/>
        <color rgb="FF963634"/>
        <rFont val="Calibri"/>
        <family val="2"/>
        <charset val="204"/>
        <scheme val="minor"/>
      </rPr>
      <t xml:space="preserve"> sous le gilet et nouez-la bien.</t>
    </r>
  </si>
  <si>
    <t>Votre gilet de sauvetage se trouve sous votre siège. Prenez-le et gonflez-le seulement après l’atterrissage de l’avion.</t>
  </si>
  <si>
    <r>
      <t>Au commandement «Safety position», je répète, «Safety position», poussez le dossier du si</t>
    </r>
    <r>
      <rPr>
        <sz val="11"/>
        <color rgb="FF963634"/>
        <rFont val="Calibri"/>
        <family val="2"/>
        <charset val="204"/>
      </rPr>
      <t>ège devant</t>
    </r>
    <r>
      <rPr>
        <sz val="11"/>
        <color rgb="FF963634"/>
        <rFont val="Calibri"/>
        <family val="2"/>
        <charset val="204"/>
        <scheme val="minor"/>
      </rPr>
      <t xml:space="preserve"> vous vers l'avant.</t>
    </r>
  </si>
  <si>
    <t>Entourez vos jambes avec vos bras sous les genoux et tenez bien.</t>
  </si>
  <si>
    <t>Genoux serres, pieds écartés.</t>
  </si>
  <si>
    <t>Si vous n’avez pas assez de place pour prendre cette pose, poussez le dossier du siège devant vous vers l'avant.</t>
  </si>
  <si>
    <r>
      <t>Croisez vos bras sur le dossier du siège, pressez la t</t>
    </r>
    <r>
      <rPr>
        <sz val="11"/>
        <color rgb="FF963634"/>
        <rFont val="Calibri"/>
        <family val="2"/>
        <charset val="204"/>
      </rPr>
      <t>êt</t>
    </r>
    <r>
      <rPr>
        <sz val="11"/>
        <color rgb="FF963634"/>
        <rFont val="Calibri"/>
        <family val="2"/>
        <charset val="204"/>
        <scheme val="minor"/>
      </rPr>
      <t xml:space="preserve"> contre vos bras et </t>
    </r>
    <r>
      <rPr>
        <sz val="11"/>
        <color rgb="FF963634"/>
        <rFont val="Calibri"/>
        <family val="2"/>
        <charset val="204"/>
      </rPr>
      <t>écartez les</t>
    </r>
    <r>
      <rPr>
        <sz val="11"/>
        <color rgb="FF963634"/>
        <rFont val="Calibri"/>
        <family val="2"/>
        <charset val="204"/>
        <scheme val="minor"/>
      </rPr>
      <t xml:space="preserve"> pieds.</t>
    </r>
  </si>
  <si>
    <t>Essayez maintenant de prendre la pose de protection, puis prenez la position normale.</t>
  </si>
  <si>
    <t>Nous expliquerons individuellement la pose de protection pour les passagers avec des enfants.</t>
  </si>
  <si>
    <r>
      <t xml:space="preserve">Nous devons nous attendre </t>
    </r>
    <r>
      <rPr>
        <sz val="11"/>
        <color rgb="FF963634"/>
        <rFont val="Calibri"/>
        <family val="2"/>
        <charset val="204"/>
      </rPr>
      <t>à plusieurs secousses</t>
    </r>
    <r>
      <rPr>
        <sz val="11"/>
        <color rgb="FF963634"/>
        <rFont val="Calibri"/>
        <family val="2"/>
        <charset val="204"/>
        <scheme val="minor"/>
      </rPr>
      <t xml:space="preserve"> l’atterrissage. Gardez la pose de protection jusqu’à d'autres instruction.</t>
    </r>
  </si>
  <si>
    <r>
      <t xml:space="preserve"> Ne quittez pas la cabin sans avoir re</t>
    </r>
    <r>
      <rPr>
        <sz val="11"/>
        <color rgb="FF963634"/>
        <rFont val="Calibri"/>
        <family val="2"/>
        <charset val="204"/>
      </rPr>
      <t>çu l'</t>
    </r>
    <r>
      <rPr>
        <sz val="11"/>
        <color rgb="FF963634"/>
        <rFont val="Calibri"/>
        <family val="2"/>
        <charset val="204"/>
        <scheme val="minor"/>
      </rPr>
      <t>ordre de l’équipage. Détachez les ceintures et courez vite vers la sortie la plus proche.</t>
    </r>
  </si>
  <si>
    <t>Ne quittez pas la cabin sans avoir reçu l'ordre de l’équipage. Détachez les ceintures et courez vite vers la sortie la plus proche.</t>
  </si>
  <si>
    <r>
      <t>Ne quittez pas la cabin sans avoir reçu l'ordre de l’équipage. Détachez les ceintures et courez vite vers le sorties d'avant, de milieu et de l'arri</t>
    </r>
    <r>
      <rPr>
        <sz val="11"/>
        <color rgb="FF963634"/>
        <rFont val="Calibri"/>
        <family val="2"/>
        <charset val="204"/>
      </rPr>
      <t>ère</t>
    </r>
    <r>
      <rPr>
        <sz val="11"/>
        <color rgb="FF963634"/>
        <rFont val="Calibri"/>
        <family val="2"/>
        <charset val="204"/>
        <scheme val="minor"/>
      </rPr>
      <t>.</t>
    </r>
  </si>
  <si>
    <r>
      <t>Ne quittez pas la cabin sans avoir reçu l'ordre de l’équipage. Détachez les ceintures et courez vite vers les sorties d'avant et d'arri</t>
    </r>
    <r>
      <rPr>
        <sz val="11"/>
        <color rgb="FF963634"/>
        <rFont val="Calibri"/>
        <family val="2"/>
        <charset val="204"/>
      </rPr>
      <t>ère</t>
    </r>
    <r>
      <rPr>
        <sz val="11"/>
        <color rgb="FF963634"/>
        <rFont val="Calibri"/>
        <family val="2"/>
        <charset val="204"/>
        <scheme val="minor"/>
      </rPr>
      <t>.</t>
    </r>
  </si>
  <si>
    <t>Asseyez-vous tout droit et attachez les ceintures. Souevez le couvercle de la boucle pour détacher la ceinture. Attachez et serrez bien la ceinture.</t>
  </si>
  <si>
    <r>
      <t>La consigne de sécurité se trouv dans la poche du si</t>
    </r>
    <r>
      <rPr>
        <sz val="11"/>
        <color rgb="FF963634"/>
        <rFont val="Calibri"/>
        <family val="2"/>
        <charset val="204"/>
      </rPr>
      <t>ège devant</t>
    </r>
    <r>
      <rPr>
        <sz val="11"/>
        <color rgb="FF963634"/>
        <rFont val="Calibri"/>
        <family val="2"/>
        <charset val="204"/>
        <scheme val="minor"/>
      </rPr>
      <t xml:space="preserve"> vous.</t>
    </r>
  </si>
  <si>
    <t>Veuillez la consulter encore une fois. Faites particulièrement attention à l’emplacement des sorties de secours.</t>
  </si>
  <si>
    <t>Faites attention à la présence des objets étrangers autour de vous.</t>
  </si>
  <si>
    <t xml:space="preserve"> Ayant trouve d’objet étranger, ne le touchez pas et informez le personnel de cabine.</t>
  </si>
  <si>
    <t>Nous vous prions de garder votre calme, de prendre votre place et de vous préparer à l’atterrissage.</t>
  </si>
  <si>
    <t>Nous vous prions de laisser vos objets personnels à bord et de quitter l’avion.</t>
  </si>
  <si>
    <r>
      <t xml:space="preserve">Nous prenons toutes les mesures nécessaires pour assurer la sécurité du vol. Nous continuerons </t>
    </r>
    <r>
      <rPr>
        <sz val="11"/>
        <color rgb="FF963634"/>
        <rFont val="Calibri"/>
        <family val="2"/>
        <charset val="204"/>
      </rPr>
      <t xml:space="preserve">à </t>
    </r>
    <r>
      <rPr>
        <sz val="11"/>
        <color rgb="FF963634"/>
        <rFont val="Calibri"/>
        <family val="2"/>
        <charset val="204"/>
        <scheme val="minor"/>
      </rPr>
      <t>vous tenir inform</t>
    </r>
    <r>
      <rPr>
        <sz val="11"/>
        <color rgb="FF963634"/>
        <rFont val="Calibri"/>
        <family val="2"/>
        <charset val="204"/>
      </rPr>
      <t>és</t>
    </r>
    <r>
      <rPr>
        <sz val="11"/>
        <color rgb="FF963634"/>
        <rFont val="Calibri"/>
        <family val="2"/>
        <charset val="204"/>
        <scheme val="minor"/>
      </rPr>
      <t>.</t>
    </r>
  </si>
  <si>
    <t>Veuillez garder votre calme.</t>
  </si>
  <si>
    <t>Mettez une serviette ou l’appui-tête sur votre bouche et votre nez et penchez-vous en avant le plus possible vers le sol.</t>
  </si>
  <si>
    <t>Notre avion a pris une altitude de sécurité. Vous pouvez enlever vos masques à oxygène.</t>
  </si>
  <si>
    <t xml:space="preserve">Veuillez prendre vos objets personnels et passer vers les sorties… </t>
  </si>
  <si>
    <t xml:space="preserve">Veuillez laisser vos objets personnels à bord et passer vers les sorties… </t>
  </si>
  <si>
    <t>Los formularios deben ser llenados en letras de imprenta. Es necesario indicar el domicilio de residencia durante 30 dias desde la fecha de la entrada</t>
  </si>
  <si>
    <t>Les pedimos entregar los formularios llenados a los tripulantes de cabina antes de de desembarcar.</t>
  </si>
  <si>
    <t>werden wir auf dem nächstmöglichen Flughafen in… [название города] landen.</t>
  </si>
  <si>
    <t>L’information supplémentaire vous sera fournise immediatement.</t>
  </si>
  <si>
    <t>Mis colegas y yo haremos todo lo posible para garantizarles un vuelo agradable.</t>
  </si>
  <si>
    <t>Estimados clientes habituales, miembros del programa “Aeroflot Bonus” y de los programas Bonus de la alianza internacional SkyTeam de los niveles Elite y Elite Plus, les agradecemos por haber eligido líneas aereas de Aeroflot Group.</t>
  </si>
  <si>
    <t>coloquen el equipaje de mano en los compartimientos superiores o bajo el asiento delantero;</t>
  </si>
  <si>
    <r>
      <t>Despu</t>
    </r>
    <r>
      <rPr>
        <sz val="11"/>
        <color rgb="FF974706"/>
        <rFont val="Calibri"/>
        <family val="2"/>
        <charset val="204"/>
      </rPr>
      <t>é</t>
    </r>
    <r>
      <rPr>
        <sz val="11"/>
        <color rgb="FF974706"/>
        <rFont val="Calibri"/>
        <family val="2"/>
        <charset val="204"/>
        <scheme val="minor"/>
      </rPr>
      <t>s de la comida les invitamos a hacer sus compras en “Sky Shop”.</t>
    </r>
  </si>
  <si>
    <t xml:space="preserve">A bordo de nuestro avión está disponible enlace mobil y acceso a Internet. El servicio es de pago. El servicio es disponible cuando el tablero “Apaguen sus teléfonos” está apagado. </t>
  </si>
  <si>
    <t xml:space="preserve">A bordo de nuestro avión está disponible acceso a Internet. El servicio es de pago. El servicio es disponible cuando el tablero “Apaguen sus teléfonos” está apagado. </t>
  </si>
  <si>
    <r>
      <t>Estamos listos a ofrecerles las mercanc</t>
    </r>
    <r>
      <rPr>
        <sz val="11"/>
        <color rgb="FF974706"/>
        <rFont val="Calibri"/>
        <family val="2"/>
        <charset val="204"/>
      </rPr>
      <t>í</t>
    </r>
    <r>
      <rPr>
        <sz val="11"/>
        <color rgb="FF974706"/>
        <rFont val="Calibri"/>
        <family val="2"/>
        <charset val="204"/>
        <scheme val="minor"/>
      </rPr>
      <t>as de “Sky Shop”.</t>
    </r>
  </si>
  <si>
    <t>“Aeroflot – Russian Airlines” les presenta el programa “Aeroflot Bonus”, que le permite ahorrar millas aereas y cambiarlas por billetes de las lineas aereas de Aeroflot group y de la alianza SkyTeam y además por los servicios de los socios en todo el mundo.</t>
  </si>
  <si>
    <t>Todos los pasajeros deben llenar la declaración de aduanas. Para la familia se requiere solo una declaracion.</t>
  </si>
  <si>
    <t>Puede leer las instrucciones para llenar los formularios en la revista “Aeroflot”.</t>
  </si>
  <si>
    <t>Por favor rellenen las tarjetas en letras de imprenta y guárdenlas hasta presentar a las autoridades.</t>
  </si>
  <si>
    <t>Les presenterán los formularios en el aeropuerto. Los formularios han de rellenarse en letras de imprenta.</t>
  </si>
  <si>
    <t>Si han utilizado su equipaje de mano durante el vuelo, por favor colóquenlo sobre los compartimientos superiores o debajo del asiento frente a usted.</t>
  </si>
  <si>
    <t>Las condiciones meteorológicas en… [название города назначения] son… (buenas, hace sol, llueve, malas, др.)</t>
  </si>
  <si>
    <t>comprueben que su equipaje de mano está guardado en el compartimiento superior o debajo del asiento delantero;</t>
  </si>
  <si>
    <t>Les recordamos que todos los dispositivos electrónicos deben estar apagados hasta que el avión pare por completo.</t>
  </si>
  <si>
    <t>Las luces de la cabina se atenuarán para el aterrizaje. Pueden utilizar las luces individuales.</t>
  </si>
  <si>
    <t>Por favor tengan cuidado al descender por la escalera.</t>
  </si>
  <si>
    <t>Por favor tengan listos sus pasaportes.</t>
  </si>
  <si>
    <t>Por favor permanezcan sentados en sus asientos con el cinturón de seguridad abrochado.</t>
  </si>
  <si>
    <t>Los servicios terrestre en el aeropuerto de… [название аэропорта] en… [название города] les ofrecerán toda la ayuda que requieran.</t>
  </si>
  <si>
    <t>После посадки в аэропорту назначения (СБ) (дневной/ночной рейс)</t>
  </si>
  <si>
    <t>Если была задержка вылета в аэропорту (более 15 минут), см. 1.2.</t>
  </si>
  <si>
    <t>Если высадка пассажиров происходит по телетрапу или по подъездным трапам</t>
  </si>
  <si>
    <t>Наш самолет совершил посадку в аэропорту… [название аэропорта].</t>
  </si>
  <si>
    <t>Our aircraft has landed at… [название аэропорта] airport.</t>
  </si>
  <si>
    <t>Notre avion vient d’atterrir à l’aéroport… [название аэропорта].</t>
  </si>
  <si>
    <t>Unser Flugzeug ist auf dem Flughafen… [название аэропорта] gelandet.</t>
  </si>
  <si>
    <t>Nuestro avión ha aterrizado en el aeropuerto… [название аэропорта].</t>
  </si>
  <si>
    <t>Conecte Wi-Fi en su dispositivo personal, elija el acceso "Aeroflot" y active Internet-Navegador.</t>
  </si>
  <si>
    <t>Puede ver un plana de la terminal en la revista “Aeroflot”.</t>
  </si>
  <si>
    <t>Si ustedes necesitan alquilar coche les recomendamos a dirigirse al servicio de alguiler “Europcar” y recibir la información sobre descuentos para pasajeros de Aeroflot y miembros del programa “Aeroflot Bonus” de los niveles élites.</t>
  </si>
  <si>
    <t>Para su seguridad, permanezcan sentados hasta que el avión pare por completo y se apague la señal de “Cinturones abrochados”.</t>
  </si>
  <si>
    <r>
      <t>Je suis votre commandant de bord… [имя и фамилия]. De la part de l’ équipage et d' “A</t>
    </r>
    <r>
      <rPr>
        <sz val="11"/>
        <color rgb="FF963634"/>
        <rFont val="Calibri"/>
        <family val="2"/>
        <charset val="204"/>
      </rPr>
      <t>é</t>
    </r>
    <r>
      <rPr>
        <sz val="11"/>
        <color rgb="FF963634"/>
        <rFont val="Calibri"/>
        <family val="2"/>
        <charset val="204"/>
        <scheme val="minor"/>
      </rPr>
      <t>roflot – Russian Airlines” je vous souhaite la bienvenue à bord de… [тип ВС].</t>
    </r>
  </si>
  <si>
    <t>Bienvenue à bord de l’ appareil d' “Aeroflot” qui porte le nom du … [указать oпределение рода деятельности из Приложения №2]… [имя и фамилия человека, в честь которого названо ВС].</t>
  </si>
  <si>
    <t>Nous sommes heureux d'accueillir nos clients fréquents qui participent au programme “Aeroflot Bonus” et aux programmes de l’alliance Sky Team des niveaux Elite et Elite Plus. Nous vous remercions d’avoir choisi les compagnies aériènnes faisant partie d’un Groupe Aéroflot.</t>
  </si>
  <si>
    <t>Les règles de conduite des passagers sont disponibles dans la révue “Aeroflot”.</t>
  </si>
  <si>
    <t>Merci d'avoir choisi “Aeroflot – Russian Airlines”, membre de SkyTeam.</t>
  </si>
  <si>
    <t>La consigne… [указать: “Attachez les ceintures”, “Arrêter les téléphones”, “Interdit de fumer”] est en panne. Nous vous prions de faire attention aux annonces et suivre les instructions de l’équipage.</t>
  </si>
  <si>
    <t>La señal… [указать: “Cinturones Abrochados”, “Teléfonos Apagados”, “No Fumen”] no funciona. Les pedimos presten atención a la información y siguen las instrucciones del personal de la cabina.</t>
  </si>
  <si>
    <t>de proposer les articles du “Sky Shop”.</t>
  </si>
  <si>
    <r>
      <t>Nous vous prions de les remplir en caractères imprimés et indiquer votre adresse de r</t>
    </r>
    <r>
      <rPr>
        <sz val="11"/>
        <color rgb="FF963634"/>
        <rFont val="Calibri"/>
        <family val="2"/>
        <charset val="204"/>
      </rPr>
      <t>ésidence durant 30 jours suivants.</t>
    </r>
  </si>
  <si>
    <t>Chaque sortie est signalée par un panneau lumineux “EXIT”.</t>
  </si>
  <si>
    <t>Chaque sortie est indiquée par un tableau lumineux “EXIT”.</t>
  </si>
  <si>
    <t>En quittant l’avion par les sorties sur l’aile, suivez la règle: “PIED-TETE-PIED”, suivez les flèches. Sautez sur la passerelle, mains en avant. Eloignez-vous de l’avion.</t>
  </si>
  <si>
    <t>En quittant l’avion par les sorties sur l’aile, suivez la règle: “PIED-TETE-PIED”, suivez les flèches, asseyez-vous et glissez. Eloignez-vous vite de l’avion.</t>
  </si>
  <si>
    <t>En quittant l’avion par lts sorties sur l’aile, suivez la règle: “PIED-TETE-PIED”. Restez sur l’aile et suivez les instructions de l’équipage.</t>
  </si>
  <si>
    <r>
      <t>Chaque sortie est signal</t>
    </r>
    <r>
      <rPr>
        <sz val="11"/>
        <color rgb="FF963634"/>
        <rFont val="Calibri"/>
        <family val="2"/>
        <charset val="204"/>
      </rPr>
      <t>ée</t>
    </r>
    <r>
      <rPr>
        <sz val="11"/>
        <color rgb="FF963634"/>
        <rFont val="Calibri"/>
        <family val="2"/>
        <charset val="204"/>
        <scheme val="minor"/>
      </rPr>
      <t xml:space="preserve"> par un panneau lumineux “EXIT”.</t>
    </r>
  </si>
  <si>
    <r>
      <t xml:space="preserve"> Juste avant de quitter l’appareil tirez les poign</t>
    </r>
    <r>
      <rPr>
        <sz val="11"/>
        <color rgb="FF963634"/>
        <rFont val="Calibri"/>
        <family val="2"/>
        <charset val="204"/>
      </rPr>
      <t>ées rouges</t>
    </r>
    <r>
      <rPr>
        <sz val="11"/>
        <color rgb="FF963634"/>
        <rFont val="Calibri"/>
        <family val="2"/>
        <charset val="204"/>
        <scheme val="minor"/>
      </rPr>
      <t xml:space="preserve"> pour gonflez le gilet.</t>
    </r>
  </si>
  <si>
    <t>Vous devez prendre la pose de protection au moment d’un atterrissage forcé. Nous vous la montrons maintenant.</t>
  </si>
  <si>
    <t>Nous avons été informés qu’il est possible qu’un explosif se trouve dans un de nos avions.</t>
  </si>
  <si>
    <r>
      <t>Afin d’assurer notre sécurité, il nous faut prendre toutes les mesures de précaution et effectuer le contr</t>
    </r>
    <r>
      <rPr>
        <sz val="11"/>
        <color rgb="FF963634"/>
        <rFont val="Calibri"/>
        <family val="2"/>
        <charset val="204"/>
      </rPr>
      <t>ôle supplementaire de</t>
    </r>
    <r>
      <rPr>
        <sz val="11"/>
        <color rgb="FF963634"/>
        <rFont val="Calibri"/>
        <family val="2"/>
        <charset val="204"/>
        <scheme val="minor"/>
      </rPr>
      <t xml:space="preserve"> l’appareil.</t>
    </r>
  </si>
  <si>
    <t>Nous vous prions de garder votre calme et de nous aider.</t>
  </si>
  <si>
    <t xml:space="preserve">(Hier spricht Ihr Kapitän.) </t>
  </si>
  <si>
    <t>СБ: Der Flugkapitän teilt folgendes mit. Wir haben unseren Zielflughafen erreicht. Im Namen der Besatzung dankt er Ihnen, daß Sie mit „Aeroflot – Russian Airlines“, einem SkyTeam Mitglied (und mit der Fluggesellschaft… [название авиакомпании по код-шер]) geflogen sind. Wir wünschen Ihnen einen angenehmen Tag/Abend. Danke für Ihre Aufmerksamkeit. Aufwiedersehen.</t>
  </si>
  <si>
    <t xml:space="preserve">Um die Gesundheit der Fluggäste zu schützen und die Erfüllung der Anforderungen der Russischen und Internationalen Gesundheitsorgáne zu gewährleisten, geben die Flugbegleiter Ihnen die persönlichen Masken aus. </t>
  </si>
  <si>
    <t>Entfernen Sie alle Gegenstände, duch die Sie verletzt werden können: Kugelschreiber, Brillen, Kontaktlinsen, Zahnprothesen... Verstauen Sie diese Dinge in Ihrem Handgepäck oder zwischen den Sitzen ihres Sessels.</t>
  </si>
  <si>
    <t>Наш экипаж приветствует вас на борту самолета… [выбрать необходимое]:</t>
  </si>
  <si>
    <t>Wir möchten uns für die entstandenen Unannehmlichkeiten wegen des verzögerten Abflugs entschuldigen. [указать причину]:</t>
  </si>
  <si>
    <t>по метеоусловиям аэропорта отправления/аэропорта прибытия/на маршруте;</t>
  </si>
  <si>
    <t>weather conditions at the departure airport/destination airport/along the route;</t>
  </si>
  <si>
    <t>the late arrival of transit passengers;</t>
  </si>
  <si>
    <t>the late arrival of the aircraft;</t>
  </si>
  <si>
    <t>в связи с подготовкой самолета к вылету службами аэропорта;</t>
  </si>
  <si>
    <t>final preparations for the flight by the airport staff;</t>
  </si>
  <si>
    <t>strike of the airport service personnel;</t>
  </si>
  <si>
    <t>в связи с интенсивностью воздушного движения в зоне аэропорта;</t>
  </si>
  <si>
    <t>intense air traffic in the airport area;</t>
  </si>
  <si>
    <t>в связи с ожиданием разрешения на вылет по причине большой загруженности аэропорта;</t>
  </si>
  <si>
    <t>waiting for the take off clearance because of heavy traffic at the airport;</t>
  </si>
  <si>
    <t>operational reasons.</t>
  </si>
  <si>
    <t>aux raisons opérationnelles.</t>
  </si>
  <si>
    <t>las razones operativas.</t>
  </si>
  <si>
    <t>Приоритетом нашей компании является ваша безопасность и комфорт. [выбрать из вариантов]:</t>
  </si>
  <si>
    <t>Your safety and comfort is our priority. [выбрать из вариантов]:</t>
  </si>
  <si>
    <t>Votre sécurité et comfort sont nos priorités. [выбрать из вариантов]:</t>
  </si>
  <si>
    <t>Ihre Sicherheit und Ihr Komfort sind für uns oberste Priorität. [выбрать из вариантов]:</t>
  </si>
  <si>
    <t>Su seguridad y comodidad es nuestra prioridad. [выбрать из вариантов]:</t>
  </si>
  <si>
    <t>Сообщение транслируется только на государственном языке страны направления</t>
  </si>
  <si>
    <t>В777</t>
  </si>
  <si>
    <t>aux conditions météo à l'aéroport de départ/ à l'aéroport d'arrivée/ en cours de route;</t>
  </si>
  <si>
    <t>à l'arrivée tardive de passagers en transit;</t>
  </si>
  <si>
    <t>à l'arrivée tardive de l'appareil;</t>
  </si>
  <si>
    <t>à un mouvement de grève du personnel de l'aéroport;</t>
  </si>
  <si>
    <t>la huelga del personal del aeropuerto;</t>
  </si>
  <si>
    <t>las condiciones meteorológicas en el aeropuerto de salida/aeropuerto de destino/en la ruta de vuelo;</t>
  </si>
  <si>
    <t>la espera de pasajeros en tránsito;</t>
  </si>
  <si>
    <t>el retraso de la llegada del avión;</t>
  </si>
  <si>
    <t>Мы ожидаем разрешения на взлет. Это займет… минут/несколько минут.</t>
  </si>
  <si>
    <t>В полете мы предложим вам… [выбрать необходимое]:</t>
  </si>
  <si>
    <t>During the flight we will serve… [выбрать необходимое]:</t>
  </si>
  <si>
    <t>Pendant le vol, nous vous servirons… [выбрать необходимое]:</t>
  </si>
  <si>
    <t>Durante el vuelo les ofreceremos… [выбрать необходимое]:</t>
  </si>
  <si>
    <t>легкие закуски [для рейсов, на которых выдается сэндвич в классе Эконом];</t>
  </si>
  <si>
    <t>light snacks [для рейсов, на которых выдается сэндвич в классе Эконом];</t>
  </si>
  <si>
    <t>une collation [для рейсов, на которых выдается сэндвич в классе Эконом];</t>
  </si>
  <si>
    <t>einen kleinen Imbiss [для рейсов, на которых выдается сэндвич в классе Эконом];</t>
  </si>
  <si>
    <t>un refrigerio [для рейсов, на которых выдается сэндвич в классе Эконом];</t>
  </si>
  <si>
    <t>завтрак;</t>
  </si>
  <si>
    <t>обед;</t>
  </si>
  <si>
    <t>breakfast;</t>
  </si>
  <si>
    <t>lunch;</t>
  </si>
  <si>
    <t>un petit déjeuner;</t>
  </si>
  <si>
    <t>un déjeuner;</t>
  </si>
  <si>
    <t>Frühstück;</t>
  </si>
  <si>
    <t>Mittagessen;</t>
  </si>
  <si>
    <t>un desayuno;</t>
  </si>
  <si>
    <t>un almuerzo;</t>
  </si>
  <si>
    <t>ужин.</t>
  </si>
  <si>
    <t>dinner.</t>
  </si>
  <si>
    <t>un diner.</t>
  </si>
  <si>
    <t>Abendessen.</t>
  </si>
  <si>
    <t>una cena.</t>
  </si>
  <si>
    <t>В полете мы предложим вам… [выбрать 1-й рацион питания]:</t>
  </si>
  <si>
    <t>During the flight we will serve… [выбрать 1-й рацион питания]:</t>
  </si>
  <si>
    <t>Pendant le vol, nous vous servirons… [выбрать 1-й рацион питания]:</t>
  </si>
  <si>
    <t>Im Flug werden wir… [выбрать 1-й рацион питания]:</t>
  </si>
  <si>
    <t>Durante el vuelo les ofreceremos… [выбрать 1-й рацион питания]:</t>
  </si>
  <si>
    <t>и… [выбрать 2-й рацион питания]:</t>
  </si>
  <si>
    <t>and… [выбрать 2-й рацион питания]:</t>
  </si>
  <si>
    <t>et… [выбрать 2-й рацион питания]:</t>
  </si>
  <si>
    <t>y… [выбрать 2-й рацион питания]:</t>
  </si>
  <si>
    <t>легкие закуски;</t>
  </si>
  <si>
    <t>light snacks;</t>
  </si>
  <si>
    <t>une collation;</t>
  </si>
  <si>
    <t>un refrigerio;</t>
  </si>
  <si>
    <t>Информация по трассе для ВС, не оснащенных IFE System (карта полета не демонстрируется) (КВС или СБ) (дневной рейс от 2 часов и более)</t>
  </si>
  <si>
    <t>Время предоставления информации определяет СБ, учитывая отдых пассажиров</t>
  </si>
  <si>
    <t>Через несколько минут мы предложим вам… [выбрать необходимое]:</t>
  </si>
  <si>
    <t>We will shortly be serving… [выбрать необходимое]:</t>
  </si>
  <si>
    <t>Dans quelques minutes on va vous servir… [выбрать необходимое]:</t>
  </si>
  <si>
    <t>En breve le serviremos… [выбрать необходимое]:</t>
  </si>
  <si>
    <t>Для ВС, не оснащенных IFE System (карта полета не демонстрируется)</t>
  </si>
  <si>
    <t>Each arriving traveller or a responsible family member must fill in a customs declaration. Only one declaration is required for a family.</t>
  </si>
  <si>
    <t>В соответствии с требованиями властей… [название страны назначения] прибывающим пассажирам, кроме граждан… [название страны], необходимо заполнить… [выбрать необходимое]:</t>
  </si>
  <si>
    <t>The authorities of… [название страны назначения] require that all passengers, except citizens of… [название страны] complete… [выбрать необходимое]:</t>
  </si>
  <si>
    <t>Las autoridades de… [название страны назначения] requieren que todos los pasajeros, excluidos los ciudadanos de… [название страны] llenen… [выбрать необходимое]:</t>
  </si>
  <si>
    <t>Conformement aux exigences des autorités de… [название страны назначения] tous les passagers sauf les citoyens de la… [название страны] doivent remplir… [выбрать необходимое]:</t>
  </si>
  <si>
    <t>карточку по прилету;</t>
  </si>
  <si>
    <t>иммиграционную карточку;</t>
  </si>
  <si>
    <t>миграционную карточку;</t>
  </si>
  <si>
    <t>таможенную декларацию;</t>
  </si>
  <si>
    <t>a landing card;</t>
  </si>
  <si>
    <t>an immigration card;</t>
  </si>
  <si>
    <t>a migration card;</t>
  </si>
  <si>
    <t>a customs declaration;</t>
  </si>
  <si>
    <t>une carte de débarquement;</t>
  </si>
  <si>
    <t>une carte d'émigration;</t>
  </si>
  <si>
    <t>une déclaration de douane;</t>
  </si>
  <si>
    <t>eine Karte bei der Ankunft;</t>
  </si>
  <si>
    <t>eine Einwanderungskarte;</t>
  </si>
  <si>
    <t>eine Migrationskarte;</t>
  </si>
  <si>
    <t>eine Zollerklärung;</t>
  </si>
  <si>
    <t>una tarjeta de aterrizaje;</t>
  </si>
  <si>
    <t>una tarjeta de inmigración;</t>
  </si>
  <si>
    <t>una tarjeta de migración;</t>
  </si>
  <si>
    <t>una declaración de aduanas;</t>
  </si>
  <si>
    <t>медицинскую декларацию.</t>
  </si>
  <si>
    <t>a medical declaration.</t>
  </si>
  <si>
    <t>une déclaration médicale.</t>
  </si>
  <si>
    <t>eine Gesundheitserklärung.</t>
  </si>
  <si>
    <t>una declaración médica.</t>
  </si>
  <si>
    <t>Вниманию трансферных пассажиров! [выбрать необходимое]:</t>
  </si>
  <si>
    <t>Information for transfer passengers! [выбрать необходимое]:</t>
  </si>
  <si>
    <t>Cette information concerne les passagers en transfert! [выбрать необходимое]:</t>
  </si>
  <si>
    <t>Meine Damen und Herren! Und hier noch Informationen für Transferfluggäste. [выбрать необходимое]:</t>
  </si>
  <si>
    <t>Información para pasajeros de tránsito! [выбрать необходимое]:</t>
  </si>
  <si>
    <t>Изменились выходы на посадку на следующие рейсы [указать для каждого рейса]:</t>
  </si>
  <si>
    <t>Please pay attention to the following departure gates changes [указать для каждого рейса]:</t>
  </si>
  <si>
    <t>Die Flugsteignummern für die Anschlußflüge nach… [указать для каждого рейса] wurden abgeändert.</t>
  </si>
  <si>
    <t>Prêtez attention au changement des sorties pour les vols suivants [указать для каждого рейса]:</t>
  </si>
  <si>
    <t>Se cambiaron puertas de salida para los vuelos [указать для каждого рейса]:</t>
  </si>
  <si>
    <t>Информация для трансферных пассажиров перед посадкой в Москве – общая (СБ или PRAM) (дневной/ночной рейс)</t>
  </si>
  <si>
    <t>Наш самолет приступил к снижению и примерно через …минут совершит посадку… [выбрать необходимое]:</t>
  </si>
  <si>
    <t>The aircraft has started its descent and in approximately …minutes we will be landing… [выбрать необходимое]:</t>
  </si>
  <si>
    <t>On a commencé la descente et on va atterir aproximativement dans …minutes … [выбрать необходимое]:</t>
  </si>
  <si>
    <t>Das Flugzeug hat den Landeanflug begonnen. Wir werden in ungefähr …Minuten … [выбрать необходимое]:</t>
  </si>
  <si>
    <t>в Москве, аэропорт «Шереметьево», Терминал В/C/D/E/F, выход… [указать];</t>
  </si>
  <si>
    <t>at Moscow, Sheremetyevo Airport, Terminal B/C/D/E/F, gate… [указать];</t>
  </si>
  <si>
    <t>à Moscou, aéroport de Shéremetievo, aérogare B/C/D/E/F;</t>
  </si>
  <si>
    <t>in Moskau, auf dem Flughafen Scheremetjewo Flughafen, Terminal B/C/D/E/F landen;</t>
  </si>
  <si>
    <t>at… [название города] … [название аэропорта] airport, Terminal… [указать при наличии информации], Gate… [указать при наличии информации].</t>
  </si>
  <si>
    <t>Для рейса, на котором выдаются пледы и подушки в классе Эконом</t>
  </si>
  <si>
    <t>Дамы и господа! [выбрать необходимое]:</t>
  </si>
  <si>
    <t>Ladies and Gentlemen! [выбрать необходимое]:</t>
  </si>
  <si>
    <t>Mesdames et Messieurs! [выбрать необходимое]:</t>
  </si>
  <si>
    <t>Meine Damen und Herren! [выбрать необходимое]:</t>
  </si>
  <si>
    <t>¡Señoras y señores! [выбрать необходимое]:</t>
  </si>
  <si>
    <t>Добро пожаловать в Москву! Наш самолет совершил посадку в аэропорту «Шереметьево», Терминал В/C/D/E/F;</t>
  </si>
  <si>
    <t>Welcome to Moscow. Our aircraft has landed at Sheremetyevo Airport, Terminal B/C/D/E/F;</t>
  </si>
  <si>
    <t>Bienvenue à Moscou! Notre avion vient d'atterir à l'aéroport Shéremetievo, aérogare B/C/D/E/F;</t>
  </si>
  <si>
    <t>Willkommen in Moskau! Unser Flugzeug ist soeben auf dem Flughafen Scheremetjewo, Terminal B-C-D-E-F gelandet;</t>
  </si>
  <si>
    <t>Bienvenido a Moscú! El avión ha aterrizado en el aeropuerto Sheremetyevo, la terminal B/C/D/E/F;</t>
  </si>
  <si>
    <t>Our aircraft has landed at… [название города], … [название аэропорта] airport, Terminal… [указать].</t>
  </si>
  <si>
    <t>Наш рейс выполняется по маршруту …–… (совместно с авиакомпанией «...» [название авиакомпании по код-шер]).</t>
  </si>
  <si>
    <t>Приглашаем вас к выходу… [выбрать необходимое]:</t>
  </si>
  <si>
    <t>We invite you to exit the aircraft. Please proceed to the… [выбрать необходимое]:</t>
  </si>
  <si>
    <t>Nous vous invitons à débarquer par… [выбрать необходимое]:</t>
  </si>
  <si>
    <t>Por favor diríjanse hacia la salida… [выбрать необходимое]:</t>
  </si>
  <si>
    <t>в передний вестибюль;</t>
  </si>
  <si>
    <t>в средний вестибюль;</t>
  </si>
  <si>
    <t>в передний и средний вестибюль;</t>
  </si>
  <si>
    <t>front door;</t>
  </si>
  <si>
    <t>mid door;</t>
  </si>
  <si>
    <t>front and mid doors;</t>
  </si>
  <si>
    <t>la porte d’avant;</t>
  </si>
  <si>
    <t>la porte du milieu;</t>
  </si>
  <si>
    <t>les portes d’avant et du milieu;</t>
  </si>
  <si>
    <t>de la parte delantera;</t>
  </si>
  <si>
    <t>de la parte central;</t>
  </si>
  <si>
    <t>de la parte delantera y central;</t>
  </si>
  <si>
    <t>в передний и хвостовой вестибюль.</t>
  </si>
  <si>
    <t>front and rear doors.</t>
  </si>
  <si>
    <t>par les portes à l'avant et à l'arrière de l’appareil.</t>
  </si>
  <si>
    <t>de la parte delantera y trasera.</t>
  </si>
  <si>
    <t>im vorderen und hinteren Bereich.</t>
  </si>
  <si>
    <t xml:space="preserve">Задержка вылета рейса (15 минут и более) при нахождении пассажиров на борту (СБ или КВС) (дневной/ночной рейс) </t>
  </si>
  <si>
    <t>Наш вылет задерживается на …часов …минут … [указать причину]:</t>
  </si>
  <si>
    <t>Our flight is delayed for …hours …minutes due to… [указать причину]:</t>
  </si>
  <si>
    <t>Notre vol est retardé de …heures …minutes … [указать причину]:</t>
  </si>
  <si>
    <t>Unser Flug hat sich um (eine Stunde) …Stunden und …Minuten verzögert. Der Grund für die Verspätung ist… [указать причину]:</t>
  </si>
  <si>
    <t>Nuestro vuelo lleva …hora/horas y …minutos de retraso debido a… [указать причину]:</t>
  </si>
  <si>
    <t>по метеоусловиям аэропорта… [название аэропорта];</t>
  </si>
  <si>
    <t>в связи со снятием багажа пассажира, не явившегося на рейс;</t>
  </si>
  <si>
    <t>в связи с изменением графика выполнения полетов;</t>
  </si>
  <si>
    <t>offloading the baggage of a passenger that did not board the aircraft;</t>
  </si>
  <si>
    <t>strike of the airport staff;</t>
  </si>
  <si>
    <t>a change in the flight schedule;</t>
  </si>
  <si>
    <t>à cause de mauvaises conditions météo à l'aéroport… [название аэропорта];</t>
  </si>
  <si>
    <t>à cause de l'arrivée tardive de passagers en transit;</t>
  </si>
  <si>
    <t>à cause de la manque du passager et l’identification des bagages;</t>
  </si>
  <si>
    <t>à cause de la grève du personnel de l’aéroport;</t>
  </si>
  <si>
    <t>à cause d'un changement d’horaire des vols;</t>
  </si>
  <si>
    <t>schlechte Wetterbedingungen am Flughafen… [название аэропорта];</t>
  </si>
  <si>
    <t>die verspätete Ankunft von Transitreisenden;</t>
  </si>
  <si>
    <t>die Entfernung von Gepäck eines Reisenden, der sich nicht an Bord des Flugzeugs befindet;</t>
  </si>
  <si>
    <t>der Streik am Flughafen;</t>
  </si>
  <si>
    <t>die Änderung des Flugplans;</t>
  </si>
  <si>
    <t>las condiciones meteorológicas en el aeropuerto… [название аэропорта];</t>
  </si>
  <si>
    <t>el retraso en de la llegada de pasajeros en de tránsito;</t>
  </si>
  <si>
    <t>la retirada del equipaje de un pasajero que no ha embarcado en el avión;</t>
  </si>
  <si>
    <t>el cambio en la programación de vuelo;</t>
  </si>
  <si>
    <t>в связи с загрузкой багажа и груза службами аэропорта;</t>
  </si>
  <si>
    <t>the loading of baggage and cargo by the airport staff;</t>
  </si>
  <si>
    <t>intensive air traffic in the airport area;</t>
  </si>
  <si>
    <t>в связи с подготовкой самолета к рейсу. Аэрофлот принимает все возможные меры для нашего скорейшего вылета;</t>
  </si>
  <si>
    <t>preparations for the flight. Aeroflot is taking all possible measures to get underway as soon as possible;</t>
  </si>
  <si>
    <t>в связи с ожиданием разрешения на вылет, связанным с большой загруженностью аэропорта.</t>
  </si>
  <si>
    <t>waiting for the take off clearance due to heavy traffic at the airport.</t>
  </si>
  <si>
    <t>à cause de l’attente de l'autorisation à décoller, liée au surcharge de l'aéroport.</t>
  </si>
  <si>
    <t>die anhängige Abflugfreigabe wegen der hohen Arbeitsbelastung am Flughafen.</t>
  </si>
  <si>
    <t>estamos a la espera del permiso ya que hay acumulación de tráfico en el aeropuerto.</t>
  </si>
  <si>
    <t>Просим вас… [выбрать необходимое]:</t>
  </si>
  <si>
    <t>Please… [выбрать необходимое]:</t>
  </si>
  <si>
    <t>Veuillez… [выбрать необходимое]:</t>
  </si>
  <si>
    <t>Bitte… [выбрать необходимое]:</t>
  </si>
  <si>
    <t>Por favor… [выбрать необходимое]:</t>
  </si>
  <si>
    <t>оставаться на своих местах с застегнутыми ремнями безопасности;</t>
  </si>
  <si>
    <t>оставаться на своих местах. Через несколько минут вам будут предложены напитки (и питание);</t>
  </si>
  <si>
    <t>remain in your seat with your seat belt fastened;</t>
  </si>
  <si>
    <t>remain in your seat. We will shortly serve drinks (and food);</t>
  </si>
  <si>
    <t>rester assis et garder vos ceintures attachés;</t>
  </si>
  <si>
    <t>rester assis. Dans quelques instants nous allons vous servir les boissons (et le repas);</t>
  </si>
  <si>
    <t>bleiben Sie angeschnallt sitzen;</t>
  </si>
  <si>
    <t>bleiben Sie sitzen. Wir werden in Kürze Getränke (und Essen) servieren;</t>
  </si>
  <si>
    <t>permanezcan sentados con el cinturón de seguridad abrochado;</t>
  </si>
  <si>
    <t>permanezcan sentados en sus asientos. En breve les serviremos bebidas (y comida);</t>
  </si>
  <si>
    <t>взять с собой ручную кладь и пройти в зал ожидания. Вы будете приглашены на посадку, как только вылет самолета будет возможным. Просьба сохранять посадочный талон.</t>
  </si>
  <si>
    <t>take your hand luggage and proceed to the waiting area. You will be asked to board as soon as the aircraft is ready to depart. Please keep your boarding pass.</t>
  </si>
  <si>
    <t>prendre vos bagages à main et passer dans la salle d'attente. Vous serez invité à embarquer dès que l'avion sera prêt à partir. Veuillez garder votre carte d'embarquement.</t>
  </si>
  <si>
    <t>Nehmen Sie Ihr Handgepäck und gehen Sie zum Wartesaal. Sobald das Flugzeug abflugbereit ist, werden wir Sie zum Einsteigen auffordern. Bitte halten Sie Ihre Bordkarte bereit.</t>
  </si>
  <si>
    <t>tomen su equipaje de mano y vayan hacia el área de espera. Se les pedirá que embarquen tan pronto como el avión esté listo para despegar. Por favor guarden su tarjeta de embarque.</t>
  </si>
  <si>
    <t>Командир корабля сообщил, что наше прибытие в аэропорт… [название аэропорта] задерживается… [выбрать необходимое]:</t>
  </si>
  <si>
    <t>The Captain has informed us that our arrival at… [название аэропорта] airport is delayed… [выбрать необходимое]:</t>
  </si>
  <si>
    <t>Le commandant nous informe que notre arrivée à l'aéroport… [название аэропорта] est retardée… [выбрать необходимое]:</t>
  </si>
  <si>
    <t>Der Kapitän teilt uns folgendes mit. Unsere Ankunft in… [название аэропорта] Flughafen hat sich… [выбрать необходимое]:</t>
  </si>
  <si>
    <t>El comandante nos informa de que nuestra llegada al aeropuerto de… [название аэропорта] … [выбрать необходимое]:</t>
  </si>
  <si>
    <t>на …минут в связи с интенсивностью воздушного движения. Мы ждем разрешения на посадку;</t>
  </si>
  <si>
    <t>for …minutes due to intense air traffic, we are waiting for clearance for landing;</t>
  </si>
  <si>
    <t>de …minutes à cause de trafic aérien intense. Nous attendons l'autorisation d’atterrir;</t>
  </si>
  <si>
    <t>im Zusammenhang mit der Luftverkehrsdichte um …Minuten verzögert. Wir warten auf die Landeerlaubnis;</t>
  </si>
  <si>
    <t>lleva retraso de …minutos debido al tráfico aéreo intenso, estamos esperando permiso para aterrizar;</t>
  </si>
  <si>
    <t>по метеоусловиям аэропорта. Мы будем находиться в зоне ожидания, пока погодные условия не позволят нам совершить посадку.</t>
  </si>
  <si>
    <t>due to poor weather conditions at the airport. We will remain in a holding zone until weather conditions allow us to land.</t>
  </si>
  <si>
    <t>à cause de mauvaises conditions météo à l'aéroport. Nous serons obligés de garder la zone d’attente.</t>
  </si>
  <si>
    <t>wegen der schlechten Wetterbedingungen am Flughafen verzögert. Wir werden solange in der Warteschleife bleiben, bis die Wetterbedingungen eine Landung zulassen.</t>
  </si>
  <si>
    <t>lleva retraso debido a las malas condiciones meteorológicas en el aeropuerto. Permaneceremos en posición de espera hasta que las condiciones nos permitan aterrizar.</t>
  </si>
  <si>
    <t xml:space="preserve">Мы ожидаем разрешения на парковку от служб аэропорта. </t>
  </si>
  <si>
    <t>We are waiting for a permission to park from the airport staff.</t>
  </si>
  <si>
    <t>Доброе утро/Добрый день/Добрый вечер, дамы и господа!</t>
  </si>
  <si>
    <t>This is your Сaptain speaking. My name is … [имя и фамилия]. I would like to wish you all a Merry Christmas and a Happy New Year.</t>
  </si>
  <si>
    <t>Наш рейс выполняется по маршруту …–… (совместно с авиакомпанией «…» [название авиакомпании по код-шер]).</t>
  </si>
  <si>
    <t>Welcome on board the Aeroflot aircraft named after the… [указать определение рода деятельности из Приложения №2] … [имя и фамилия человека, в честь которого названо ВС].</t>
  </si>
  <si>
    <t>Mister/Miss…, please contact the… (cabin crew,… staff) (as you leave the aircraft).</t>
  </si>
  <si>
    <t>В случае курения/распития алкогольных напитков</t>
  </si>
  <si>
    <t>Если в аэропорту вы желаете воспользоваться услугами такси по специальным тарифам для пассажиров Аэрофлота, обратитесь к бортпроводникам… [выбрать необходимое]:</t>
  </si>
  <si>
    <t>Book your taxi in the airport at a special rate for Aeroflot passengers. For details ask your cabin crew… [выбрать необходимое]:</t>
  </si>
  <si>
    <t>Les passagers avec les tickets d’Aéroflot ont la possibilité de réserver le taxi à l’aéroport pour les tarifs spécials. Pour une information détaillée adressez-vous au personnel de cabine… [выбрать необходимое]:</t>
  </si>
  <si>
    <t>Falls Sie ein Taxi mit dem Sonderfahrpreis für die Aeroflotfluggäste zum Flughafengebäude bestellen möchten,melden Sie sich, bitte,… [выбрать необходимое]:</t>
  </si>
  <si>
    <t>при выходе из самолета;</t>
  </si>
  <si>
    <t>when leaving the aircraft;</t>
  </si>
  <si>
    <t>à la sortie de l’avion;</t>
  </si>
  <si>
    <t>beim Verlassen des Flugzeugs bei einem Ihrer Flugbegleiter;</t>
  </si>
  <si>
    <t>al salir del avión;</t>
  </si>
  <si>
    <t>до начала снижения самолета.</t>
  </si>
  <si>
    <t>before descent.</t>
  </si>
  <si>
    <t>avant la descente.</t>
  </si>
  <si>
    <t>bevor das Flugzeug den Landeanflug beginnt.</t>
  </si>
  <si>
    <t>del descenco.</t>
  </si>
  <si>
    <t>В связи с отсутствием воды в системе водоснабжения… [выбрать необходимое]:</t>
  </si>
  <si>
    <t>Due to a shortage of water,… [выбрать необходимое]:</t>
  </si>
  <si>
    <t>Pour des raisons de la pénurie d'eau… [выбрать необходимое]:</t>
  </si>
  <si>
    <t>Wegen Wasserknappheit sind die Bordtoiletten… [выбрать необходимое]:</t>
  </si>
  <si>
    <t>Debido a la escasez de agua en el sistema de suministro… [выбрать необходимое]:</t>
  </si>
  <si>
    <t>im vorderen/mittleren/hinteren Bereich des Flugzeugs außer Betrieb/ während des gesamten Fluges außer Betrieb. Sie können jedoch die Bordtoiletten im vorderen/mittleren/hinteren Bereich des Flugzeugs benutzen;</t>
  </si>
  <si>
    <t>los aseos situados en la parte delantera/central/trasera estarán fuera de servicio durante todo el vuelo/el resto del vuelo. Puede utilizar el aseo (los aseos) de la parte delantera/central/trasera del avión;</t>
  </si>
  <si>
    <t>Время, оставшееся до посадки, не позволяет нам продолжить… [выбрать необходимое]:</t>
  </si>
  <si>
    <t>The time remaining before landing is insufficient… [выбрать необходимое]:</t>
  </si>
  <si>
    <t>Le temps avant l'atterrissage ne nous permet plus… [выбрать необходимое]:</t>
  </si>
  <si>
    <t>Da wir in Kürze landen, haben wir keine Zeit mehr, um… [выбрать необходимое]:</t>
  </si>
  <si>
    <t>No disponemos de tiempo suficiente antes de aterrizar para… [выбрать необходимое]:</t>
  </si>
  <si>
    <t>При раздаче всем пассажирам «Формы представления информации»/«Анкеты прибывающего»</t>
  </si>
  <si>
    <t>Говорит командир корабля. (Командир корабля сообщил, что…) [выбрать необходимое]:</t>
  </si>
  <si>
    <t>This is your Сaptain speaking. (The Captain has informed us that…) [выбрать необходимое]:</t>
  </si>
  <si>
    <t>C’est le commandant qui vous parle. (Le commandant nous informe que…) [выбрать необходимое]:</t>
  </si>
  <si>
    <t>Hier spricht Ihr Kapitän. (Der Kapitän hat uns folgendes mitgeteilt…) [выбрать необходимое]:</t>
  </si>
  <si>
    <t>Les habla el comandante. (El comandante nos informa de que…) [выбрать необходимое]:</t>
  </si>
  <si>
    <t>По метеоусловиям аэропорта… [название аэропорта];</t>
  </si>
  <si>
    <t>В связи с производственными причинами;</t>
  </si>
  <si>
    <t>Due to weather conditions at… [название аэропорта] airport;</t>
  </si>
  <si>
    <t xml:space="preserve">Due to operational reasons; </t>
  </si>
  <si>
    <t>À cause des conditions météo à l'aéroport de… [название аэропорта];</t>
  </si>
  <si>
    <t>Pour des raisons opérationnelles;</t>
  </si>
  <si>
    <t>Wegen der Wetterbedingungen am Flughafen… [название аэропорта];</t>
  </si>
  <si>
    <t>Aus betriebsbedingten Gründen;</t>
  </si>
  <si>
    <t>Debido a las condiciones meteorológicas en el aeropuerto de… [название аэропорта];</t>
  </si>
  <si>
    <t>Por motivos operacionales;</t>
  </si>
  <si>
    <t>The airport staff at… [название аэропорта] airport in… [название города] will provide you with any necessary assistance.</t>
  </si>
  <si>
    <t>По метеоусловиям аэропорта… [название аэропорта] города … [название аэропорта];</t>
  </si>
  <si>
    <t>Due to weather conditions at… [название аэропорта] airport in … [название города];</t>
  </si>
  <si>
    <t>Информация СБ о характере аварийной ситуации – экипаж;</t>
  </si>
  <si>
    <t>По поручению командира корабля сообщаю вам, что в связи с… [указать причину], мы вынуждены… [выбрать необходимое]:</t>
  </si>
  <si>
    <t>On behalf of the Captain I must inform you that due to… [указать причину], we are forced to… [выбрать необходимое]:</t>
  </si>
  <si>
    <r>
      <rPr>
        <sz val="11"/>
        <color rgb="FF963634"/>
        <rFont val="Calibri"/>
        <family val="2"/>
        <charset val="204"/>
      </rPr>
      <t>À la</t>
    </r>
    <r>
      <rPr>
        <sz val="11"/>
        <color rgb="FF963634"/>
        <rFont val="Calibri"/>
        <family val="2"/>
        <charset val="204"/>
        <scheme val="minor"/>
      </rPr>
      <t xml:space="preserve"> demande du commandant de bord, je vous informe qu’à cause de… [указать причину], nous sommes contraints… [выбрать необходимое]:</t>
    </r>
  </si>
  <si>
    <t>Im Auftrag von dem Flugkapitän teile ich Ihnen mit, dass wir jetzt gezwungen sind, infolge (des, der) … [указать причину] … [выбрать необходимое]:</t>
  </si>
  <si>
    <t>Por el encargo del comandante les comunico que a causa de… [указать причину], estamos obligados a… [выбрать необходимое]:</t>
  </si>
  <si>
    <t>вернуться в аэропорт… [название аэропорта];</t>
  </si>
  <si>
    <t>совершить посадку в ближайшем аэропорту;</t>
  </si>
  <si>
    <t>совершить аварийную посадку на сушу;</t>
  </si>
  <si>
    <t>return to… [название аэропорта] airport;</t>
  </si>
  <si>
    <t>make an emergency landing at the alternate airport;</t>
  </si>
  <si>
    <t>make an emergency landing;</t>
  </si>
  <si>
    <t>de retourner à l’aéroport… [название аэропорта];</t>
  </si>
  <si>
    <t>d’atterrir à l’aéroport le plus proche;</t>
  </si>
  <si>
    <t>d’effectuer un atterrissage forcé sur terre;</t>
  </si>
  <si>
    <t>nach Flughafen… [название аэропорта] zurückzukehren;</t>
  </si>
  <si>
    <t>eine Notlandung auf dem nächstliegenden Flughafen zu machen;</t>
  </si>
  <si>
    <t>eine Bruchlandung zu machen;</t>
  </si>
  <si>
    <t>volver al aeropuerto… [название аэропорта];</t>
  </si>
  <si>
    <t>aterrizar en al aeropuerto más cercano;</t>
  </si>
  <si>
    <t>realizar aterrizaje de emergencia;</t>
  </si>
  <si>
    <t>совершить аварийную посадку на воду.</t>
  </si>
  <si>
    <t>make a ditching.</t>
  </si>
  <si>
    <t>d’effectuer un atterrissage forcé sur un plan d’eau.</t>
  </si>
  <si>
    <t>eine Notwasserung zu machen.</t>
  </si>
  <si>
    <t>realizar aterrizaje de emergencia sobre agua.</t>
  </si>
  <si>
    <t>Посадка произойдет через …минут. [выбрать необходимое]:</t>
  </si>
  <si>
    <t>We will be landing in …minutes. [выбрать необходимое]:</t>
  </si>
  <si>
    <t>L’atterrissage aura lieu dans …minutes. [выбрать необходимое]:</t>
  </si>
  <si>
    <t>Die Landung wird in …Minuten vollgeführt werden. [выбрать необходимое]:</t>
  </si>
  <si>
    <t>El aterrizaje se realizará en …minutos. [выбрать необходимое]:</t>
  </si>
  <si>
    <t>Спасательные службы аэропорта назначения проинформированы;</t>
  </si>
  <si>
    <t>The rescue teams of the airport of arrival are aware of our situation;</t>
  </si>
  <si>
    <t>Les services de sauvetage de l’aéroport de destination sont informés;</t>
  </si>
  <si>
    <t>Die Rettungsdienste des Zielflughafens sind informiert;</t>
  </si>
  <si>
    <t>Los servicios de salvacion del aeropuerto del destino están informados;</t>
  </si>
  <si>
    <t>Мы начинаем подготовку к аварийной посадке… [выбрать необходимое]:</t>
  </si>
  <si>
    <t>We are beginning our preparation for… [выбрать необходимое]:</t>
  </si>
  <si>
    <t>Nous nous préparons à un atterrissage forcé… [выбрать необходимое]:</t>
  </si>
  <si>
    <t>Wir treffen jetzt Vorbereitungen für die bevorstehende… [выбрать необходимое]:</t>
  </si>
  <si>
    <t>Empezamos la preparación para el aterrizaje de emergencia… [выбрать необходимое]:</t>
  </si>
  <si>
    <t>на сушу;</t>
  </si>
  <si>
    <t>emergency landing;</t>
  </si>
  <si>
    <t>sur terre;</t>
  </si>
  <si>
    <t>Notlandung;</t>
  </si>
  <si>
    <t>sobre tierra;</t>
  </si>
  <si>
    <t>на воду.</t>
  </si>
  <si>
    <t>ditching.</t>
  </si>
  <si>
    <t>sur un plan d’eau.</t>
  </si>
  <si>
    <t>Notwasserung.</t>
  </si>
  <si>
    <t>sobre agua.</t>
  </si>
  <si>
    <t>Об аварийных выходах (СБ)</t>
  </si>
  <si>
    <t>Окончание подготовки – доложить КВС</t>
  </si>
  <si>
    <t>По требованию наземных служб авиакомпании мы должны изменить план полета. Аэропорт назначения предупрежден об изменении нашего маршрута. [выбрать необходимое]:</t>
  </si>
  <si>
    <t>We have been ordered by Air Traffic Controllers to make an unscheduled landing. The airport is aware of our situation. [выбрать необходимое]:</t>
  </si>
  <si>
    <r>
      <rPr>
        <sz val="11"/>
        <color rgb="FF963634"/>
        <rFont val="Calibri"/>
        <family val="2"/>
        <charset val="204"/>
      </rPr>
      <t>À la</t>
    </r>
    <r>
      <rPr>
        <sz val="11"/>
        <color rgb="FF963634"/>
        <rFont val="Calibri"/>
        <family val="2"/>
        <charset val="204"/>
        <scheme val="minor"/>
      </rPr>
      <t xml:space="preserve"> demande des services au sol de la compagnie aérienne, nous sommes contraints de modifier le plan du vol. L’aéroport de destination a été prévenu de la modification de notre itinéraire. [выбрать необходимое]:</t>
    </r>
  </si>
  <si>
    <t>Aufgrund der Anforderung der Bodendienste der Fluggesellschaft müssen wir unseren Flugplan ändern. Unser Zielflughafen ist über die Änderung des Flugplans informiert. [выбрать необходимое]:</t>
  </si>
  <si>
    <t>Por orden de servicios de tierra de la compañia aerea estamos obligados a cambiar el plan del vuelo. El aeropuerto de destino tiene conocimiento sobre el cambio de nuestro itinerario. [выбрать необходимое]:</t>
  </si>
  <si>
    <t>Мы направляемся в ближайший аэропорт;</t>
  </si>
  <si>
    <t>Nous nous dirigeons vers l’aéroport le plus proche;</t>
  </si>
  <si>
    <t>Wir werden uns jetzt zum nächst liegenden Flughafen begeben;</t>
  </si>
  <si>
    <t>Nos dirigimos al aeropuerto más cercano;</t>
  </si>
  <si>
    <t>We will make a landing at the alternate airport;</t>
  </si>
  <si>
    <t>Просим оставаться на своих местах с застегнутыми ремнями безопасности до выключения табло «Застегните ремни». [выбрать необходимое]:</t>
  </si>
  <si>
    <t>Wir bitten Sie noch so lange angeschnallt sitzen zu bleiben, bis das Anschnallzeichen Sicherheitsgurte anschnallen“ erloschen ist. [выбрать необходимое]:</t>
  </si>
  <si>
    <t>Les pedimos que permanezcan en sus asientos con los cinturones de seguridad abrochados hasta que se apague el indicador “Abroche el cinturón”. [выбрать необходимое]:</t>
  </si>
  <si>
    <t>Просим вас взять с собой ручную кладь и покинуть самолет;</t>
  </si>
  <si>
    <t>Please take your personal belongings and leave the aircraft;</t>
  </si>
  <si>
    <t>Nous vous prions de prendre vos objets personnels et de quitter l’avion;</t>
  </si>
  <si>
    <t>Wir bitten Sie, Ihre persönlichen Gegenstände mitzunehmen und das Flugzeug zu verlassen;</t>
  </si>
  <si>
    <t>Les pedimos llevar consigo los objetos personales y abandonar el avión;</t>
  </si>
  <si>
    <t xml:space="preserve">C’est le commandant qui vous parle. </t>
  </si>
  <si>
    <t>Sehr geehrte Damen und Herren! [выбрать необходимое]:</t>
  </si>
  <si>
    <t xml:space="preserve">Об Инструкции по безопасности (СБ) </t>
  </si>
  <si>
    <t>La vitesse est …kilomètres (miles*) à l'heure.</t>
  </si>
  <si>
    <t>La distance est …kilomètres (miles*).</t>
  </si>
  <si>
    <t>When leaving the plane through overwing emergency exits follow the rule: "LEG-BODY-LEG". Remain on the wing. Follow the instructions of the crew.</t>
  </si>
  <si>
    <t>When you hear the command "Safety position", I repeat "Safety position" push the backrest in front of you forward.</t>
  </si>
  <si>
    <t>Hier spricht Ihr Kapitän. (Der Kapitän teilt folgendes mit…) [выбрать необходимое]:</t>
  </si>
  <si>
    <t>Unsere Crew begrüßt Sie herzlich an Bord des Flugzeugs [выбрать необходимое]:</t>
  </si>
  <si>
    <t>Nuestra tripulación les da la bienvenida a bordo de este [выбрать необходимое]:</t>
  </si>
  <si>
    <t>Our flight today is from… to… (and it is operated jointly with… [название авиакомпании по код-шер]).</t>
  </si>
  <si>
    <t>Приносим вам свои извинения за причиненные неудобства в связи с задержкой вылета, произошедшей [указать причину]:</t>
  </si>
  <si>
    <t>We apologise for the delay of departure due to [указать причину]:</t>
  </si>
  <si>
    <t>Veuillez accepter nos excuses pour le retard dû [указать причину]:</t>
  </si>
  <si>
    <t>Les pedimos disculpas por el retraso en la salida, que se debe a [указать причину]:</t>
  </si>
  <si>
    <t>We are looking for (a) … [указать что именно] which has (have) been lost by one of the passengers. If you find it (them), please give it (them) to the cabin crew.</t>
  </si>
  <si>
    <t>A (an) … [указать что именно] has been found in the… [указать где: cabin section, lavatory, др.]. If you think it is yours please contact the cabin crew.</t>
  </si>
  <si>
    <t>Надеемся, что сегодняшний полет доставил вам удовольствие. Будем рады новой встрече с вами.</t>
  </si>
  <si>
    <t>We hope that you enjoyed your flight and look forward to seeing you again.</t>
  </si>
  <si>
    <t>Wir hoffen, daß Sie heute den Flug genossen haben, und freuen uns darauf, Sie bald wieder an Bord begrüßen zu dürfen.</t>
  </si>
  <si>
    <t>Esperamos que haya disfrutado de su vuelo y esperamos verle de nuevo.</t>
  </si>
  <si>
    <t xml:space="preserve">The FASTEN SEATBELT sign is off and you may move about the cabin. </t>
  </si>
  <si>
    <t>You will be able to use the chargeable service of mobile connection and Internet access on board our aircraft when the NO MOBILE sign is off.</t>
  </si>
  <si>
    <t>You will be able to use the chargeable service of Internet access on board our aircraft when the NO MOBILE sign is off.</t>
  </si>
  <si>
    <t>Please remain seated with your seat belt fastened until the FASTEN SEATBELT sign is off.</t>
  </si>
  <si>
    <t>The Captain has switched on the FASTEN SEATBELT sign.</t>
  </si>
  <si>
    <t xml:space="preserve">To ensure your safety, please remain in your seat with your seat belt fastened until the FASTEN SEATBELT sign is off. </t>
  </si>
  <si>
    <t>For your own safety, please remain seated until the aircraft comes to a complete stop and the FASTEN SEATBELT sign is off.</t>
  </si>
  <si>
    <t>Due to a malfunction of the… [указать: FASTEN SEATBELT, NO MOBILE] sign we ask you to pay attention to the announcements and follow the crew instructions.</t>
  </si>
  <si>
    <t>Each exit is marked with an illuminated EXIT sign.</t>
  </si>
  <si>
    <t>Please stay in your seat with your seat belt fastened until the FASTEN SEAT BELT sign is turned off. [выбрать необходимое]:</t>
  </si>
  <si>
    <t>PRAM: Наш экипаж приветствует вас на борту самолета авиакомпании «Аэрофлот – российские авиалинии», участника международного альянса SkyTeam.</t>
  </si>
  <si>
    <t>PRAM: Unsere Crew begrüßt Sie herzlich an Bord des Flugzeugs der „Aeroflot – Russian Airlines“, eines Mitglieds der internationalen SkyTeam Allianz.</t>
  </si>
  <si>
    <t>PRAM: Nuestra tripulación les da la bienvenida a bordo de este avión de la compañía aerea “Aeroflot – Russian Airlines”, miembro de la alianza internaсional SkyTeam.</t>
  </si>
  <si>
    <t xml:space="preserve">PRAM: Обращаем ваше внимание, что в течение всего полета запрещено употребление алкогольных напитков, кроме предложенных на борту, а также курение, в том числе электронных сигарет. </t>
  </si>
  <si>
    <t xml:space="preserve">PRAM: Please note that consumption of alcohol not offered aboard is strictly prohibited, as well as smoking of any kind – including electronic cigarettes. </t>
  </si>
  <si>
    <t xml:space="preserve">PRAM: Nous vous rappelons que il est uniquement permis de consommer les boissons alcoolisées servies à bord. Il est également interdit de fumer, y compris les cigarettes électroniques. </t>
  </si>
  <si>
    <t xml:space="preserve">PRAM: Dürfen wir Sie daran erinnern, daß der Genuss alkoholischer Getränke, die nicht an Bord des Flugzeugs angeboten werden, während des Flugs verboten ist. Auch jegliches Rauchen – elektronische Zigaretten inbegriffen – ist streng untersagt. </t>
  </si>
  <si>
    <t xml:space="preserve">PRAM: Les recordamos que en este vuelo, el consumo de alcohol que no se haya ofrecido a bordo del avión, así como fumar – cigarrillos electrónicos incluidos – está prohibido. </t>
  </si>
  <si>
    <t>PRAM: Туалетные комнаты для пассажиров бизнес-класса расположены в передней части самолета, для пассажиров экономического класса – в хвостовой части самолета.</t>
  </si>
  <si>
    <t>PRAM: The lavatories for business class passengers are located in the front compartment of the aircraft and for economy class passengers in the back compartment of the aircraft.</t>
  </si>
  <si>
    <t>PRAM: Les toilettes pour les passagers de la classe affaire sont situées à l'avant de l'appareil, pour les passagers de la classe économique les toilettes se trouvent à l'arrière de l'appareil.</t>
  </si>
  <si>
    <t>PRAM: Die Bordtoiletten für Passagiere der Business-Klasse sind im vorderen Teil des Flugzeugs. Die Bordtoiletten für Economy-Class Passagiere sind im hinteren Teil des Flugzeugs.</t>
  </si>
  <si>
    <t xml:space="preserve">PRAM: Los aseos para los pasajeros de la clase business se encuentran situados en la parte delantera del avión; los de la clase económica en la parte trasera del avión. </t>
  </si>
  <si>
    <t>СБ: Доброе утро / Добрый день / Добрый вечер, дамы и господа!</t>
  </si>
  <si>
    <t>СБ: Good morning/ afternoon/ evening, Ladies and Gentlemen!</t>
  </si>
  <si>
    <t xml:space="preserve">СБ: Bonjour/ bonsoir, Mesdames et Messieurs! </t>
  </si>
  <si>
    <t>СБ: Guten Morgen/Tag/Abend, meine Damen und Herren!</t>
  </si>
  <si>
    <t>СБ: ¡Buenos días/Buenas tardes/noches, señoras y señores!</t>
  </si>
  <si>
    <t>СБ: El comandante… [имя и фамилия] en nombre de toda la tripulación y de “Aeroflot – Russian Airlines” les da la bienvenida a bordo de este… [тип ВС].</t>
  </si>
  <si>
    <t>СБ: Обращаем ваше внимание, что на борту запрещено употребление алкогольных напитков, принесенных с собой, и курение, в том числе электронных сигарет.</t>
  </si>
  <si>
    <t>СБ: Please note that consumption of alcohol not offered aboard is strictly prohibited, as well as smoking of any kind – including electronic cigarettes.</t>
  </si>
  <si>
    <t xml:space="preserve">СБ: Nous vous informons qu’ il est strictement interdit de consommer les boissons alcoolisées amenés à bord. Il est également interdit de fumer, y compris les cigarettes électroniques. </t>
  </si>
  <si>
    <t>СБ: Dürfen wir Sie daran erinnern, daß der Genuss alkoholischer Getränke, die Sie an Bord mitgebracht haben, während des Flugs verboten ist. Auch jegliches Rauchen, elektronische Zigaretten inbegriffen ist streng untersagt.</t>
  </si>
  <si>
    <t>СБ: Les recordamos que en este vuelo, el consumo de alcohol que no se haya ofrecido a bordo del avión , así como fumar – cigarrillos electrónicos incluidos – está prohibido.</t>
  </si>
  <si>
    <t>СБ: Туалетные комнаты для пассажиров класса Бизнес расположены в передней части самолета, для пассажиров класса Эконом – в хвостовой части (в хвостовой и средней частях) самолета.</t>
  </si>
  <si>
    <t>СБ: The lavatories for business class passengers are located in the front compartment of the aircraft and for economy class passengers in the back compartment (in the back and mid compartments) of the aircraft.</t>
  </si>
  <si>
    <t>СБ: Les toilettes pour les passagers de la classe affaire sont situées à l'avant de l'appareil, pour les passagers de la classe économique les toilettes se trouvent à l'arrière de l'appareil (à l'arrière et au milieu de l'appareil).</t>
  </si>
  <si>
    <t>СБ: Die Bordtoiletten für Passagiere der Business-Klasse sind im vorderen Teil des Flugzeugs. Die Bordtoiletten für Economy-Class Passagiere sind im hinteren (im mittleren und im hinteren) Teil des Flugzeugs.</t>
  </si>
  <si>
    <t>СБ: Los aseos para los pasajeros de la clase business se encuentran situados en la parte delantera del avión; los de la clase económica en la parte trasera del avión (media y trasera del avión).</t>
  </si>
  <si>
    <t xml:space="preserve">PRAM/СБ: Обращаем ваше внимание, что по правилам безопасности полета ручная кладь должна быть размещена на багажной полке или под сиденьем кресла перед вами. Будьте осторожны, открывая багажную полку. </t>
  </si>
  <si>
    <t>PRAM/СБ: Safety regulations require that hand luggage is stowed in overhead bins or under the seat in front of you. Please be careful when opening the overhead bins.</t>
  </si>
  <si>
    <t>PRAM/СБ: Pour des raisons de sécurité, les bagages à main doivent être rangés sous le siège devant vous ou dans les coffres à bagages. Veuillez faire attention à l'ouverture des coffres à bagages.</t>
  </si>
  <si>
    <t>PRAM/СБ: Gemäß der Sicherheitsgründen muss das Handgepäck unter dem Vordersitz oder in der Gepäckablage verstaut werden. Bitte seien Sie vorsichtig, wenn Sie die Gepäckablagen öffnen.</t>
  </si>
  <si>
    <t>PRAM/СБ: Presten su atención que las normas de seguridad requieren que el equipaje de mano sea guardado debajo del asiento delantero o en los compartimientos superiores. Por favor tenga cuidado al abrir estos compartimientos.</t>
  </si>
  <si>
    <t>PRAM/СБ: Туалетные комнаты оборудованы детекторами дыма.</t>
  </si>
  <si>
    <t>PRAM/СБ: All lavatories are equipped with smoke detectors.</t>
  </si>
  <si>
    <t>PRAM/СБ: Toutes les toilettes sont équipées de détecteurs de fumée.</t>
  </si>
  <si>
    <t>PRAM/СБ: Alle Toiletten sind mit Rauchmeldern ausgerüstet.</t>
  </si>
  <si>
    <t>PRAM/СБ: Todos los aseos están equipados con detectores de humo.</t>
  </si>
  <si>
    <t>Para garantizar su seguridad, por favor permanezcan sentados con el cinturón de seguridad abrochado hasta que se apague la señal de “Cinturones abrochados”.</t>
  </si>
  <si>
    <t>los últimos preparativos para el vuelo por los servicios terrestres;</t>
  </si>
  <si>
    <t>aux préparatifs finals du vol par les services au sol de l'aéroport;</t>
  </si>
  <si>
    <t>por razónes del trafico aereo intenso;</t>
  </si>
  <si>
    <t>au trafic aérien intense dans une zone de l'aéroport;</t>
  </si>
  <si>
    <t>Die Ursache ist die Luftverkehrsdichte im Flughafenbereich.</t>
  </si>
  <si>
    <t>a l'attente de l'autorisation pour le vol, liée au trafic aérien intense de l'aéroport;</t>
  </si>
  <si>
    <t>Die Ursache ist die Erwartung der Abflugfreigabe infolge der hohen Arbeitsbelastung des Flughafens.</t>
  </si>
  <si>
    <t>Nous vous prions d'accepter nos excuses pour les inconveniants rencontres.</t>
  </si>
  <si>
    <t>einen leichten Imbiss;</t>
  </si>
  <si>
    <t>el embarque del equipaje y mercancías por los servicios terrestres;</t>
  </si>
  <si>
    <t>à cause du chargement des bagages et du fret par les services au sol de l'aéroport;</t>
  </si>
  <si>
    <t>die Gepäck-und-Frachtabfertigung von den Flughafenbodendiensten;</t>
  </si>
  <si>
    <t>preparativos para el vuelo. Aeroflot haga todo lo posible para despegar cuanto antes;</t>
  </si>
  <si>
    <t>à cause des préparatifs du vol. Aeroflot fait tout possible pour partir le plus vite;</t>
  </si>
  <si>
    <t>die Flugzeugabfertiung. Aeroflot tut ihr Bestes, damit wir sobald wie möglich starten können;</t>
  </si>
  <si>
    <t>por razónes del trafico aereo intens;</t>
  </si>
  <si>
    <t>die Luftverkehrsdichte im Flughafenbereich;</t>
  </si>
  <si>
    <t>Nous vous prions d’accepter nos excuses pour les inconveniants rencontres.</t>
  </si>
  <si>
    <t>Estamos a la espera del permiso de los servicios terrestres para aparacar.</t>
  </si>
  <si>
    <t>Nous attendons la permission de parking des services au sol de l'aéroport.</t>
  </si>
  <si>
    <t>Wir warten auf die Erlaubnis, von den Flughafenbodendiensten unsere entgültige Parkposition einzunehmen.</t>
  </si>
  <si>
    <t>Уважаемые постоянные клиенты – участники программы «Аэрофлот Бонус» и бонусных программ альянса SkyTeam уровней Elite и Elite Plus! Мы благодарим вас за выбор авиакомпаний Группы Аэрофлот.</t>
  </si>
  <si>
    <t>Dear regular customers – members of the Aeroflot Bonus program and members of the SkyTeam Frequent Flyer Programs, Elite and Elite Plus levels, we thank you for choosing the airlines of Aeroflot Group.</t>
  </si>
  <si>
    <t>PRAM: Welcome on board “Aeroflot – Russian Airlines”, a member of the international SkyTeam alliance.</t>
  </si>
  <si>
    <t>“Aeroflot – Russian Airlines”, a member of the international SkyTeam alliance, welcomes you on board the aircraft [выбрать необходимое]:</t>
  </si>
  <si>
    <t>This is your captain speaking. My name is … [имя и фамилия]. On behalf of our crew and “Aeroflot – Russian Airlines” I would like to welcome you on board the aircraft… [тип ВС].</t>
  </si>
  <si>
    <t xml:space="preserve">We invite you to purchase items from the “Sky Shop”. </t>
  </si>
  <si>
    <t>You can purchase items from the “Sky Shop” after the meal service has been completed.</t>
  </si>
  <si>
    <t>For your convenience, you can fill out the In-flight shopping coupon in the “Sky Shop” catalogue and hand it to a cabin attendant. Your purchase will be completed before the aircraft starts to descend.</t>
  </si>
  <si>
    <t>Nous vous invitons à faire les achats du “Sky Shop”, après le service du repas.</t>
  </si>
  <si>
    <t>The in-flight entertainment program is presented in the “Cinema” movie guide.</t>
  </si>
  <si>
    <t>Our in-flight entertainment program is presented in the “Cinema” movie guide. You can watch it for free, just connect to Wi-Fi on your electronic device, then open any browser.</t>
  </si>
  <si>
    <t>Enable Wi-Fi on your personal device, connect to the access point “Aeroflot” and open your web-browser.</t>
  </si>
  <si>
    <t>We are ready to offer you “Sky Shop” goods for purchase.</t>
  </si>
  <si>
    <t>“Aeroflot – Russian Airlines” presents the Frequent Flyer Program Aeroflot Bonus. You can earn air miles and exchange them for award tickets on the airlines of Aeroflot Group and SkyTeam, as well as on services offered by partners all over the world.</t>
  </si>
  <si>
    <t xml:space="preserve">You can find instructions for completing the forms in the “Aeroflot” magazine. </t>
  </si>
  <si>
    <t>If you need to check in for a connecting flight or need any information, please contact the “Transfer” desk staff.</t>
  </si>
  <si>
    <t>Transfer passengers, please see detailed information about the terminals layout and transfer check-in desks location at the “Aeroflot” magazine.</t>
  </si>
  <si>
    <t>The airport plan is given in the “Aeroflot” magazine.</t>
  </si>
  <si>
    <t>On behalf of our crew, thank you for choosing “Aeroflot – Russian Airlines”, a SkyTeam member (and… [название авиакомпании по код-шер]).</t>
  </si>
  <si>
    <t>Information regarding the use of electronic devices on board can be found in the “Aeroflot” magazine.</t>
  </si>
  <si>
    <t>Cette information concerne les passagers en transfert.</t>
  </si>
  <si>
    <t>PRAM: “Aeroflot – Russian Airlines”, membre de l'alliance internationale SkyTeam, vous souhaite la bienvenue à bord de l’avion.</t>
  </si>
  <si>
    <t>“Aeroflot – Russian Airlines”, membre de l'alliance internationale SkyTeam, vous souhaite la bienvenue à bord de [выбрать необходимое]:</t>
  </si>
  <si>
    <t>Je suis votre commandant de bord… [имя и фамилия]. De la part de l’ équipage et d' “Aeroflot – Russian Airlines” je vous souhaite la bienvenue à bord de… [тип ВС].</t>
  </si>
  <si>
    <t>Nous sommes heureux d'accueillir nos clients fréquents qui participent au programme “Aéroflot Bonus” et aux programmes de l’alliance Sky Team des niveaux Elite et Elite Plus. Nous vous remercions d’avoir choisi les compagnies aériènnes faisant partie d’un Groupe Aéroflot.</t>
  </si>
  <si>
    <t>1. Votre ceinture doit être attachée dès que la consigne “Attacher votre ceinture” est allumée.</t>
  </si>
  <si>
    <t>Nous vous invitons à faire les achats du “Sky Shop”.</t>
  </si>
  <si>
    <t>Vous pouvez remplir le coupon de commande dans le catalogue “Sky Shop” et le présenter à un personnel de bord. Votre achat sera alors complété avant la descente.</t>
  </si>
  <si>
    <t>Le programme de divertissement audio et video est présenté dans la brochure “Сinéma”.</t>
  </si>
  <si>
    <t>La consigne “Attachez vos ceintures” vient de s'éteindre. Vous pouvez vous déplacer dans la cabine.</t>
  </si>
  <si>
    <r>
      <t>Une information détaillée sur l’utilisation des appareils électroniques à bord est présentée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</si>
  <si>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Le programme de divertissement est présenté dans la brochure “Сinéma”. Activez le Wi-Fi de votre appareil éléctronique et démarrez le navigateur. Ce service est gratuit.</t>
  </si>
  <si>
    <t>A bord de notre avion vous pouvez utilizer le service payable de la connection mobile et l’accès à l’Internet quand le signal lumineux “Arrêter les téléphone” est éteint.</t>
  </si>
  <si>
    <t>A bord de notre avion vous pouvez utiliser le service payable de l’accès à l’Internet quand le signal lumineux “Arrêter les téléphones” est éteint.</t>
  </si>
  <si>
    <r>
      <t>Activez le Wi-Fi dans votre appareil personnel, sélectionnez le réseau “Aeroflot”, d</t>
    </r>
    <r>
      <rPr>
        <sz val="11"/>
        <color rgb="FF963634"/>
        <rFont val="Calibri"/>
        <family val="2"/>
        <charset val="204"/>
      </rPr>
      <t>émarr</t>
    </r>
    <r>
      <rPr>
        <sz val="11"/>
        <color rgb="FF963634"/>
        <rFont val="Calibri"/>
        <family val="2"/>
        <charset val="204"/>
        <scheme val="minor"/>
      </rPr>
      <t>ez le navigateur Internet.</t>
    </r>
  </si>
  <si>
    <t>Nous sommes prêts à vous proposer les articles du “Sky Shop”.</t>
  </si>
  <si>
    <r>
      <t>“A</t>
    </r>
    <r>
      <rPr>
        <sz val="11"/>
        <color rgb="FF963634"/>
        <rFont val="Calibri"/>
        <family val="2"/>
        <charset val="204"/>
      </rPr>
      <t>é</t>
    </r>
    <r>
      <rPr>
        <sz val="11"/>
        <color rgb="FF963634"/>
        <rFont val="Calibri"/>
        <family val="2"/>
        <charset val="204"/>
        <scheme val="minor"/>
      </rPr>
      <t>roflot – Russian Airlines” présente son programme de fidélité “A</t>
    </r>
    <r>
      <rPr>
        <sz val="11"/>
        <color rgb="FF963634"/>
        <rFont val="Calibri"/>
        <family val="2"/>
        <charset val="204"/>
      </rPr>
      <t>é</t>
    </r>
    <r>
      <rPr>
        <sz val="11"/>
        <color rgb="FF963634"/>
        <rFont val="Calibri"/>
        <family val="2"/>
        <charset val="204"/>
        <scheme val="minor"/>
      </rPr>
      <t>roflot Bonus”. Vous pouvez échanger vos points contre des tickets des companies du Groupe Aeroflot ou d'autres compagnies de l'alliance SkyTeam ou contre les services de nos partenaires.</t>
    </r>
  </si>
  <si>
    <t xml:space="preserve">Les compagnies aériennes faisant partie d’un Groupe Aeroflot et de l'alliance SkyTeam fournissent les privilèges supplémentaires aux propriétaires des cartes des niveaux élites “Aeroflot Bonus”. </t>
  </si>
  <si>
    <t>Veuillez attacher votre ceinture et rester assis jusqu'à l'extinction du signal “Attachez votre ceinture”.</t>
  </si>
  <si>
    <r>
      <t>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</si>
  <si>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des questions y compris le prochain enregistrement adressez-vous au salon de “Transfer”.</t>
  </si>
  <si>
    <t>Le commandant a allumé le signal “Attachez votre ceinture”.</t>
  </si>
  <si>
    <t>Attention des passagers en transfert! Une information détaillée sur la disposition des aérogares et l’enregistrement du transfert est présentée dans la révue “Aéroflot”.</t>
  </si>
  <si>
    <r>
      <t>Le plan de l’aéroport est disponible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</si>
  <si>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besoin de louer la voiture adressez-vous au bureau de location Europcar à l’aéroport. Les passagers avec les tickets d’Aéroflot et les propriétaires des cartes des niveaux élites “Aéroflot Bonus” ont les privilèges supplémentaires.</t>
  </si>
  <si>
    <t>Pour assurer votre sécurité, veuillez rester assis avec votre ceinture attachée jusqu'à l'extinction du signal “Attachez votre ceinture”.</t>
  </si>
  <si>
    <t>Pour votre sécurité, veuillez rester assis jusqu'à l'arrêt complet de l'appareil et l'extinction du signal “Attachez votre ceinture”.</t>
  </si>
  <si>
    <t xml:space="preserve">De la part de l'équipage, je vous remercíe d'avoir choisi “Aeroflot – Russian Airlines”, membre de SkyTeam (et… [название авиакомпании по код-шер]). </t>
  </si>
  <si>
    <t>This is your Сaptain speaking. My name is … [имя и фамилия]. On behalf of our crew and “Aeroflot – Russian Airlines” I would like to welcome you on board the aircraft… [тип ВС].</t>
  </si>
  <si>
    <t>On behalf of our crew and “Aeroflot – Russian Airlines” I would like to welcome you on board the aircraft… [тип ВС].</t>
  </si>
  <si>
    <t xml:space="preserve">The passenger rules of conduct are provided in the “Aeroflot” magazine. </t>
  </si>
  <si>
    <t>Thank you for choosing “Aeroflot – Russian Airlines”.</t>
  </si>
  <si>
    <t>СБ: Der Flugkapitän… [имя и фамилия] wünscht Ihnen allen frohe Weihnachten und ein glückliches Neues Jahr. Im Namen der gesamten Besatzung und von „Aeroflot – Russian Airlines“ begrüsst er Sie herzlich an Bord dieses Flugzeugs/dieser… [тип ВС].</t>
  </si>
  <si>
    <t>СБ: El comandante… [имя и фамилия] les desea a todos una Feliz Navidad y un Feliz Año Nuevo y en nombre de toda la tripulación y de “Aeroflot – Russian Airlines” le da la bienvenida a bordo de este… [тип ВС].</t>
  </si>
  <si>
    <t>De la part de l’ équipage et d' “Aeroflot – Russian Airlines” je vous souhaite la bienvenue à bord de… [тип ВС].</t>
  </si>
  <si>
    <t>СБ: Le commandant de bord… [имя и фамилия] de la part de tout l'équipage et d' “Aéroflot – Russian Airlines” vous salue à bord de l'avion… [тип ВС].</t>
  </si>
  <si>
    <t xml:space="preserve">СБ: Der Flugkapitän… [имя и фамилия] begrüßt Sie im Namen der gesamten Besatzung und im Auftrag von „Aeroflot – Russian Airlines an Bord dieses Flugzeugs/dieser… [тип ВС]. </t>
  </si>
  <si>
    <t>СБ: El comandante… [имя и фамилия] en nombre de toda la tripulación y de “Aeroflot – Russian Airlines” le da la bienvenida a bordo de este… [тип ВС].</t>
  </si>
  <si>
    <t>Jeder Ausgang ist mit einem beleuchteten Exit-Schild gekennzeichnet.</t>
  </si>
  <si>
    <t>When leaving the plane through overwing emergency exits, follow the rule: “LEG-BODY-LEG”. Run in the direction of arrows, jump, slide. Get away from the plane.</t>
  </si>
  <si>
    <t>When leaving the plane through overwing emergency exits, follow the rule: “LEG-BODY-LEG”. Run in the direction of arrows, sit down and slide along the flaps. Get away from the plane.</t>
  </si>
  <si>
    <t>Les invitamos a hacer sus compras en “Sky Shop”.</t>
  </si>
  <si>
    <t>БП: Le commandant nous informe que…</t>
  </si>
  <si>
    <t>БП: Der Flugkapitän hat uns folgendes mitgeteilt.</t>
  </si>
  <si>
    <t>БП: El comandante nos informa de que…</t>
  </si>
  <si>
    <t>C’est le (la) chef de cabine/ le commandant qui vous parle.</t>
  </si>
  <si>
    <t>Les habla la azafata responsable/ el comandante.</t>
  </si>
  <si>
    <t>Hier spricht der (die) Chefflugbegleiter(in)/ der Flugkapitän.</t>
  </si>
  <si>
    <t>СБ: Der Flugkapitän… [имя и фамилия] begrüßt Sie im Namen der gesamten Besatzung und im Auftrag von „Aeroflot – Russian Airlines“ an Bord dieses Flugzeugs/dieser… [тип ВС].</t>
  </si>
  <si>
    <t>СБ: Le commandant de bord… [имя и фамилия] de la part de tout l'équipage et d' “Aeroflot – Russian Airlines” vous salue à bord de l'avion… [тип ВС].</t>
  </si>
  <si>
    <t>Je vous souhaite un agréable vol!</t>
  </si>
  <si>
    <t>Мeine Damen und Herren!</t>
  </si>
  <si>
    <t>СБ: Nous vous souhaitons un agréable vol!</t>
  </si>
  <si>
    <t>Bienvenue à bord de l’ appareil d' “Aeroflot” qui porte le nom du… [указать oпределение рода деятельности из Приложения №2]… [имя и фамилия человека, в честь которого названо ВС].</t>
  </si>
  <si>
    <t>Высота нашего полета …метров (футов).</t>
  </si>
  <si>
    <t>Скорость – …километров (миль) в час.</t>
  </si>
  <si>
    <t>Протяженность маршрута составляет …километров (миль).</t>
  </si>
  <si>
    <t>We are currently cruising at an altitude of …meters (feet).</t>
  </si>
  <si>
    <t>The speed is …kilometres (miles) per hour.</t>
  </si>
  <si>
    <t>The distance to… [пункт назначения] is …kilometres (miles).</t>
  </si>
  <si>
    <t>Наш самолет находится в зоне турбулентности. (Информация о причине турбулентности на усмотрение КВС.)</t>
  </si>
  <si>
    <t>Our aircraft is in the area of turbulence. (Информация о причине турбулентности на усмотрение КВС.)</t>
  </si>
  <si>
    <t>Notre avion est entré dans une zone de turbulence. (Информация о причине турбулентности на усмотрение КВС.)</t>
  </si>
  <si>
    <t>Wir überfliegen gerade eine Schlechtwetterzone. (Информация о причине турбулентности на усмотрение КВС.)</t>
  </si>
  <si>
    <t>El avión está en una zona de turbulencia. (Информация о причине турбулентности на усмотрение КВС.)</t>
  </si>
  <si>
    <t>à cause du traffic aérien intens;</t>
  </si>
  <si>
    <t>СБ: Le commandant de bord… [имя и фамилия] vous souhaite un joyeux Noël et une bonne année! Le commandant de bord de la part de l'équipage et d' “Aéroflot – Russian Airlines” vous salue à bord de l'avion… [тип ВС].</t>
  </si>
  <si>
    <t>la (les) toilette(s) à l'avant/ au milieu/ à l'arrière de la cabine est (sont) hors de service. Vous pouvez utiliser les toilettes à l'avant/ au milieu/ à l'arrière de l'appareil;</t>
  </si>
  <si>
    <t>estamos a la espera del permiso para salida ya que hay acumulación de tráfico en el aeropuerto;</t>
  </si>
  <si>
    <t>Para garantizar su seguridad tenemos que interrumpir el servicio de bebidas calientes hasta que el avión salga de la zona turbulencia.</t>
  </si>
  <si>
    <t>On va arrêter le service pour proceder à la préparation à l’atterissage. Veuillez:</t>
  </si>
  <si>
    <t>Las condiciones meteorológicas en… [название города] son… (buenas, hace sol, llueve, malas и др.)</t>
  </si>
  <si>
    <t>Retirez tous les objets qui peuvent vous blesser; lunettes, lentilles, prothèses dentaires. Rangez-les dans vos bagages à main (entre les sièges).</t>
  </si>
  <si>
    <t>Nous vous prions de rester à vos places avec la ceinture de sécurité attachée jusqu’à l’extinction de la consigne «Attachez les ceintures». [выбрать необходимое]:</t>
  </si>
  <si>
    <t>[Для въезда в Японию] С порядком заполнения можно ознакомиться в журнале «Аэрофлот».</t>
  </si>
  <si>
    <t xml:space="preserve">[Для въезда в Японию] You can find instructions for completing the form in the “Aeroflot” magazine. </t>
  </si>
  <si>
    <r>
      <t>[Для въезда в Японию] 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</si>
  <si>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[Для въезда в Японию] Anweisungen zum Ausfüllen der Formulare finden Sie in Ihrem „Aeroflot“-Magazin.</t>
  </si>
  <si>
    <t xml:space="preserve">[Для въезда в Японию] Pueden leer las instrucciones para cumplimentar los formularios en la revista “Aeroflot”. </t>
  </si>
  <si>
    <t xml:space="preserve">Температура +/– … градусов по Цельсию/Фаренгейту [для рейсов США/Канады]. </t>
  </si>
  <si>
    <t>and the temperature is +/–… degrees Celsius/Fahrenheit [для рейсов США/Канады].</t>
  </si>
  <si>
    <t>La température de l’air est +/–… degrés Celsius/Fahrenheit [для рейсов США/Канады].</t>
  </si>
  <si>
    <t>und die Temperatur beträgt +/–… Grad Celsius/nach Fahrenheit [для рейсов США/Канады].</t>
  </si>
  <si>
    <t>y la temperatura es de …grados bajo/sobre cero centígrados/Fahrenheit [для рейсов США/Канады].</t>
  </si>
  <si>
    <r>
      <t>La température de l’air est +/–… degr</t>
    </r>
    <r>
      <rPr>
        <sz val="11"/>
        <color rgb="FF963634"/>
        <rFont val="Calibri"/>
        <family val="2"/>
        <charset val="204"/>
      </rPr>
      <t>è</t>
    </r>
    <r>
      <rPr>
        <sz val="11"/>
        <color rgb="FF963634"/>
        <rFont val="Calibri"/>
        <family val="2"/>
        <charset val="204"/>
        <scheme val="minor"/>
      </rPr>
      <t>s Celsius/Fahrenheit [для рейсов США/Канады].</t>
    </r>
  </si>
  <si>
    <t>Die Bodentemperatur beträgt …Grad Grad (über Null/unter Null) Celsius/nach Fahrenheit [для рейсов США/Канады].</t>
  </si>
  <si>
    <t>y la temperatura es de …grados bajo/sobre cero centígrados/ Fahrenheit [для рейсов США/Канады].</t>
  </si>
  <si>
    <t>При отсутствии торгового обслуживания объявление о торговле не производится</t>
  </si>
  <si>
    <t>[Если необходимо] Наденьте куртки и пальто.</t>
  </si>
  <si>
    <t>[Если необходимо] Put on your jackets and overcoats.</t>
  </si>
  <si>
    <t>[Если необходимо] Mettez vos vestes et vos manteaux.</t>
  </si>
  <si>
    <t>[Если необходимо] Ziehen Sie ihre Oberkleidung an (если необходимо).</t>
  </si>
  <si>
    <t>[Если необходимо] Pónganse camperas y abrigos.</t>
  </si>
  <si>
    <t>If you see an unclaimed piece of luggage, do not approach it and inform a Cabin Attendant.</t>
  </si>
  <si>
    <t>Si desean reservar el taxi por tarifa especial para pasajeros de Aeroflot, diríjanse al personal de cabina… [выбрать необходимое]:</t>
  </si>
  <si>
    <t>Die Ursache besteht darin, daß die Flugzeugabfertigung von den Flughafenbodendiensten noch nicht völlig abgeschlossen ist.</t>
  </si>
  <si>
    <t>За 10 – 15 минут до включения табло «ЗАСТЕГНИТЕ РЕМНИ» (СБ по указанию КВС) (рейс длительной продолжительности дневной/ночной)</t>
  </si>
  <si>
    <t>Pinyin</t>
  </si>
  <si>
    <t xml:space="preserve"> 女士们，先生们 ！</t>
  </si>
  <si>
    <t>Nǚshὶmen, Xiānshēngmen!</t>
  </si>
  <si>
    <t>欢迎您乘坐俄罗斯航空公司班机，俄罗斯航空公司是天合联盟的成员。</t>
  </si>
  <si>
    <t xml:space="preserve">Huānyíng Nín chéngzuò Éluósī hángkōng gōngsī bānjī，
Éluósī hángkōng gōngsī shὶ Tiānhéliánméng de chéngyuán.
</t>
  </si>
  <si>
    <t>СБ:女士们，先生们，早上好！/下午好！/晚上好！</t>
  </si>
  <si>
    <t xml:space="preserve">СБ: Nǚshὶmen,Xiānshēngmen,
Zǎoshang hǎo! /Xià wǔ hǎo!
Wǎn shàng hǎo!
</t>
  </si>
  <si>
    <t>空客A319/320/321/330</t>
  </si>
  <si>
    <t>波音737/777飞机</t>
  </si>
  <si>
    <t>Bōyīn 737/777 fēijī</t>
  </si>
  <si>
    <t xml:space="preserve"> Super Jet. 飞机 </t>
  </si>
  <si>
    <t xml:space="preserve">Super Jet fēijī </t>
  </si>
  <si>
    <t>俄罗斯航空公司是天合联盟的成员。</t>
  </si>
  <si>
    <t xml:space="preserve">Éluósī hángkōng gōngsī shὶ Tiānhéliánméng de chéngyuán. </t>
  </si>
  <si>
    <t>PRAM / СБ: 大家请注意，请把您的手提物品放在前方座椅下。打开行时李架请小心。</t>
  </si>
  <si>
    <t>PRAM / СБ: Dàjiā qǐng zhùyὶ, qǐng bǎ Nín de shǒutí wùpǐn fàng zài qiánfāng zuòyǐ xià. Dàkāi xínglijiā shí qǐng xiǎoxīn.</t>
  </si>
  <si>
    <t>请不要将行李放在走廊，过道及紧急出口处。</t>
  </si>
  <si>
    <t xml:space="preserve">Qǐng bùyào jiāng xíngli fàng zài zǒuláng, guódaò jí jǐnjí chūkǒu chù. </t>
  </si>
  <si>
    <t>客舱乘务员将提供为你们需要的帮助。</t>
  </si>
  <si>
    <t>Kècāng chéngwùyuán jiāng tígòng wéi Nǐmen xūyào de bàngzhù.</t>
  </si>
  <si>
    <r>
      <t>Kōngk</t>
    </r>
    <r>
      <rPr>
        <sz val="11"/>
        <color rgb="FF8018C0"/>
        <rFont val="Arial Unicode MS"/>
        <family val="2"/>
      </rPr>
      <t>è</t>
    </r>
    <r>
      <rPr>
        <sz val="9.9"/>
        <color rgb="FF8018C0"/>
        <rFont val="Calibri"/>
        <family val="2"/>
        <charset val="204"/>
      </rPr>
      <t xml:space="preserve"> A319/320/321/330</t>
    </r>
  </si>
  <si>
    <t>女士们，先生们，早上好！/下午好！/晚上好！</t>
  </si>
  <si>
    <t xml:space="preserve">现在我们已经离开。。。前往。。。，本次航班与（。。。）航班实施代码共亨。 </t>
  </si>
  <si>
    <t xml:space="preserve">预计空中飞行时间为 … 小时 … 分。 </t>
  </si>
  <si>
    <t>由于 (указать причину)延误了分本次航班的起飞。对此我们深表歉意。</t>
  </si>
  <si>
    <t>出发机场/到达机场/航线天气原因</t>
  </si>
  <si>
    <t>Chūfā jīchǎng/dàodá jīchǎng/ hángxiàn tiānqì yuányīn</t>
  </si>
  <si>
    <t>起飞前的准备</t>
  </si>
  <si>
    <t>Qǐfēi qián de zhǔnbèi</t>
  </si>
  <si>
    <t xml:space="preserve"> 等待转机的旅客</t>
  </si>
  <si>
    <t>Děngdài zhuǎnjī de lǚkè</t>
  </si>
  <si>
    <t xml:space="preserve"> 转机的航班晚点</t>
  </si>
  <si>
    <t xml:space="preserve"> Zhuǎnjī de hángbān wǎndiǎn</t>
  </si>
  <si>
    <t xml:space="preserve"> 机场的工作人员罢工</t>
  </si>
  <si>
    <t xml:space="preserve"> Jīchǎng de gōngzuò rényuán; bàgōng</t>
  </si>
  <si>
    <t xml:space="preserve">由于在机场地区激烈的空中交通       </t>
  </si>
  <si>
    <t>Yóuyú zài jīchǎng dìqū jīliè de kōngzhōng jiāotōng</t>
  </si>
  <si>
    <t>由于机场起降繁忙，我们正在等待起飞许可</t>
  </si>
  <si>
    <t>Yóuyú jīchǎng qǐ jiàng fánmáng, wǒmen zhèngzài děngdài qǐfēi xǔkě</t>
  </si>
  <si>
    <t>Shēngchǎn yāoqiú</t>
  </si>
  <si>
    <t>祝您旅途愉快！</t>
  </si>
  <si>
    <t xml:space="preserve">Zhù Nín lǚtú yúkuài! </t>
  </si>
  <si>
    <t>女士们，先生们 ！</t>
  </si>
  <si>
    <t>您的安全和舒适是我们航空公司的首要任务。</t>
  </si>
  <si>
    <t>Nín de ānquán hé shūshi shì Wǒmen hángkōng gōngsī de shǒuyào rènwu.</t>
  </si>
  <si>
    <t>我和全体人员祝您旅途愉快！</t>
  </si>
  <si>
    <t xml:space="preserve">Wǒ hé quán tǐ rényuán zhù Nín lǚtú yúkuài! </t>
  </si>
  <si>
    <t xml:space="preserve">我和全体人员竭诚为您提供良好的服务。 </t>
  </si>
  <si>
    <t>Wǒ hé quán tǐ rényuán jiéchéng wéi Nín liánghǎo de fúwù.</t>
  </si>
  <si>
    <t>希望我和全体人员的服务能给您留下美好的印象。</t>
  </si>
  <si>
    <t>Xīwàng Wǒ hé quán tǐ rényuán de fúwù néng gěi Nín liúxià měihǎo de yìnxiàng.</t>
  </si>
  <si>
    <t xml:space="preserve">亲爱的老主顾-俄航和天合联盟精英和精英加的水平常旅客奖励计划的成员。
我们感谢您的选择是俄航集团公司。
</t>
  </si>
  <si>
    <t>Qīnài de láozhǔgù- Éháng hé Tiānhéliánméng jīngyīng hé jīngyīngjiā de shuǐpíng cháng lǚkè jiǎnglì jìhuá de chéngyuán. Wǒmen gánxiè Nín de xuǎnzé shì Éháng jítuán gōngsī .</t>
  </si>
  <si>
    <t>谢谢各位注意。</t>
  </si>
  <si>
    <t>Xièxie gèwèi zhùyì.</t>
  </si>
  <si>
    <t xml:space="preserve">我是本次班机的主任乘务长，我的名字叫。。。 [имя без фамилии] </t>
  </si>
  <si>
    <t>Wǒ shὶ běncὶ bānjī zhŭrèn chéngwùzhǎng, Wǒ de míngzὶ jiào... [имя без фамилии]</t>
  </si>
  <si>
    <t>欢迎您在座俄国著名…[указать определение рода деятельности из Приложения №2] … [имя и фамилия человека, в честь которого назван ВС]（作曲家，飞机驾驶员，作家，诗人）名名的本架飞机上</t>
  </si>
  <si>
    <t>Huānyíng Nín zài zuò Éguó zhùmíng … [указать определение рода деятельности из Приложения №2] … [имя и фамилия человека, в честь которого назван ВС] (zuòqǔjiā, fēijī   jiàshǐyuán, zuòjiā, shīrén) míngmíng de běnjià fēijī shàng</t>
  </si>
  <si>
    <t>感谢您乘坐俄罗斯航空公司的[выбрать необходимое]:</t>
  </si>
  <si>
    <t xml:space="preserve">本次航班机长位 … [имя и фамилия]
感谢您乘坐俄航和天合联盟的…飞机。[тип ВС].
</t>
  </si>
  <si>
    <t>Gǎnxiè Nín chéngzuò Éluósī hángkōng gōngsī de [выбрать необходимое]:</t>
  </si>
  <si>
    <t xml:space="preserve">Běncì hángbān de jīzhǎng wèi... [имя и фамилия]. Gǎnxiè Nín chéngzuò Éháng hé Tiānhéliánméng de… [тип ВС] fēijī.  
</t>
  </si>
  <si>
    <t xml:space="preserve">Nǚshὶmen,Xiānshēngmen, Zǎoshang hǎo!/Xià wǔ hǎo!
Wǎn shàng hǎo! 
</t>
  </si>
  <si>
    <t>Xiànzài Wǒmen yǐjing líkāi... qiánwǎng… Běncì hángbān yǔ… [название авиакомпании по код-шер] shíshī dàimǎ gòngxiǎng.</t>
  </si>
  <si>
    <t xml:space="preserve">Yùjì kōngzhōng shíjiān wéi… xiǎoshí… fēn.  </t>
  </si>
  <si>
    <t>Yóuyú [указать причину] yánwù le běncì hángbān de qǐfēi. Duìcǐ Wǒmen shēnbiǎo qiànyì.</t>
  </si>
  <si>
    <t xml:space="preserve">女士们，先生们 ！ </t>
  </si>
  <si>
    <t xml:space="preserve">现在我们为您播放本架飞机的安全须知，请您注意收看。 </t>
  </si>
  <si>
    <t xml:space="preserve">Xiànzài Wǒmen wéi Nín bōfàng běnjià fēijī de ānquán xūzhī, qǐng Nín zhùyì shǒukān. </t>
  </si>
  <si>
    <t>1. 本架飞机有四个紧急出口。</t>
  </si>
  <si>
    <t>1.Běnjià fēijī yǒu sì ge jǐnjí chūkǒu.</t>
  </si>
  <si>
    <t>2. 紧急出口设在客舱的左右侧。</t>
  </si>
  <si>
    <t xml:space="preserve">2. Jǐnjí chūkǒu shèzài kècāng de zuǒyòucè. </t>
  </si>
  <si>
    <t>两个在飞机前部，</t>
  </si>
  <si>
    <t>Liǎng gezài fēijī qiánbù ,</t>
  </si>
  <si>
    <t>两个在飞机尾部 。</t>
  </si>
  <si>
    <t xml:space="preserve">Liǎng ge zài fēijī wěibù. </t>
  </si>
  <si>
    <t>3. 紧急出口处都有橡胶滑梯。</t>
  </si>
  <si>
    <t>3. Jǐnjí chūkǒuchù dōu yǒu xiàngjiāo huátī.</t>
  </si>
  <si>
    <t>4. 分别标有紧急出口的明显标志。</t>
  </si>
  <si>
    <t>4. Fēnbiébiāo yǒu jǐnjí chūkǒude míngxiǎn biāozhì</t>
  </si>
  <si>
    <t>5. 如果电源无效， 安装在地板上过道侧面的应急路经灯会发出亮光，帮助您找到应急出口。</t>
  </si>
  <si>
    <t xml:space="preserve">5. Rúguǒ diànyuán wúxiào, ānzhuāng zài dìbǎn shàng guòdào cèmiàn de yīngji lùjìngdēng huì fāchū liàngguāng, bāngzhù Nín zhǎodào yīngji chūkǒu. </t>
  </si>
  <si>
    <t>请留意离您最近的紧急出口。</t>
  </si>
  <si>
    <t xml:space="preserve">Qǐng liúyì lí Nín zuìjìn de jǐnjí chūkǒu. </t>
  </si>
  <si>
    <t xml:space="preserve">1. 本架飞机有六个紧急出口。 </t>
  </si>
  <si>
    <t>1.Běnjià fēijī yǒu liù ge jǐnjí chūkǒu.</t>
  </si>
  <si>
    <t>Liǎng gezài fēijī qiánbù,</t>
  </si>
  <si>
    <t>两个在机翼后，</t>
  </si>
  <si>
    <t>Liǎng ge zài jīyì hou,</t>
  </si>
  <si>
    <t>两个在飞机尾部。</t>
  </si>
  <si>
    <t>Liǎng ge zài fēijī wěibù.</t>
  </si>
  <si>
    <t xml:space="preserve">3.Jǐnjí chūkǒuchù dōu yǒu xiàngjiāo huátī. </t>
  </si>
  <si>
    <t xml:space="preserve">4. 分别标有紧急出口的明显标志。 </t>
  </si>
  <si>
    <t xml:space="preserve">4. Fēnbiébiāo yǒu jǐnjí chūkǒude míngxiǎn biāozhì. </t>
  </si>
  <si>
    <t xml:space="preserve">5. 如果电源无效， 安装在地板上过道侧面的应急路经灯会发出亮光，帮助您找到应急出口。 </t>
  </si>
  <si>
    <t>1. 本架飞机有八个紧急出口。</t>
  </si>
  <si>
    <t>ф1. Běnjià fēijī yǒu bā ge jǐnjí chūkǒu.</t>
  </si>
  <si>
    <t>Liǎng gezài fēijī qiánbù</t>
  </si>
  <si>
    <t>四个在机翼后，</t>
  </si>
  <si>
    <t>Sì ge zài jīyì hou,</t>
  </si>
  <si>
    <t xml:space="preserve">3. Jǐnjí chūkǒuchù dōu yǒu xiàngjiāo huátī. </t>
  </si>
  <si>
    <t>4. Fēnbiébiāo yǒu jǐnjí chūkǒude míngxiǎn biāozhì.</t>
  </si>
  <si>
    <t xml:space="preserve">请留意离您最近的紧急出口。 </t>
  </si>
  <si>
    <t>1. Běnjià fēijī yǒu bā ge jǐnjí chūkǒu.</t>
  </si>
  <si>
    <t>两个在飞机中部，</t>
  </si>
  <si>
    <t>Liǎng ge zài fēijī zhōngbù,</t>
  </si>
  <si>
    <t>Liǎng ge zài fēijī wěibù .</t>
  </si>
  <si>
    <t>1.Běnjià fēijī yǒu bā ge jǐnjí chūkǒu.</t>
  </si>
  <si>
    <t xml:space="preserve">两个在机翼后， </t>
  </si>
  <si>
    <t>6.海面迫降时前部，中部和尾部的橡胶滑梯的使用方法与救生艇相同。</t>
  </si>
  <si>
    <r>
      <t>6. Hǎimiàn pòjiàng shí qiánbù, zhōngbù h</t>
    </r>
    <r>
      <rPr>
        <sz val="11"/>
        <color rgb="FF8018C0"/>
        <rFont val="Arial Unicode MS"/>
        <family val="2"/>
        <charset val="128"/>
      </rPr>
      <t>é</t>
    </r>
    <r>
      <rPr>
        <sz val="9.9"/>
        <color rgb="FF8018C0"/>
        <rFont val="Calibri"/>
        <family val="2"/>
        <charset val="204"/>
      </rPr>
      <t xml:space="preserve"> wěibùde </t>
    </r>
    <r>
      <rPr>
        <sz val="11"/>
        <color rgb="FF8018C0"/>
        <rFont val="Calibri"/>
        <family val="2"/>
        <charset val="204"/>
        <scheme val="minor"/>
      </rPr>
      <t xml:space="preserve">xiàngjiāo huátī de shǐyòng fāngfǎ yǔ jiùshēngtǐng xiāngtóng. </t>
    </r>
  </si>
  <si>
    <t>6.海面迫降时所有的橡胶滑梯的使用方法与救生艇相同。</t>
  </si>
  <si>
    <r>
      <t>6. Hǎimiàn pòjiàng shí su</t>
    </r>
    <r>
      <rPr>
        <sz val="11"/>
        <color rgb="FF8018C0"/>
        <rFont val="Calibri"/>
        <family val="2"/>
        <charset val="204"/>
      </rPr>
      <t>ǒ</t>
    </r>
    <r>
      <rPr>
        <sz val="9.9"/>
        <color rgb="FF8018C0"/>
        <rFont val="Calibri"/>
        <family val="2"/>
        <charset val="204"/>
      </rPr>
      <t xml:space="preserve">yǒu de </t>
    </r>
    <r>
      <rPr>
        <sz val="11"/>
        <color rgb="FF8018C0"/>
        <rFont val="Calibri"/>
        <family val="2"/>
        <charset val="204"/>
        <scheme val="minor"/>
      </rPr>
      <t xml:space="preserve">xiàngjiāo huátī de shǐyòng fāngfǎ yǔ jiùshēngtǐng xiāngtóng. </t>
    </r>
  </si>
  <si>
    <t>1. 本架飞机有十个紧急出口。</t>
  </si>
  <si>
    <t>1.Běnjià fēijī yǒu shì ge jǐnjí chūkǒu.</t>
  </si>
  <si>
    <t>2. Jǐnjí chūkǒu shèzài kècāng de zuǒyòucè.</t>
  </si>
  <si>
    <t>四个在飞机前部，</t>
  </si>
  <si>
    <t xml:space="preserve">Sì ge zài fēijī qiánbù, </t>
  </si>
  <si>
    <t>两个上机翼，</t>
  </si>
  <si>
    <t>Liǎng ge shàng  jīyì,</t>
  </si>
  <si>
    <t>四个在飞机尾部。</t>
  </si>
  <si>
    <t>Sì ge zài fēijī wěibù.</t>
  </si>
  <si>
    <t>6.海面迫降时前部，前机翼，机翼后面和尾部的橡胶滑梯的使用方法与救生艇相同。</t>
  </si>
  <si>
    <t xml:space="preserve">6. Hǎimiàn pòjiàng shí qiánbù, qián jīyì, jīyì hòumiàn hé wěibù de xiàngjiāo huátī de shǐyòng fāngfǎ yǔ jiùshēngtǐng xiāngtóng. </t>
  </si>
  <si>
    <t xml:space="preserve">1. 氧气面罩储藏在您座椅上方， 发生紧急情况时，面罩会自动脱落。 </t>
  </si>
  <si>
    <t xml:space="preserve">1. Yǎngqì miànzhào chǔcáng zài Nín zuòyǐ shàng fang, fāshēng jǐnjí qíngkuàng shí, miànzhào huì zìdòng tuōluò. </t>
  </si>
  <si>
    <t>2. 请您拉面罩。</t>
  </si>
  <si>
    <t xml:space="preserve">2. Qǐng Nín lā miànzhào. </t>
  </si>
  <si>
    <t xml:space="preserve">3. 将面罩像我们一样罩在口鼻处， 进行正常呼吸。 </t>
  </si>
  <si>
    <t xml:space="preserve">3. Jiāng miànzhào xiàng Wǒmen yīyàng zhào zài kǒubí chǔ, jìnxíng zhèngcháng hūxī. </t>
  </si>
  <si>
    <t xml:space="preserve">4.带小孩的旅客请先将您的面罩戴好， 然后再为小孩戴上面罩。 </t>
  </si>
  <si>
    <t xml:space="preserve">4. Dài xiǎohái de lǚkè qǐng xiān jiāng Nín de miànzhào dàihǎo, ránhòu zài wéi xiǎohái dài shàng miànzhào. </t>
  </si>
  <si>
    <t xml:space="preserve">1.请在"系好安全带"信号时系紧安全带 </t>
  </si>
  <si>
    <t xml:space="preserve">1. Qǐng zài “Jìhǎo ānquándài’’ xìnhào shí jìjǐn méiyǒu xīmiè zhīqián bùyào jiěkāi ānquándài. </t>
  </si>
  <si>
    <t xml:space="preserve">2. 使用时，将连接片插入锁口内 </t>
  </si>
  <si>
    <t xml:space="preserve">2. Shǐyòng shí, jiāng liánjiēpiàn chārù suǒkǒu nèi. </t>
  </si>
  <si>
    <t xml:space="preserve">3.根据您的需要，调节安全带的松紧 </t>
  </si>
  <si>
    <t xml:space="preserve">3. Gēnjù Nín de xūyào, tiáojié ānquándài de sōngjǐn. </t>
  </si>
  <si>
    <t xml:space="preserve">4.解开时，先将锁扣打开，拉出连接片 </t>
  </si>
  <si>
    <t xml:space="preserve">4. Jiěkāi shí, xiān jiāng suǒkǒu dǎkāi, lāchū liánjiēpiàn. </t>
  </si>
  <si>
    <t>海面迫降时飞机将有救生衣。</t>
  </si>
  <si>
    <t>Hǎimiàn pòjiàng shí fēijī jiāng yǒu jiùshēngyī.</t>
  </si>
  <si>
    <t xml:space="preserve">1. 救生衣在您座椅下方。 </t>
  </si>
  <si>
    <t xml:space="preserve">1. Jiùshēngyī zài Nín zuòyǐ xiàfāng. </t>
  </si>
  <si>
    <t xml:space="preserve">2. 使用时取出，经头部穿好。 </t>
  </si>
  <si>
    <t xml:space="preserve">2. Shǐyòngshí qǔchū, jīng tóubù chuānhǎo. </t>
  </si>
  <si>
    <t xml:space="preserve">3. 将带子扣好，系紧。 </t>
  </si>
  <si>
    <t xml:space="preserve">3. Jiāng dàizi kǒuhǎo, jìjín. </t>
  </si>
  <si>
    <t xml:space="preserve">4. 离开飞机前，打开充气阀门。 </t>
  </si>
  <si>
    <t xml:space="preserve">4. Líkāi fēijī qián, dǎkāi chōngqì fámén. </t>
  </si>
  <si>
    <t xml:space="preserve">5.充气不足时，可将救生衣上部的两个人工充气管拉出，用嘴向里充气。 </t>
  </si>
  <si>
    <t>5. Chōngqì bù zúshí, kè jiāng jiùshēngyī shàngbù de liǎngge réngōng.</t>
  </si>
  <si>
    <t xml:space="preserve">6.救生衣有灯泡，在水中灯泡会自动发光。 </t>
  </si>
  <si>
    <t xml:space="preserve">6. Jiùshēngyī yǒu dēngpào, zài shuǐ zhōng dēngpào huì zìdòng fāguāng. </t>
  </si>
  <si>
    <t xml:space="preserve">7. 但在客舱内请不要充气。 </t>
  </si>
  <si>
    <t xml:space="preserve">7. Dàn zài kècāng nèi qǐng bùyào chōngqì. </t>
  </si>
  <si>
    <t xml:space="preserve">安全须知在您座椅前面的口袋里，请您在起飞前仔细阅读。 </t>
  </si>
  <si>
    <t xml:space="preserve">Ānquán xūzhī zài Nín zuòyǐ qiánmiàn de kǒudài lǐ, qǐng Nín zài qǐfēi qián zǐxì yuèdú. </t>
  </si>
  <si>
    <t xml:space="preserve">谢谢各位的注意。 </t>
  </si>
  <si>
    <t>Xièxie gèwèi de zhùyì.</t>
  </si>
  <si>
    <t>飞机很快就要起飞了，现在有客舱乘务员进行安全检查:</t>
  </si>
  <si>
    <t>Fēijī hěn kuài jiù yào qǐfēi le, xiànzài yóu kècāng chéngwùyuán jìnxíng ānquán jiǎnchá.</t>
  </si>
  <si>
    <t>请您确认您的手提物品是否妥善安放在头顶上方的行李架内或前方座椅下。</t>
  </si>
  <si>
    <t xml:space="preserve">Qǐng Nín quèrèn Nín de shǒutí wùpǐn shì fǒu tuǒshàn ānfàng zài tóudǐng shàngfang de xínglijià nèi huò qiánfāng zuòyǐ xià; </t>
  </si>
  <si>
    <t>系紧安全带;</t>
  </si>
  <si>
    <t>Xì jǐn ānquán dài;</t>
  </si>
  <si>
    <t xml:space="preserve">调直座椅靠背; </t>
  </si>
  <si>
    <t xml:space="preserve">Tiáozhí zuòyǐ kàobèi; </t>
  </si>
  <si>
    <t>收起小桌板;</t>
  </si>
  <si>
    <t xml:space="preserve">Shōuqǐ xiǎozhuōbǎn; </t>
  </si>
  <si>
    <t>拉起遮阳板;</t>
  </si>
  <si>
    <t xml:space="preserve">Lāqǐ zhēyángbǎn; </t>
  </si>
  <si>
    <t>关闭手机和所有电子设备。</t>
  </si>
  <si>
    <t>Guānbì shǒujī hé suǒyǒu diànzi shèbèi.</t>
  </si>
  <si>
    <t xml:space="preserve">Qǐfēishí, Wǒmen jiāng tiáoàn kècāng nèi de dēngguāng. Qǐng Nín shǐyòng yuèdúdēng. </t>
  </si>
  <si>
    <t>PRAM: 请注意，俄航规定禁止在机上应用酒精饮料，本机提供的除外。规定禁止 吸烟, 包括电子烟在内。</t>
  </si>
  <si>
    <t>СБ: 请注意，俄航规定禁止在机上应用酒精饮料，本机提供的除外。规定禁止 吸烟, 包括电子烟在内。</t>
  </si>
  <si>
    <t xml:space="preserve">PRAM: Qǐng zhùyì, Éháng guīdìng jìngzhǐ zài jīshàng yìngyòng jiǔjīng yǐnliào, běn jī tígòng de chúwài. Guīdìng jìngzhǐ xīyān, bāokuò diànziyān zài nèi. </t>
  </si>
  <si>
    <t xml:space="preserve">СБ: Qǐng zhùyì, Éháng guīdìng jìngzhǐ zài jīshàng yìngyòng jiǔjīng yǐnliào, běn jī tígòng de chúwài. Guīdìng jìngzhǐ xīyān, bāokuò diànziyān zài nèi. </t>
  </si>
  <si>
    <t>PRAM/СБ: 洗手间内设有烟雾感应器。</t>
  </si>
  <si>
    <t>PRAM/СБ: Xǐshǒujiān nèi shèyǒu yānwù gǎnyìngqì.</t>
  </si>
  <si>
    <t xml:space="preserve">起飞时，我们将调暗客舱内的灯光。请您使用阅读灯。
</t>
  </si>
  <si>
    <t xml:space="preserve">我们的飞机必须被除去冰。 </t>
  </si>
  <si>
    <t xml:space="preserve">Wǒmen de fēijī bìxū bèi chúqù bīng. </t>
  </si>
  <si>
    <t xml:space="preserve">请您在座位上坐好，不要松开您的 安全带 。 </t>
  </si>
  <si>
    <t xml:space="preserve">Qǐng Nín zài zuòwèi shàng zuòhǎo, bùyào sōngkāi Nín de ānquándài. </t>
  </si>
  <si>
    <t>这是机长说</t>
  </si>
  <si>
    <t>Zhè shì jīzhǎng shuō</t>
  </si>
  <si>
    <t xml:space="preserve">我们正在等待起飞许可，可能需要等。。。分钟/几分钟。 </t>
  </si>
  <si>
    <t>请您在座位上坐好，不要松开您的 安全带 。</t>
  </si>
  <si>
    <t xml:space="preserve">对此，我们向您表示歉意。 </t>
  </si>
  <si>
    <t xml:space="preserve">Duìcǐ, Wǒmen xiàng Nín biǎoshì qiànyì. </t>
  </si>
  <si>
    <t>谢谢各位的注意。</t>
  </si>
  <si>
    <t xml:space="preserve">Xièxie gèwèi de zhùyì. </t>
  </si>
  <si>
    <t xml:space="preserve">Wǒmen zhèngzài děngdài qǐfēi xǔkě. Kěnéng xūyào děng… fēnzhōng / jī fēnzhōng. </t>
  </si>
  <si>
    <t>飞机马上就要起飞了。</t>
  </si>
  <si>
    <t xml:space="preserve">Fēijī mǎshàng jiùyào qǐfēi le. </t>
  </si>
  <si>
    <t>请您再一次确认：</t>
  </si>
  <si>
    <t xml:space="preserve">Qǐng Nín zài yī cì quèrèn: </t>
  </si>
  <si>
    <t>小桌板已收起。</t>
  </si>
  <si>
    <t>Xiǎozhuōbǎn yǐ shōuqǐ.</t>
  </si>
  <si>
    <t>Suǒyǒu diànzi shèbèi yǐ guānbì;</t>
  </si>
  <si>
    <t>Nín de ānquándài shì fǒu jìjǐn;</t>
  </si>
  <si>
    <t>Zuòyǐ kàobèi yǐ tiáozhí;</t>
  </si>
  <si>
    <t>所有电子设备已关闭；</t>
  </si>
  <si>
    <t>您的安全带是否系紧；</t>
  </si>
  <si>
    <t>座椅靠背已调直；</t>
  </si>
  <si>
    <t>Nǚshὶmen,Xiānshēngmen!</t>
  </si>
  <si>
    <t xml:space="preserve">由。。。至。。。预计空中飞行时间为。。。小时。。。分。 </t>
  </si>
  <si>
    <t xml:space="preserve">Yóu ... zhì ... yùjì kōngzhōng shíjiān wéi ... xiǎoshí ... fēn. </t>
  </si>
  <si>
    <t>早餐</t>
  </si>
  <si>
    <t>zǎocān</t>
  </si>
  <si>
    <t>午餐</t>
  </si>
  <si>
    <t>晚餐</t>
  </si>
  <si>
    <t xml:space="preserve">wǎncān </t>
  </si>
  <si>
    <r>
      <t>w</t>
    </r>
    <r>
      <rPr>
        <sz val="11"/>
        <color rgb="FF8018C0"/>
        <rFont val="Arial Unicode MS"/>
        <family val="2"/>
      </rPr>
      <t>ǔ</t>
    </r>
    <r>
      <rPr>
        <sz val="9.9"/>
        <color rgb="FF8018C0"/>
        <rFont val="Calibri"/>
        <family val="2"/>
        <charset val="204"/>
      </rPr>
      <t>cān</t>
    </r>
  </si>
  <si>
    <t>点心餐</t>
  </si>
  <si>
    <t>diǎnxincān</t>
  </si>
  <si>
    <t>飞机起飞以后，服务员将为您提供… [выбрать необходимое].</t>
  </si>
  <si>
    <t>Fēijī qǐfēi yǐhoù,fúwùyuán jiāng wéi Nín tígòng... [выбрать необходимое].</t>
  </si>
  <si>
    <t>点心餐 [для рейсов, на которых выдается сэндвич в классе Эконом];</t>
  </si>
  <si>
    <t>diǎnxincān [для рейсов, на которых выдается сэндвич в классе Эконом];</t>
  </si>
  <si>
    <t>飞机起飞以后，服务员将为您提供… [выбрать 1-й рацион питания]</t>
  </si>
  <si>
    <t>Fēijī qǐfēi yǐhoù,fúwùyuán jiāng wéi Nín tígòng…  [выбрать 1-й рацион питания]</t>
  </si>
  <si>
    <t>和… [выбрать 2-й рацион питания].</t>
  </si>
  <si>
    <t>hé… [выбрать 2-й рацион питания].</t>
  </si>
  <si>
    <t>我们邀请您从“空中商店”购买物品。</t>
  </si>
  <si>
    <t>Wǒmen yāoqǐng nín cóng “kōngzhōng shāngdiàn” gòumǎi wùpǐn.</t>
  </si>
  <si>
    <t>以前飞机开始下降，请与客舱乘务员联系。</t>
  </si>
  <si>
    <t xml:space="preserve">Yǐqián fēijī kāishǐ xiàjiàng, qǐng yǔ kècāng chéngwùyuán liánxì. </t>
  </si>
  <si>
    <t>正餐过后，我们将出售“空中商店”的商品。</t>
  </si>
  <si>
    <t>Zhèngcān guòhòu, Wǒmen jiāng chūshòu“kōngzhōng shāngdiàn” de shāngpǐn.</t>
  </si>
  <si>
    <t xml:space="preserve">为了您的方便，您可以填写在机上俄航杂志内的购物优惠券。 您的购买将完成前，飞机开始下降。 </t>
  </si>
  <si>
    <t>Wèile Nín de fāngbiàn, Nín kěyǐ tiánxiě zài jīshàng Éháng zázhì nèi de gòuwù yōuhuìquàn. Nín de gòu mǎi jiāng wánchéng qián, fēijī kāishǐ xiàjiàng.</t>
  </si>
  <si>
    <t xml:space="preserve">旅途中的娱乐节目登在“影院”电影指南 。 </t>
  </si>
  <si>
    <t xml:space="preserve">Lǚtú zhōng de yúlè jiémù dēngzài”Yǐngyuàn”diànyǐng zhǐnán. </t>
  </si>
  <si>
    <t xml:space="preserve">很抱歉的通知您，由于机上电视系统发生故障，我们不能向您收看娱乐节目。 </t>
  </si>
  <si>
    <t xml:space="preserve">Hěn bàoqiàn de tōngzhī Nín, yóuyú jīshàng diàn shì xìtǒng fāshēng gùzhàng, Wǒmen bù néng xiàng Nín shōukān yúlè jiémù. </t>
  </si>
  <si>
    <t>欢迎您留下宝贵意见和建议。</t>
  </si>
  <si>
    <t xml:space="preserve">Huānyíng Nín liúxià bǎoguì yìjiàn hé jiànyì. </t>
  </si>
  <si>
    <t>现在"系好安全带"灯已经熄灭。您可以自由走动的机舱。</t>
  </si>
  <si>
    <t>Xiànzài, Jìhǎo ānquándài”dēng yǐjīng xīmiè. Nín kěyǐ zìyóu zǒudòng de jīcāng.</t>
  </si>
  <si>
    <t xml:space="preserve">为了防止因为气流颠簸,而出现外，请您在座位上坐好，系好安全带。 </t>
  </si>
  <si>
    <t xml:space="preserve">Wèi le fángzhǐ yīnwèi qìliú diānbō, ér chūxiàn yìwài, qǐng Nín zài zuòwèi shàng zuòhǎo,jìhǎo ānquándài. </t>
  </si>
  <si>
    <t>电子设备的使用方法的信息，您可在“俄航”杂志内阅读到。</t>
  </si>
  <si>
    <t xml:space="preserve">Diànzǐ shèbèi de shǐyòng fāngfǎ de xìnxī, nín kě zài “é háng” zázhì nèi yuèdú dào. </t>
  </si>
  <si>
    <t>PRAM: Gōngwùcāng de xǐshǒujiān zài fēijī qián bù, jīngjìcāng de xǐshǒujiān zài fēijī wěi bù.</t>
  </si>
  <si>
    <t xml:space="preserve">СБ: Gōngwùcāng de xǐshǒujiān zài fēijī qián bù, jīngjìcāng de xǐshǒujiān zài fēijī zhōngbù hé wěi bù.
</t>
  </si>
  <si>
    <t>СБ: 公物仓的洗手间在飞机前部，经济舱的洗手间在飞机中部和尾部。</t>
  </si>
  <si>
    <t>PRAM: 公物仓的洗手间在飞机前部，经济舱的洗手间在飞机尾部。</t>
  </si>
  <si>
    <t>要查看电影指南“电影院”提出的娱乐节目，连接到无线设备上，并打开任何浏览器。这项服务是免费的。</t>
  </si>
  <si>
    <t>Yào chákàn diànyǐng zhǐnán “diànyǐngyuàn” tíchū de yú yuè jiémù, liánjiē dào wúxiàn shèbèi shàng, bìng dǎkāi rènhé liúlǎn qì. Zhè xiàng fúwù shì miǎnfèi de.</t>
  </si>
  <si>
    <t>我们的飞机上有收费的移动通信和互联网接入服务，等"关闭手机"的指示灯熄灭后，再使用。</t>
  </si>
  <si>
    <t>Wǒmen de fēijī shàng yǒu shōufèi de yídòng tōngxìn hé hùliánwǎng jiē rù fúwù, děng"guānbì shǒujī"de zhǐshì dēng xímiè hòu, zài shǐyòng.</t>
  </si>
  <si>
    <t>启用无线个人设备上，选择一个接入网络“俄罗斯航空公司”，并运行互联网浏览器。</t>
  </si>
  <si>
    <t>Qǐyòng wúxiàn gèrén shèbèi shàng, xuǎnzé yīgè jiē rù wǎngluò “èluósī hángkōng gōngsī”, bìng yùnxíng hùliánwǎng liúlǎn qì.</t>
  </si>
  <si>
    <t>对使用服务和关税的必要信息都会出现在报名网站。</t>
  </si>
  <si>
    <t>Duì shǐyòng fúwù hé guānshuì de bìyào xìnxī dūhuì chūxiàn zài bàomíng wǎngzhàn.</t>
  </si>
  <si>
    <t>很抱歉的通知您，由于没有信号存在于系统，我们的飞机上的移动通信和互联网接入服务是不可用的。</t>
  </si>
  <si>
    <t>Hěn bàoqiàn de tōngzhī nín, yóuyú méiyǒu xìnhào cúnzài yú xìtǒng, wǒmen de fēijī shàng de yídòng tōngxìn hé hùliánwǎng jiē rù fúwù shì bùkě yòng de.</t>
  </si>
  <si>
    <t>我们即将出售“空中商店”的商品。</t>
  </si>
  <si>
    <t xml:space="preserve">Wǒmen jíjiāng chūshòu “kōngzhōng shāngdiàn” de shāngpǐn.                                                                                                           </t>
  </si>
  <si>
    <t>(这是机长说.)</t>
  </si>
  <si>
    <t>(Zhè shì jīzhǎng shuō.)</t>
  </si>
  <si>
    <t>现在飞行高度为。。。米（英尺）</t>
  </si>
  <si>
    <t>飞行速度平均每公里（英里）。。。 小时。</t>
  </si>
  <si>
    <t>现在我们飞越。。。 (国家，城市，山脉，大海，大洋и др) 。</t>
  </si>
  <si>
    <t>(。。。小时。。。分后)我们将 飞越。。。(国家，城市，山脉， 大海，大洋и др.) 。</t>
  </si>
  <si>
    <t>Xiànzài fēixíng gāodù wéi …mǐ (yīngchǐ）</t>
  </si>
  <si>
    <t>Fēixíng sùdù píngjūn měi gōnglǐ  (yīnglǐ) … xiǎoshí.</t>
  </si>
  <si>
    <t xml:space="preserve">有。。。[пункт отправки] 至。。。[пункт назначения] 的飞行距离是。。。公里（英里）。  </t>
  </si>
  <si>
    <t xml:space="preserve">Yǒu… [пункт отправки] zhì… [пункт назначения] de fēixíng jùlí shì… gōnglǐ (yīnglǐ)                                                                     </t>
  </si>
  <si>
    <t>Xiànzài Wǒmen fēiyuè… [Guōjiā，Chéngshì，Shānmài，Dàhǎi，Dàyáng и др.]</t>
  </si>
  <si>
    <t>(…xiǎosh …fēn hòu) Wǒmen jiāng fēiyuè… [Guōjiā, Chéngshì, Shānmài, Dàhǎi, Dàyáng и др.]</t>
  </si>
  <si>
    <t xml:space="preserve">本架飞机预计在莫斯科/当地 时间 。。。点。。。分到达 [название аэропорта] 。。。 机场。时间时差比莫斯科快／慢。。。小时。 </t>
  </si>
  <si>
    <t xml:space="preserve">Běnjià fēijī yù jì zài Mòsīkē / dāngdì shíjiān …diǎn …fēn dàodá… [название аэропорта] jīchǎng. Shíjiān shíchā bǐ Mòsīkē kuài/màn …xiǎoshí. </t>
  </si>
  <si>
    <t>现在为您介绍俄罗斯航空公司和“天合联盟“常旅客里程累积奖励活动。常旅客里程累积奖励活动是通过累积飞行里程。使您获得相应免费飞行以及由世界各地的合作伙伴提供的服务的一种奖励方式。</t>
  </si>
  <si>
    <t xml:space="preserve">Xiànzài wèi nín jièshào èluósī hángkōng gōngsī hé “tiān hé liánméng “cháng lǚkè lǐchéng lěijī jiǎnglì huódòng. Cháng lǚkè lǐchéng lěijī jiǎnglì huódòng shì tōngguò lěijī fēixíng lǐchéng. Shǐ nín huòdé xiāngyìng miǎnfèi fēixíng yǐjí yóu shìjiè gèdì de hézuò huǒbàn tígōng de fúwù de yī zhǒng jiǎnglì fāngshì.                                             </t>
  </si>
  <si>
    <t>俄罗斯航空公司的和天合联盟的尊贵卡的持有者接受额外的优惠。</t>
  </si>
  <si>
    <t xml:space="preserve">Èluósī hángkōng gōngsī de hé tiān hé liánméng de zūnguì kǎ de chí yǒu zhě jiēshòu éwài de yōuhuì.   </t>
  </si>
  <si>
    <t xml:space="preserve">如果您想了解更多详尽事宜，或成为俄航常旅客里程累积奖励活动的会员，请登陆俄航网站。                                                                           </t>
  </si>
  <si>
    <t xml:space="preserve">Rúguǒ nín xiǎng liǎojiě gèng duō xiángjìn shìyí, huò chéngwéi é háng cháng lǚkè lǐchéng lěijī jiǎnglì huódòng de huìyuán, qǐng dēnglù é háng wǎngzhàn.   </t>
  </si>
  <si>
    <t>现在我们的飞机正在颠波。 (Информация о причине турбулентности на усмотрение КВС.)</t>
  </si>
  <si>
    <t>Xiànzài Wǒmen de fēijī zhèngzài diānbō. (Информация о причине турбулентности на усмотрение КВС.)</t>
  </si>
  <si>
    <t xml:space="preserve">请您回到座位坐好，系好安全带。 </t>
  </si>
  <si>
    <t xml:space="preserve">Qǐng Nín huì dào zuòwèi zuòhǎo, jìhǎo ānquándài. </t>
  </si>
  <si>
    <t>在这段时间里，我们将停止一切供应，将恢复它时，它变得安全地走动机舱。</t>
  </si>
  <si>
    <t>Zài zhè duàn shíjiān lǐ, wǒmen jiāng tíngzhǐ yīqiè gōngyìng, jiāng huīfù tā shí, tā biàn dé ānquán de zǒudòng jīcāng.</t>
  </si>
  <si>
    <t xml:space="preserve">机长通知，现在我们的飞机正在 颠波。 </t>
  </si>
  <si>
    <t>Jīzhǎng tōngzhī, xiànzài Wǒmen de fēijī zhèngzài diānbō.</t>
  </si>
  <si>
    <t>为了安全，我们将停止供应热饮。</t>
  </si>
  <si>
    <t>Wèile ānquán, wǒmen jiāng tíngzhǐ gōngyìng rèyǐn.</t>
  </si>
  <si>
    <t xml:space="preserve">女士们，先生们，早上好！/下午好！/晚上好！ </t>
  </si>
  <si>
    <t xml:space="preserve">Nǚshὶmen,Xiānshēngmen,
Zǎoshang hǎo! /Xià wǔ hǎo! Wǎn shàng hǎo! 
</t>
  </si>
  <si>
    <t>我们即将提供为您  [выбрать необходимое].</t>
  </si>
  <si>
    <t>Wǒmen jí jiāng tígòng wéi Nín  [выбрать необходимое].</t>
  </si>
  <si>
    <t>现在飞行时间还剩。。。小时 。。。分钟。</t>
  </si>
  <si>
    <t xml:space="preserve">Xiànzài fēixíng shíjiān hái shèng …xiǎoshí …fēnzhōng. </t>
  </si>
  <si>
    <t>请机上每一位旅客在到达目的地前必须填写好海关申报单。为每个家庭填写一个。</t>
  </si>
  <si>
    <t>Qǐng jīshàng měi yī wèi lǚkè zài dàodá mùdì de qián bìxū tiánxiě hǎo hǎiguān shēnbào dān. Wèi měi gè jiātíng tiánxiě yīgè.</t>
  </si>
  <si>
    <t>请您使用英文的，大写和印刷体的字母填写， 保存好卡片到候机大厅办理入境和 海关手续。</t>
  </si>
  <si>
    <t>Qǐng nín shǐyòng yīngwén de, dàxiě hé yìnshuā tǐ de zìmǔ tiánxiě, bǎocún hǎo kǎpiàn dào hòu jī dàtīng bànlǐ rùjìng hé hǎiguān shǒuxù.</t>
  </si>
  <si>
    <t>方法的填写，您可以在“俄航”杂志内 阅读到。</t>
  </si>
  <si>
    <t xml:space="preserve">Fāngfǎ de tiánxiě, nín kěyǐ zài “é háng” zázhì nèi yuèdú dào.                                                                              </t>
  </si>
  <si>
    <t>下机前，请填写好空白表。</t>
  </si>
  <si>
    <t xml:space="preserve">Xià jī qián, qǐng tiánxiě hǎo kòngbái biǎo.   </t>
  </si>
  <si>
    <t xml:space="preserve">填写过程中如有什么问题，请随时与乘务员联系。 </t>
  </si>
  <si>
    <t xml:space="preserve">Tiánxiě guò chéng zhōng rúyǒu shénma wèntí, qǐng suíshí yǔ kècāng chéngwùyuán liánxì. </t>
  </si>
  <si>
    <t>… [название страны назначения] Yímínjú yàoqiú, chú le…[название страны] gōngmín yǐwài, suǒyǒu lǚkè bìxū tiánxiě[выбрать необходимое].</t>
  </si>
  <si>
    <t>入境卡</t>
  </si>
  <si>
    <t>rùjìngkǎ</t>
  </si>
  <si>
    <t>移民局入境卡</t>
  </si>
  <si>
    <t>yímínjú rùjìngkǎ</t>
  </si>
  <si>
    <t>迁移卡片</t>
  </si>
  <si>
    <t>qiānyí kǎpiàn</t>
  </si>
  <si>
    <t>海关申报单</t>
  </si>
  <si>
    <t>hǎiguān shēnbàodān</t>
  </si>
  <si>
    <t>入境健康申明卡</t>
  </si>
  <si>
    <t>rùjìng jiànkāng shēnmínkǎ</t>
  </si>
  <si>
    <t>… [название страны назначения] 移民局要求，除了。。。[название страны] 公民以外， 所有旅客，都必须填写 [выбрать необходимое].</t>
  </si>
  <si>
    <t xml:space="preserve">请您使用印刷体字母填写， 保存好卡片到候机大厅办理入境和 海关手续。 </t>
  </si>
  <si>
    <t xml:space="preserve">Qǐng Nín shǐyòng yìnshuā tǐzìmǔ tiánxiě, bǎocúnhǎo kǎpiàn dào hòujī dàtīng bànlǐ rùjìng hé hǎiguān shǒuxù. </t>
  </si>
  <si>
    <t>空白表格将在机场提供的。请您使用印刷体字母填写。</t>
  </si>
  <si>
    <t>Kòngbái biǎogé jiàng zài jīchǎng tígōng de. Qǐng nín shǐyòng yìnshuā tǐ zìmǔ tiánxiě.</t>
  </si>
  <si>
    <t>下飞机以前，请填写好空白表。</t>
  </si>
  <si>
    <t xml:space="preserve">Xià fēijī yǐqián, qǐng tiánxiě hǎo kòngbái biǎo.                                                                                                                                                                          </t>
  </si>
  <si>
    <t>填写过程中如有什么问题，请随时与乘务员联系。</t>
  </si>
  <si>
    <t xml:space="preserve">[Для въезда в Японию] 填写的方法，您可以在“俄航”杂志内 阅读到。  </t>
  </si>
  <si>
    <t>[Для въезда в Японию] Tiánxiě de fāngfǎ, nín kěyǐ zài “é háng” zázhì nèi yuèdú dào.</t>
  </si>
  <si>
    <t>转机旅客请注意！</t>
  </si>
  <si>
    <t xml:space="preserve">Zhuǎnjī lǚkè qǐng zhùyì! </t>
  </si>
  <si>
    <t xml:space="preserve">如您还要继续转机的飞行，请您在离开飞机后与转机处柜台的人员联系。 </t>
  </si>
  <si>
    <t xml:space="preserve">Rú Nín hái yào jìxù zhuǎnjī de fēixíng, qǐng Nín zài líkāi fēijī hòu yǔ zhuǎnjī chùguìtái de rényuán liánxì. </t>
  </si>
  <si>
    <t>转机旅客请注意！[выбрать необходимое]</t>
  </si>
  <si>
    <t>Zhuǎnjī lǚkè qǐng zhùyì! [выбрать необходимое]</t>
  </si>
  <si>
    <t>下一个航班… [указать рейс/рейсы]，改变了出发登机口号。</t>
  </si>
  <si>
    <t xml:space="preserve">下机后请跟随俄航地面服务人员，到下一个航班的登机口。                                          </t>
  </si>
  <si>
    <t xml:space="preserve">Xià jī hòu qǐng gēnsuí é háng dìmiàn fúwù rényuán, dào xià yīgè hángbān de dēng jī kǒu.                                                                                                                                                      </t>
  </si>
  <si>
    <t>转机时间是有限的，请您不要未赶上航班。</t>
  </si>
  <si>
    <t>Zhuǎnjī shíjiān shì yǒuxiàn de, qǐng nín bùyào wèi gǎn shàng hángbān.</t>
  </si>
  <si>
    <t xml:space="preserve">（。。。） 分钟后，飞机将开始 下降。 </t>
  </si>
  <si>
    <t xml:space="preserve">(…) fēnzhōng hòu, fēijī jiāng kāishǐ xiàjiàng. </t>
  </si>
  <si>
    <t xml:space="preserve">请把您的手提物品放在前面座椅下，或行李架上。 </t>
  </si>
  <si>
    <t xml:space="preserve">Qǐng bǎ Nín de shǒutí wùpǐn fàng zài qiánmiàn zuòyǐ xià, huò xínglijià shàng. </t>
  </si>
  <si>
    <t>机长开关“系好安全带"的指示灯。</t>
  </si>
  <si>
    <t>Jīzhǎngkāiguān ”jìhǎo ānquándài”de zhǐshìdēng</t>
  </si>
  <si>
    <t>莫斯科的 “舍列梅季耶沃”机场 航站楼B/C/D/E/F; 登机口...号 [указать]。</t>
  </si>
  <si>
    <t xml:space="preserve"> Mòsīkē de” Shèlièméijìyéwò” jīchǎng hángzhàlóu B/C/D/E/F; dēngjīkǒu …  hào[указать].</t>
  </si>
  <si>
    <t>转机旅客请注意！机场航站楼的地图和登机柜台的位置，您可在“俄航”杂志内 阅读到。</t>
  </si>
  <si>
    <t>Zhuǎnjī lǚkè qǐng zhùyì! Jīchǎng háng zhàn lóu de dìtú hé dēng jī guìtái de wèizhì, nín kě zài “é háng” zázhì nèi yuèdú dào.</t>
  </si>
  <si>
    <t xml:space="preserve">机场的地图可在“俄航”杂志内 阅读到。 </t>
  </si>
  <si>
    <t>Jīchǎng dì dìtú kě zài “é háng” zázhì nèi yuèdú dào.</t>
  </si>
  <si>
    <t xml:space="preserve">（。。。）机场的天气好。 （。。。）机场的天气为（下雨等，阴雨，多云，下雪等）。 </t>
  </si>
  <si>
    <t>现在我们停止一切服务，由客舱乘务员进行安全检查。 请您：</t>
  </si>
  <si>
    <t>Xiànzài wǒmen tíngzhǐ yīqiè fúwù, yóu kècāng chéngwùyuán jìnxíng ānquán jiǎnchá. Qǐng nín:</t>
  </si>
  <si>
    <t>请您回到座位坐好;</t>
  </si>
  <si>
    <t xml:space="preserve">您的手提物品放在前面座椅下，或行李架上; </t>
  </si>
  <si>
    <t>调直座椅靠背;</t>
  </si>
  <si>
    <t xml:space="preserve">收起您座椅前方的小桌板; </t>
  </si>
  <si>
    <t xml:space="preserve">Shōuqǐ Nín zuòyǐ qiánfāng de xiǎozhuōbǎn; </t>
  </si>
  <si>
    <t>所有电子设备已关闭。</t>
  </si>
  <si>
    <t>Suǒyǒu diànzi shèbèi yǐ guānbì.</t>
  </si>
  <si>
    <t xml:space="preserve">请注意！毛毯和小枕头是俄航的财产。 </t>
  </si>
  <si>
    <t xml:space="preserve">Qǐng zhùyì! Máotǎn hé xiǎozhěntou shì Éhang de cáichǎn. </t>
  </si>
  <si>
    <t xml:space="preserve">Xiàjiàngshí, Wǒmen jiāng tiáoàn kècāng nèi de dēngguāng.  Qǐng shǐyòng yuèdúdēng. </t>
  </si>
  <si>
    <t xml:space="preserve">下降时，我们将调暗客舱内的灯光。请使用 阅读灯。                                                                                                                  
</t>
  </si>
  <si>
    <t>飞机马上就要降落。</t>
  </si>
  <si>
    <t xml:space="preserve">Fēijī mǎshàng jiùyào Jiàngluò.                                                                                                                                      </t>
  </si>
  <si>
    <t xml:space="preserve">Qǐng Nín zài yī cì quèrèn:  </t>
  </si>
  <si>
    <t xml:space="preserve">所有电子设备已关闭; </t>
  </si>
  <si>
    <t xml:space="preserve">您的安全带是否系紧; </t>
  </si>
  <si>
    <t xml:space="preserve">座椅靠背已调直;                                                                                                                                     </t>
  </si>
  <si>
    <t xml:space="preserve">Xiǎozhuōbǎn yǐ shōuqǐ.                                                                                                                                    </t>
  </si>
  <si>
    <t>女士们，先生们 ! [выбрать необходимое]</t>
  </si>
  <si>
    <t>Nǚshὶmen,Xiānshēngmen! [выбрать необходимое]</t>
  </si>
  <si>
    <t>欢迎来莫斯科！本架飞机已经降落在“舍列梅季耶沃”机场的航站楼B/C/D/E/F。</t>
  </si>
  <si>
    <t>本架飞机已经降落在。。。[название города]。。。 机场[название аэропорта]， 航站楼[терминал]。。。号[указать]</t>
  </si>
  <si>
    <t xml:space="preserve">当地时间是(上午 /下午)。。。点 。。。分。 </t>
  </si>
  <si>
    <t xml:space="preserve">飞机还将继续滑行，请您在座位上坐好，等"系好安全带"的指示灯熄灭后，再站起来。 </t>
  </si>
  <si>
    <t xml:space="preserve">Fēijī hái jiāng jìxù huáxíng, qǐng Nín zài zuòwèi shàng zuòhǎo, děng”jìhǎo ānquándài”de zhǐshìdēng xīmiè hòu, zài zhàn qǐlái. </t>
  </si>
  <si>
    <t>请您整理好手提物品准备下飞机。</t>
  </si>
  <si>
    <t xml:space="preserve">Qǐng zhěnglǐ hǎo shǒutí wùpǐn zhǔnbèi xià fēijī. </t>
  </si>
  <si>
    <t>请注意!公务舱的旅客首先离开飞机。</t>
  </si>
  <si>
    <t xml:space="preserve">Qǐng zhùyì! Gōngwù cāng de lǚkè shǒuxiān líkāi fēijī                                                                                                                                                              </t>
  </si>
  <si>
    <t xml:space="preserve">如果您需要租一辆车，一定要联系的欧洲汽车租赁在机场，并得到有关俄航的旅客和程序“俄航奖励”精英级别的参与者特别折扣信息。    </t>
  </si>
  <si>
    <t xml:space="preserve">Rúguǒ nín xūyào zū yī liàng chē, yīdìng yào liánxì de ōuzhōu qìchē zūlìn zài jīchǎng, bìng dédào yǒuguān é háng de lǚkè hé chéngxù “é háng jiǎnglì” jīngyīng jíbié de cānyù zhě tèbié zhékòu xìnxī.                                                                                              </t>
  </si>
  <si>
    <t xml:space="preserve">因为班机延误，我们在此向您深表 歉意！ </t>
  </si>
  <si>
    <t xml:space="preserve">Yīnwèi bānjī yánwù, Wǒmen zàicǐ xiàng Nín shēnbiǎo qiànyì! </t>
  </si>
  <si>
    <t>我们希望今天的飞行给您带来了乐趣。下次旅行 再会！</t>
  </si>
  <si>
    <t>Wǒmen xīwàng jīntiān de fēixíng gěi nín dài láile lèqù. Xià cì lǚxíng zàihuì!</t>
  </si>
  <si>
    <t>谢谢，再见！</t>
  </si>
  <si>
    <t>Xièxie, zàijiàn!</t>
  </si>
  <si>
    <t>继续前往。。。[пункт назначения] 旅客，下机时，请您带好全部手提物品，到候机楼办手续。在“舍列梅季耶沃”机场将换机组和乘另一架飞机。</t>
  </si>
  <si>
    <t>Jìxù qiánwǎng... [пункт назначения] lǚkè, xià jī shí, qǐng nín dàihǎo quánbù shǒutí wùpǐn, dào hòu jī lóu bàn shǒuxù. Zài “shě liè méi jì yé wò” jīchǎng jiāng huàn jīzǔ hé chéng lìng yī jià fēijī.</t>
  </si>
  <si>
    <t>飞机的停留时间为。。。小时。。。分。</t>
  </si>
  <si>
    <t>Fēijī de tíngliú shíjiān wéi…xiǎoshí… fēn.</t>
  </si>
  <si>
    <t>女士们，先生们！我们的飞行已经完成了。感谢您选择俄罗斯国际航空公司。</t>
  </si>
  <si>
    <t>Nǚshìmen, xiānshēngmen! Wǒmen de fēixíng yǐjīng wánchéngle. Gǎnxiè nín xuǎnzé èluósī guójì hángkōng gōngsī.</t>
  </si>
  <si>
    <t>Běnjià fēijī yǐjīng jiàngluò zài… [название города] … jīchǎng, hángzhànlóu [терминал] …háo [указать].</t>
  </si>
  <si>
    <t>(…) jīchǎng de dìmiàn wēndù(lingshàng / lingxià)… shèshìdù/huáshì dù [для рейсов США/Канады]</t>
  </si>
  <si>
    <t>(。。。)机场的地面温度（零上|零下。。。摄氏度/华氏度[для рейсов США/Канады]</t>
  </si>
  <si>
    <t>Dāngdì shíjiān shì (shàngwǔ/xiàwǔ) …diǎn …fēn.</t>
  </si>
  <si>
    <t>Huānīn lái Mòsīkē! Běnjià fēijī yǐjīng jiàngluò zài “Shèlièméijìyéwò” jīchǎng de hángzhànlóu B/C/D/E/F.</t>
  </si>
  <si>
    <t xml:space="preserve">(…) jī chǎng tiānqì hǎo. (…) jī chǎng tiānqì wéi(xiàyǔ děng,yīnyǔ,duōyún, xiàxuě děng). </t>
  </si>
  <si>
    <t>Xiànzài fēijī jí jiāng kāishǐ xiàjiàng, …fēnzhōng hòu,Wǒmen jiāng dàodá… [выбрать необходимое].</t>
  </si>
  <si>
    <t>…jīchǎng de dìmiàn wēndù (lingshàng / lingxià)… shèshìdù/huáshì dù [для рейсов США/Канады]</t>
  </si>
  <si>
    <t>(。。。)机场的地面温度（零上|零下。。。摄氏度/华氏度 [для рейсов США/Канады]</t>
  </si>
  <si>
    <t xml:space="preserve">…jī chǎng tiānqì hǎo. …jī chǎng tiānqì wéi (xiàyǔ děng, yīnyǔ, duōyún, xiàxuě děng). </t>
  </si>
  <si>
    <t>Huí dào zuòwèi zuòhǎo;</t>
  </si>
  <si>
    <t>Nín de shǒutí wùpǐn fàngzài qiánmiàn zuòyǐ xià, huò xínglijià shàng;</t>
  </si>
  <si>
    <t>Jìjǐn ānquándài;</t>
  </si>
  <si>
    <t>... [название города] …jīchǎng [название аэропорта] … hángzhàlóu … Терминал… [указать при наличии информации] dēngjīkǒu …  hào выход… [указать при наличии информации].</t>
  </si>
  <si>
    <t>。。。 [название города] … (机场) [название аэропорта], 航站楼。。。 [указать при наличии информации] 登机口...号… [указать при наличии информации]。</t>
  </si>
  <si>
    <t>现在飞机即将开始下降，。。。分钟后，我们将 到达。。。[выбрать необходимое]。</t>
  </si>
  <si>
    <t>为中转旅客信息与连接俄航/… [название авиакомпании] … [номер рейса]  航班，前往… [пункт назначения]!</t>
  </si>
  <si>
    <t>Wéi zhōngzhuǎn lǚkè xìnxī yǔ liánjiē é háng/… [название авиакомпании] hángbān, qiánwǎng… [пункт назначения]!</t>
  </si>
  <si>
    <t>飞机还没有完全停稳。</t>
  </si>
  <si>
    <t xml:space="preserve">Fēijī hái méi yǒu wánquán tíngwěn. </t>
  </si>
  <si>
    <t xml:space="preserve">请您在座位上坐好，在“系好安全带“指示灯熄灭前，请不要离开自己的座位。 </t>
  </si>
  <si>
    <t xml:space="preserve">Qǐng Nín zài zuòwèi shàng zuòhǎo, děng”jìhǎo   ānquándài”de zhǐshìdēng xīmiè qián, qǐng bù yào líkāi zìjǐ de zuòwèi. </t>
  </si>
  <si>
    <t>一有消息我们将及时通知您下机。</t>
  </si>
  <si>
    <t xml:space="preserve">Yīyǒu xiāoxi Wǒmen jiāng jíshí tōngzhī Nín xià jī. </t>
  </si>
  <si>
    <t>我们的飞行已经完成了。</t>
  </si>
  <si>
    <t xml:space="preserve">Wǒmen de fēixíng yǐjīng wánchéngle. </t>
  </si>
  <si>
    <t>我和全体机组人员，感谢您选择俄罗斯国际航空公司。</t>
  </si>
  <si>
    <t>Wǒ hé quántǐ jīzǔ rényuán, gǎnxiè nín xuǎnzé èluósī guójì hángkōng gōngsī.</t>
  </si>
  <si>
    <t>有一个愉快的一天/晚上。</t>
  </si>
  <si>
    <t>Yǒu yīgè yúkuài de yītiān/wǎnshàng.</t>
  </si>
  <si>
    <t xml:space="preserve">几分钟后，公共汽车把您从飞机 送到航站楼。 </t>
  </si>
  <si>
    <t xml:space="preserve">Jǐ fēnzhōng hòu, gōnggōng qìchē bǎ Nín cóng      fēijī sòngdào hángzhànlóu.                                                                                                                        </t>
  </si>
  <si>
    <t>走下当时，请小心。</t>
  </si>
  <si>
    <t xml:space="preserve">Zǒu xià dāngshí, qǐng xiǎoxīn.                                                                                                </t>
  </si>
  <si>
    <t>下机后，请您绕道登机桥，然后下楼，那里有公共汽车，它把您 送到航站楼。</t>
  </si>
  <si>
    <t>Xià jī hòu, qǐng nín ràodào dēng jī qiáo, ránhòu xià lóu, nà li yǒu gōnggòng qìchē, tā bǎ nín sòng dào háng zhàn lóu.</t>
  </si>
  <si>
    <t>由于移民局要求，下飞机当时，您需要通过额外的护照控制。</t>
  </si>
  <si>
    <t>Yóuyú yímín jú yāoqiú, xià fēijī dāngshí, nín xūyào tōngguò éwài de hùzhào kòngzhì.</t>
  </si>
  <si>
    <t>. 请准备您的护照。</t>
  </si>
  <si>
    <t>Qǐng zhǔnbèi nín de hùzhào.</t>
  </si>
  <si>
    <t>请您从。。。下机。 [выбрать необходимое].</t>
  </si>
  <si>
    <t>前登机门</t>
  </si>
  <si>
    <t>Qián dēngjīmén</t>
  </si>
  <si>
    <t>中登机门</t>
  </si>
  <si>
    <t xml:space="preserve">Zhōng dēngjīmén </t>
  </si>
  <si>
    <t>前和中登机门</t>
  </si>
  <si>
    <t xml:space="preserve">Qián hé zhōng dēngjīmén </t>
  </si>
  <si>
    <t>前和后登机门</t>
  </si>
  <si>
    <t>Qián hé Hòu dēngjīmén</t>
  </si>
  <si>
    <t xml:space="preserve">Qǐng zhùyì! Jīngjì cāng lǚkèmen bìxū zài zuòwèi shàng shāo děng. Xiān dàodá.... [название пункта назначения] de  lǚkè xià fēijī.                              </t>
  </si>
  <si>
    <t>请注意！经济舱旅客们必须在座位上稍等。先到达。。。 [название пункта назначения] 的旅客下飞机。</t>
  </si>
  <si>
    <t>Qǐng Nín cóng… xià fēijī. [выбрать необходимое].</t>
  </si>
  <si>
    <t>这是乘务长/机长说。</t>
  </si>
  <si>
    <t>由于 。。。[указать причину] 我们将推迟。。。小时。。。分本次航班的起飞。</t>
  </si>
  <si>
    <t xml:space="preserve">Yóuyú… [указать причину] Wǒmen jiāng tūichí… xiǎoshí… fēn běncì hángbānde qǐfēi. </t>
  </si>
  <si>
    <t>。。。[название аэропорта] 机场天气恶劣原因</t>
  </si>
  <si>
    <t>由于货物超重，行李装载原因</t>
  </si>
  <si>
    <t>Yóuyú huòwù chāozhòng,xíngli zhuāngzài yuányīn</t>
  </si>
  <si>
    <t>由于转机旅客的航班 晚点</t>
  </si>
  <si>
    <t>Yóuyú zhuǎnjī lǚkè hángbān wǎndiǎn</t>
  </si>
  <si>
    <t>由于卸没有登记旅客的 行李</t>
  </si>
  <si>
    <t>Yóuyú xiè méiyǒu dēngjì lǚkè de xíngli</t>
  </si>
  <si>
    <t>由于机场的工作人员 罢工</t>
  </si>
  <si>
    <t>Yóuyú jīchǎng de gōngzuò rényuán bàgōng</t>
  </si>
  <si>
    <t>由于航班时刻表中的 变化</t>
  </si>
  <si>
    <t>Yóuyú hángbān shíkèbiǎo nèi de biànhuà</t>
  </si>
  <si>
    <t>由于现在我们的飞机就要起飞前的准备，我们正在采取一切可能的措施,给我们的飞机起飞了快一点儿</t>
  </si>
  <si>
    <t xml:space="preserve">Yóuyú xiànzài wǒmen de fēijī jiù yào qǐfēi qián de zhǔnbèi, wǒmen zhèngzài cǎiqǔ yīqiè kěnéng de cuòshī, gěi wǒmen de fēijī qǐfēile kuài yīdiǎn er.                                                                                     </t>
  </si>
  <si>
    <t xml:space="preserve">… [название аэропорта] jīchǎng tiānqì èliè yuányīn                                                                                                               </t>
  </si>
  <si>
    <t>Xià yīgè hángbān… [указать рейс/рейсы], gǎibiànle chūfā dēng jī kǒuhào.</t>
  </si>
  <si>
    <t>请您。。。[выбрать необходимое]。</t>
  </si>
  <si>
    <t>–请您在座位上坐好， 并不 要松开安全带</t>
  </si>
  <si>
    <t xml:space="preserve">Qǐng Nín zuòwèi shàng zuòhǎo bìng bùyào sōngkài ānquándài. </t>
  </si>
  <si>
    <t>请您在座位上坐好，几分钟后，我们为您提供饮料（和正餐）</t>
  </si>
  <si>
    <t>Qǐng Nín zuòwèi shàng zuòhǎo, jǐ fēnzhōng hòu, Wǒmen wéi Nín tígòng yǐnliào (hé zhèngcān)</t>
  </si>
  <si>
    <t>请所有旅客带好全部手提物品去候机室。起飞时间将另行通知。请保存好登机牌。</t>
  </si>
  <si>
    <t>Qǐng suǒyǒu lǚkè dàihǎo quánbù shǒutí wùpǐn qù hòujīshì .Qǐfēi shíjiān jiāng lìngxíng tōngzhī. Qǐng bǎocún hǎo dēngjīpái.</t>
  </si>
  <si>
    <t>我们向您深表歉意！</t>
  </si>
  <si>
    <t xml:space="preserve">Wǒmen xiàng Nín shēnbiǎo qiànyì! </t>
  </si>
  <si>
    <t>由于 。。。[название аэропорта] 机场天气恶劣原因</t>
  </si>
  <si>
    <t>由于生产要求</t>
  </si>
  <si>
    <t>Yóuyú shēngchǎn yāoqiú</t>
  </si>
  <si>
    <t>我们的飞机必须回到停机坪。</t>
  </si>
  <si>
    <t>Wǒmen de fēijī bìxū huídào tíngjīpíng.</t>
  </si>
  <si>
    <t>请您在座位上坐好，并不 要松开安全带。</t>
  </si>
  <si>
    <t>一有消息我们将及时通知您。</t>
  </si>
  <si>
    <t xml:space="preserve">Yīyǒu xiāoxi Wǒmen jiāng jíshí tōngzhī Nín. </t>
  </si>
  <si>
    <t>谢谢。</t>
  </si>
  <si>
    <t>Xièxie.</t>
  </si>
  <si>
    <t>Zhè shì jīzhǎng shuō (Jī cháng tōngzhī…) [выбрать необходимое]</t>
  </si>
  <si>
    <t>现在我们的飞机正在加油。</t>
  </si>
  <si>
    <t>Xiànzài Wǒmen de fēijī zhèngzài jiāyóu.</t>
  </si>
  <si>
    <t>请扣上安全带，并留在座位上坐好。</t>
  </si>
  <si>
    <t>Qǐng kòushàng ānquándài, bìng liúzài zuòwèi shàng zuòhǎo.</t>
  </si>
  <si>
    <t xml:space="preserve">请不要将行李放在走廊，过道及紧急出口处。 </t>
  </si>
  <si>
    <t>Qǐng bùyào jiāng xíngli fàng zài zǒuláng, guódaò jí jǐnjí chūkǒu chù</t>
  </si>
  <si>
    <t>一有加油结束，我们将及时通知您。</t>
  </si>
  <si>
    <t xml:space="preserve">Yīyǒu jiāyóu jiéshù, Wǒmen jiāng jíshí tōngzhī Nín. </t>
  </si>
  <si>
    <t>机长通知：由于。。。[выбрать необходимое]本架飞机不能按时降落在。。。[название аэропорта]机场。</t>
  </si>
  <si>
    <t>由于。。。([название аэропорта] 机场起降繁忙。本架飞机不能按时降落在。。。[название аэропорта]机场。需要等。。。分钟。我们正在等待降落许可。</t>
  </si>
  <si>
    <t>Yóuyú... ([название аэропорта]  jīchǎng qǐ jiàng fánmáng. Běn jià fēijī bùnéng ànshí jiàngluò zài.. ([название аэропорта] jīchǎng. Xūyào děng... fēnzhōng. Wǒmen zhèngzài děngdài jiàngluò xǔkě.</t>
  </si>
  <si>
    <t>由于 。。。[название аэропорта] 机场天气恶劣原因; 本架飞机不能按时降落。我们会在等候区，直到天气条件允许我们的落地。</t>
  </si>
  <si>
    <t>请您在座位上坐好，并不 要松开。安全带。</t>
  </si>
  <si>
    <t>我们正在等待登机桥的空位。</t>
  </si>
  <si>
    <t xml:space="preserve">Wǒmen zhèngzài děngdài dēngjīqiáo kōngwèi. </t>
  </si>
  <si>
    <t xml:space="preserve">请您在座位上坐好，并不 要松开。 </t>
  </si>
  <si>
    <t>我们正在等待下飞机的许可。请您在座位上坐好。</t>
  </si>
  <si>
    <t>Wǒmen zhèngzài děngdài xià fēijī de xǔkě, qǐng Nín zuòwèi shàng zuòhǎo.</t>
  </si>
  <si>
    <t>这是机长说，我的名字叫… [имя и фамилия].，我和全体机组人员感谢您乘坐俄航的…[тип ВС]飞机。</t>
  </si>
  <si>
    <t>今天我们已经离开。。。前往。。。[конечный пункт трассы] 新航线开通。(本次航班与«。。。» [название авиакомпании по код-шер] 航空 公司航班实施代码共亨)。
飞行距离是。。。公里。</t>
  </si>
  <si>
    <t>我是本次班机的主任乘务长，我的名字叫。。。 [имя без фамилии] 。</t>
  </si>
  <si>
    <t>我和全体机组人员，祝您祝您在新的一年里吉祥如意！</t>
  </si>
  <si>
    <t>欢迎您在座俄国著名。。。 [указать определение рода деятельности из Приложения №2，имя и фамилия человека, в честь которого названо ВС*] 名名的本架飞机上。</t>
  </si>
  <si>
    <t>Wǒmen hángkōng gōngsī de shǒuyào rènwu. [выбрать из вариантов]</t>
  </si>
  <si>
    <t>Xiànzài Wǒmen yǐjing líkāi... qiánwǎng… (Běncì hángbān yǔ «…» [название авиакомпании по код-шер] hángkōng gōngsī shíshī dàimǎ gòngxiǎng).</t>
  </si>
  <si>
    <t>现在我们已经离开。。。前往。。。，（本次航班与«…» [название авиакомпании по код-шер] 航空公司航班实施代码共亨）。</t>
  </si>
  <si>
    <t>Wǒ hé quán tǐ rényuán gǎnxiè nín chéngzuò é háng de… [тип ВС] fēijī.</t>
  </si>
  <si>
    <t>我和全体机组人员感谢您乘坐俄航的。。。 [тип ВС] 飞机。</t>
  </si>
  <si>
    <t>这是机长说，我的名字叫。。。 [имя и фамилия]. 祝您新年好！圣诞快乐！</t>
  </si>
  <si>
    <t>Zhè shì jī zhǎng shuō, wǒ de míngzὶ jiào… [имя и фамилия]. Zhù Nín Xīnnián hǎo! Shèngdàn kuàilè!</t>
  </si>
  <si>
    <t>女士们，先生们，早上好！/ 下午好！/ 晚上好！</t>
  </si>
  <si>
    <t xml:space="preserve">Nǚshὶmen, Xiānshēngmen, Zǎoshang hǎo!/ Xià wǔ hǎo!/ Wǎn shàng hǎo! 
</t>
  </si>
  <si>
    <t>Доброе утро/ Добрый день/ Добрый вечер, дамы и господа!</t>
  </si>
  <si>
    <t xml:space="preserve">预计空中飞行时间为 …小时 …分。 </t>
  </si>
  <si>
    <t xml:space="preserve">Yùjì kōngzhōng shíjiān wéi …xiǎoshí …fēn.  </t>
  </si>
  <si>
    <t>Jīntiān Wǒmen yǐjing líkāi… qiánwǎng… [конечный пункт трассы] xīn hángxiàn kāitōng. (Běncì hángbān yǔ «…» [название авиакомпании по код-шер]  hángkōng gōngsī shíshī dàimǎ gòngxiǎng.) Fēixíng jùlí shì …gōnglǐ.</t>
  </si>
  <si>
    <t>Zhè shì jī zhǎng shuō, wǒ de míngzì jiào… [имя и фамилия]. Wǒ hé quán tǐ rényuán gǎnxiè nín chéngzuò é háng de… [тип ВС] fēijī.</t>
  </si>
  <si>
    <t>Yóuyú... [название аэропорта] jīchǎng tiānqì èliè yuányīn; běn jià fēijī bùnéng ànshí jiàngluò. Wǒmen huì zài děnghòu qū, zhídào tiānqì tiáojiàn yǔnxǔ wǒmen de luòdì.</t>
  </si>
  <si>
    <t>Jī cháng tōngzhī: Yóuyú… [выбрать необходимое] běn jià fēijī bùnéng ànshí jiàngluò zài… [название аэропорта] jīchǎng.</t>
  </si>
  <si>
    <t>Yóuyú… [название аэропорта] jīchǎng tiānqì èliè yuányīn</t>
  </si>
  <si>
    <t>由于 。。。 [название аэропорта] 机场天气恶劣原因</t>
  </si>
  <si>
    <t>这是机长说（机长通知。。。） [выбрать необходимое]</t>
  </si>
  <si>
    <t>Qǐng nín… [выбрать необходимое].</t>
  </si>
  <si>
    <t>Zhè shì chéngwùzhǎng/ jīzhǎng shuō.</t>
  </si>
  <si>
    <t>Wǒ shὶ běncὶ bānjī zhŭrèn chéngwùzhǎng, Wǒ de míngzὶ jiào… [имя без фамилии].</t>
  </si>
  <si>
    <t>Wǒ hé quán tǐ rényuán, zhù Nín zài xīn de yīnián lǐ jíxiáng rúyì!</t>
  </si>
  <si>
    <t>Huānyíng Nín zài zuò Éguó zhùmíng… [указать определение рода деятельности из Приложения №2, имя и фамилия человека, в честь которого названо ВС*] míngmíng de běnjià fēijī shàng.</t>
  </si>
  <si>
    <t>您的安全和舒适是我们航空公司的首要任务。 [выбрать из вариантов].</t>
  </si>
  <si>
    <t>Qīnài de láozhǔgù – Éháng hé Tiānhéliánméng jīngyīng hé jīngyīngjiā de shuǐpíng cháng lǚkè jiǎnglì jìhuá de chéngyuán. Wǒmen gánxiè Nín de xuǎnzé shì Éháng jítuán gōngsī.</t>
  </si>
  <si>
    <t>[Название аэропорта] 。。。 转机旅客即将开始上机。</t>
  </si>
  <si>
    <t>[Название аэропорта] …Zhuǎnjī lǚkè jí jiāng kāishǐ shàngjī.</t>
  </si>
  <si>
    <t>请您对号人作。</t>
  </si>
  <si>
    <t>Qǐng Nín duì háo rénzuò.</t>
  </si>
  <si>
    <t>我们将重新核对机上旅客人数。</t>
  </si>
  <si>
    <t>Wǒmen jiāng zhòngxīnhé duì jīshàng lǚkè rénshù.</t>
  </si>
  <si>
    <t>请您对号人作。请个各位旅客出示您的登机牌，以使地面有关人员查验。</t>
  </si>
  <si>
    <t xml:space="preserve">Qǐng nín duì hào rén zuò. Qǐng gè gèwèi lǚkè chūshì nín de dēng jī pái, yǐ shǐ dìmiàn yǒuguān rényuán cháyàn.                                                                            </t>
  </si>
  <si>
    <t>本架飞机是由。。。飞往。。。的。。。[номер рейса] 航班。（本次航班与 «…» [название авиакомпании по код-шер] 航空公司航班实施代码共亨）。</t>
  </si>
  <si>
    <t>哪位旅客是。。。先生/女士，请与乘务员联系。（下机时，请与乘务员/地面人员联系。）</t>
  </si>
  <si>
    <t>Běn jià fēijī shì yóu... fēi wǎng... de... [номер рейса] hángbān.(Běn cì hángbān yǔ «…» [название авиакомпании по код-шер] hángkōng gōngsī hángbān shíshī dàimǎ gòng hēng).</t>
  </si>
  <si>
    <t>Nǎ wèi lǚkè shì… xiānshēng/nǚshὶ, qǐng yǔ chéngwùyuán liánxì. (Xià jīshí, qǐng yǔ chéngwùyuán/dìmiàn rényuán liánxì).</t>
  </si>
  <si>
    <t>为了安全，我们要求您离开飞机，并确定您的行李。</t>
  </si>
  <si>
    <t>Wèile ānquán, wǒmen yāoqiú nín líkāi fēijī, bìng quèdìng nín de xínglǐ.</t>
  </si>
  <si>
    <t>来路不明的行李将不被装在飞机。</t>
  </si>
  <si>
    <t xml:space="preserve">Láilù bùmíng de xíngli jiāng bùbèi zhuāngzài fēijī. </t>
  </si>
  <si>
    <t>我们向您表示歉意。</t>
  </si>
  <si>
    <t>我们的机组人员在飞机的洗手间内发现有 香烟烟雾。</t>
  </si>
  <si>
    <t>Wǒmen de jīzǔrényuán zài fēiīj de xǐshǒujiān nèi  fāxiàn yǒu xiāngyān yānwù.</t>
  </si>
  <si>
    <t>我们提醒您，在机上，俄航规定禁止饮用自行带来了的酒精饮料。</t>
  </si>
  <si>
    <t>Wǒmen tíxǐng nín, zài jīshàng, é háng guīdìng jìnzhǐ yǐnyòng zìxíng dài láile de jiǔjīng yǐnliào.</t>
  </si>
  <si>
    <t>在此我们提醒您, 按照俄罗斯联邦航空法地一百零七条，如果在飞行途中，旅客做出影响飞行安全的行为，或不听从机长的指挥，航空公司有权采以下措施:</t>
  </si>
  <si>
    <t>Zàicǐ Wǒmen tíxǐng Nín, ànzhào  Éluósī liánbāng hángkōngfǎ dì yībǎilíngqī tiáo, rúguǒ zài fēixíng túzhōng, lǚkè zuòchū yǐngxiǎng  fēixíng ānquán de xíngwéi, huò bù tīng cóng jīzhǎng de zhǐhuī, hángkōng gōngsī yŏu quáncǎi yǐxià cuòshī:</t>
  </si>
  <si>
    <t>将该名旅客移交安全部门处理;</t>
  </si>
  <si>
    <t>jiāng gāimíng lǚkè yíjiāo ānquán bùmen chǔlǐ;</t>
  </si>
  <si>
    <t xml:space="preserve">将该名旅客的机票作废，并且部予以赔偿。 </t>
  </si>
  <si>
    <t xml:space="preserve">jiāng gāimíng lǚkè de jīpiào zuòfèi, bìngqiě bù yǔyǐ péicháng. </t>
  </si>
  <si>
    <t xml:space="preserve">关于’’旅客行为守则’”的详细内容,您可以在俄航的杂志内阅读到。 </t>
  </si>
  <si>
    <t xml:space="preserve">Guānyú”Lǚkè xíngwéi shǒuzé”de xiángxì nèiróng, Nín kěyǐ zài háng de zá zhì nèi yuèdú dào. </t>
  </si>
  <si>
    <t xml:space="preserve">您可以在飞机的前部/中部出口处得到在免税商店购买的物品。    </t>
  </si>
  <si>
    <t xml:space="preserve">Nín kěyǐ zài fēijī de qián bù/zhōngbù chūkǒu chù dédào zài miǎnshuì shāngdiàn gòumǎi de wùpǐn.                              </t>
  </si>
  <si>
    <t>下机时</t>
  </si>
  <si>
    <t xml:space="preserve">xià jīshí </t>
  </si>
  <si>
    <t>飞机开始下降之前</t>
  </si>
  <si>
    <t>fēijī kāishǐ xiàjiàng zhīqián</t>
  </si>
  <si>
    <t xml:space="preserve">如果您想乘坐一辆出租车的为俄航的乘客特价优惠，。。。 [выбрать необходимое] 请与客舱乘务员 联系。                                                                                                               </t>
  </si>
  <si>
    <t xml:space="preserve">Rúguǒ nín xiǎng chéngzuò yī liàng chūzū chē de wèi é háng de chéngkè tèjià yōuhuì,… [выбрать необходимое] qǐng yǔ kècāng chéngwùyuán liánxì. </t>
  </si>
  <si>
    <t>非常感谢您选择航空公司"俄罗斯 航空公司"。</t>
  </si>
  <si>
    <t>您的宝贵意见对于我们十分重要，为了提高我们的服务质重。</t>
  </si>
  <si>
    <t>Nín de bǎoguì yìjiàn duìyú wǒmen shí fèn zhòngyào, wèile tígāo wǒmen de fúwù zhì zhòng.</t>
  </si>
  <si>
    <t>多谢您抽空填写调查问卷，并交给一个乘务员。</t>
  </si>
  <si>
    <t xml:space="preserve">Duōxiè nín chōukòng tiánxiě diàochá wènjuàn, bìng jiāo gěi yīgè chéngwùyuán.                                                                         </t>
  </si>
  <si>
    <t>Fēicháng gǎnxiè nín xuǎnzé hángkōng gōngsī “èluósī hángkōng gōngsī”.</t>
  </si>
  <si>
    <t>由于机上供水系统发生故障，一时难以修复。我们只能向您提供冷饮。</t>
  </si>
  <si>
    <t>Yóuyú jīshàng gòng shuǐ xìtǒng fāshēng gùzhàng, yīshí nányǐ xiūfù. Wǒmen zhǐ néng xiàng nín tígōng lěngyǐn.</t>
  </si>
  <si>
    <t>对此我们向您表示歉意。</t>
  </si>
  <si>
    <t>Duì cǐ wǒmen xiàng nín biǎoshì qiànyì.</t>
  </si>
  <si>
    <t xml:space="preserve">由于机上供水系统发生故障，一时难以修复。 [выбрать необходимое]                                                                              </t>
  </si>
  <si>
    <t>Yóuyú jīshàng gòng shuǐ xìtǒng fāshēng gùzhàng, yīshí nányǐ xiūfù. [выбрать необходимое]</t>
  </si>
  <si>
    <t>前/中/尾部的洗手间禁止使用。请使用前/中/尾部的洗手间禁。</t>
  </si>
  <si>
    <t>Qián/zhōng/wěibù xǐshǒujiān jìnzhǐ shǐyòng. Qǐng shǐyòng qián/zhōng/wěibù xǐshǒujiān.</t>
  </si>
  <si>
    <t xml:space="preserve">由于全机上洗手间的供水系统发生故障，一时难以修复。我们在。。。 [название города] 。。。的 [название аэропорта] 机场备降。                                                                    </t>
  </si>
  <si>
    <t>Yóuyú quán jīshàng xǐshǒujiān de gōngshuǐ xìtǒng fāshēng gùzhàng, yīshí nányǐ xiūfù. Wǒmen zài… [название города] …de [название аэропорта] jīchǎng bèijiàng.</t>
  </si>
  <si>
    <t>如有。。。 [указать, например, "系好安全带"，"关闭手机" ]  发生故障，请您密切听好了安全须知，并按照机组人员的指示。</t>
  </si>
  <si>
    <t xml:space="preserve"> Rú yǒu… [указать, например, “xì hǎo ānquán dài”, “guānbì shǒujī” fāshēng gùzhàng, qǐng nín mìqiè tīng hǎole ānquán xūzhī, bìng ànzhào jīzǔ rényuán de zhǐshì.                                                                      </t>
  </si>
  <si>
    <t xml:space="preserve">降落前的剩余时间，不允许我们继续。。。[выбрать необходимое] </t>
  </si>
  <si>
    <t>餐饮服务</t>
  </si>
  <si>
    <t>出售“空中商店”的商品（机上免税商品）</t>
  </si>
  <si>
    <t xml:space="preserve">Jiàngluò qián de shèngyú shíjiān, bù yǔnxǔ wǒmen jìxù… [выбрать необходимое] </t>
  </si>
  <si>
    <t>chūshòu “kōngzhōng shāngdiàn” de shāngpǐn (jīshàng miǎnshuì shāngpǐn).</t>
  </si>
  <si>
    <t>cānyǐn fúwù;</t>
  </si>
  <si>
    <t>您看到的客舱内的冷凝发生由于空调系统的操作, 请不要担心！</t>
  </si>
  <si>
    <t>Nín kàn dào de kècāng nèi de lěngníng fāshēng yóuyú kòngtiáo xìtǒng de cāozuò, qǐng bùyào dānxīn!</t>
  </si>
  <si>
    <t>旅客中哪一位是医生或护理人员，请马上与乘务员联系。</t>
  </si>
  <si>
    <t>Yīwèi lǚkè xūyàoNín de yīliáo bāngzhù.</t>
  </si>
  <si>
    <t>Lǚkè zhōng nǎ yīwèi shì yīshēng huò hùlǐ rényuán, qǐng mǎshàng yǔ chéngwùyuán liánxì.</t>
  </si>
  <si>
    <t>我们（迫切）需要您的帮助。</t>
  </si>
  <si>
    <t xml:space="preserve">Wǒmen (pòqiè) xūyào nín de bāngzhù. </t>
  </si>
  <si>
    <t>请注意！一位旅客有症状传染病。</t>
  </si>
  <si>
    <t xml:space="preserve">Qǐng zhùyì! Yī wèi lǚkè yǒu zhèngzhuàng chuánrǎn bìng.                                                                          </t>
  </si>
  <si>
    <t>为确保遵守俄罗斯和国际卫生机构的要求以及为了保护您的健康，乘务员将会派发一次性使用口罩。</t>
  </si>
  <si>
    <t xml:space="preserve">Wèi quèbǎo zūnshǒu èluósī hé guójì wèishēng jīgòu de yāoqiú yǐjí wèile bǎohù nín de jiànkāng, chéngwùyuán jiāng huì pàifā yīcì xìng shǐyòng kǒuzhào.                                                                                                                                           </t>
  </si>
  <si>
    <t>请您回到座位坐好，戴上口罩，下机之前请不要取下口罩。</t>
  </si>
  <si>
    <t>为确保遵守卫生机构的要求，所有旅客必须填写入境健康申明卡。</t>
  </si>
  <si>
    <t>Wèi quèbǎo zūnshǒu wèishēng jīgòu de yāoqiú, suǒyǒu lǚkè bìxū tiánxiě rùjìng jiànkāng shēnmíng kǎ.</t>
  </si>
  <si>
    <t xml:space="preserve">请您使用印刷体字母填写，并必须点在到达后的30天内您的居住地址。    </t>
  </si>
  <si>
    <t xml:space="preserve">Qǐng nín shǐyòng yìnshuā tǐ zìmǔ tiánxiě, bìng bìxū diǎn zài dàodá hòu de 30 tiānnèi nín de jūzhù dìzhǐ.                                                                                                                       </t>
  </si>
  <si>
    <t>下机之前，请您填写好表格并转移到乘务员。</t>
  </si>
  <si>
    <t xml:space="preserve">Xià jī zhīqián, qǐng nín tiánxiě hào biǎogé bìng zhuǎnyí dào chéngwùyuán.                                                                                                                   </t>
  </si>
  <si>
    <t xml:space="preserve">如有您不舒服或需要帮助,请马上与乘务员联系。  </t>
  </si>
  <si>
    <t xml:space="preserve">Rú yǒu nín bú shūfú huò xūyào bāngzhù, qǐng mǎshàng yǔ chéngwùyuán liánxì.                                                                                                        </t>
  </si>
  <si>
    <t>Yǒu wèi lǚkè yíshī le… [указать что именно], yǒu nǎ wèi lǚkè shídào… [указать что именно], qǐng jíshí yǔ chéngwùyuán liánxì.</t>
  </si>
  <si>
    <t>有位旅客遗失了。。。 [указать что именно], 如有哪位旅客拾到。。。 [указать что именно], 请及时与乘务员联系。</t>
  </si>
  <si>
    <t>我们在。。。 [указать где:  客舱内，洗手间里, др.] 找到 了。。。 [указать что именно]. 如果是您遗失的，请及时与乘务员联系。</t>
  </si>
  <si>
    <t>Wǒmen zài… [указать где: Kècāng nèi, xǐshǒujiān lǐ, др.], zhǎodàole… [указать что именно]. Rúguǒ shì nín yíshī de, qǐng jíshí yǔ chéngwùyuán liánxì.</t>
  </si>
  <si>
    <t>由于需要而生产</t>
  </si>
  <si>
    <t>现在机上有一位重病人，</t>
  </si>
  <si>
    <t>Xiànzài jīshàng yǒuyī wèi zhòngbìng rén,</t>
  </si>
  <si>
    <t>机场的地面人员将提供为您帮助和援助。</t>
  </si>
  <si>
    <t>Jīchǎng dì dìmiàn rényuán jiāng tígōng wèi nín bāngzhù hé yuánzhù.</t>
  </si>
  <si>
    <t>Zhè shì jī zhǎng shuō. (Jī zhǎng guānshuō…) [выбрать необходимое]</t>
  </si>
  <si>
    <t>Yóuyú… [название аэропорта] jīchǎng tiānqì èliè yuányīn;</t>
  </si>
  <si>
    <t>Yóuyú xūyào ér shēngchǎn;</t>
  </si>
  <si>
    <t>Wǒmen jiāng jiàngluò zài… [название города] zuìjìn de kěyòng jīchǎng.</t>
  </si>
  <si>
    <t>我们将降落在。。。 [название города] 最近的可用机场。</t>
  </si>
  <si>
    <t>检疫要求：我们的飞机必须被除去虫。这种杀虫药药服从国际标准，对人无害。</t>
  </si>
  <si>
    <t>Jiǎnyì yàoqiú: Wǒmen de fēijī bìxū bèichú qùchóng. Zhè zhòng shāchóngyào fúcóng guójì biāozhǔn, duì rén wúhài.</t>
  </si>
  <si>
    <t>消毒结束前，请不要离开自己的座位。</t>
  </si>
  <si>
    <t>Xiāodú jiéshù qián, qǐng bùyào líkāi zìjǐ de zuòwèi.</t>
  </si>
  <si>
    <t>由于“舍列梅季耶沃”机场的移民局要求， 下机时您必须通过额外的护照控制。</t>
  </si>
  <si>
    <t xml:space="preserve">Yóuyú “Shě liè méi jì yé wò” jīchǎng de yímín jú yāoqiú, xià jī shí nín bìxū tōngguò éwài de hùzhào kòngzhì.                                                                                                           </t>
  </si>
  <si>
    <t>请各位旅客出示您的登机牌和护照，以便地面有关人员查验。</t>
  </si>
  <si>
    <t>Qǐng gèwèi lǚkè chūshì nín de dēng jī pái hé hùzhào, yǐbiàn dìmiàn yǒuguān rényuán cháyàn.</t>
  </si>
  <si>
    <t>(Zhè shì jī zhǎng shuō.)</t>
  </si>
  <si>
    <t>大家请注意！这是乘务长说。</t>
  </si>
  <si>
    <t>Dàjiā qǐng zhùyì! Zhè shì chéngwù zhǎng shuō.</t>
  </si>
  <si>
    <t>直飞最近的机场。</t>
  </si>
  <si>
    <t>zhí fēi zuìjìn de jīchǎng.</t>
  </si>
  <si>
    <t>陆地迫降。</t>
  </si>
  <si>
    <t>lùdì pòjiàng.</t>
  </si>
  <si>
    <t>shuǐshàng pòjiàng.</t>
  </si>
  <si>
    <t>救援机场勤务接到了通知。</t>
  </si>
  <si>
    <t>Jiùyuán jīchǎng qínwù jiē dàole tōngzhī.</t>
  </si>
  <si>
    <t>搜索救援勤务接到了通知。</t>
  </si>
  <si>
    <t>Sōusuǒ jiùyuán qínwù jiē dàole tōngzhī.</t>
  </si>
  <si>
    <t>我们的飞机上设有必要的应急设备。</t>
  </si>
  <si>
    <t>Wǒmen de fēijī shàng shè yǒu bìyào de yìngjí shèbèi.</t>
  </si>
  <si>
    <t>我们已采取所有必要的预防措施。</t>
  </si>
  <si>
    <t>Wǒmen yǐ cǎiqǔ suǒyǒu bìyào de yùfáng cuòshī.</t>
  </si>
  <si>
    <t>机组人员准备在紧急情况下采取行动。</t>
  </si>
  <si>
    <t>Jīzǔ rényuán zhǔnbèi zài jǐnjí qíngkuàng xià cǎiqǔ xíngdòng.</t>
  </si>
  <si>
    <t>保持冷静。</t>
  </si>
  <si>
    <t xml:space="preserve">Bǎochí lěngjìng.                                                       </t>
  </si>
  <si>
    <t>这是机长说。（机长官说…） [выбрать необходимое]</t>
  </si>
  <si>
    <t>（这是机长说。）</t>
  </si>
  <si>
    <t>根据机长的指示，由于。。。 [указать причину] 机长决定。。。 [выбрать необходимое]。</t>
  </si>
  <si>
    <t>Gēnjù jī zhǎng de zhǐshì, yóuyú… [указать причину]. Jī zhǎng juédìng… [выбрать необходимое].</t>
  </si>
  <si>
    <t>将返航。。。 [название аэропорта] 机场。</t>
  </si>
  <si>
    <t>jiāng fǎnháng… [название аэропорта] jīchǎng.</t>
  </si>
  <si>
    <t xml:space="preserve"> 水上迫降。</t>
  </si>
  <si>
    <t>着陆将发生在。。。分钟内。 [выбрать необходимое]</t>
  </si>
  <si>
    <t>Zhuólù jiāng fāshēng zài… fēnzhōng nèi. [выбрать необходимое]</t>
  </si>
  <si>
    <t>我们开始准备。。。 [выбрать необходимое]。</t>
  </si>
  <si>
    <t>Wǒmen kāishǐ zhǔnbèi… [выбрать необходимое]. </t>
  </si>
  <si>
    <t>陆地迫降</t>
  </si>
  <si>
    <t>lùdì pòjiàng</t>
  </si>
  <si>
    <t>水上迫降</t>
  </si>
  <si>
    <t>shuǐshàng pòjiàng</t>
  </si>
  <si>
    <t>请注意！旅客中哪一位是俄航或别的航空公司的人员，  消防队员，救生员，请马上与乘务员联系。</t>
  </si>
  <si>
    <t>Qǐng zhùyì! Lǚkè zhōng nǎ yī wèi shì é háng huò bié de hángkōng gōngsī de rényuán, xiāofáng duìyuán, jiùshēng yuán, qǐng mǎshàng yǔ chéngwùyuán liánxì.</t>
  </si>
  <si>
    <t>保持冷静。听从机组人员的指挥。</t>
  </si>
  <si>
    <t xml:space="preserve">Bǎochí lěngjìng. Tīngcóng jīzǔ rényuán de zhǐhuī.                                                  </t>
  </si>
  <si>
    <t>调直您的坐椅靠背，收起您座位前小桌板。</t>
  </si>
  <si>
    <t xml:space="preserve">Diào zhí nín de zuò yǐ kàobèi, shōu qǐ nín zuòwèi qián xiǎo zhuō bǎn.                                           </t>
  </si>
  <si>
    <t>取下领带，松开衣领。</t>
  </si>
  <si>
    <t xml:space="preserve">Qǔ xià lǐngdài, sōng kāi yī lǐng.                                                                                  </t>
  </si>
  <si>
    <t>删除可能造成创伤的东西：眼镜，隐形眼镜，假牙。把它们放在手提物品（坐椅的座位之间）。</t>
  </si>
  <si>
    <t xml:space="preserve">Shānchú kěnéng zàochéng chuāngshāng de dōngxī: Yǎnjìng, yǐnxíng yǎnjìng, jiǎyá. Bǎ tāmen fàng zài shǒutí wùpǐn (zuò yǐ de zuòwèi zhī jiān).                                                                                                                                     </t>
  </si>
  <si>
    <t xml:space="preserve">Bǎ shǒutí wùpǐn fàng zài qiánfāng zuò yǐ xià, huò xínglǐ jià shàng.                                                                         </t>
  </si>
  <si>
    <t>着陆后，放弃手提物品。</t>
  </si>
  <si>
    <t xml:space="preserve">Zhuólù hòu, fàngqì shǒutí wùpǐn.                                                                                                                            </t>
  </si>
  <si>
    <t>脱下鞋子，放在前方座椅下。</t>
  </si>
  <si>
    <t>Tuō xià xiézi, fàng zài qiánfāng zuò yǐ xià.</t>
  </si>
  <si>
    <t>[Если необходимо] 穿上您的夹克或外衣。</t>
  </si>
  <si>
    <t xml:space="preserve">[Если необходимо] Chuān shàng nín de jiákè huò wàiyī.                                                                             </t>
  </si>
  <si>
    <t>把手提物品放在前方座椅下，或行李架上。</t>
  </si>
  <si>
    <t>现在收看应急出口的位置。</t>
  </si>
  <si>
    <t>Xiànzài shōukàn yìngjí chūkǒu de wèizhì.</t>
  </si>
  <si>
    <t>应急出口设在客舱的左右侧。</t>
  </si>
  <si>
    <t>Yìngjí chūkǒu shè zài kècāng de zuǒyòu cè.</t>
  </si>
  <si>
    <t>两个在飞机前部和</t>
  </si>
  <si>
    <t>Liǎng gè zài fēijī qián bù hé</t>
  </si>
  <si>
    <t>分别标有应急出口的明显标志。</t>
  </si>
  <si>
    <t>Fēnbié biāo yǒu yìngjí chūkǒu de míngxiǎn biāozhì.</t>
  </si>
  <si>
    <t>安装在地板上过道侧面的应急路经灯会发出亮光，帮助您找到应急出口。</t>
  </si>
  <si>
    <t>Ānzhuāng zài dìbǎn shàng guòdào cèmiàn de yīngji lùjìngdēng huì fāchū liàngguāng, bāngzhù Nín zhǎodào yīngji chūkǒu.</t>
  </si>
  <si>
    <t>应急出口处都设有橡胶滑梯。</t>
  </si>
  <si>
    <t>Yìngjí chūkǒu chù dōu shè yǒu xiàngjiāo huátī.</t>
  </si>
  <si>
    <t>当您使用机翼上的紧急出口撤离飞机时，请遵循先迈腿再探头再抬后腿跟上的顺序，沿着箭头所指的方向跑出，之后采用坐姿，从机翼后侧滑下，跑离飞机。</t>
  </si>
  <si>
    <t xml:space="preserve">Dāng nín shǐyòng xiàngjiāo huátī chèlí fēijī, tiào zuò dào huátī shàng shí, bǎochí shàngshēn zhílì, shǒubì xiàng qián, pǎo lí fēijī.                                                                                                                                                                                                                                                                                                                                                                                                                                                                                                                                                                                                  </t>
  </si>
  <si>
    <t>撤离通过您最近的应急出口，跳入水中，抓着漂浮橡胶滑梯。</t>
  </si>
  <si>
    <t>Chèlí tōngguò nín zuìjìn de yìngjí chūkǒu, tiào rù shuǐzhōng, zhuāzhe piāofú xiàngjiāo huátī.</t>
  </si>
  <si>
    <t>两个/四个在机翼后和</t>
  </si>
  <si>
    <t>Liǎng gè/sì gè zài jī yì hòu hé</t>
  </si>
  <si>
    <t>当您使用机翼上的紧急出口撤离飞机时，请遵循先迈腿再探头再抬后腿跟上的顺序，按照箭头指示，上身保持直立，跳坐到橡胶滑梯上，手臂向前，跑离飞机。</t>
  </si>
  <si>
    <t>Dāng nín shǐyòng jī yì shàng de jǐnjí chūkǒu chèlí fēijī shí, qǐng zūnxún xiān mài tuǐ zài tàntóu zài tái hòu tuǐ gēn shàng de shùnxù, ànzhào jiàntóu zhǐshì, shàngshēn bǎochí zhílì, tiào zuò dào xiàngjiāo huátī shàng, shǒubì xiàng qián, pǎo lí fēijī.</t>
  </si>
  <si>
    <t>前部和尾部的应急出口设有橡胶滑梯。</t>
  </si>
  <si>
    <t>Qián bù hé wěibù de yìngjí chūkǒu shè yǒu xiàngjiāo huátī.</t>
  </si>
  <si>
    <t>当您使用机翼上的紧急出口撤离飞机时，请遵循先迈腿再探头再抬后腿跟上的顺序，沿着箭头所指的方向跑出，之后采用坐姿，从机翼后侧滑下，跑离飞机</t>
  </si>
  <si>
    <t>Dāng nín shǐyòng jī yì shàng de jǐnjí chūkǒu chèlí fēijī shí, qǐng zūnxún xiān mài tuǐ zài tàntóu zài tái hòu tuǐ gēn shàng de shùnxù, yánzhe jiàntóu suǒ zhǐ de fāngxiàng pǎo chū, zhīhòu cǎiyòng zuòzī, cóng jī yì hòu cè huá xià, pǎo lí fēijī.</t>
  </si>
  <si>
    <t xml:space="preserve">离开飞机通过最近的紧急出口。跳入水中。双手抓住滑梯。  </t>
  </si>
  <si>
    <t xml:space="preserve">Líkāi fēijī tōngguò zuìjìn de jǐnjí chūkǒu. Tiào rù shuǐzhōng. Shuāngshǒu zhuā zhù huátī.                                                                                                                                                                                                                                                                                                                                                                                                                                                                                                                                                                                           </t>
  </si>
  <si>
    <t>当您使用机翼上的紧急出口撤离飞机时，请遵循先迈腿再探头再抬后腿跟上的顺序，留在机翼上，听从机组人员的指挥。</t>
  </si>
  <si>
    <t>Dāng nín shǐyòng jī yì shàng de jǐnjí chūkǒu chèlí fēijī shí, qǐng zūnxún xiān mài tuǐ zài tàntóu zài tái hòu tuǐ gēn shàng de shùnxù, liú zài jī yì shàng, tīngcóng jīzǔ rényuán de zhǐhuī.</t>
  </si>
  <si>
    <t xml:space="preserve">分别标有紧急出口的明显标志。 </t>
  </si>
  <si>
    <t xml:space="preserve">Fēnbiébiāo yǒu jǐnjí chūkǒude míngxiǎn biāozhì. </t>
  </si>
  <si>
    <t xml:space="preserve">如果电源无效， 安装在地板上过道侧面的应急路经灯会发出亮光，帮助您找到应急出口。 </t>
  </si>
  <si>
    <t xml:space="preserve">Rúguǒ diànyuán wúxiào, ānzhuāng zài dìbǎn shàng guòdào cèmiàn de yīngji lùjìngdēng huì fāchū liàngguāng, bāngzhù Nín zhǎodào yīngji chūkǒu. </t>
  </si>
  <si>
    <t>离开飞机通过前部，中部和尾部的紧急出口，应急出口处都设有橡胶滑梯，来到滑梯的尽头坐下。</t>
  </si>
  <si>
    <t>Líkāi fēijī tōngguò qián bù, zhōngbù hé wěibù de jǐnjí chūkǒu, yìngjí chūkǒu chù dōu shè yǒu xiàngjiāo huátī, lái dào huátī de jìntóu zuò xià.</t>
  </si>
  <si>
    <t>离开飞机通过最近的紧急出口，应急出口处都设有橡胶滑梯，来到滑梯的尽头坐下。</t>
  </si>
  <si>
    <t>Líkāi fēijī tōngguò zuìjìn de jǐnjí chūkǒu, yìngjí chūkǒu chù dōu shè yǒu xiàngjiāo huátī, lái dào huátī de jìntóu zuò xià.</t>
  </si>
  <si>
    <t>离开飞机通过前部和尾部的紧急出口，应急出口处都设有橡胶滑梯，来到滑梯的尽头坐下。</t>
  </si>
  <si>
    <t>Líkāi fēijī tōngguò qián bù hé wěibù de jǐnjí chūkǒu, yìngjí chūkǒu chù dōu shè yǒu xiàngjiāo huátī, lái dào huátī de jìntóu zuò xià.</t>
  </si>
  <si>
    <t>救生衣在您座椅下方，使用时取出，经头部穿好。</t>
  </si>
  <si>
    <t>Jiùshēngyī zài nín zuò yǐ xiàfāng, shǐyòng shí qǔchū, jīng tóu bù chuān hǎo.</t>
  </si>
  <si>
    <t xml:space="preserve"> 将带子扣好，系紧。 </t>
  </si>
  <si>
    <t xml:space="preserve">Jiāng dàizi kǒuhǎo, jìjín. </t>
  </si>
  <si>
    <t xml:space="preserve"> 离开飞机前，打开充气阀门。 </t>
  </si>
  <si>
    <t xml:space="preserve"> Líkāi fēijī qián, dǎkāi chōngqì fámén. </t>
  </si>
  <si>
    <t>我们将个人解释儿童救生设备使用方法。</t>
  </si>
  <si>
    <t>Wǒmen jiāng gèrén jiěshì értóng jiùshēng shèbèi shǐyòng fāngfǎ.</t>
  </si>
  <si>
    <t>救生衣在您座椅下方，飞机落地后，使用时取出，经头部穿好。</t>
  </si>
  <si>
    <t xml:space="preserve">Jiùshēngyī zài nín zuò yǐ xiàfāng, fēijī luòdì hòu, shǐyòng shí qǔchū, jīng tóu bù chuān hǎo.  </t>
  </si>
  <si>
    <t>当陆地迫降/水上迫降时，您必须摆安全姿势。现在我们为您演示安全姿势。</t>
  </si>
  <si>
    <t xml:space="preserve">Dāng lùdì pòjiàng/shuǐshàng pòjiàng shí, nín bìxū bǎi ānquán zīshì. Xiànzài wǒmen wèi nín yǎnshì ānquán zīshì. </t>
  </si>
  <si>
    <t>当您听到命令“安全姿势”，我再说一遍在您面前“安全姿势”，推座椅靠背向前发展。</t>
  </si>
  <si>
    <t xml:space="preserve">Dāng nín tīng dào mìnglìng “ānquán zīshì”, wǒ zàishuō yībiàn zài nín miànqián “ānquán zīshì”, tuī zuò yǐ kàobèi xiàng qián fāzhǎn.                                                                                                                                      </t>
  </si>
  <si>
    <t>把您的头放在您的膝盖。</t>
  </si>
  <si>
    <t>Bǎ nín de tóu fàng zài nín de xīgài.</t>
  </si>
  <si>
    <t>把您的膝盖搂住下方。</t>
  </si>
  <si>
    <t>Bǎ nín de xīgài lǒu zhù xiàfāng.</t>
  </si>
  <si>
    <t>握住您的膝盖并拢，并您的脚分开。</t>
  </si>
  <si>
    <t>Wò zhù nín de xīgài bìnglǒng, bìng nín de jiǎo fēnkāi.</t>
  </si>
  <si>
    <t>如没有空位，推座椅靠背向前发展。</t>
  </si>
  <si>
    <t>Rú méiyǒu kòngwèi, tuī zuò yǐ kàobèi xiàng qián fāzhǎn.</t>
  </si>
  <si>
    <t>两手交叉在座椅靠背上，把前额按在手上，并您的脚分开。</t>
  </si>
  <si>
    <t>Liǎngshǒu jiāochā zài zuò yǐ kàobèi shàng, bǎ qián'é àn zài shǒu shàng, bìng nín de jiǎo fēnkāi.</t>
  </si>
  <si>
    <t>现在试一会儿，后采取正常位置。</t>
  </si>
  <si>
    <t>Xiànzài shì yīhuǐ'er, hòu cǎiqǔ zhèngcháng wèizhì.</t>
  </si>
  <si>
    <t>我们将个人解释带小孩的旅客安全姿势。</t>
  </si>
  <si>
    <t>Wǒmen jiāng gèrén jiěshì dài xiǎohái de lǚkè ānquán zīshì.</t>
  </si>
  <si>
    <t>迫降时可以是一些打击。留在安全姿势，直到我们给您进一步的指挥。</t>
  </si>
  <si>
    <t>Pòjiàng shí kěyǐ shì yīxiē dǎjí. Liú zài ānquán zīshì, zhídào wǒmen gěi nín jìnyībù de zhǐhuī.</t>
  </si>
  <si>
    <t>一有听从机组人员的“离开飞机”指挥，松开安全带，快跑到最近的紧急出口处。</t>
  </si>
  <si>
    <t xml:space="preserve">Yī yǒu tīngcóng jīzǔ rényuán de “líkāi fēijī” zhǐhuī, sōng kāi ānquán dài, kuài pǎo dào zuìjìn de jǐnjí chūkǒu chù.        </t>
  </si>
  <si>
    <t>一有听从机组人员的“离开飞机”指挥，松开安全带，快跑到前部和尾部的紧急出口处。</t>
  </si>
  <si>
    <t xml:space="preserve">Yī yǒu tīngcóng jīzǔ rényuán de “líkāi fēijī” zhǐhuī, sōng kāi ānquán dài, kuài pǎo dào qián bù hé wěibù de jǐnjí chūkǒu chù.      </t>
  </si>
  <si>
    <t>现在上身保持直立，系好安全带。解开时，先将锁扣打开，拉出连接片。系好安全带，根据您的需要，调节安全带的松紧。</t>
  </si>
  <si>
    <t xml:space="preserve">Xiànzài shàngshēn bǎochí zhílì, xì hǎo ānquán dài. Jiě kāi shí, xiān jiāng suǒ kòu dǎkāi, lā chū liánjiē piàn. Xì hǎo ānquán dài, gēnjù nín de xūyào, tiáojié ānquán dài de sōngjǐn.  </t>
  </si>
  <si>
    <t>安全须知在您座椅前面的口袋里。</t>
  </si>
  <si>
    <t>请您再一次仔细阅读。请留意特别关注紧急出口的位置。</t>
  </si>
  <si>
    <t>Qǐng nín zài yīcì zǐxì yuèdú. Qǐng liúyì tèbié guānzhù jǐnjí chūkǒu de wèizhì.</t>
  </si>
  <si>
    <t xml:space="preserve">Ānquán xūzhī zài nín zuò yǐ qiánmiàn de kǒudài lǐ. </t>
  </si>
  <si>
    <t>我们收到消息，有一个飞机上可设有爆炸装置。</t>
  </si>
  <si>
    <t>Wǒmen shōu dào xiāoxī, yǒu yīgè fēijī shàng kě shè yǒu bàozhà zhuāngzhì.</t>
  </si>
  <si>
    <t>为了安全，必须采取预防措施以检查飞机。</t>
  </si>
  <si>
    <t>Wèile ānquán, bìxū cǎiqǔ yùfáng cuòshī yǐ jiǎnchá fēijī.</t>
  </si>
  <si>
    <t>保持冷静，准备合作。</t>
  </si>
  <si>
    <t>Bǎochí lěngjìng, zhǔnbèi hézuò.</t>
  </si>
  <si>
    <t>要特别注意离您靠近异物的存在。</t>
  </si>
  <si>
    <t>Yào tèbié zhùyì lí nín kàojìn yìwù de cúnzài.</t>
  </si>
  <si>
    <t>如果您发现可疑对象，不碰，与机组人员联系。</t>
  </si>
  <si>
    <t>Rúguǒ nín fāxiàn kěyí duìxiàng, bù pèng, yǔ jīzǔ rényuán liánxì.</t>
  </si>
  <si>
    <t>由于航空公司地面服务的要求，我们必须改变飞行计划，机场的地面人员接到了改变飞行计划。 [выбрать необходимое]</t>
  </si>
  <si>
    <t>我们将降落在最近的可用机场。</t>
  </si>
  <si>
    <t>Wǒmen jiāng jiàngluò zài zuìjìn de kěyòng jīchǎng.</t>
  </si>
  <si>
    <t>我们将返回... [название аэропорта]机场。</t>
  </si>
  <si>
    <t>Wǒmen jiāng fǎnhuí... [название аэропорта] jīchǎng.</t>
  </si>
  <si>
    <t>请您在座位上坐好，等"系好安全带"的指示灯熄灭后，再站起来 [выбрать необходимое]。</t>
  </si>
  <si>
    <t>请把自己的手提物品，离开飞机。</t>
  </si>
  <si>
    <t>Qǐng bǎ zìjǐ de shǒutí wùpǐn, líkāi fēijī.</t>
  </si>
  <si>
    <t>请把自己的手提物品放在飞机上，离开飞机。</t>
  </si>
  <si>
    <t>Qǐng bǎ zìjǐ de shǒutí wùpǐn fàng zài fēijī shàng, líkāi fēijī.</t>
  </si>
  <si>
    <t>更多信息将在机场被给予。</t>
  </si>
  <si>
    <t>Gèng duō xìnxī jiàng zài jīchǎng bèi jǐyǔ.</t>
  </si>
  <si>
    <t>Yóuyú hángkōng gōngsī dìmiàn fúwù de yāoqiú, wǒmen bìxū gǎibiàn fēixíng jìhuà, jīchǎng dì dìmiàn rényuán jiē dàole gǎibiàn fēixíng jìhuà. [выбрать необходимое]</t>
  </si>
  <si>
    <t xml:space="preserve">本架飞机已经降落]。。。 [название аэропорта] 机场。 </t>
  </si>
  <si>
    <t xml:space="preserve">Běnjià fēijī yǐjīng jiàngluò zài… [название аэропорта] jīchǎng.                                                                                                                                                                                                                                                                                                                                                                       </t>
  </si>
  <si>
    <t>Qǐng nín zài zuòwèi shàng zuò hǎo, děng “xì hǎo ānquán dài” de zhǐshì dēng xímiè hòu, zài zhàn qǐlái [выбрать необходимое].</t>
  </si>
  <si>
    <t>现在客舱。。。（前部，中部，尾部）有一处失烟。</t>
  </si>
  <si>
    <t>我们已经采取一切必要措施，以确保飞行安全，并将会及时通知您。</t>
  </si>
  <si>
    <t>Wǒmen yǐjīng cǎiqǔ yīqiè bìyào cuòshī, yǐ quèbǎo fēixíng ānquán, bìng jiāng huì jíshí tōngzhī nín.</t>
  </si>
  <si>
    <t>请大家不要惊慌。</t>
  </si>
  <si>
    <t xml:space="preserve">Qǐng dàjiā bùyào jīnghuāng.                                                                                                                           </t>
  </si>
  <si>
    <t>由于客舱失火有烟雾， 请大家立即弯下腰，低下头，用餐巾，头枕等后住口鼻。</t>
  </si>
  <si>
    <t>Yóuyú kècāng shīhuǒ yǒu yānwù, qǐng dàjiā lìjí wān xiàyāo, dīxià tou, yòng cānjīn, tóu zhěn děng hòu zhùkǒu bí.</t>
  </si>
  <si>
    <t>Xiànzài kècāng… (Qián bù, zhōngbù, wěibù) yǒuyī chù shī yān.</t>
  </si>
  <si>
    <t xml:space="preserve">这是机长说。 (机长通知您。。。) </t>
  </si>
  <si>
    <t>现在飞机已到达安全高度，处于正常状态，您可以取下氧气面罩。</t>
  </si>
  <si>
    <t xml:space="preserve">Xiànzài fēijī yǐ dàodá ānquán gāodù, chǔyú zhèngcháng zhuàngtài, nín kěyǐ qǔ xià yǎngqì </t>
  </si>
  <si>
    <t>Nǚshὶmen, Xiānshēngmen! [выбрать необходимое]</t>
  </si>
  <si>
    <t>请您带好全部手提物品下飞机。</t>
  </si>
  <si>
    <t xml:space="preserve">Qǐng nín dàihǎo quánbù shǒutí wùpǐn xià fēijī.               </t>
  </si>
  <si>
    <t>下飞机时，请把您的手提物品放在飞机上。</t>
  </si>
  <si>
    <t>Xià fēijī shí, qǐng bǎ nín de shǒutí wùpǐn fàng zài fēijī shàng.</t>
  </si>
  <si>
    <t>Zhè shì jī zhǎng shuō. (Jī cháng tōngzhī nín…)</t>
  </si>
  <si>
    <t>女士们，先生们 ！ [выбрать необходимое]</t>
  </si>
  <si>
    <t>Необходимость медицинской помощи по прилету, когда пассажиры встают с мест 
(СБ или PRAM) (дневной/ночной рейс)</t>
  </si>
  <si>
    <t>Просим Вас оставаться на своих местах и дать возможность медицинскому персоналу  пройти к пассажиру для оказания медицинской помощи. О начале высадки из самолета мы вас проинформируем.</t>
  </si>
  <si>
    <t>Благодарю за понимание.</t>
  </si>
  <si>
    <t>We kindly ask you to remain in your seats to allow medical personnel to get to the passenger who requires medical assistance. We will inform you as the disembarkation  will be allowed.</t>
  </si>
  <si>
    <t>Thank you for understanding.</t>
  </si>
  <si>
    <t>Nous vous prions de rester à vos sièges pour donner la possibilité au personnel médicale d'avoir accès a un passager qui nècessite une assistance médicale. Nous vous informerons du début de débarquement.</t>
  </si>
  <si>
    <t>Merci de votre compréhension.</t>
  </si>
  <si>
    <t>¡Señoras y Señores!</t>
  </si>
  <si>
    <t>Les pedimos permanezer sentados en sus sitios y permitir al personal médico a pasar al pasajero que necesita asistencia médica. Les invitarémos a salír.</t>
  </si>
  <si>
    <t>¡Gracias por su atención!</t>
  </si>
  <si>
    <t>Wir bitten Sie auf Ihren Plätzen zu bleiben, um dem medizinischen Personal einen einfachen Zugang zum Fluggast, der eine medizinische Versorgung braucht, bereitzustellen. Über den Beginn des Aussteigens warden wir Sie informieren.</t>
  </si>
  <si>
    <t>女士们，先生们！</t>
  </si>
  <si>
    <t>Nǚshìmen, xiānshēngmen!</t>
  </si>
  <si>
    <t xml:space="preserve">Yī wèi lǚkè xūyào yīliáo bāngzhù. Qǐng bùyào líkāi zìjǐ de zuòwèi, bìng yǔnxǔ yīwù rényuán fù chéngkè wéi tígōng yīliáo zhàogù. Yī yǒu xiāoxī wǒmen jiāng jíshí tōngzhī nín xià jī. </t>
  </si>
  <si>
    <t>一位旅客需要医疗帮助。请不要离开自己的座位，并允许医务人员赴乘客为提供医疗照顾。                                                                                                                                                                                                                                                                               一有消息我们将及时通知您下机。</t>
  </si>
  <si>
    <t>谢谢各位的合作。</t>
  </si>
  <si>
    <t>Xièxiè gèwèi de hézuò.</t>
  </si>
  <si>
    <t>Japan-Transcription</t>
  </si>
  <si>
    <t>Минасама!</t>
  </si>
  <si>
    <t>Кангоси-но ката ни саки ни оритэ итадайтэ, гуай-но варуй о-кякусама ни ирё: тэйкё:-о суру тамэ, о-сэки ни цуйта мама дэ о-мати кудасай. О-ори-сай ва  го-аннай итасимасу.</t>
  </si>
  <si>
    <t>Го-рикай ситэ итадаки аригато: годзаимасу.</t>
  </si>
  <si>
    <t>Сэрэмэтиэво ку:ко: то:кёку-но сидзи ни ёри, хико:ки-о ориру сай ни пасупо:то текку-о оконаимасу.</t>
  </si>
  <si>
    <t>О-тэмото-ни то:дзё:кэн то пасупо:то-о го-ё:и кудасай.</t>
  </si>
  <si>
    <t>Кокусайтэкина ру:ру ни ноттори, кинай дэ-но саттю:дзай санпу-о оконаимасу. Корэ ва кокусай хокэн кикан ни ёри митомэрарэтэ иру моно дэ, дзинтай ни эйкё: ва годзаимасэн.</t>
  </si>
  <si>
    <t>Сагё:  сю:рё: мадэ о-сэки нитэ о-мати кудасаимасу ё: о-нэгаи итасимасу.</t>
  </si>
  <si>
    <t>Аригато: годзаимасита.</t>
  </si>
  <si>
    <t>То:ки ва Сэрэмэтиэво ку:ко:, та:минару D/E/F кондзацу-но тамэ, та:минару B/C/D/E/F э то:тяку итасимасу.</t>
  </si>
  <si>
    <t>О-дэмукаи-но о-кякусама ни мо о-цутаэ ситэ оримасу.</t>
  </si>
  <si>
    <t>Го-мэйваку-о о-какэ итасимасу га, го-рикай-но ходо о-нэгаи итасимасу.</t>
  </si>
  <si>
    <t>[название города]-но [название аэропорта] ку:ко: тэнко: фудзюн-но тамэ</t>
  </si>
  <si>
    <t>унко:-но цуго:дзё:</t>
  </si>
  <si>
    <t>гуай-но варуй о-кякусама га ирассяру тамэ</t>
  </si>
  <si>
    <t>[название города] моёри-но ку:ко э тякурику итасимасу.</t>
  </si>
  <si>
    <t xml:space="preserve">Китё: кара-но хо:коку ни ёримасу то </t>
  </si>
  <si>
    <t>[название аэропорта] ку:ко: э ва судэ-ни тиэн ни цуйтэ хо:коку ситэ оримасу нодэ, то:тякуго о-тэцудаи-но хицуё:на о-кякусама ва о-мо:сидэ кудасай.</t>
  </si>
  <si>
    <t>Макото-ни мо:сивакэ годзаимасэн га, го-рикай итадакэмасу ё: о-нэгаи мо:сиагэмасу.</t>
  </si>
  <si>
    <t>Кинай дэ (мэганэ, юбива, сайфу… [указать что именно]-о наку сита о-кякусама га ирассяимасу. Хаккэн сита о-кякусама ва, дзё:муин мадэ о-ватаси кудасай.</t>
  </si>
  <si>
    <t>Кинай/о-тэараи/ ни отитэ ита [указать что именно] га тодоитэ оримасу. О-кокоро атари-но ката ва дзё:муин ни о-мо:сицукэ кудасай.</t>
  </si>
  <si>
    <t>Кансэнсё:-о утагаварэру о-кякусама га ирассяимасу.</t>
  </si>
  <si>
    <t>Росиа то кокусай ирё:кикан-но дзюнсю-о какухо суру тамэ ни, мата ва о-кякусама-но кэнко:хого тамэ ни, дзё:муин ва масуку-о о-кубари итасимасу.</t>
  </si>
  <si>
    <t>О-сэки ни о-цуки ни нари, масуку ни оки, хико:-но овари мадэ ни тайдзай суру хицуё: га аримасу.</t>
  </si>
  <si>
    <t>Ирё:кикан-но сидо: ни ёри, ирё: фо:му-о го-киню: итадакимасу.</t>
  </si>
  <si>
    <t>Фо:му ва, ню:кокуби кара 30 (саннити) инай-но тайдзай басё-о хё:дзи ситэ, бурокку даймондзи дэ го-киню: кудасай.</t>
  </si>
  <si>
    <t>Кансэй сита фо:му-о хико:ки-о ориру мадэ ни дзё:муин ни о-ватаси кудасай.</t>
  </si>
  <si>
    <t>О-тэцудаи га хицуё:на баай, мата ва бё:ки га хассэй сита баай ва, дзё:муин ни о-тадзунэ кудасай.</t>
  </si>
  <si>
    <t>Гуай-но варуй о-кякусама га ирассяимасу.</t>
  </si>
  <si>
    <t>О-кякусама-но нака дэ о-исясама, кангоси-но ката га ирассяимаситара, дзё:муин мадэ о-сирасэ кудасай.</t>
  </si>
  <si>
    <t>Кинай ку:тё: сисутэму садо: ни ёри, кинай ни суйдзё:ки га хассэй ситэ оримасу. Андзэн унко: ни мондай ва годзаимасэн нодэ, го-ансин кудасай.</t>
  </si>
  <si>
    <t>То:тяку дзикан га сэматтэ оримасу тамэ,… [выбрать необходимое]</t>
  </si>
  <si>
    <t>Сукай сёппу сё:хин хамбай</t>
  </si>
  <si>
    <t>о-сёкудзи-но го-тэйкё:</t>
  </si>
  <si>
    <t>...-о тю:дан сасэтэ итадакимасу.</t>
  </si>
  <si>
    <t>Макото-ни мо:сивакэ годзаимасэн га, тадаима о-тэараи-но кю:суй сисутэму ни фугуай га сё:дзитэ оримасу… [выбрать необходимое]</t>
  </si>
  <si>
    <t>дзэмпо:/тю:о:/ко:хо:/-но о-тэараи ва го-риё: итадакэмасэн. Дзэмпо:/тю:о:/ко:хо:/-но о-тэараи-о го-риё: кудасай.</t>
  </si>
  <si>
    <t>кинай-но о-тэараи ва субэтэ сиё: фука то наттэ оримасу нодэ,… [название аэропорта]-но [название города] …ку:ко: э тотю: ко:ки итасимасу.</t>
  </si>
  <si>
    <t>Го-мэйваку-о о-какэ симасита, минасама-но го-рикай то го-кё:рёку-о о-нэгаи мо:сиагэмасу.</t>
  </si>
  <si>
    <t>Кю:суй сисутэму-но фугуай ни ёри, ататакай о-номимоно-но го-ё:и га дэкимасэн. Цумэтай о-номимоно-о о-моти итасимасу.</t>
  </si>
  <si>
    <t>Хондзицу ва Аэрофуро:то росиа ко:ку:-о го-риё: итадаки, аригато: годзаимасу.</t>
  </si>
  <si>
    <t>Ватаси домо ва о-кякусама кара-но коэ-о синси-ни укэтомэ, са:бису кайдзэн ни якудатэтэ маиримасу.</t>
  </si>
  <si>
    <t>Анкэ:то ни го-кайто: итадаки, дзё:муин э о-ватаси итадакэрэба сайвай дэсу.</t>
  </si>
  <si>
    <t>Го-кибо:-но о-кякусама ва, о-ори-но сай ни дзё:муин мадэ о-мо:сицукэ кудасай.</t>
  </si>
  <si>
    <t>Го-кибо:-но о-кякусама ва, хико:ки-га ко:ка тайсэй ни хаиру маэ ни дзё:муин мадэ о-мо:сицукэ кудасай.</t>
  </si>
  <si>
    <t>Кинай такуси: ёяку са:бису-о го-риё: итадакэмасу. Аэрофуро:то дакэ-но токубэцу рё:кин-о го-риё: итадаку тамэ ни, такуси: дзё:сядзи ни ку:пон-о го-тэйдзи кудасай. [выбрать необходимое]</t>
  </si>
  <si>
    <t>Мэндзэйхин хамбай-о го-риё:-но о-кякусама ва, кинай дзэмпо: (тю:о:) нитэ сё:хин-о о-укэтори итадакэмасу.</t>
  </si>
  <si>
    <t>О-тэараи нитэ, табако-но кэмури га канти сарэмасита.</t>
  </si>
  <si>
    <t>Кинай э о-мотикоми ни натта аруко:ру-но сэссю ва кинси сарэтэ оримасу.</t>
  </si>
  <si>
    <t>Росиа рэмпо:  ко:ку:хо: дайхякунана дзё: ни ёри, дзё:кяку га риё: кияку-о дзюнсю синай баай, аруйва дзё:муин-но сидзи ни ситагаванай баай, ко:ку: гайся ва, дзё:кяку-но то:тяку ку:ко: то:кёку э-но хикиватаси, аруйва то:дзё: кёхи-о оконау кэнри-о моттэ оримасу.</t>
  </si>
  <si>
    <t>Риё: кияку ва кинайси «Аэрофуро:то» ни кэйсай ситэ оримасу нодэ, го-какунин кудасай.</t>
  </si>
  <si>
    <t xml:space="preserve">Андзэндзё:-но рию: дэ о-тэнимоцу-но тэнкэн-о итасимасу. О-тэнимоцу-о о-моти ни нари, хико:ки-о о-ори кудасай. </t>
  </si>
  <si>
    <t>Доната-но моно ка токутэй дэкинай о-нимоцу ва то:сай итасимасэн нодэ, го-рё:сё: кудасай.</t>
  </si>
  <si>
    <t>Го-то:дзё:-но … сама, (о-ори-но сай ни) (кякусицу дзё:муин, сёкуин) мадэ о-мо:сидэ кудасай.</t>
  </si>
  <si>
    <t>То:ки ва [пункт вылета] хацу, … [место назначения] ики, … [название авиакомпании по код-шер] то-но кё:до: унко:бин дэ годзаимасу.</t>
  </si>
  <si>
    <t>Тадаима ёри го-то:дзё:-но о-кякусама-но кадзу-о кадзоэсасэтэ итадакимасу.</t>
  </si>
  <si>
    <t>О-сэки ни о-цуки кудасаимасу ё: о-нэгаи итасимасу.</t>
  </si>
  <si>
    <t>То:ки ва мамонаку… [название аэропорта] ку:ко: кара го-то:дзё:- но о-кякусама га ирассяимасу.</t>
  </si>
  <si>
    <t>То:дзё:кэн ни кисай сарэтэ иру о-сэки ни о-цуки итадакэмасу ё: о-нэгаи итасимасу.</t>
  </si>
  <si>
    <t>Кякусицу дзё:муин-о дайхё: итасимаситэ, синнэн-но го-айсацу-о мо:сиагэмасу. Минасама-но го-кэнко: то го-сэйко:, го-тако:-о о-инори итасимасу. Хондзицу ва Аэрофуро:то росиа ко:ку:-о го-риё: итадаки, макото-ни аригато: годзаимасу.</t>
  </si>
  <si>
    <t>То:ки ни ва сакка/саккёкука/гака… [имя и фамилия человека, в честь которого названо ВС]-но намаэ га цукэрарэтэ имасу.</t>
  </si>
  <si>
    <t>Ватакуси домо (дзё:муин) ва минасама ни андзэн дэ кайтэкина сора-но таби-о о-таносими итадаку кото-о мотто: то ситэ оримасу. [выбрать из вариантов]:</t>
  </si>
  <si>
    <t>Хондзицу-но фурайто га кайтэки-ни нару ё: дзё:муин итидо: цутомэтэ маиримасу.</t>
  </si>
  <si>
    <t>Го-ё:-но сай ва о-кигару-ни о-мо:сицукэ кудасай.</t>
  </si>
  <si>
    <t>Кинай дэ юккури то о-куцуроги итадакэру ё: дзё:муин итидо: цутомэтэ маиримасу.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</si>
  <si>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</si>
  <si>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Кайтэкина сора-но таби-о о-таносими кудасай.</t>
  </si>
  <si>
    <t>Китё:-но [имя и фамилия] дэсу. (Тикадзуку) Синнэн то курисумасу о-мэдэто: годзаимасу!</t>
  </si>
  <si>
    <t>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</si>
  <si>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 [место назначения] ики, … [название авиакомпании по код-шер] то-но кё:до: унко:бин дэ годзаимасу.</t>
  </si>
  <si>
    <t>Хондзицу-но хико: дзикан ва… дзикан… фун-о ётэй ситэ оримасу.</t>
  </si>
  <si>
    <t>Кайтэкина го-рёко:-о о-таносими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</si>
  <si>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</si>
  <si>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синхаккэн-но ру:то… [пункт вылета] хацу,… [место назначения] ики,… [название авиакомпании по код-шер] то-но кё:до: унко:бин дэ годзаимасу.</t>
  </si>
  <si>
    <t>Хондзицу-но хико: дзикан ва…  дзикан… фун, кёри ва… киромэ:тору-о ётэй ситэ оримасу.</t>
  </si>
  <si>
    <t>Гэндзай, то:ки ва минасама-о дэгути ни го-аннай суру тамэ, ку:ко: то:кёку-но кёка-о маттэ оримасу. О-сэки ни суватта мама о-мати кудасай.</t>
  </si>
  <si>
    <t>О-ори-но сай ва го-аннай итасимасу.</t>
  </si>
  <si>
    <t>Китё: кара-но хо:коку ни ёримасу то, то:ки ва тю:ки кёка-о маттэ оримасу.</t>
  </si>
  <si>
    <t>Бэруто-о симэта мама дэ, о-дзасэки дэ о-мати кудасай.</t>
  </si>
  <si>
    <t>Го-мэйваку-о о-какэ ситэ мо:сивакэ годзаимасэн.</t>
  </si>
  <si>
    <t>ку:ко: кондзацу-но тамэ тякурику кёка-о маттэ оримасу;</t>
  </si>
  <si>
    <t>ку:ко: фукин-но тэнко: фудзюн ни ёри, тякурику кёка-о маттэ оримасу.</t>
  </si>
  <si>
    <t>[название аэропорта] …ку:ко: то:тяку мадэ има сибараку о-мати кудасай.</t>
  </si>
  <si>
    <t>Китё: кара-но хо:коку ни ёримасу то, то:ки ва… [выбрать необходимое]</t>
  </si>
  <si>
    <t>Бэруто-о симэ о-дзасэки ни о-цуки кудасай.</t>
  </si>
  <si>
    <t>Кю:ю ва сю:рё: итасимасита.</t>
  </si>
  <si>
    <t>То:ки ва ато… фун/пун/ходо дэ сюппацу итасимасу.</t>
  </si>
  <si>
    <t>То:ки ва тадаима нэнрё:-но хокю:-о итаситэ оримасу.</t>
  </si>
  <si>
    <t>Бэруто-о о-симэ-но мама о-сэки нитэ о-мати кудасай.</t>
  </si>
  <si>
    <t>Хидзё:гути, цу:ро ни ва нанимо о-оки ни наранай ё: о-нэгаи итасимасу.</t>
  </si>
  <si>
    <t>Нэнрё: хокю: га овари сидай, о-сирасэ итасимасу.</t>
  </si>
  <si>
    <t>[название аэропорта] …ку:ко: тэнко: фурё:-но тамэ;</t>
  </si>
  <si>
    <t>Китё: кара-но хо:коку ни ёримасу то, то:ки ва… [выбрать необходимое]:</t>
  </si>
  <si>
    <t>…тю:кидзё: ни хикикаэ симасу.</t>
  </si>
  <si>
    <t>Си:то бэруто-о о-симэ-но мама о-сэки дэ о-мати кудасай.</t>
  </si>
  <si>
    <t>Атарасий дзё:хо: га хаири сидай, го-аннай итасимасу.</t>
  </si>
  <si>
    <t>Ти:фу па:са:/китё: ёри/ го-аннай мо:си агэмасу.</t>
  </si>
  <si>
    <t>ку:ко: кондзацу ни ёри, сюппацу кёка-о маттэ иру тамэ</t>
  </si>
  <si>
    <t>…сюппацу дзикан га… дзикан… фун/пун/окурэтэ оримасу.</t>
  </si>
  <si>
    <t>То:ки ва… [указать причину]</t>
  </si>
  <si>
    <t>[название аэропорта] ку:ко: фукин тэнко: фурё:-но тамэ;</t>
  </si>
  <si>
    <t>ку:ко: то:кёку камоцу цумикоми ни дзикан-о ё: ситэ иру тамэ;</t>
  </si>
  <si>
    <t>норицуги-но о-кякусама-о о-мати ситэ иру тамэ;</t>
  </si>
  <si>
    <t>то:дзё: сарэнай о-кякусама-но нимоцу-о оросу тамэ;</t>
  </si>
  <si>
    <t>ку:ко: сёкуин суторайки-но тамэ;</t>
  </si>
  <si>
    <t>сукэдзю:ру-но хэнко: ни ёри;</t>
  </si>
  <si>
    <t>Аэрофуро:то ва сюппацу ни субэтэ-о оконаи, кидзай сэйби-но тамэ;</t>
  </si>
  <si>
    <t>ку:ко: кондзацу-но тамэ;</t>
  </si>
  <si>
    <t>си:то бэруто-о о-симэ-но мама о-сэки дэ о-мати кудасай.</t>
  </si>
  <si>
    <t>соно мама о-сэки дэ о-мати кудасай. О-номимоно (то о-сёкудзи)-о о-моти итасимасу.</t>
  </si>
  <si>
    <t>о-тэнимоцу-о о-моти ни нари, матиаи хо:ру э о-сусуми кудасай. Сюппацу га кано: ни нари сидай, то:дзё:гути э го-аннай итасимасу. То:дзё:кэн-о фунсицу сарэнай ё: го-тю:и кудасай.</t>
  </si>
  <si>
    <t>[название пункта назначения] …ку:ко: э ва, судэ-ни тиэн ни цуйтэ хо:коку ситэ оримасу нодэ, то:тякуго, о-тэцудаи-но хицуё:на о-кякусама ва о-мо:сидэ кудасай.</t>
  </si>
  <si>
    <t>[выбрать необходимое]:</t>
  </si>
  <si>
    <t>Го-то:дзё:-но минасама!</t>
  </si>
  <si>
    <t>PRAM: Хондзицу ва СукайТи:му мэмба: Аэрофуро:то росиа ко:ку:-но хико:ки  э-но го-то:дзё: макото-ни аригато: годзаимасу.</t>
  </si>
  <si>
    <t>СБ: Минасама, о-хаё: годзаимасу / коннитива / комбанва!</t>
  </si>
  <si>
    <t>Хондзицу ва СукайТи:му мэмба: Аэрофуро:то росиа ко:ку: … [выбрать необходимое]:</t>
  </si>
  <si>
    <t>эабасу сан ити кю:/сан ни дзэро/сан ни ити/самбяку сандзю:;</t>
  </si>
  <si>
    <t>бо:ингу нана сан нана/нана року нана/нана нана нана;</t>
  </si>
  <si>
    <t>су:па: дзэтто</t>
  </si>
  <si>
    <t>э-но го-то:дзё:, макото-ни аригато: годзаимасу.</t>
  </si>
  <si>
    <t>Тана кара нака-но нимоцу га отитэ кэга-о суру баай га годзаимасу нодэ, тана-о акэру токи ва го-тю:и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</si>
  <si>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</si>
  <si>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[место назначения] …ики, … [название авиакомпании по код-шер] то-но кё:до: унко:бин дэ годзаимасу.</t>
  </si>
  <si>
    <t>Коно хико:ки ва… [указать причину]</t>
  </si>
  <si>
    <t xml:space="preserve">Ватаси ва ти:фу па:са:-но… [имя] дэсу. Хондзицу ва Аэрофуро:то росиа ко:ку:-о го-риё: итадаки, макото-ни аригато: годзаимасу.
</t>
  </si>
  <si>
    <t>То:ки ни ва сакка (саккёкука, гака, кагакуся, сидзин, сикися, супо:цуман, гундзи сидо:си, утю: хико:си, пайротто, хайю:, дирэкута:, опэра касю) Арэкусандору Пусикин… [имя, фамилия]-но намаэ га цукэрарэтэ 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</si>
  <si>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</si>
  <si>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PRAM/СБ: Андзэн унко:-но тамэ, о-тэнимоцу ва маэ-но о-дзасэки-но сита ни о-оки кудасай. Каруй о-тэнимоцу номи, уэ-но тана ни о-симаи кудасай.</t>
  </si>
  <si>
    <t>Корэ ёри, кинай-но андзэн ни цуйтэ го-сэцумэй итасимасу. До:дзо го-тю:моку кудасаимасэ.</t>
  </si>
  <si>
    <t>1. Коно хико:ки ни ва, ёццу-но хидзё:гути га годзаимасу.</t>
  </si>
  <si>
    <t>4. Субэтэ-но дэгути ни ва “EXIT”-но хё:дзи га годзаимасу.</t>
  </si>
  <si>
    <t>5. Хидзё:-но сай ни ва, цу:ро-но райто га дэгути мадэ ю:до: итасимасу.</t>
  </si>
  <si>
    <t>О-тикаку-но хидзё:гути-о го-какунин кудасай.</t>
  </si>
  <si>
    <t>2.</t>
  </si>
  <si>
    <t>1. Коно хико:ки ни ва, муццу-но хидзё:гути га годзаимасу.</t>
  </si>
  <si>
    <t>3. Субэтэ-но дэгути ни  ва хидзё:ё: субэридай га со:би сарэтэ оримасу.</t>
  </si>
  <si>
    <t>1. Коно хико:ки ни ва, яццу-но хидзё:гути га годзаимасу.</t>
  </si>
  <si>
    <t>Кинай дзэмпо:-но саю: ни футацу,</t>
  </si>
  <si>
    <t>цубаса бубун-но саю: ни футацу,</t>
  </si>
  <si>
    <t>3. Субэтэ-но дэгути ни ва хидзё:ё: субэридай га со:би сарэтэ оримасу.</t>
  </si>
  <si>
    <t xml:space="preserve">тю:о:бу-но саю: ни футацу, </t>
  </si>
  <si>
    <t xml:space="preserve">цубаса бубун- но саю: ни футацу, </t>
  </si>
  <si>
    <t>цубаса бубун-но саю: ни ёццу,</t>
  </si>
  <si>
    <t xml:space="preserve">Кинай дзэмпо:-но саю: ни футацу, </t>
  </si>
  <si>
    <t xml:space="preserve">цубаса бубун-но саю: ни футацу, </t>
  </si>
  <si>
    <t>6. Кинкю: тякусуй-но сай ни ва, кинай дзэмпо:, тю:о:, ко:хо: ни ару хидзё:ё: субэридай-о бо:то то ситэ риё: итасимасу.</t>
  </si>
  <si>
    <t>6. Кинкю: тякусуй-но сай ни ва, хидзё:ё: субэридай-о бо:то то ситэ риё: итасимасу.</t>
  </si>
  <si>
    <t>1. Коно хико:ки ни ва, то:-но хидзё:гути га годзаимасу.</t>
  </si>
  <si>
    <t xml:space="preserve">Кинай  дзэмпо:-но саю: ни ёццу, </t>
  </si>
  <si>
    <t>6. Кинкю: тякусуй-но сай ни ва, кинай дзэмпо:,цубаса-но дзэмпо:, цубаса-но ко:хо:, кинай ко:хо:-но хидзё:ё: субэридай-о бо:то то ситэ риё: итасимасу.</t>
  </si>
  <si>
    <t>1.Кинай-но киацу га сагару то, дзудзё:-но панэру кара дзидо:тэки-ни сансо масуку га оритэ кимасу.</t>
  </si>
  <si>
    <t>2. Масуку-о хики, ёсэтэ кудасай.</t>
  </si>
  <si>
    <t>3. Хана то кути-но уэ кара сиккари цукэ, цу:дзё:до:ри кокю: ситэ кудасай.</t>
  </si>
  <si>
    <t>4. О-косама дзурэ-но ката ва го-дзибун-но масуку-о со:тяку сита ато, о-косама ни масуку-о со:тяку ситэ кудасай.</t>
  </si>
  <si>
    <t>1. “Си:то бэруто тякуё:” сайн га цуйтара, бэруто-о о-симэ кудасай.</t>
  </si>
  <si>
    <t>2. Канагу-о баккуру ни сасикондэ кудасай.</t>
  </si>
  <si>
    <t>3. Бэруто ва сиккари то о-симэ кудасай.</t>
  </si>
  <si>
    <t>4. Си:то бэруто-о хадзусу баай ва, баккуру-но каба:-о мотиагэтэ кудасай.</t>
  </si>
  <si>
    <t>Кинкю: тякусуй-но сай ни ва, сонаэцукэ-но кю:мэй до:и-о сиё: симасу.</t>
  </si>
  <si>
    <t>1. Кю:мэй до:и ва дзасэки-но сита ни годзаимасу.</t>
  </si>
  <si>
    <t>2. Фукуро кара торидаси, атама кара кабуттэ кудасай.</t>
  </si>
  <si>
    <t>3. Коси-но мавари ни химо-о мусуби, дзэмпо: дэ томэганэ-о томэтэ кудасай.</t>
  </si>
  <si>
    <t>4. Хико:ки-но дэгути дэ акай хикитэ-о сита ни хийтэ, кю:мэй до:и-о фукурамасэтэ кудасай.</t>
  </si>
  <si>
    <t>5. Тю:бу кара фукурамасэру кото га дэкимасу.</t>
  </si>
  <si>
    <t>6. Мидзу-но нака дэ хикару райто га цуйтэ имасу.</t>
  </si>
  <si>
    <t>7. Хико:ки-но нака дэ ва кю:мэй до:и-о фукурамасэнайдэ кудасай.</t>
  </si>
  <si>
    <t>Сё:сай ни цукимаситэ ва, минасама-но дзасэки покэтто ни хаиттэ иру “Андзэн-но сиори”-о го-какунин кудасай.</t>
  </si>
  <si>
    <t>То:ки ва мамонаку ририку итасимасу.</t>
  </si>
  <si>
    <t>О-нимоцу ва дзудзё:-но тана, мата ва маэ-но дзасэки- но асимото ни о-симаи кудасай.</t>
  </si>
  <si>
    <t>Си:то бэруто-о о-симэ кудасай.</t>
  </si>
  <si>
    <t>Дзасэки-но сэмотарэ-о мото-но ити ни модоситэ кудасай.</t>
  </si>
  <si>
    <t>Тэ:буру-о мото-но ити ни модоситэ кудасай.</t>
  </si>
  <si>
    <t>Мадо-но бурайндо-о акэтэ кудасай.</t>
  </si>
  <si>
    <t>Ририку то тякурику-но сай ни ва, кэйтай дэнва то:-но дэнси кики ва, дэнгэн-о о-кири ни нари, го-риё: ни наримасэн ё: о-нэгаи итасимасу.</t>
  </si>
  <si>
    <t>PRAM: Кинай ни о-мотикоми ни натта аруко:ру-но сэссю, дэнси табако-о фукуму кицуэн ва кинси сарэтэ оримасу.</t>
  </si>
  <si>
    <t>О-тэараи ни мо кэмури кантики га сонаэцукэрарэтэ оримасу нодэ, о-табако ва о-суи ни наримасэн ё: о-нэгаи итасимасу.</t>
  </si>
  <si>
    <t>Хико:тю: ва кинай-но сё:мэй-о кураку итасимасу. Докусёто: га годзаимасу нодэ, го-риё: кудасай.</t>
  </si>
  <si>
    <t>Андзэн унко:-но тамэ кидзай ни цуйта ко:ри-о токасу сагё:-о оконаимасу.</t>
  </si>
  <si>
    <t>Си:то бэруто-о симэта мама, о-дзасэки дэ о-мати кудасай.</t>
  </si>
  <si>
    <t>то:ки ва сюппацу кёка-о маттэ оримасу. Ато… фун ходо какару микоми дэ годзаимасу.</t>
  </si>
  <si>
    <t xml:space="preserve">СБ: Китё: кара-но хо:коку ни ёримасу то </t>
  </si>
  <si>
    <t>Субэтэ-но дэнси кики-но дэнгэн-о о-кири кудасай.</t>
  </si>
  <si>
    <t>Дзасэки-но сэмотарэ-о мото ни о-модоси кудасай.</t>
  </si>
  <si>
    <t>Тэ:буру-о о-симаи кудасай.</t>
  </si>
  <si>
    <t>Ватаси ва ти:фу па:са:-но [имя] дэсу.</t>
  </si>
  <si>
    <t>(“Кэйтай дэнва-но дэнгэн-о киру” / “Си:то бэруто тякуё:”)… сайн-но фугуай ни ёри, миссэцуни хо:до:-о канси си, дзё:муин-но сидзи ни ситагау кото-о о-нэгаи итасимасу.</t>
  </si>
  <si>
    <t>Го-тю:мон- о го-кибо:-но ката ва тякурику дзюмби ни хаиру маэ мадэ ни дзё:муин ни о-сирасэ кудасай.</t>
  </si>
  <si>
    <t>О-сёкудзи-но ато, “Сукай сёппу” сё:хин хамбай-о оконаимасу.</t>
  </si>
  <si>
    <t>“Сукай сёппу” сё:хин хамбай-о оконаимасу.</t>
  </si>
  <si>
    <t>“Сукай сёппу” катарогу-но нака ни ару тю:мон си:то-о го-киню: итадаку то, кантан-ни го-ко:ню: итадакэмасу. Синамоно ва тякурику дзюмби ни хаиру маэ мадэ ни го-ё:и итасимасу.</t>
  </si>
  <si>
    <t>Кинай энта:тэймэнто сисутэму бангумихё:  ва сасси “Синэма” дэ го-какунин итадакэмасу.</t>
  </si>
  <si>
    <t>Мо:сивакэ годзаимасэн га, гэндзай, кинай энта:тэймэнто сисутэму ни фугуай га сё:дзитэ ори, го-риё: итадакэмасэн.</t>
  </si>
  <si>
    <t>Кокоро ёри о-ваби мо:сиагэмасу.</t>
  </si>
  <si>
    <t>Ёри ёи са:бису-о мэдзаситэ, о-кякусама-но го-икэн-о о-укагаи ситэ оримасу. Анкэ:то ни го-кё:рёку итадакэру ката ва, о-коэгакэ кудасай.</t>
  </si>
  <si>
    <t>Андзэн-но тамэ, о-дзасэки ни о-цуки-но сай ва, бэруто-о о-симэ кудасаимасу ё: о-нэгаи итасимасу.</t>
  </si>
  <si>
    <t>PRAM: Бидзинэсу курасу-но о-тэараи ва кинай дзэмпо: (оёби тю:о:бу), экономи: курасу-но о-тэараи ва кинай ко:хо: (оёби тю:о:бу) ни годзаимасу.</t>
  </si>
  <si>
    <t>“Бэруто тякуё:” сайн га киэмасита. Корэ ёри, о-дзасэки кара о-тати итадакэмасу.</t>
  </si>
  <si>
    <t>Хико:тю: ни го-риё: итадакэру дэнси кики ни цукимаситэ ва, кинайси “Аэрофуро:то” дэ го-какунин итадакэмасу.</t>
  </si>
  <si>
    <t xml:space="preserve">Минасама! </t>
  </si>
  <si>
    <t>То:ки дэ ва, ю:рё:-но инта:нэтто сэцудзоку га го-риё: итадакэмасу.  «Кэйтай дэнва-но дэнгэн-о киру» сайн га киэта ато, сэцудзоку га кано: ни наримасу.</t>
  </si>
  <si>
    <t xml:space="preserve">О-кякусама-но кэйтай дэнва дэ инта:нэтто бураудза-но нака дэ Аэрофуро:то-но пандзи кара сэцудзоку га итадакэмасу. </t>
  </si>
  <si>
    <t>Риё:-но дзё:хо: то нэдан-ни тайситэ хо:му пэ:дзи кара го-какунин итадакэмасу.</t>
  </si>
  <si>
    <t xml:space="preserve">Мо:сивакэ годзаимасэн га, гэндзай кинай инта:нэтто сэцудзоку сисутэму ни фугуай га сё:дзитэ ори, го-риё: итадакэмасэн. </t>
  </si>
  <si>
    <t>Мамонаку “Сукай сёппу” сё:хин хамбай-о оконаимасу.</t>
  </si>
  <si>
    <t>СБ: Китё: кара-но хо:коку ни ёримасу то</t>
  </si>
  <si>
    <t>то:ки ва гэндзай, ко:до… мэ:тору (фи:то)-о хико:тю: дэ годзаимасу.</t>
  </si>
  <si>
    <t>Дзисоку ва майдзи… киро (майру) дэсу.</t>
  </si>
  <si>
    <t>Хико: кёри ва… киро (майру) дэсу.</t>
  </si>
  <si>
    <t>Гэндзай, [страна, город, горы, океан, море и др.] дзё:ку:-о хико:тю:  дэсу.</t>
  </si>
  <si>
    <t>… [название города]-но [название аэропорта] …ку:ко: то:тяку ва мосукува дзикан/гэнти дзикан/  годзэн/гого… [часов] дзи… [минут] фун-о ётэй ситэ оримасу. [название города] …то мосукува-но айда ни ва… [часов] дзикан-но дзиса га годзаимасу.</t>
  </si>
  <si>
    <t xml:space="preserve">Аэрофуро:то росиа ко:ку: дэ ва фури:куэнто фурайя: пурогураму тоситэ “Аэрофуро:то Бо:насу”-о  го-ё:и ситэ оримасу. Го-ню:кай итадаку то тамэта майру-о Аэрофуро:то Гуру:пу оёби СукайТи:му-но мурё: ко:ку:кэн то ко:кан ситари, тэйкэй гайся дэ-но са:бису-о укэрарэмасу.
</t>
  </si>
  <si>
    <t>Аэрофуро:то оёби СукайТи:му-но дзё:кю: кайин мукэ-но са:бису мо тасу: го-ё:и ситэ оримасу.</t>
  </si>
  <si>
    <t>Сё:сай ни цукимаситэ ва Аэрофуро:то-но хо:му пэ:дзи кара го-какунин итадакэмасу.</t>
  </si>
  <si>
    <t>То:ки ва тадаима кирю:-но варуй токоро-о цу:катю: дэ годзаимасу.</t>
  </si>
  <si>
    <t>О-сэки ни о-цуки ни нари, си:то бэруто-о о-симэ кудасай. “Бэруто тякуё:” сайн га киэру мадэ, о-сэки ни о-сувари кудасай.</t>
  </si>
  <si>
    <t>Мо:сивакэ годзаимасэн га, андзэндзё:-но рию: ни ёри, кинай са:бису-о тю:дан сасэтэ итадайтэ оримасу. Андзэн га какунин дэки, сидай са:бису-о сайкай итасимасу нодэ го-рё:сё: кудасай.</t>
  </si>
  <si>
    <t>Китё: кара хаитта хо:коку ни ёримасу то, то:ки ва тадаима кирю:-но варуй токоро-о цу:катю: дэ годзаимасу.</t>
  </si>
  <si>
    <t>Андзэн-но тамэ, кирю: га антэй суру мадэ, ататакай о-номимоно-но са:бису-о тю:си итасимасу.</t>
  </si>
  <si>
    <t>Минасама, о-хаё: годзаимасу/комбанва!</t>
  </si>
  <si>
    <t>[пункт назначения] мадэ-но хико: дзикан ва… дзикан… фун дэсу.</t>
  </si>
  <si>
    <t>Ню:коку канрикёку-но сидо: ни ёри, [название страны] дзин-но о-кякусама (игай) ва… [выбрать необходимое]:</t>
  </si>
  <si>
    <t>то:тяку ка:до</t>
  </si>
  <si>
    <t>ню:коку ка:до</t>
  </si>
  <si>
    <t>ико: ка:до</t>
  </si>
  <si>
    <t>дзэйкан синкокусё</t>
  </si>
  <si>
    <t>кэнко: сё:мэйсё</t>
  </si>
  <si>
    <t>…-о го-киню: итадакимасу.</t>
  </si>
  <si>
    <t>Фо:му ва ку:ко: дэ тэйкё сарэмасу. Бурокку тай дэ го-киню: кудасай.</t>
  </si>
  <si>
    <t>Бурокку тай дэ го-киню:-но уэ ню:коку кэнсадзё: дэ го-ё:и кудасай.</t>
  </si>
  <si>
    <t>Хико:ки-о ориру мадэ ни го-киню: кудасай.</t>
  </si>
  <si>
    <t>[Для въезда в Японию] Киню: хо:хо: ни цукимаситэ ва, кинайси “Аэрофуро:то” дэ го-какунин итадакэмасу.</t>
  </si>
  <si>
    <t>О-тэцудаи га хицуё:на баай ва, дзё:муин ни о-тадзунэ кудасай.</t>
  </si>
  <si>
    <t>О-норицуги-но о-кякусама ни го-аннай итасимасу.</t>
  </si>
  <si>
    <t>О-норицугибин ни кансуру го-сицумон ва, норицуги каунта: сёкуин мадэ о-тоиавасэ кудасай.</t>
  </si>
  <si>
    <t>О-норицуги-но о-кякусама ни го-аннай итасимасу! [выбрать необходимое]:</t>
  </si>
  <si>
    <t>… [пункт назначения] мадэ-но Аэрофуро:то-но… [номер рейса] бин сюппацу-но гэ:то га хэнко: сарэмасита. Аратана гэ:то ва… [номер выхода] бан гэ:то дэсу.</t>
  </si>
  <si>
    <t>Изменился выход на посадку на… рейс Аэрофлота/рейс… [название авиакомпании] … [номер рейса] в … [пункт назначения]. Новый выход на посадку… [номер выхода].</t>
  </si>
  <si>
    <t>Please pay attention to the departure gate change of… Aeroflot/… [название авиакомпании] flight… [номер рейса] to… [пункт назначения]. The new gate is… [номер выхода].</t>
  </si>
  <si>
    <t>Prêtez attention au changement de la sortie pour… [указать рейс/рейсы]. La sortie actuelle est… [номер выхода].</t>
  </si>
  <si>
    <t>Die Flugsteignummer für den Anschlußflug der Aeroflot… (der Fluggesellschaft…) … [номер рейса] nach… [пункт назначения] wurde abgeändert. Die neue Flugsteignummer ist Nummer… [номер выхода].</t>
  </si>
  <si>
    <t>Se cambia puerta de salida… [указать рейс/рейсы]. La nueva puerta de salida es… [номер выхода].</t>
  </si>
  <si>
    <t>请注意！俄航/… [название авиакомпании] 航班… [номер рейса]前往… [пункт назначения] 的登机口改了。新的登机口是… [номер выхода] 号。</t>
  </si>
  <si>
    <t>Qǐng zhùyì! É háng/… [название авиакомпании] hángbān… [номер рейса] qiánwǎng… [пункт назначения] de dēng jī kǒu gǎile. Xīn de dēng jī kǒu shì… [номер выхода] hào.</t>
  </si>
  <si>
    <t>рейс Аэрофлота/рейс… [название авиакомпании] … [номер рейса] в … [пункт назначения]. Новый выход на посадку… [номер выхода].</t>
  </si>
  <si>
    <t>Aeroflot/… [название авиакомпании] flight… [номер рейса] to… [пункт назначения]. The new gate is… [номер выхода].</t>
  </si>
  <si>
    <t>Le vol… [номер рейса] d’Aéroflot à destination de… [пункт назначения]. La sortie actuelle est… [номер выхода].</t>
  </si>
  <si>
    <t>Die neue Flugsteignummer für den Anschlußflug der Aeroflot… (der Fluggesellschaft…) … [номер рейса] nach… [пункт назначения] ist Nummer… [номер выхода].</t>
  </si>
  <si>
    <t>El vuelo de… [название авиакомпании] … [номер рейса]. La nueva puerta de salida es… [номер выхода].</t>
  </si>
  <si>
    <t>俄航/… [название авиакомпании] 航班… [номер рейса]前往… [пункт назначения].新的登机口是… [номер выхода] 号。</t>
  </si>
  <si>
    <t>É háng/… [название авиакомпании] hángbān… [номер рейса] qiánwǎng… [пункт назначения]. Xīn de dēng jī kǒu shì… [номер выхода] hào.</t>
  </si>
  <si>
    <t>Та:минару биру дэ, хико:ки-о о-ори-но сай ва Аэрофуро:то тидзё: сёкуин га о-норицуги бин-но гэ:то мадэ го-аннай итасимасу.</t>
  </si>
  <si>
    <t>Норицугибин-но исёкудзикан га кагирарэтэ иру нодэ, тиэн синайдэ кудасай.</t>
  </si>
  <si>
    <t xml:space="preserve">Го-сиё: ни нарарэтэ иру о-нимоцу ва, маэ-но о-дзасэки-но сита, мосикува уэ-но тана ни о-ирэ кудасаимасу ё: о-нэгаи мо:сиагэмасу. </t>
  </si>
  <si>
    <t>Китё: кара-но хо:коку ни ёримасу то, то:ки ва ато… фун (пун) го ни дзёдзё-ни ко:до-о сагэ, тякурику тайсэй э то хаиттэ маиримасу.</t>
  </si>
  <si>
    <t>Аэрофуро:то-но… [пункт назначения] мадэ-но… [номер рейса] бин-но о-норицуги-но о-кякусама ни го-аннай итасимасу!</t>
  </si>
  <si>
    <t xml:space="preserve">Китё: ёри, “Си:то бэруто тякуё:”-но сайн га тэнто: итасимасита. </t>
  </si>
  <si>
    <t>О-норицуги-но о-кякусама ва, субэтэ-но та:минару-но тидзу га кинайси “Аэрофуро:то” ни кэйсай сарэтэ оримасу нодэ го-какунин кудасай.</t>
  </si>
  <si>
    <t xml:space="preserve">… [название города]-но… [название аэропорта] ку:ко:, (для Токио дай ити) та:минару… [указать при наличии информации], … [указать при наличии информации] бан гэ:то ни то:тяку итасимасу. </t>
  </si>
  <si>
    <t>То:ки ва ко:ка тайсэй ни хаиттэ маиримасу. …фун (пун) ходо дэ…</t>
  </si>
  <si>
    <t>[название города назначения]-но тэнки ва ко:тэн/харэ/амэ/кумори то наттэ оримасу.</t>
  </si>
  <si>
    <t>Тидзё: кион ва пурасу/майнасу …до то-но хо:коку-о укэтэ оримасу.</t>
  </si>
  <si>
    <t>Тякурику ни сонаэ, кинай са:бису-о сю:рё: сасэтэ итадакимасу. Тякурику ни сай си</t>
  </si>
  <si>
    <t>мадо-но бурайндо-о о-агэ кудасай;</t>
  </si>
  <si>
    <t>о-цукаи-но о-тэнимоцу-о маэ-но дзасэки-но сита, мосикува уэ-но тана ни о-ирэ кудасай.</t>
  </si>
  <si>
    <t>тэ:буру-о о-симаи кудасай;</t>
  </si>
  <si>
    <t>сэмотарэ-но ити-о мото ни о-модоси кудасай;</t>
  </si>
  <si>
    <t>си:то бэруто-о сиккари то о-симэ кудасай;</t>
  </si>
  <si>
    <t>о-сэки ни о-цуки ни нари;</t>
  </si>
  <si>
    <t>Хико:ки га тэйси симасу мадэ-но айда, дэнки кикируй-но сиё:-о о-хикаэ кудасай.</t>
  </si>
  <si>
    <t>О-ори-но сай мо:фу то макура ва соно мама о-дзасэки ни ойтэ итадакэмасу ё: о-нэгаи итасимасу.</t>
  </si>
  <si>
    <t>Тякурику ни сай симаситэ, кинай-но сё:мэй-о кураку сасэтэ итадакимасу. Докусёто: га годзаимасу нодэ, го-риё: кудасай.</t>
  </si>
  <si>
    <t>То:ки ва мамонаку тякурику итасимасу.</t>
  </si>
  <si>
    <t>Минасама! [выбрать необходимое]:</t>
  </si>
  <si>
    <t>Мосукува э ё:косо.
То:ки ва, Сэрэмэтиэво ку:ко:, та:минару B/C/D/E/F ни то:тяку итасимасита.</t>
  </si>
  <si>
    <t>То:ки ва, [название города]-но, [название аэропорта] ку:ко:, (для Токио дай ити) та:минару… [указать] ни то:тяку итасимасита.</t>
  </si>
  <si>
    <t>Тадаима-но гэнти (мосукува) дзикан ва годзэн/гого …дзи …фун (пун) дэ годзаимасу.</t>
  </si>
  <si>
    <t>… [название города назначения]-но тэнки ва ко:тэн/харэ/амэ/кумори то наттэ оримасу.</t>
  </si>
  <si>
    <t>Тидзё: кион ва пурасу/майнасу… до то-но хо:коку-о укэтэ оримасу.</t>
  </si>
  <si>
    <t>Хондзицу-но хико: дзикан ва …дзикан …фун-о ётэй ситэ оримасу.</t>
  </si>
  <si>
    <t>[пункт назначения] …мадэ-но хико:  дзикан ва …дзикан …фун-о ётэй ситэ оримасу.</t>
  </si>
  <si>
    <t>…дзикан …фун го ни [страна, город, горы, океан, море и др.]-о цу:ка ётэй дэ годзаимасу.</t>
  </si>
  <si>
    <t>Андзэн какухо-но тамэ, “Бэруто тякуё:”-но сайн га киэмасу мадэ-но айда, о-сэки ни о-цуки-но мама дзасэки бэруто-о о-симэоки кудасай.</t>
  </si>
  <si>
    <t>О-ори-но сай ва о-васурэмоно-но най ё: го-тю:и кудасай.</t>
  </si>
  <si>
    <t>Бидзинэсу курасу-но о-кякусама ни саки-ни оритэ итадаку тамэ, о-сэки ни цуйта мама дэ о-мати кудасай.</t>
  </si>
  <si>
    <t>Рэнта ка:-но хицуё: га арэба, Аэрофуро:то-но о-кякусама то Аэрофуро:то бо:насу-но дзё:кю:кайин мукэ-но токубэцу рё:кин-о го-риё: итадаку тамэ ни,… ку:ко:-но ё:роппака: каунта: ни о-тадзунэ кудасай.</t>
  </si>
  <si>
    <t>Хико:ки га окурэ, минасама ни го-мэйваку-о о-какэ симасита кото, касанэтэ кокоро ёри о-ваби мо:сиагэмасу.</t>
  </si>
  <si>
    <t>Хондзицу-но минасама-но фурайто га кайтэкина моно дэ атта кото, кокоро ёри нэгаттэ оримасу. Мата минасама то кинай дэ о-аидэкиру кото-о кокоро ёри о-мати мо:сиагэтэ оримасу.</t>
  </si>
  <si>
    <t>Саё:нара!</t>
  </si>
  <si>
    <t>[пункт назначения] мадэ-но о-кякусама ва, о-тэнимоцу-о о-моти-но уэ, иттан хико:ки-о оритэ итадаки, матиаи хо:ру нитэ о-мати кудасай. Сэрэмэтиэво ку:ко: нитэ, кидзай оёби дзё:муин-но ко:тай га годзаимасу.</t>
  </si>
  <si>
    <t>О-мати итадаку дзикан ва …дзикан …фун (пун) дэ годзаимасу.</t>
  </si>
  <si>
    <t>Аригато: годзаимасу.</t>
  </si>
  <si>
    <t>То:ки ва мада идо: итасимасу.</t>
  </si>
  <si>
    <t>Андзэн-но тамэ, “Бэруто тякуё:” сайн га киэру мадэ бэруто-о о-симэ ни нари, о-сэки нитэ о-мати кудасай.</t>
  </si>
  <si>
    <t>То:ки ва будзи то:тяку итасимасита.</t>
  </si>
  <si>
    <t>Дзё:муин итидо:-о дайхё: си, СукайТи:му мэмба: Аэрофуро:то росиа ко:ку: нарабини… [название авиакомпании по код-шер]-о го-риё: итадайта минасама ни онрэй мо:сиагэмасу.</t>
  </si>
  <si>
    <t>Ёи итинити-о о-сугоси кудасай.</t>
  </si>
  <si>
    <t>СБ: Le commandant nous informe que notre vol est terminé. De la part de l'équipage le commandant vous remercíe d'avoir choisi “Aéroflot – Russian Airlines”, membre de SkyTeam (et… [название авиакомпании по код-шер]) et vous souhaite une agréable journée/soirée.</t>
  </si>
  <si>
    <t>Мамонаку, басу нитэ минасама-о та:минару биру мадэ го-аннай итасимасу.</t>
  </si>
  <si>
    <t>О-асимото ни о-ки-о цукэ ни нари, кайдан-о о-ори кудасай.</t>
  </si>
  <si>
    <t>Хико:ки-о орита ато, гэ:то ни идо: ситэ, та:минару биру мадэ-но басу ни нору тамэ ни кайдан-о о-ори кудасай.</t>
  </si>
  <si>
    <t>Ню:коку канрикёку-но сидо: ни ёри, хико:ки-о ориру сай ни пасупо:то текку-о оконаимасу.</t>
  </si>
  <si>
    <t>О-тэмото-ни пасупо:то-о го-ё:и кудасай.</t>
  </si>
  <si>
    <t>Минасама, о-матасэ итасимасита!</t>
  </si>
  <si>
    <t>О-дэгути ва [выбрать необходимое]:</t>
  </si>
  <si>
    <t>кинай дзэмпо:</t>
  </si>
  <si>
    <t>кинай тю:о:</t>
  </si>
  <si>
    <t>кинай дзэмпо: оёби тю:о:</t>
  </si>
  <si>
    <t>кинай дзэмпо: оёби ко:хо:</t>
  </si>
  <si>
    <t>…ни годзаимасу.</t>
  </si>
  <si>
    <t xml:space="preserve">О-норицуги-но о-кякусама га ирассяимасу. [название пункта назначения] …юки-но о-кякусама ни саки-ни оритэ итадаку тамэ, о-сэки ни цуйта мама дэ о-мати кудасай. </t>
  </si>
  <si>
    <t>…сюппацу га окурэ, минасама ни го-мэйваку-о о-какэ симасита кото, о-ваби мо:сиагэмасу.</t>
  </si>
  <si>
    <t>Минасама, о-хаё: годзаимасу/коннитива/комбанва!</t>
  </si>
  <si>
    <t>ко:хо:-но саю: ни футацу годзаимасу.</t>
  </si>
  <si>
    <t>кинай ко:хо:-но саю: ни ёццу годзаимасу.</t>
  </si>
  <si>
    <t>СБ: Кинай ни о-мотикоми ни натта аруко:ру-но сэссю, дэнси табако-о фукуму кицуэн ва кинси сарэтэ оримасу.</t>
  </si>
  <si>
    <t>сюппацу ку:ко: / то:тяку ку:ко: / цу:ка титэн / тэнко: фурё:-но тамэ;</t>
  </si>
  <si>
    <t>ку:ко: то:кёку сюппацу дзюмби-но тамэ;</t>
  </si>
  <si>
    <t>о-норицуги-но о-кякусама-о о-мати ситэ иру тамэ;</t>
  </si>
  <si>
    <t>дзэмбин-но то:тяку окурэ-но тамэ;</t>
  </si>
  <si>
    <t>ку:ко: кондзацу ни ёри сюппацу кёка-о маттэ иру тамэ;</t>
  </si>
  <si>
    <t>кэйсёку</t>
  </si>
  <si>
    <t>тё:сёку</t>
  </si>
  <si>
    <t>тю:сёку</t>
  </si>
  <si>
    <t>ю:сёку</t>
  </si>
  <si>
    <t>…то о-номимоно-о о-моти итасимасу.</t>
  </si>
  <si>
    <t>Сюппацуго,… [выбрать необходимое]</t>
  </si>
  <si>
    <t>то… [выбрать 2-й рацион питания]</t>
  </si>
  <si>
    <t>…-о го-ё:и итасимасу.</t>
  </si>
  <si>
    <t>Хико:тю:… [выбрать 1-й рацион питания]</t>
  </si>
  <si>
    <t>…-о о-моти итасимасу.</t>
  </si>
  <si>
    <t>Тадаима ёри,… [выбрать необходимое]:</t>
  </si>
  <si>
    <t>color_ID</t>
  </si>
  <si>
    <t>language_Name</t>
  </si>
  <si>
    <t>R</t>
  </si>
  <si>
    <t>G</t>
  </si>
  <si>
    <t>B</t>
  </si>
  <si>
    <t>Noname</t>
  </si>
</sst>
</file>

<file path=xl/styles.xml><?xml version="1.0" encoding="utf-8"?>
<styleSheet xmlns="http://schemas.openxmlformats.org/spreadsheetml/2006/main" xmlns:mc="http://schemas.openxmlformats.org/markup-compatibility/2006" xmlns:x14ac="http://schemas.microsoft.com/office/spreadsheetml/2009/9/ac" mc:Ignorable="x14ac">
  <fonts count="36" x14ac:knownFonts="1">
    <font>
      <sz val="11"/>
      <color theme="1"/>
      <name val="Calibri"/>
      <family val="2"/>
      <charset val="204"/>
      <scheme val="minor"/>
    </font>
    <font>
      <b/>
      <sz val="11"/>
      <color theme="1"/>
      <name val="Calibri"/>
      <family val="2"/>
      <charset val="204"/>
      <scheme val="minor"/>
    </font>
    <font>
      <b/>
      <sz val="11"/>
      <color theme="2" tint="-0.249977111117893"/>
      <name val="Calibri"/>
      <family val="2"/>
      <charset val="204"/>
      <scheme val="minor"/>
    </font>
    <font>
      <b/>
      <sz val="11"/>
      <color theme="3" tint="0.39997558519241921"/>
      <name val="Calibri"/>
      <family val="2"/>
      <charset val="204"/>
      <scheme val="minor"/>
    </font>
    <font>
      <sz val="11"/>
      <color theme="3" tint="0.39997558519241921"/>
      <name val="Calibri"/>
      <family val="2"/>
      <charset val="204"/>
      <scheme val="minor"/>
    </font>
    <font>
      <b/>
      <sz val="11"/>
      <color theme="5" tint="-0.249977111117893"/>
      <name val="Calibri"/>
      <family val="2"/>
      <charset val="204"/>
      <scheme val="minor"/>
    </font>
    <font>
      <sz val="11"/>
      <color theme="5" tint="-0.249977111117893"/>
      <name val="Calibri"/>
      <family val="2"/>
      <charset val="204"/>
      <scheme val="minor"/>
    </font>
    <font>
      <b/>
      <sz val="11"/>
      <color theme="6" tint="-0.249977111117893"/>
      <name val="Calibri"/>
      <family val="2"/>
      <charset val="204"/>
      <scheme val="minor"/>
    </font>
    <font>
      <sz val="11"/>
      <color theme="6" tint="-0.249977111117893"/>
      <name val="Calibri"/>
      <family val="2"/>
      <charset val="204"/>
      <scheme val="minor"/>
    </font>
    <font>
      <b/>
      <sz val="11"/>
      <color theme="9" tint="-0.499984740745262"/>
      <name val="Calibri"/>
      <family val="2"/>
      <charset val="204"/>
      <scheme val="minor"/>
    </font>
    <font>
      <sz val="11"/>
      <color theme="9" tint="-0.499984740745262"/>
      <name val="Calibri"/>
      <family val="2"/>
      <charset val="204"/>
      <scheme val="minor"/>
    </font>
    <font>
      <sz val="11"/>
      <color theme="2" tint="-0.249977111117893"/>
      <name val="Calibri"/>
      <family val="2"/>
      <charset val="204"/>
      <scheme val="min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8"/>
      <color theme="1"/>
      <name val="Calibri"/>
      <family val="2"/>
      <charset val="204"/>
      <scheme val="minor"/>
    </font>
    <font>
      <b/>
      <i/>
      <sz val="11"/>
      <color theme="1" tint="0.499984740745262"/>
      <name val="Calibri"/>
      <family val="2"/>
      <charset val="204"/>
      <scheme val="minor"/>
    </font>
    <font>
      <b/>
      <sz val="11"/>
      <color theme="4"/>
      <name val="Calibri"/>
      <family val="2"/>
      <charset val="204"/>
      <scheme val="minor"/>
    </font>
    <font>
      <b/>
      <sz val="11"/>
      <name val="Calibri"/>
      <family val="2"/>
      <charset val="204"/>
      <scheme val="minor"/>
    </font>
    <font>
      <sz val="11"/>
      <color rgb="FF000000"/>
      <name val="Calibri"/>
      <family val="2"/>
      <charset val="204"/>
      <scheme val="minor"/>
    </font>
    <font>
      <sz val="11"/>
      <color rgb="FF538DD5"/>
      <name val="Calibri"/>
      <family val="2"/>
      <charset val="204"/>
      <scheme val="minor"/>
    </font>
    <font>
      <sz val="11"/>
      <color rgb="FF963634"/>
      <name val="Calibri"/>
      <family val="2"/>
      <charset val="204"/>
      <scheme val="minor"/>
    </font>
    <font>
      <sz val="11"/>
      <color rgb="FF76933C"/>
      <name val="Calibri"/>
      <family val="2"/>
      <charset val="204"/>
      <scheme val="minor"/>
    </font>
    <font>
      <sz val="11"/>
      <color rgb="FF974706"/>
      <name val="Calibri"/>
      <family val="2"/>
      <charset val="204"/>
      <scheme val="minor"/>
    </font>
    <font>
      <sz val="11"/>
      <color rgb="FF8018C0"/>
      <name val="Calibri"/>
      <family val="2"/>
      <charset val="204"/>
      <scheme val="minor"/>
    </font>
    <font>
      <sz val="11"/>
      <color rgb="FF00A09C"/>
      <name val="Calibri"/>
      <family val="2"/>
      <charset val="204"/>
      <scheme val="minor"/>
    </font>
    <font>
      <sz val="11"/>
      <color rgb="FF187820"/>
      <name val="Calibri"/>
      <family val="2"/>
      <charset val="204"/>
      <scheme val="minor"/>
    </font>
    <font>
      <sz val="11"/>
      <color rgb="FF665000"/>
      <name val="Calibri"/>
      <family val="2"/>
      <charset val="204"/>
      <scheme val="minor"/>
    </font>
    <font>
      <sz val="11"/>
      <color rgb="FF000000"/>
      <name val="Times New Roman"/>
      <family val="1"/>
      <charset val="204"/>
    </font>
    <font>
      <sz val="11"/>
      <color rgb="FF963634"/>
      <name val="Calibri"/>
      <family val="2"/>
      <charset val="204"/>
    </font>
    <font>
      <sz val="11"/>
      <color rgb="FF974706"/>
      <name val="Calibri"/>
      <family val="2"/>
      <charset val="204"/>
    </font>
    <font>
      <sz val="11"/>
      <color rgb="FF8018C0"/>
      <name val="Arial Unicode MS"/>
      <family val="2"/>
    </font>
    <font>
      <sz val="9.9"/>
      <color rgb="FF8018C0"/>
      <name val="Calibri"/>
      <family val="2"/>
      <charset val="204"/>
    </font>
    <font>
      <sz val="11"/>
      <color rgb="FF8018C0"/>
      <name val="Arial Unicode MS"/>
      <family val="2"/>
      <charset val="128"/>
    </font>
    <font>
      <sz val="11"/>
      <color rgb="FF8018C0"/>
      <name val="Calibri"/>
      <family val="2"/>
      <charset val="204"/>
    </font>
    <font>
      <sz val="11"/>
      <color rgb="FF665000"/>
      <name val="Calibri"/>
      <family val="2"/>
      <charset val="204"/>
      <scheme val="minor"/>
    </font>
  </fonts>
  <fills count="6">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0" tint="-0.14996795556505021"/>
        <bgColor indexed="64"/>
      </patternFill>
    </fill>
    <fill>
      <patternFill patternType="solid">
        <fgColor theme="3" tint="0.79998168889431442"/>
        <bgColor indexed="64"/>
      </patternFill>
    </fill>
  </fills>
  <borders count="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thin">
        <color theme="0" tint="-0.499984740745262"/>
      </bottom>
      <diagonal/>
    </border>
    <border>
      <left/>
      <right style="medium">
        <color indexed="64"/>
      </right>
      <top/>
      <bottom/>
      <diagonal/>
    </border>
  </borders>
  <cellStyleXfs count="6">
    <xf numFmtId="0" fontId="0" fillId="0" borderId="0">
      <alignment vertical="top"/>
    </xf>
    <xf numFmtId="0" fontId="12" fillId="0" borderId="1" applyNumberFormat="0" applyFill="0" applyProtection="0"/>
    <xf numFmtId="0" fontId="13" fillId="0" borderId="2" applyNumberFormat="0" applyFill="0" applyProtection="0"/>
    <xf numFmtId="0" fontId="14" fillId="0" borderId="3" applyNumberFormat="0" applyFill="0" applyProtection="0"/>
    <xf numFmtId="49" fontId="17" fillId="5" borderId="4">
      <alignment vertical="top" wrapText="1"/>
    </xf>
    <xf numFmtId="49" fontId="16" fillId="4" borderId="4">
      <alignment vertical="top"/>
    </xf>
  </cellStyleXfs>
  <cellXfs count="88">
    <xf numFmtId="0" fontId="0" fillId="0" borderId="0" xfId="0">
      <alignment vertical="top"/>
    </xf>
    <xf numFmtId="0" fontId="2" fillId="2" borderId="5" xfId="0" applyFont="1" applyFill="1" applyBorder="1" applyAlignment="1" applyProtection="1">
      <alignment vertical="top"/>
      <protection locked="0"/>
    </xf>
    <xf numFmtId="0" fontId="2" fillId="2" borderId="0" xfId="0" applyFont="1" applyFill="1" applyAlignment="1" applyProtection="1">
      <alignment vertical="top"/>
      <protection locked="0"/>
    </xf>
    <xf numFmtId="49" fontId="18" fillId="2" borderId="0" xfId="0" applyNumberFormat="1" applyFont="1" applyFill="1" applyAlignment="1" applyProtection="1">
      <alignment vertical="top"/>
      <protection locked="0"/>
    </xf>
    <xf numFmtId="49" fontId="3" fillId="2" borderId="0" xfId="0" applyNumberFormat="1" applyFont="1" applyFill="1" applyAlignment="1" applyProtection="1">
      <alignment vertical="top"/>
      <protection locked="0"/>
    </xf>
    <xf numFmtId="49" fontId="5" fillId="2" borderId="0" xfId="0" applyNumberFormat="1" applyFont="1" applyFill="1" applyAlignment="1" applyProtection="1">
      <alignment vertical="top"/>
      <protection locked="0"/>
    </xf>
    <xf numFmtId="49" fontId="7" fillId="2" borderId="0" xfId="0" applyNumberFormat="1" applyFont="1" applyFill="1" applyAlignment="1" applyProtection="1">
      <alignment vertical="top"/>
      <protection locked="0"/>
    </xf>
    <xf numFmtId="49" fontId="9" fillId="2" borderId="0" xfId="0" applyNumberFormat="1" applyFont="1" applyFill="1" applyAlignment="1" applyProtection="1">
      <alignment vertical="top"/>
      <protection locked="0"/>
    </xf>
    <xf numFmtId="0" fontId="1" fillId="2" borderId="0" xfId="0" applyFont="1" applyFill="1" applyAlignment="1" applyProtection="1">
      <alignment vertical="top"/>
      <protection locked="0"/>
    </xf>
    <xf numFmtId="0" fontId="15" fillId="0" borderId="5" xfId="0" applyFont="1" applyFill="1" applyBorder="1" applyAlignment="1" applyProtection="1">
      <alignment vertical="top" wrapText="1"/>
      <protection locked="0"/>
    </xf>
    <xf numFmtId="0" fontId="0" fillId="0" borderId="0" xfId="0" applyFont="1" applyFill="1" applyAlignment="1" applyProtection="1">
      <alignment vertical="top" wrapText="1"/>
      <protection locked="0"/>
    </xf>
    <xf numFmtId="0" fontId="12" fillId="0" borderId="1" xfId="1" applyProtection="1">
      <protection locked="0"/>
    </xf>
    <xf numFmtId="0" fontId="11" fillId="3" borderId="0" xfId="0" applyFont="1" applyFill="1" applyAlignment="1" applyProtection="1">
      <alignment vertical="top" wrapText="1"/>
      <protection locked="0"/>
    </xf>
    <xf numFmtId="0" fontId="0" fillId="3" borderId="0" xfId="0" applyFill="1" applyAlignment="1" applyProtection="1">
      <alignment vertical="top" wrapText="1"/>
      <protection locked="0"/>
    </xf>
    <xf numFmtId="0" fontId="0" fillId="0" borderId="0" xfId="0" applyAlignment="1" applyProtection="1">
      <alignment vertical="top" wrapText="1"/>
      <protection locked="0"/>
    </xf>
    <xf numFmtId="49" fontId="0" fillId="0" borderId="0" xfId="0" applyNumberFormat="1" applyFont="1" applyAlignment="1" applyProtection="1">
      <alignment vertical="top" wrapText="1"/>
      <protection locked="0"/>
    </xf>
    <xf numFmtId="49" fontId="4" fillId="0" borderId="0" xfId="0" applyNumberFormat="1" applyFont="1" applyAlignment="1" applyProtection="1">
      <alignment vertical="top" wrapText="1"/>
      <protection locked="0"/>
    </xf>
    <xf numFmtId="49" fontId="6" fillId="0" borderId="0" xfId="0" applyNumberFormat="1" applyFont="1" applyAlignment="1" applyProtection="1">
      <alignment vertical="top" wrapText="1"/>
      <protection locked="0"/>
    </xf>
    <xf numFmtId="49" fontId="8" fillId="0" borderId="0" xfId="0" applyNumberFormat="1" applyFont="1" applyAlignment="1" applyProtection="1">
      <alignment vertical="top" wrapText="1"/>
      <protection locked="0"/>
    </xf>
    <xf numFmtId="49" fontId="10" fillId="0" borderId="0" xfId="0" applyNumberFormat="1" applyFont="1" applyAlignment="1" applyProtection="1">
      <alignment vertical="top" wrapText="1"/>
      <protection locked="0"/>
    </xf>
    <xf numFmtId="0" fontId="0" fillId="0" borderId="0" xfId="0" applyFill="1" applyAlignment="1" applyProtection="1">
      <alignment vertical="top" wrapText="1"/>
      <protection locked="0"/>
    </xf>
    <xf numFmtId="49" fontId="0" fillId="0" borderId="0" xfId="0" applyNumberFormat="1" applyFont="1" applyFill="1" applyAlignment="1" applyProtection="1">
      <alignment vertical="top" wrapText="1"/>
      <protection locked="0"/>
    </xf>
    <xf numFmtId="49" fontId="4" fillId="0" borderId="0" xfId="0" applyNumberFormat="1" applyFont="1" applyFill="1" applyAlignment="1" applyProtection="1">
      <alignment vertical="top" wrapText="1"/>
      <protection locked="0"/>
    </xf>
    <xf numFmtId="49" fontId="6" fillId="0" borderId="0" xfId="0" applyNumberFormat="1" applyFont="1" applyFill="1" applyAlignment="1" applyProtection="1">
      <alignment vertical="top" wrapText="1"/>
      <protection locked="0"/>
    </xf>
    <xf numFmtId="49" fontId="8" fillId="0" borderId="0" xfId="0" applyNumberFormat="1" applyFont="1" applyFill="1" applyAlignment="1" applyProtection="1">
      <alignment vertical="top" wrapText="1"/>
      <protection locked="0"/>
    </xf>
    <xf numFmtId="49" fontId="10" fillId="0" borderId="0" xfId="0" applyNumberFormat="1" applyFont="1" applyFill="1" applyAlignment="1" applyProtection="1">
      <alignment vertical="top" wrapText="1"/>
      <protection locked="0"/>
    </xf>
    <xf numFmtId="0" fontId="15" fillId="0" borderId="5" xfId="0" applyFont="1" applyBorder="1" applyAlignment="1" applyProtection="1">
      <alignment vertical="top" wrapText="1"/>
      <protection locked="0"/>
    </xf>
    <xf numFmtId="0" fontId="2" fillId="2" borderId="0" xfId="0" applyFont="1" applyFill="1" applyAlignment="1" applyProtection="1">
      <alignment vertical="top"/>
    </xf>
    <xf numFmtId="0" fontId="0" fillId="0" borderId="0" xfId="0" applyFont="1" applyFill="1" applyAlignment="1" applyProtection="1">
      <alignment vertical="top" wrapText="1"/>
    </xf>
    <xf numFmtId="0" fontId="12" fillId="0" borderId="1" xfId="1" applyProtection="1"/>
    <xf numFmtId="0" fontId="0" fillId="0" borderId="0" xfId="0" applyAlignment="1" applyProtection="1">
      <alignment vertical="top" wrapText="1"/>
    </xf>
    <xf numFmtId="0" fontId="0" fillId="0" borderId="0" xfId="0" applyFill="1" applyAlignment="1" applyProtection="1">
      <alignment vertical="top" wrapText="1"/>
    </xf>
    <xf numFmtId="0" fontId="0" fillId="0" borderId="0" xfId="0" applyFont="1" applyAlignment="1" applyProtection="1">
      <alignment vertical="top" wrapText="1"/>
    </xf>
    <xf numFmtId="0" fontId="19" fillId="0" borderId="0" xfId="0" applyFont="1" applyAlignment="1" applyProtection="1">
      <alignment wrapText="1"/>
      <protection locked="0"/>
    </xf>
    <xf numFmtId="0" fontId="20" fillId="0" borderId="0" xfId="0" applyFont="1" applyAlignment="1" applyProtection="1">
      <alignment wrapText="1"/>
      <protection locked="0"/>
    </xf>
    <xf numFmtId="0" fontId="21" fillId="0" borderId="0" xfId="0" applyFont="1" applyAlignment="1" applyProtection="1">
      <alignment wrapText="1"/>
      <protection locked="0"/>
    </xf>
    <xf numFmtId="0" fontId="22" fillId="0" borderId="0" xfId="0" applyFont="1" applyAlignment="1" applyProtection="1">
      <alignment wrapText="1"/>
      <protection locked="0"/>
    </xf>
    <xf numFmtId="0" fontId="23" fillId="0" borderId="0" xfId="0" applyFont="1" applyAlignment="1" applyProtection="1">
      <alignment wrapText="1"/>
      <protection locked="0"/>
    </xf>
    <xf numFmtId="0" fontId="26" fillId="0" borderId="0" xfId="0" applyFont="1" applyAlignment="1" applyProtection="1">
      <alignment wrapText="1"/>
      <protection locked="0"/>
    </xf>
    <xf numFmtId="0" fontId="24" fillId="0" borderId="0" xfId="0" applyFont="1" applyAlignment="1" applyProtection="1">
      <alignment wrapText="1"/>
      <protection locked="0"/>
    </xf>
    <xf numFmtId="0" fontId="27" fillId="0" borderId="0" xfId="0" applyFont="1" applyAlignment="1" applyProtection="1">
      <alignment wrapText="1"/>
      <protection locked="0"/>
    </xf>
    <xf numFmtId="0" fontId="25" fillId="0" borderId="0" xfId="0" applyFont="1" applyAlignment="1" applyProtection="1">
      <alignment wrapText="1"/>
      <protection locked="0"/>
    </xf>
    <xf numFmtId="0" fontId="19" fillId="0" borderId="0" xfId="0" applyFont="1" applyAlignment="1">
      <alignment vertical="top" wrapText="1"/>
    </xf>
    <xf numFmtId="0" fontId="20" fillId="0" borderId="0" xfId="0" applyFont="1" applyAlignment="1">
      <alignment vertical="top" wrapText="1"/>
    </xf>
    <xf numFmtId="0" fontId="21" fillId="0" borderId="0" xfId="0" applyFont="1" applyAlignment="1">
      <alignment vertical="top" wrapText="1"/>
    </xf>
    <xf numFmtId="0" fontId="22" fillId="0" borderId="0" xfId="0" applyFont="1" applyAlignment="1">
      <alignment vertical="top" wrapText="1"/>
    </xf>
    <xf numFmtId="0" fontId="23" fillId="0" borderId="0" xfId="0" applyFont="1" applyAlignment="1">
      <alignment vertical="top" wrapText="1"/>
    </xf>
    <xf numFmtId="0" fontId="26" fillId="0" borderId="0" xfId="0" applyFont="1" applyAlignment="1">
      <alignment vertical="top" wrapText="1"/>
    </xf>
    <xf numFmtId="0" fontId="24" fillId="0" borderId="0" xfId="0" applyFont="1" applyAlignment="1">
      <alignment vertical="top" wrapText="1"/>
    </xf>
    <xf numFmtId="0" fontId="27" fillId="0" borderId="0" xfId="0" applyFont="1" applyAlignment="1">
      <alignment vertical="top" wrapText="1"/>
    </xf>
    <xf numFmtId="0" fontId="25" fillId="0" borderId="0" xfId="0" applyFont="1" applyAlignment="1">
      <alignment vertical="top" wrapText="1"/>
    </xf>
    <xf numFmtId="0" fontId="13" fillId="0" borderId="2" xfId="2" applyAlignment="1" applyProtection="1"/>
    <xf numFmtId="49" fontId="13" fillId="0" borderId="2" xfId="2" applyNumberFormat="1" applyAlignment="1" applyProtection="1">
      <protection locked="0"/>
    </xf>
    <xf numFmtId="49" fontId="17" fillId="5" borderId="4" xfId="4" applyAlignment="1">
      <alignment vertical="top"/>
    </xf>
    <xf numFmtId="0" fontId="13" fillId="0" borderId="2" xfId="2" applyAlignment="1"/>
    <xf numFmtId="0" fontId="14" fillId="0" borderId="3" xfId="3" applyAlignment="1"/>
    <xf numFmtId="0" fontId="0" fillId="0" borderId="0" xfId="0" applyAlignment="1">
      <alignment vertical="top"/>
    </xf>
    <xf numFmtId="0" fontId="13" fillId="0" borderId="2" xfId="2" applyAlignment="1" applyProtection="1">
      <protection locked="0"/>
    </xf>
    <xf numFmtId="49" fontId="16" fillId="4" borderId="4" xfId="5" applyAlignment="1">
      <alignment vertical="top"/>
    </xf>
    <xf numFmtId="0" fontId="0" fillId="0" borderId="0" xfId="0" applyFont="1" applyAlignment="1">
      <alignment vertical="top" wrapText="1"/>
    </xf>
    <xf numFmtId="0" fontId="0" fillId="0" borderId="0" xfId="0" applyFont="1" applyAlignment="1">
      <alignment vertical="top"/>
    </xf>
    <xf numFmtId="49" fontId="19" fillId="0" borderId="0" xfId="0" applyNumberFormat="1" applyFont="1" applyAlignment="1">
      <alignment vertical="top" wrapText="1"/>
    </xf>
    <xf numFmtId="49" fontId="20" fillId="0" borderId="0" xfId="0" applyNumberFormat="1" applyFont="1" applyAlignment="1">
      <alignment vertical="top" wrapText="1"/>
    </xf>
    <xf numFmtId="49" fontId="21" fillId="0" borderId="0" xfId="0" applyNumberFormat="1" applyFont="1" applyAlignment="1">
      <alignment vertical="top" wrapText="1"/>
    </xf>
    <xf numFmtId="49" fontId="22" fillId="0" borderId="0" xfId="0" applyNumberFormat="1" applyFont="1" applyAlignment="1">
      <alignment vertical="top" wrapText="1"/>
    </xf>
    <xf numFmtId="49" fontId="23" fillId="0" borderId="0" xfId="0" applyNumberFormat="1" applyFont="1" applyAlignment="1">
      <alignment vertical="top" wrapText="1"/>
    </xf>
    <xf numFmtId="49" fontId="12" fillId="0" borderId="1" xfId="1" applyNumberFormat="1" applyProtection="1">
      <protection locked="0"/>
    </xf>
    <xf numFmtId="49" fontId="17" fillId="5" borderId="4" xfId="4" applyNumberFormat="1" applyAlignment="1">
      <alignment vertical="top"/>
    </xf>
    <xf numFmtId="49" fontId="13" fillId="0" borderId="2" xfId="2" applyNumberFormat="1" applyAlignment="1"/>
    <xf numFmtId="49" fontId="16" fillId="4" borderId="4" xfId="5" applyNumberFormat="1" applyAlignment="1">
      <alignment vertical="top"/>
    </xf>
    <xf numFmtId="49" fontId="14" fillId="0" borderId="3" xfId="3" applyNumberFormat="1" applyAlignment="1"/>
    <xf numFmtId="49" fontId="26" fillId="0" borderId="0" xfId="0" applyNumberFormat="1" applyFont="1" applyAlignment="1">
      <alignment vertical="top" wrapText="1"/>
    </xf>
    <xf numFmtId="49" fontId="24" fillId="0" borderId="0" xfId="0" applyNumberFormat="1" applyFont="1" applyAlignment="1">
      <alignment vertical="top" wrapText="1"/>
    </xf>
    <xf numFmtId="49" fontId="27" fillId="0" borderId="0" xfId="0" applyNumberFormat="1" applyFont="1" applyAlignment="1">
      <alignment vertical="top" wrapText="1"/>
    </xf>
    <xf numFmtId="49" fontId="25" fillId="0" borderId="0" xfId="0" applyNumberFormat="1" applyFont="1" applyAlignment="1">
      <alignment vertical="top" wrapText="1"/>
    </xf>
    <xf numFmtId="0" fontId="21" fillId="0" borderId="0" xfId="0" quotePrefix="1" applyFont="1" applyAlignment="1">
      <alignment vertical="top" wrapText="1"/>
    </xf>
    <xf numFmtId="49" fontId="27" fillId="0" borderId="0" xfId="0" applyNumberFormat="1" applyFont="1" applyAlignment="1" applyProtection="1">
      <alignment vertical="top" wrapText="1"/>
      <protection locked="0"/>
    </xf>
    <xf numFmtId="49" fontId="35" fillId="0" borderId="0" xfId="0" applyNumberFormat="1" applyFont="1" applyAlignment="1" applyProtection="1">
      <alignment vertical="top" wrapText="1"/>
      <protection locked="0"/>
    </xf>
    <xf numFmtId="0" fontId="1" fillId="0" borderId="0" xfId="0" applyFont="1" applyAlignment="1">
      <alignment vertical="top"/>
    </xf>
    <xf numFmtId="0" fontId="19" fillId="0" borderId="0" xfId="0" applyFont="1">
      <alignment vertical="top"/>
    </xf>
    <xf numFmtId="0" fontId="20" fillId="0" borderId="0" xfId="0" applyFont="1">
      <alignment vertical="top"/>
    </xf>
    <xf numFmtId="0" fontId="21" fillId="0" borderId="0" xfId="0" applyFont="1">
      <alignment vertical="top"/>
    </xf>
    <xf numFmtId="0" fontId="22" fillId="0" borderId="0" xfId="0" applyFont="1">
      <alignment vertical="top"/>
    </xf>
    <xf numFmtId="0" fontId="23" fillId="0" borderId="0" xfId="0" applyFont="1">
      <alignment vertical="top"/>
    </xf>
    <xf numFmtId="0" fontId="26" fillId="0" borderId="0" xfId="0" applyFont="1">
      <alignment vertical="top"/>
    </xf>
    <xf numFmtId="0" fontId="24" fillId="0" borderId="0" xfId="0" applyFont="1">
      <alignment vertical="top"/>
    </xf>
    <xf numFmtId="0" fontId="27" fillId="0" borderId="0" xfId="0" applyFont="1">
      <alignment vertical="top"/>
    </xf>
    <xf numFmtId="0" fontId="25" fillId="0" borderId="0" xfId="0" applyFont="1">
      <alignment vertical="top"/>
    </xf>
  </cellXfs>
  <cellStyles count="6">
    <cellStyle name="Заголовок 1" xfId="1" builtinId="16" customBuiltin="1"/>
    <cellStyle name="Заголовок 2" xfId="2" builtinId="17" customBuiltin="1"/>
    <cellStyle name="Заголовок 3" xfId="3" builtinId="18" customBuiltin="1"/>
    <cellStyle name="Обычный" xfId="0" builtinId="0" customBuiltin="1"/>
    <cellStyle name="Уточнение1" xfId="4"/>
    <cellStyle name="Уточнение2" xfId="5"/>
  </cellStyles>
  <dxfs count="314">
    <dxf>
      <font>
        <strike val="0"/>
        <outline val="0"/>
        <shadow val="0"/>
        <u val="none"/>
        <vertAlign val="baseline"/>
        <sz val="11"/>
        <color auto="1"/>
        <name val="Calibri"/>
        <scheme val="minor"/>
      </font>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8018C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
      <numFmt numFmtId="164" formatCode="\•\ \ \ @"/>
    </dxf>
  </dxfs>
  <tableStyles count="0" defaultTableStyle="TableStyleMedium2" defaultPivotStyle="PivotStyleLight16"/>
  <colors>
    <mruColors>
      <color rgb="FFFFCC99"/>
      <color rgb="FFFF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Chapter1" displayName="Chapter1" ref="A1:R470" totalsRowShown="0" headerRowDxfId="190" dataDxfId="189">
  <autoFilter ref="A1:R470"/>
  <tableColumns count="18">
    <tableColumn id="1" name="TxtStyle" dataDxfId="188"/>
    <tableColumn id="2" name="TxtStyleN" dataDxfId="187">
      <calculatedColumnFormula>IF(ISBLANK(A2),0,INDEX(txtstylestab[],MATCH(A2,txtstylestab[style_Name],0),1))</calculatedColumnFormula>
    </tableColumn>
    <tableColumn id="3" name="C1" dataDxfId="186">
      <calculatedColumnFormula>IF(B2=1,C1+1,C1)</calculatedColumnFormula>
    </tableColumn>
    <tableColumn id="4" name="C2" dataDxfId="185">
      <calculatedColumnFormula>IF(B2=1,0,IF(B2=2,D1+1,IF(AND(B2=3,D1=0),1,D1)))</calculatedColumnFormula>
    </tableColumn>
    <tableColumn id="5" name="C3" dataDxfId="184">
      <calculatedColumnFormula>IF(OR(B2=1,B2=2),0,IF(B2=3,E1+1,E1))</calculatedColumnFormula>
    </tableColumn>
    <tableColumn id="6" name="LstNum" dataDxfId="183">
      <calculatedColumnFormula>IF(OR(B2=1,B2=2,B2=3),TEXT(C2,"#")&amp;".","")&amp;IF(OR(B2=2,B2=3),TEXT(D2,"#")&amp;".","")&amp;IF(B2=3,TEXT(E2,"#")&amp;".","")</calculatedColumnFormula>
    </tableColumn>
    <tableColumn id="7" name="Russian" dataDxfId="182"/>
    <tableColumn id="8" name="English" dataDxfId="181"/>
    <tableColumn id="9" name="French" dataDxfId="180"/>
    <tableColumn id="10" name="German" dataDxfId="179"/>
    <tableColumn id="11" name="Spanish" dataDxfId="178"/>
    <tableColumn id="12" name="Chinese" dataDxfId="177"/>
    <tableColumn id="17" name="Pinyin" dataDxfId="176"/>
    <tableColumn id="13" name="Japanese" dataDxfId="175"/>
    <tableColumn id="18" name="Japan-Transcription" dataDxfId="174"/>
    <tableColumn id="14" name="Korean" dataDxfId="173"/>
    <tableColumn id="15" name="Vietnamese" dataDxfId="172"/>
    <tableColumn id="16" name="Separator" dataDxfId="171"/>
  </tableColumns>
  <tableStyleInfo name="TableStyleLight8" showFirstColumn="0" showLastColumn="0" showRowStripes="1" showColumnStripes="0"/>
</table>
</file>

<file path=xl/tables/table2.xml><?xml version="1.0" encoding="utf-8"?>
<table xmlns="http://schemas.openxmlformats.org/spreadsheetml/2006/main" id="2" name="Chapter2" displayName="Chapter2" ref="A1:R246" totalsRowShown="0" headerRowDxfId="111" dataDxfId="110">
  <autoFilter ref="A1:R246"/>
  <tableColumns count="18">
    <tableColumn id="1" name="TxtStyle" dataDxfId="109"/>
    <tableColumn id="2" name="TxtStyleN" dataDxfId="108">
      <calculatedColumnFormula>IF(ISBLANK(A2),0,INDEX(txtstylestab[],MATCH(A2,txtstylestab[style_Name],0),1))</calculatedColumnFormula>
    </tableColumn>
    <tableColumn id="3" name="C1" dataDxfId="107">
      <calculatedColumnFormula>IF(B2=1,C1+1,C1)</calculatedColumnFormula>
    </tableColumn>
    <tableColumn id="4" name="C2" dataDxfId="106">
      <calculatedColumnFormula>IF(B2=1,0,IF(B2=2,D1+1,IF(AND(B2=3,D1=0),1,D1)))</calculatedColumnFormula>
    </tableColumn>
    <tableColumn id="5" name="C3" dataDxfId="105">
      <calculatedColumnFormula>IF(OR(B2=1,B2=2),0,IF(B2=3,E1+1,E1))</calculatedColumnFormula>
    </tableColumn>
    <tableColumn id="6" name="LstNum" dataDxfId="104">
      <calculatedColumnFormula>IF(OR(B2=1,B2=2,B2=3),TEXT(C2,"#")&amp;".","")&amp;IF(OR(B2=2,B2=3),TEXT(D2,"#")&amp;".","")&amp;IF(B2=3,TEXT(E2,"#")&amp;".","")</calculatedColumnFormula>
    </tableColumn>
    <tableColumn id="7" name="Russian" dataDxfId="103"/>
    <tableColumn id="8" name="English" dataDxfId="102"/>
    <tableColumn id="9" name="French" dataDxfId="101"/>
    <tableColumn id="10" name="German" dataDxfId="100"/>
    <tableColumn id="11" name="Spanish" dataDxfId="99"/>
    <tableColumn id="12" name="Chinese" dataDxfId="98"/>
    <tableColumn id="17" name="Pinyin" dataDxfId="97"/>
    <tableColumn id="13" name="Japanese" dataDxfId="96"/>
    <tableColumn id="18" name="Japan-Transcription" dataDxfId="95"/>
    <tableColumn id="14" name="Korean" dataDxfId="94"/>
    <tableColumn id="15" name="Vietnamese" dataDxfId="93"/>
    <tableColumn id="16" name="Separator" dataDxfId="92"/>
  </tableColumns>
  <tableStyleInfo name="TableStyleLight8" showFirstColumn="0" showLastColumn="0" showRowStripes="1" showColumnStripes="0"/>
</table>
</file>

<file path=xl/tables/table3.xml><?xml version="1.0" encoding="utf-8"?>
<table xmlns="http://schemas.openxmlformats.org/spreadsheetml/2006/main" id="4" name="Chapter3" displayName="Chapter3" ref="A1:R190" totalsRowShown="0" headerRowDxfId="20" dataDxfId="19">
  <autoFilter ref="A1:R190"/>
  <tableColumns count="18">
    <tableColumn id="1" name="TxtStyle" dataDxfId="18"/>
    <tableColumn id="2" name="TxtStyleN" dataDxfId="17">
      <calculatedColumnFormula>IF(ISBLANK(A2),0,INDEX(txtstylestab[],MATCH(A2,txtstylestab[style_Name],0),1))</calculatedColumnFormula>
    </tableColumn>
    <tableColumn id="3" name="C1" dataDxfId="16">
      <calculatedColumnFormula>IF(B2=1,C1+1,C1)</calculatedColumnFormula>
    </tableColumn>
    <tableColumn id="4" name="C2" dataDxfId="15">
      <calculatedColumnFormula>IF(B2=1,0,IF(B2=2,D1+1,IF(AND(B2=3,D1=0),1,D1)))</calculatedColumnFormula>
    </tableColumn>
    <tableColumn id="5" name="C3" dataDxfId="14">
      <calculatedColumnFormula>IF(OR(B2=1,B2=2),0,IF(B2=3,E1+1,E1))</calculatedColumnFormula>
    </tableColumn>
    <tableColumn id="6" name="LstNum" dataDxfId="13">
      <calculatedColumnFormula>IF(OR(B2=1,B2=2,B2=3),TEXT(C2,"#")&amp;".","")&amp;IF(OR(B2=2,B2=3),TEXT(D2,"#")&amp;".","")&amp;IF(B2=3,TEXT(E2,"#")&amp;".","")</calculatedColumnFormula>
    </tableColumn>
    <tableColumn id="7" name="Russian" dataDxfId="12"/>
    <tableColumn id="8" name="English" dataDxfId="11"/>
    <tableColumn id="9" name="French" dataDxfId="10"/>
    <tableColumn id="10" name="German" dataDxfId="9"/>
    <tableColumn id="11" name="Spanish" dataDxfId="8"/>
    <tableColumn id="12" name="Chinese" dataDxfId="7"/>
    <tableColumn id="17" name="Pinyin" dataDxfId="6"/>
    <tableColumn id="13" name="Japanese" dataDxfId="5"/>
    <tableColumn id="18" name="Japan-Transcription" dataDxfId="4"/>
    <tableColumn id="14" name="Korean" dataDxfId="3"/>
    <tableColumn id="15" name="Vietnamese" dataDxfId="2"/>
    <tableColumn id="16" name="Separator" dataDxfId="1"/>
  </tableColumns>
  <tableStyleInfo name="TableStyleLight8" showFirstColumn="0" showLastColumn="0" showRowStripes="1" showColumnStripes="0"/>
</table>
</file>

<file path=xl/tables/table4.xml><?xml version="1.0" encoding="utf-8"?>
<table xmlns="http://schemas.openxmlformats.org/spreadsheetml/2006/main" id="3" name="txtstylestab" displayName="txtstylestab" ref="A1:B10" totalsRowShown="0">
  <autoFilter ref="A1:B10"/>
  <tableColumns count="2">
    <tableColumn id="1" name="style_ID"/>
    <tableColumn id="2" name="style_Name"/>
  </tableColumns>
  <tableStyleInfo name="TableStyleLight8" showFirstColumn="0" showLastColumn="0" showRowStripes="1" showColumnStripes="0"/>
</table>
</file>

<file path=xl/tables/table5.xml><?xml version="1.0" encoding="utf-8"?>
<table xmlns="http://schemas.openxmlformats.org/spreadsheetml/2006/main" id="5" name="colorstab" displayName="colorstab" ref="A14:E27" totalsRowShown="0">
  <autoFilter ref="A14:E27"/>
  <tableColumns count="5">
    <tableColumn id="1" name="color_ID"/>
    <tableColumn id="2" name="language_Name" dataDxfId="0"/>
    <tableColumn id="4" name="R"/>
    <tableColumn id="5" name="G"/>
    <tableColumn id="6" name="B"/>
  </tableColumns>
  <tableStyleInfo name="TableStyleLight8"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outlinePr summaryBelow="0" summaryRight="0"/>
  </sheetPr>
  <dimension ref="A1:R2438"/>
  <sheetViews>
    <sheetView topLeftCell="L1" zoomScale="90" zoomScaleNormal="90" workbookViewId="0">
      <pane ySplit="1" topLeftCell="A2" activePane="bottomLeft" state="frozen"/>
      <selection pane="bottomLeft" activeCell="Q1" sqref="Q1"/>
    </sheetView>
  </sheetViews>
  <sheetFormatPr defaultRowHeight="15" x14ac:dyDescent="0.25"/>
  <cols>
    <col min="1" max="1" width="13.28515625" style="26" customWidth="1"/>
    <col min="2" max="2" width="12.140625" style="32" hidden="1" customWidth="1"/>
    <col min="3" max="5" width="9.140625" style="32" hidden="1" customWidth="1"/>
    <col min="6" max="6" width="8.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3165</v>
      </c>
      <c r="P1" s="7" t="s">
        <v>71</v>
      </c>
      <c r="Q1" s="7" t="s">
        <v>72</v>
      </c>
      <c r="R1" s="2" t="s">
        <v>0</v>
      </c>
    </row>
    <row r="2" spans="1:18" s="10" customFormat="1" ht="20.25" thickBot="1" x14ac:dyDescent="0.35">
      <c r="A2" s="9" t="s">
        <v>10</v>
      </c>
      <c r="B2" s="28">
        <f>IF(ISBLANK(A2),0,INDEX(txtstylestab[],MATCH(A2,txtstylestab[style_Name],0),1))</f>
        <v>1</v>
      </c>
      <c r="C2" s="28">
        <v>1</v>
      </c>
      <c r="D2" s="28">
        <v>0</v>
      </c>
      <c r="E2" s="28">
        <v>0</v>
      </c>
      <c r="F2" s="29" t="str">
        <f>IF(OR(B2=1,B2=2,B2=3),TEXT(C2,"#")&amp;".","")&amp;IF(OR(B2=2,B2=3),TEXT(D2,"#")&amp;".","")&amp;IF(B2=3,TEXT(E2,"#")&amp;".","")</f>
        <v>1.</v>
      </c>
      <c r="G2" s="66" t="s">
        <v>17</v>
      </c>
      <c r="H2" s="66"/>
      <c r="I2" s="66"/>
      <c r="J2" s="66"/>
      <c r="K2" s="66"/>
      <c r="L2" s="66"/>
      <c r="M2" s="66"/>
      <c r="N2" s="66"/>
      <c r="O2" s="66"/>
      <c r="P2" s="66"/>
      <c r="Q2" s="66"/>
      <c r="R2" s="12"/>
    </row>
    <row r="3" spans="1:18" ht="15.75" thickTop="1" x14ac:dyDescent="0.25">
      <c r="A3" s="9" t="s">
        <v>13</v>
      </c>
      <c r="B3" s="28">
        <f>IF(ISBLANK(A3),0,INDEX(txtstylestab[],MATCH(A3,txtstylestab[style_Name],0),1))</f>
        <v>7</v>
      </c>
      <c r="C3" s="28">
        <f>IF(B3=1,C2+1,C2)</f>
        <v>1</v>
      </c>
      <c r="D3" s="28">
        <f>IF(B3=1,0,IF(B3=2,D2+1,IF(AND(B3=3,D2=0),1,D2)))</f>
        <v>0</v>
      </c>
      <c r="E3" s="28">
        <f>IF(OR(B3=1,B3=2),0,IF(B3=3,E2+1,E2))</f>
        <v>0</v>
      </c>
      <c r="F3" s="78" t="str">
        <f t="shared" ref="F3" si="0">IF(OR(B3=1,B3=2,B3=3),TEXT(C3,"#")&amp;".","")&amp;IF(OR(B3=2,B3=3),TEXT(D3,"#")&amp;".","")&amp;IF(B3=3,TEXT(E3,"#")&amp;".","")</f>
        <v/>
      </c>
      <c r="G3" s="78" t="s">
        <v>18</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1">IF(B4=1,C3+1,C3)</f>
        <v>1</v>
      </c>
      <c r="D4" s="28">
        <f t="shared" ref="D4:D67" si="2">IF(B4=1,0,IF(B4=2,D3+1,IF(AND(B4=3,D3=0),1,D3)))</f>
        <v>1</v>
      </c>
      <c r="E4" s="28">
        <f t="shared" ref="E4:E67" si="3">IF(OR(B4=1,B4=2),0,IF(B4=3,E3+1,E3))</f>
        <v>0</v>
      </c>
      <c r="F4" s="51" t="str">
        <f t="shared" ref="F4:F67" si="4">IF(OR(B4=1,B4=2,B4=3),TEXT(C4,"#")&amp;".","")&amp;IF(OR(B4=2,B4=3),TEXT(D4,"#")&amp;".","")&amp;IF(B4=3,TEXT(E4,"#")&amp;".","")</f>
        <v>1.1.</v>
      </c>
      <c r="G4" s="52" t="s">
        <v>2</v>
      </c>
      <c r="H4" s="52"/>
      <c r="I4" s="52"/>
      <c r="J4" s="52"/>
      <c r="K4" s="52"/>
      <c r="L4" s="52"/>
      <c r="M4" s="52"/>
      <c r="N4" s="52"/>
      <c r="O4" s="52"/>
      <c r="P4" s="52"/>
      <c r="Q4" s="52"/>
      <c r="R4" s="13"/>
    </row>
    <row r="5" spans="1:18" ht="15.75" thickTop="1" x14ac:dyDescent="0.25">
      <c r="A5" s="9" t="s">
        <v>22</v>
      </c>
      <c r="B5" s="28">
        <f>IF(ISBLANK(A5),0,INDEX(txtstylestab[],MATCH(A5,txtstylestab[style_Name],0),1))</f>
        <v>4</v>
      </c>
      <c r="C5" s="28">
        <f t="shared" si="1"/>
        <v>1</v>
      </c>
      <c r="D5" s="28">
        <f t="shared" si="2"/>
        <v>1</v>
      </c>
      <c r="E5" s="28">
        <f t="shared" si="3"/>
        <v>0</v>
      </c>
      <c r="F5" s="56" t="str">
        <f t="shared" si="4"/>
        <v/>
      </c>
      <c r="G5" s="67" t="s">
        <v>3</v>
      </c>
      <c r="H5" s="67"/>
      <c r="I5" s="67"/>
      <c r="J5" s="67"/>
      <c r="K5" s="67"/>
      <c r="L5" s="67"/>
      <c r="M5" s="67"/>
      <c r="N5" s="67"/>
      <c r="O5" s="67"/>
      <c r="P5" s="67"/>
      <c r="Q5" s="67"/>
      <c r="R5" s="13"/>
    </row>
    <row r="6" spans="1:18" x14ac:dyDescent="0.25">
      <c r="A6" s="9" t="s">
        <v>21</v>
      </c>
      <c r="B6" s="28">
        <f>IF(ISBLANK(A6),0,INDEX(txtstylestab[],MATCH(A6,txtstylestab[style_Name],0),1))</f>
        <v>0</v>
      </c>
      <c r="C6" s="28">
        <f t="shared" si="1"/>
        <v>1</v>
      </c>
      <c r="D6" s="28">
        <f t="shared" si="2"/>
        <v>1</v>
      </c>
      <c r="E6" s="28">
        <f t="shared" si="3"/>
        <v>0</v>
      </c>
      <c r="F6" s="59" t="str">
        <f t="shared" si="4"/>
        <v/>
      </c>
      <c r="G6" s="42" t="s">
        <v>82</v>
      </c>
      <c r="H6" s="43" t="s">
        <v>83</v>
      </c>
      <c r="I6" s="44" t="s">
        <v>84</v>
      </c>
      <c r="J6" s="45" t="s">
        <v>85</v>
      </c>
      <c r="K6" s="46" t="s">
        <v>86</v>
      </c>
      <c r="L6" s="47" t="s">
        <v>2332</v>
      </c>
      <c r="M6" s="48" t="s">
        <v>2333</v>
      </c>
      <c r="N6" s="49"/>
      <c r="O6" s="50" t="s">
        <v>3278</v>
      </c>
      <c r="P6" s="59"/>
      <c r="Q6" s="59"/>
      <c r="R6" s="13"/>
    </row>
    <row r="7" spans="1:18" ht="90" x14ac:dyDescent="0.25">
      <c r="A7" s="9" t="s">
        <v>21</v>
      </c>
      <c r="B7" s="28">
        <f>IF(ISBLANK(A7),0,INDEX(txtstylestab[],MATCH(A7,txtstylestab[style_Name],0),1))</f>
        <v>0</v>
      </c>
      <c r="C7" s="28">
        <f t="shared" si="1"/>
        <v>1</v>
      </c>
      <c r="D7" s="28">
        <f t="shared" si="2"/>
        <v>1</v>
      </c>
      <c r="E7" s="28">
        <f t="shared" si="3"/>
        <v>0</v>
      </c>
      <c r="F7" s="59" t="str">
        <f t="shared" si="4"/>
        <v/>
      </c>
      <c r="G7" s="42" t="s">
        <v>2153</v>
      </c>
      <c r="H7" s="43" t="s">
        <v>2216</v>
      </c>
      <c r="I7" s="44" t="s">
        <v>2235</v>
      </c>
      <c r="J7" s="45" t="s">
        <v>2154</v>
      </c>
      <c r="K7" s="46" t="s">
        <v>2155</v>
      </c>
      <c r="L7" s="47" t="s">
        <v>2334</v>
      </c>
      <c r="M7" s="48" t="s">
        <v>2335</v>
      </c>
      <c r="N7" s="49"/>
      <c r="O7" s="50" t="s">
        <v>3279</v>
      </c>
      <c r="P7" s="59"/>
      <c r="Q7" s="59"/>
      <c r="R7" s="13"/>
    </row>
    <row r="8" spans="1:18" ht="60" x14ac:dyDescent="0.25">
      <c r="A8" s="9" t="s">
        <v>21</v>
      </c>
      <c r="B8" s="28">
        <f>IF(ISBLANK(A8),0,INDEX(txtstylestab[],MATCH(A8,txtstylestab[style_Name],0),1))</f>
        <v>0</v>
      </c>
      <c r="C8" s="28">
        <f t="shared" si="1"/>
        <v>1</v>
      </c>
      <c r="D8" s="28">
        <f t="shared" si="2"/>
        <v>1</v>
      </c>
      <c r="E8" s="28">
        <f t="shared" si="3"/>
        <v>0</v>
      </c>
      <c r="F8" s="59" t="str">
        <f t="shared" si="4"/>
        <v/>
      </c>
      <c r="G8" s="42" t="s">
        <v>2166</v>
      </c>
      <c r="H8" s="43" t="s">
        <v>2167</v>
      </c>
      <c r="I8" s="44" t="s">
        <v>2168</v>
      </c>
      <c r="J8" s="45" t="s">
        <v>2169</v>
      </c>
      <c r="K8" s="46" t="s">
        <v>2170</v>
      </c>
      <c r="L8" s="47" t="s">
        <v>2336</v>
      </c>
      <c r="M8" s="48" t="s">
        <v>2337</v>
      </c>
      <c r="N8" s="49"/>
      <c r="O8" s="50" t="s">
        <v>3280</v>
      </c>
      <c r="P8" s="59"/>
      <c r="Q8" s="59"/>
      <c r="R8" s="13"/>
    </row>
    <row r="9" spans="1:18" ht="75" x14ac:dyDescent="0.25">
      <c r="A9" s="9" t="s">
        <v>21</v>
      </c>
      <c r="B9" s="28">
        <f>IF(ISBLANK(A9),0,INDEX(txtstylestab[],MATCH(A9,txtstylestab[style_Name],0),1))</f>
        <v>0</v>
      </c>
      <c r="C9" s="28">
        <f t="shared" si="1"/>
        <v>1</v>
      </c>
      <c r="D9" s="28">
        <f t="shared" si="2"/>
        <v>1</v>
      </c>
      <c r="E9" s="28">
        <f t="shared" si="3"/>
        <v>0</v>
      </c>
      <c r="F9" s="59" t="str">
        <f t="shared" si="4"/>
        <v/>
      </c>
      <c r="G9" s="42" t="s">
        <v>1768</v>
      </c>
      <c r="H9" s="43" t="s">
        <v>2217</v>
      </c>
      <c r="I9" s="44" t="s">
        <v>2236</v>
      </c>
      <c r="J9" s="45" t="s">
        <v>2130</v>
      </c>
      <c r="K9" s="46" t="s">
        <v>2131</v>
      </c>
      <c r="L9" s="47" t="s">
        <v>2390</v>
      </c>
      <c r="M9" s="48" t="s">
        <v>2392</v>
      </c>
      <c r="N9" s="49"/>
      <c r="O9" s="50" t="s">
        <v>3281</v>
      </c>
      <c r="P9" s="59"/>
      <c r="Q9" s="59"/>
      <c r="R9" s="13"/>
    </row>
    <row r="10" spans="1:18" ht="30" x14ac:dyDescent="0.25">
      <c r="A10" s="9" t="s">
        <v>14</v>
      </c>
      <c r="B10" s="28">
        <f>IF(ISBLANK(A10),0,INDEX(txtstylestab[],MATCH(A10,txtstylestab[style_Name],0),1))</f>
        <v>6</v>
      </c>
      <c r="C10" s="28">
        <f t="shared" si="1"/>
        <v>1</v>
      </c>
      <c r="D10" s="28">
        <f t="shared" si="2"/>
        <v>1</v>
      </c>
      <c r="E10" s="28">
        <f t="shared" si="3"/>
        <v>0</v>
      </c>
      <c r="F10" s="59" t="str">
        <f t="shared" si="4"/>
        <v/>
      </c>
      <c r="G10" s="42" t="s">
        <v>31</v>
      </c>
      <c r="H10" s="43" t="s">
        <v>34</v>
      </c>
      <c r="I10" s="44" t="s">
        <v>46</v>
      </c>
      <c r="J10" s="45" t="s">
        <v>46</v>
      </c>
      <c r="K10" s="46" t="s">
        <v>34</v>
      </c>
      <c r="L10" s="47" t="s">
        <v>2338</v>
      </c>
      <c r="M10" s="48" t="s">
        <v>2351</v>
      </c>
      <c r="N10" s="49"/>
      <c r="O10" s="50" t="s">
        <v>3282</v>
      </c>
      <c r="P10" s="59"/>
      <c r="Q10" s="59"/>
      <c r="R10" s="13"/>
    </row>
    <row r="11" spans="1:18" ht="30" x14ac:dyDescent="0.25">
      <c r="A11" s="9" t="s">
        <v>14</v>
      </c>
      <c r="B11" s="28">
        <f>IF(ISBLANK(A11),0,INDEX(txtstylestab[],MATCH(A11,txtstylestab[style_Name],0),1))</f>
        <v>6</v>
      </c>
      <c r="C11" s="28">
        <f t="shared" si="1"/>
        <v>1</v>
      </c>
      <c r="D11" s="28">
        <f t="shared" si="2"/>
        <v>1</v>
      </c>
      <c r="E11" s="28">
        <f t="shared" si="3"/>
        <v>0</v>
      </c>
      <c r="F11" s="59" t="str">
        <f t="shared" si="4"/>
        <v/>
      </c>
      <c r="G11" s="42" t="s">
        <v>32</v>
      </c>
      <c r="H11" s="43" t="s">
        <v>35</v>
      </c>
      <c r="I11" s="44" t="s">
        <v>35</v>
      </c>
      <c r="J11" s="45" t="s">
        <v>35</v>
      </c>
      <c r="K11" s="46" t="s">
        <v>35</v>
      </c>
      <c r="L11" s="47" t="s">
        <v>2339</v>
      </c>
      <c r="M11" s="48" t="s">
        <v>2340</v>
      </c>
      <c r="N11" s="49"/>
      <c r="O11" s="50" t="s">
        <v>3283</v>
      </c>
      <c r="P11" s="59"/>
      <c r="Q11" s="59"/>
      <c r="R11" s="13"/>
    </row>
    <row r="12" spans="1:18" x14ac:dyDescent="0.25">
      <c r="A12" s="9" t="s">
        <v>14</v>
      </c>
      <c r="B12" s="28">
        <f>IF(ISBLANK(A12),0,INDEX(txtstylestab[],MATCH(A12,txtstylestab[style_Name],0),1))</f>
        <v>6</v>
      </c>
      <c r="C12" s="28">
        <f t="shared" si="1"/>
        <v>1</v>
      </c>
      <c r="D12" s="28">
        <f t="shared" si="2"/>
        <v>1</v>
      </c>
      <c r="E12" s="28">
        <f t="shared" si="3"/>
        <v>0</v>
      </c>
      <c r="F12" s="59" t="str">
        <f t="shared" si="4"/>
        <v/>
      </c>
      <c r="G12" s="42" t="s">
        <v>33</v>
      </c>
      <c r="H12" s="43" t="s">
        <v>36</v>
      </c>
      <c r="I12" s="44" t="s">
        <v>36</v>
      </c>
      <c r="J12" s="45" t="s">
        <v>36</v>
      </c>
      <c r="K12" s="46" t="s">
        <v>36</v>
      </c>
      <c r="L12" s="47" t="s">
        <v>2341</v>
      </c>
      <c r="M12" s="48" t="s">
        <v>2342</v>
      </c>
      <c r="N12" s="49"/>
      <c r="O12" s="50" t="s">
        <v>3284</v>
      </c>
      <c r="P12" s="59"/>
      <c r="Q12" s="59"/>
      <c r="R12" s="13"/>
    </row>
    <row r="13" spans="1:18" ht="60" x14ac:dyDescent="0.25">
      <c r="A13" s="9" t="s">
        <v>21</v>
      </c>
      <c r="B13" s="28">
        <f>IF(ISBLANK(A13),0,INDEX(txtstylestab[],MATCH(A13,txtstylestab[style_Name],0),1))</f>
        <v>0</v>
      </c>
      <c r="C13" s="28">
        <f t="shared" si="1"/>
        <v>1</v>
      </c>
      <c r="D13" s="28">
        <f t="shared" si="2"/>
        <v>1</v>
      </c>
      <c r="E13" s="28">
        <f t="shared" si="3"/>
        <v>0</v>
      </c>
      <c r="F13" s="59" t="str">
        <f t="shared" si="4"/>
        <v/>
      </c>
      <c r="G13" s="42" t="s">
        <v>7</v>
      </c>
      <c r="H13" s="43"/>
      <c r="I13" s="44"/>
      <c r="J13" s="45" t="s">
        <v>51</v>
      </c>
      <c r="K13" s="46" t="s">
        <v>56</v>
      </c>
      <c r="L13" s="47" t="s">
        <v>2343</v>
      </c>
      <c r="M13" s="48" t="s">
        <v>2344</v>
      </c>
      <c r="N13" s="49"/>
      <c r="O13" s="50" t="s">
        <v>3285</v>
      </c>
      <c r="P13" s="59"/>
      <c r="Q13" s="59"/>
      <c r="R13" s="13"/>
    </row>
    <row r="14" spans="1:18" ht="120" x14ac:dyDescent="0.25">
      <c r="A14" s="9" t="s">
        <v>21</v>
      </c>
      <c r="B14" s="28">
        <f>IF(ISBLANK(A14),0,INDEX(txtstylestab[],MATCH(A14,txtstylestab[style_Name],0),1))</f>
        <v>0</v>
      </c>
      <c r="C14" s="28">
        <f t="shared" si="1"/>
        <v>1</v>
      </c>
      <c r="D14" s="28">
        <f t="shared" si="2"/>
        <v>1</v>
      </c>
      <c r="E14" s="28">
        <f t="shared" si="3"/>
        <v>0</v>
      </c>
      <c r="F14" s="59" t="str">
        <f t="shared" si="4"/>
        <v/>
      </c>
      <c r="G14" s="42" t="s">
        <v>2182</v>
      </c>
      <c r="H14" s="43" t="s">
        <v>2183</v>
      </c>
      <c r="I14" s="44" t="s">
        <v>2184</v>
      </c>
      <c r="J14" s="45" t="s">
        <v>2185</v>
      </c>
      <c r="K14" s="46" t="s">
        <v>2186</v>
      </c>
      <c r="L14" s="47" t="s">
        <v>2345</v>
      </c>
      <c r="M14" s="48" t="s">
        <v>2346</v>
      </c>
      <c r="N14" s="49"/>
      <c r="O14" s="50" t="s">
        <v>3293</v>
      </c>
      <c r="P14" s="59"/>
      <c r="Q14" s="59"/>
      <c r="R14" s="13"/>
    </row>
    <row r="15" spans="1:18" ht="60" x14ac:dyDescent="0.25">
      <c r="A15" s="9" t="s">
        <v>21</v>
      </c>
      <c r="B15" s="28">
        <f>IF(ISBLANK(A15),0,INDEX(txtstylestab[],MATCH(A15,txtstylestab[style_Name],0),1))</f>
        <v>0</v>
      </c>
      <c r="C15" s="28">
        <f t="shared" si="1"/>
        <v>1</v>
      </c>
      <c r="D15" s="28">
        <f t="shared" si="2"/>
        <v>1</v>
      </c>
      <c r="E15" s="28">
        <f t="shared" si="3"/>
        <v>0</v>
      </c>
      <c r="F15" s="59" t="str">
        <f t="shared" si="4"/>
        <v/>
      </c>
      <c r="G15" s="42" t="s">
        <v>4</v>
      </c>
      <c r="H15" s="43" t="s">
        <v>24</v>
      </c>
      <c r="I15" s="44" t="s">
        <v>1629</v>
      </c>
      <c r="J15" s="45" t="s">
        <v>52</v>
      </c>
      <c r="K15" s="46" t="s">
        <v>57</v>
      </c>
      <c r="L15" s="47" t="s">
        <v>2347</v>
      </c>
      <c r="M15" s="48" t="s">
        <v>2348</v>
      </c>
      <c r="N15" s="49"/>
      <c r="O15" s="50" t="s">
        <v>3286</v>
      </c>
      <c r="P15" s="59"/>
      <c r="Q15" s="59"/>
      <c r="R15" s="13"/>
    </row>
    <row r="16" spans="1:18" ht="45" x14ac:dyDescent="0.25">
      <c r="A16" s="9" t="s">
        <v>21</v>
      </c>
      <c r="B16" s="28">
        <f>IF(ISBLANK(A16),0,INDEX(txtstylestab[],MATCH(A16,txtstylestab[style_Name],0),1))</f>
        <v>0</v>
      </c>
      <c r="C16" s="28">
        <f t="shared" si="1"/>
        <v>1</v>
      </c>
      <c r="D16" s="28">
        <f t="shared" si="2"/>
        <v>1</v>
      </c>
      <c r="E16" s="28">
        <f t="shared" si="3"/>
        <v>0</v>
      </c>
      <c r="F16" s="59" t="str">
        <f t="shared" si="4"/>
        <v/>
      </c>
      <c r="G16" s="42" t="s">
        <v>5</v>
      </c>
      <c r="H16" s="43" t="s">
        <v>25</v>
      </c>
      <c r="I16" s="44" t="s">
        <v>47</v>
      </c>
      <c r="J16" s="45" t="s">
        <v>53</v>
      </c>
      <c r="K16" s="46" t="s">
        <v>58</v>
      </c>
      <c r="L16" s="47" t="s">
        <v>2349</v>
      </c>
      <c r="M16" s="48" t="s">
        <v>2350</v>
      </c>
      <c r="N16" s="49"/>
      <c r="O16" s="50" t="s">
        <v>3228</v>
      </c>
      <c r="P16" s="59"/>
      <c r="Q16" s="59"/>
      <c r="R16" s="13"/>
    </row>
    <row r="17" spans="1:18" x14ac:dyDescent="0.25">
      <c r="A17" s="9" t="s">
        <v>21</v>
      </c>
      <c r="B17" s="28">
        <f>IF(ISBLANK(A17),0,INDEX(txtstylestab[],MATCH(A17,txtstylestab[style_Name],0),1))</f>
        <v>0</v>
      </c>
      <c r="C17" s="28">
        <f t="shared" si="1"/>
        <v>1</v>
      </c>
      <c r="D17" s="28">
        <f t="shared" si="2"/>
        <v>1</v>
      </c>
      <c r="E17" s="28">
        <f t="shared" si="3"/>
        <v>0</v>
      </c>
      <c r="F17" s="59" t="str">
        <f t="shared" si="4"/>
        <v/>
      </c>
      <c r="G17" s="42" t="s">
        <v>6</v>
      </c>
      <c r="H17" s="43" t="s">
        <v>26</v>
      </c>
      <c r="I17" s="44" t="s">
        <v>48</v>
      </c>
      <c r="J17" s="45" t="s">
        <v>397</v>
      </c>
      <c r="K17" s="46" t="s">
        <v>59</v>
      </c>
      <c r="L17" s="47" t="s">
        <v>2384</v>
      </c>
      <c r="M17" s="48" t="s">
        <v>2385</v>
      </c>
      <c r="N17" s="49"/>
      <c r="O17" s="50" t="s">
        <v>3173</v>
      </c>
      <c r="P17" s="59"/>
      <c r="Q17" s="59"/>
      <c r="R17" s="13"/>
    </row>
    <row r="18" spans="1:18" ht="18" thickBot="1" x14ac:dyDescent="0.35">
      <c r="A18" s="9" t="s">
        <v>11</v>
      </c>
      <c r="B18" s="28">
        <f>IF(ISBLANK(A18),0,INDEX(txtstylestab[],MATCH(A18,txtstylestab[style_Name],0),1))</f>
        <v>2</v>
      </c>
      <c r="C18" s="28">
        <f t="shared" si="1"/>
        <v>1</v>
      </c>
      <c r="D18" s="28">
        <f t="shared" si="2"/>
        <v>2</v>
      </c>
      <c r="E18" s="28">
        <f t="shared" si="3"/>
        <v>0</v>
      </c>
      <c r="F18" s="51" t="str">
        <f t="shared" si="4"/>
        <v>1.2.</v>
      </c>
      <c r="G18" s="52" t="s">
        <v>19</v>
      </c>
      <c r="H18" s="52"/>
      <c r="I18" s="52"/>
      <c r="J18" s="52"/>
      <c r="K18" s="52"/>
      <c r="L18" s="52"/>
      <c r="M18" s="52"/>
      <c r="N18" s="52"/>
      <c r="O18" s="52"/>
      <c r="P18" s="52"/>
      <c r="Q18" s="52"/>
      <c r="R18" s="13"/>
    </row>
    <row r="19" spans="1:18" ht="60.75" thickTop="1" x14ac:dyDescent="0.25">
      <c r="A19" s="9" t="s">
        <v>21</v>
      </c>
      <c r="B19" s="28">
        <f>IF(ISBLANK(A19),0,INDEX(txtstylestab[],MATCH(A19,txtstylestab[style_Name],0),1))</f>
        <v>0</v>
      </c>
      <c r="C19" s="28">
        <f t="shared" si="1"/>
        <v>1</v>
      </c>
      <c r="D19" s="28">
        <f t="shared" si="2"/>
        <v>2</v>
      </c>
      <c r="E19" s="28">
        <f t="shared" si="3"/>
        <v>0</v>
      </c>
      <c r="F19" s="59" t="str">
        <f t="shared" si="4"/>
        <v/>
      </c>
      <c r="G19" s="42" t="s">
        <v>2000</v>
      </c>
      <c r="H19" s="43" t="s">
        <v>617</v>
      </c>
      <c r="I19" s="44" t="s">
        <v>619</v>
      </c>
      <c r="J19" s="45" t="s">
        <v>620</v>
      </c>
      <c r="K19" s="46" t="s">
        <v>60</v>
      </c>
      <c r="L19" s="47" t="s">
        <v>2352</v>
      </c>
      <c r="M19" s="48" t="s">
        <v>2394</v>
      </c>
      <c r="N19" s="49"/>
      <c r="O19" s="50" t="s">
        <v>3477</v>
      </c>
      <c r="P19" s="59"/>
      <c r="Q19" s="59"/>
      <c r="R19" s="13"/>
    </row>
    <row r="20" spans="1:18" ht="105" x14ac:dyDescent="0.25">
      <c r="A20" s="9" t="s">
        <v>21</v>
      </c>
      <c r="B20" s="28">
        <f>IF(ISBLANK(A20),0,INDEX(txtstylestab[],MATCH(A20,txtstylestab[style_Name],0),1))</f>
        <v>0</v>
      </c>
      <c r="C20" s="28">
        <f t="shared" si="1"/>
        <v>1</v>
      </c>
      <c r="D20" s="28">
        <f t="shared" si="2"/>
        <v>2</v>
      </c>
      <c r="E20" s="28">
        <f t="shared" si="3"/>
        <v>0</v>
      </c>
      <c r="F20" s="59" t="str">
        <f t="shared" si="4"/>
        <v/>
      </c>
      <c r="G20" s="42" t="s">
        <v>75</v>
      </c>
      <c r="H20" s="43" t="s">
        <v>2218</v>
      </c>
      <c r="I20" s="44" t="s">
        <v>2237</v>
      </c>
      <c r="J20" s="45" t="s">
        <v>398</v>
      </c>
      <c r="K20" s="46" t="s">
        <v>76</v>
      </c>
      <c r="L20" s="47" t="s">
        <v>2391</v>
      </c>
      <c r="M20" s="48" t="s">
        <v>2393</v>
      </c>
      <c r="N20" s="49"/>
      <c r="O20" s="50" t="s">
        <v>3287</v>
      </c>
      <c r="P20" s="59"/>
      <c r="Q20" s="59"/>
      <c r="R20" s="13"/>
    </row>
    <row r="21" spans="1:18" ht="90" x14ac:dyDescent="0.25">
      <c r="A21" s="9" t="s">
        <v>21</v>
      </c>
      <c r="B21" s="28">
        <f>IF(ISBLANK(A21),0,INDEX(txtstylestab[],MATCH(A21,txtstylestab[style_Name],0),1))</f>
        <v>0</v>
      </c>
      <c r="C21" s="28">
        <f t="shared" si="1"/>
        <v>1</v>
      </c>
      <c r="D21" s="28">
        <f t="shared" si="2"/>
        <v>2</v>
      </c>
      <c r="E21" s="28">
        <f t="shared" si="3"/>
        <v>0</v>
      </c>
      <c r="F21" s="59" t="str">
        <f t="shared" si="4"/>
        <v/>
      </c>
      <c r="G21" s="42"/>
      <c r="H21" s="43"/>
      <c r="I21" s="44" t="s">
        <v>2283</v>
      </c>
      <c r="J21" s="45" t="s">
        <v>2282</v>
      </c>
      <c r="K21" s="46" t="s">
        <v>2171</v>
      </c>
      <c r="L21" s="47"/>
      <c r="M21" s="48"/>
      <c r="N21" s="49"/>
      <c r="O21" s="50"/>
      <c r="P21" s="59"/>
      <c r="Q21" s="59"/>
      <c r="R21" s="13"/>
    </row>
    <row r="22" spans="1:18" ht="75" x14ac:dyDescent="0.25">
      <c r="A22" s="9" t="s">
        <v>21</v>
      </c>
      <c r="B22" s="28">
        <f>IF(ISBLANK(A22),0,INDEX(txtstylestab[],MATCH(A22,txtstylestab[style_Name],0),1))</f>
        <v>0</v>
      </c>
      <c r="C22" s="28">
        <f t="shared" si="1"/>
        <v>1</v>
      </c>
      <c r="D22" s="28">
        <f t="shared" si="2"/>
        <v>2</v>
      </c>
      <c r="E22" s="28">
        <f t="shared" si="3"/>
        <v>0</v>
      </c>
      <c r="F22" s="59" t="str">
        <f t="shared" si="4"/>
        <v/>
      </c>
      <c r="G22" s="42" t="s">
        <v>1905</v>
      </c>
      <c r="H22" s="43" t="s">
        <v>2132</v>
      </c>
      <c r="I22" s="44" t="s">
        <v>49</v>
      </c>
      <c r="J22" s="45" t="s">
        <v>399</v>
      </c>
      <c r="K22" s="46" t="s">
        <v>61</v>
      </c>
      <c r="L22" s="47" t="s">
        <v>2353</v>
      </c>
      <c r="M22" s="48" t="s">
        <v>2395</v>
      </c>
      <c r="N22" s="49"/>
      <c r="O22" s="50" t="s">
        <v>3288</v>
      </c>
      <c r="P22" s="59"/>
      <c r="Q22" s="59"/>
      <c r="R22" s="13"/>
    </row>
    <row r="23" spans="1:18" ht="45" x14ac:dyDescent="0.25">
      <c r="A23" s="9" t="s">
        <v>21</v>
      </c>
      <c r="B23" s="28">
        <f>IF(ISBLANK(A23),0,INDEX(txtstylestab[],MATCH(A23,txtstylestab[style_Name],0),1))</f>
        <v>0</v>
      </c>
      <c r="C23" s="28">
        <f t="shared" si="1"/>
        <v>1</v>
      </c>
      <c r="D23" s="28">
        <f t="shared" si="2"/>
        <v>2</v>
      </c>
      <c r="E23" s="28">
        <f t="shared" si="3"/>
        <v>0</v>
      </c>
      <c r="F23" s="59" t="str">
        <f t="shared" si="4"/>
        <v/>
      </c>
      <c r="G23" s="42" t="s">
        <v>42</v>
      </c>
      <c r="H23" s="43" t="s">
        <v>43</v>
      </c>
      <c r="I23" s="44" t="s">
        <v>50</v>
      </c>
      <c r="J23" s="45" t="s">
        <v>55</v>
      </c>
      <c r="K23" s="46" t="s">
        <v>62</v>
      </c>
      <c r="L23" s="47" t="s">
        <v>2354</v>
      </c>
      <c r="M23" s="48" t="s">
        <v>2396</v>
      </c>
      <c r="N23" s="49"/>
      <c r="O23" s="50" t="s">
        <v>3444</v>
      </c>
      <c r="P23" s="59"/>
      <c r="Q23" s="59"/>
      <c r="R23" s="13"/>
    </row>
    <row r="24" spans="1:18" x14ac:dyDescent="0.25">
      <c r="A24" s="9" t="s">
        <v>22</v>
      </c>
      <c r="B24" s="28">
        <f>IF(ISBLANK(A24),0,INDEX(txtstylestab[],MATCH(A24,txtstylestab[style_Name],0),1))</f>
        <v>4</v>
      </c>
      <c r="C24" s="28">
        <f t="shared" si="1"/>
        <v>1</v>
      </c>
      <c r="D24" s="28">
        <f t="shared" si="2"/>
        <v>2</v>
      </c>
      <c r="E24" s="28">
        <f t="shared" si="3"/>
        <v>0</v>
      </c>
      <c r="F24" s="56" t="str">
        <f t="shared" si="4"/>
        <v/>
      </c>
      <c r="G24" s="67" t="s">
        <v>44</v>
      </c>
      <c r="H24" s="67"/>
      <c r="I24" s="67"/>
      <c r="J24" s="67"/>
      <c r="K24" s="67"/>
      <c r="L24" s="67"/>
      <c r="M24" s="67"/>
      <c r="N24" s="67"/>
      <c r="O24" s="67"/>
      <c r="P24" s="67"/>
      <c r="Q24" s="67"/>
      <c r="R24" s="13"/>
    </row>
    <row r="25" spans="1:18" ht="60" x14ac:dyDescent="0.25">
      <c r="A25" s="9" t="s">
        <v>21</v>
      </c>
      <c r="B25" s="28">
        <f>IF(ISBLANK(A25),0,INDEX(txtstylestab[],MATCH(A25,txtstylestab[style_Name],0),1))</f>
        <v>0</v>
      </c>
      <c r="C25" s="28">
        <f t="shared" si="1"/>
        <v>1</v>
      </c>
      <c r="D25" s="28">
        <f t="shared" si="2"/>
        <v>2</v>
      </c>
      <c r="E25" s="28">
        <f t="shared" si="3"/>
        <v>0</v>
      </c>
      <c r="F25" s="59" t="str">
        <f t="shared" si="4"/>
        <v/>
      </c>
      <c r="G25" s="42" t="s">
        <v>2133</v>
      </c>
      <c r="H25" s="43" t="s">
        <v>2134</v>
      </c>
      <c r="I25" s="44" t="s">
        <v>2135</v>
      </c>
      <c r="J25" s="45" t="s">
        <v>1769</v>
      </c>
      <c r="K25" s="46" t="s">
        <v>2136</v>
      </c>
      <c r="L25" s="47" t="s">
        <v>2355</v>
      </c>
      <c r="M25" s="48" t="s">
        <v>2397</v>
      </c>
      <c r="N25" s="49"/>
      <c r="O25" s="50" t="s">
        <v>3289</v>
      </c>
      <c r="P25" s="59"/>
      <c r="Q25" s="59"/>
      <c r="R25" s="13"/>
    </row>
    <row r="26" spans="1:18" ht="75" x14ac:dyDescent="0.25">
      <c r="A26" s="9" t="s">
        <v>14</v>
      </c>
      <c r="B26" s="28">
        <f>IF(ISBLANK(A26),0,INDEX(txtstylestab[],MATCH(A26,txtstylestab[style_Name],0),1))</f>
        <v>6</v>
      </c>
      <c r="C26" s="28">
        <f t="shared" si="1"/>
        <v>1</v>
      </c>
      <c r="D26" s="28">
        <f t="shared" si="2"/>
        <v>2</v>
      </c>
      <c r="E26" s="28">
        <f t="shared" si="3"/>
        <v>0</v>
      </c>
      <c r="F26" s="59" t="str">
        <f t="shared" si="4"/>
        <v/>
      </c>
      <c r="G26" s="42" t="s">
        <v>1770</v>
      </c>
      <c r="H26" s="43" t="s">
        <v>1771</v>
      </c>
      <c r="I26" s="44" t="s">
        <v>1791</v>
      </c>
      <c r="J26" s="45" t="s">
        <v>466</v>
      </c>
      <c r="K26" s="46" t="s">
        <v>1796</v>
      </c>
      <c r="L26" s="47" t="s">
        <v>2356</v>
      </c>
      <c r="M26" s="48" t="s">
        <v>2357</v>
      </c>
      <c r="N26" s="49"/>
      <c r="O26" s="50" t="s">
        <v>3481</v>
      </c>
      <c r="P26" s="59"/>
      <c r="Q26" s="59"/>
      <c r="R26" s="13"/>
    </row>
    <row r="27" spans="1:18" ht="60" x14ac:dyDescent="0.25">
      <c r="A27" s="9" t="s">
        <v>14</v>
      </c>
      <c r="B27" s="28">
        <f>IF(ISBLANK(A27),0,INDEX(txtstylestab[],MATCH(A27,txtstylestab[style_Name],0),1))</f>
        <v>6</v>
      </c>
      <c r="C27" s="28">
        <f t="shared" si="1"/>
        <v>1</v>
      </c>
      <c r="D27" s="28">
        <f t="shared" si="2"/>
        <v>2</v>
      </c>
      <c r="E27" s="28">
        <f t="shared" si="3"/>
        <v>0</v>
      </c>
      <c r="F27" s="59" t="str">
        <f t="shared" si="4"/>
        <v/>
      </c>
      <c r="G27" s="42" t="s">
        <v>1774</v>
      </c>
      <c r="H27" s="43" t="s">
        <v>1775</v>
      </c>
      <c r="I27" s="44" t="s">
        <v>2194</v>
      </c>
      <c r="J27" s="45" t="s">
        <v>2329</v>
      </c>
      <c r="K27" s="46" t="s">
        <v>2193</v>
      </c>
      <c r="L27" s="47" t="s">
        <v>2358</v>
      </c>
      <c r="M27" s="48" t="s">
        <v>2359</v>
      </c>
      <c r="N27" s="49"/>
      <c r="O27" s="50" t="s">
        <v>3482</v>
      </c>
      <c r="P27" s="59"/>
      <c r="Q27" s="59"/>
      <c r="R27" s="13"/>
    </row>
    <row r="28" spans="1:18" ht="30" x14ac:dyDescent="0.25">
      <c r="A28" s="9" t="s">
        <v>14</v>
      </c>
      <c r="B28" s="28">
        <f>IF(ISBLANK(A28),0,INDEX(txtstylestab[],MATCH(A28,txtstylestab[style_Name],0),1))</f>
        <v>6</v>
      </c>
      <c r="C28" s="28">
        <f t="shared" si="1"/>
        <v>1</v>
      </c>
      <c r="D28" s="28">
        <f t="shared" si="2"/>
        <v>2</v>
      </c>
      <c r="E28" s="28">
        <f t="shared" si="3"/>
        <v>0</v>
      </c>
      <c r="F28" s="59" t="str">
        <f t="shared" si="4"/>
        <v/>
      </c>
      <c r="G28" s="42" t="s">
        <v>37</v>
      </c>
      <c r="H28" s="43" t="s">
        <v>1772</v>
      </c>
      <c r="I28" s="44" t="s">
        <v>1792</v>
      </c>
      <c r="J28" s="45" t="s">
        <v>400</v>
      </c>
      <c r="K28" s="46" t="s">
        <v>1797</v>
      </c>
      <c r="L28" s="47" t="s">
        <v>2360</v>
      </c>
      <c r="M28" s="48" t="s">
        <v>2361</v>
      </c>
      <c r="N28" s="49"/>
      <c r="O28" s="50" t="s">
        <v>3483</v>
      </c>
      <c r="P28" s="59"/>
      <c r="Q28" s="59"/>
      <c r="R28" s="13"/>
    </row>
    <row r="29" spans="1:18" ht="30" x14ac:dyDescent="0.25">
      <c r="A29" s="9" t="s">
        <v>14</v>
      </c>
      <c r="B29" s="28">
        <f>IF(ISBLANK(A29),0,INDEX(txtstylestab[],MATCH(A29,txtstylestab[style_Name],0),1))</f>
        <v>6</v>
      </c>
      <c r="C29" s="28">
        <f t="shared" si="1"/>
        <v>1</v>
      </c>
      <c r="D29" s="28">
        <f t="shared" si="2"/>
        <v>2</v>
      </c>
      <c r="E29" s="28">
        <f t="shared" si="3"/>
        <v>0</v>
      </c>
      <c r="F29" s="59" t="str">
        <f t="shared" si="4"/>
        <v/>
      </c>
      <c r="G29" s="42" t="s">
        <v>38</v>
      </c>
      <c r="H29" s="43" t="s">
        <v>1773</v>
      </c>
      <c r="I29" s="44" t="s">
        <v>1793</v>
      </c>
      <c r="J29" s="45" t="s">
        <v>401</v>
      </c>
      <c r="K29" s="46" t="s">
        <v>1798</v>
      </c>
      <c r="L29" s="47" t="s">
        <v>2362</v>
      </c>
      <c r="M29" s="48" t="s">
        <v>2363</v>
      </c>
      <c r="N29" s="49"/>
      <c r="O29" s="50" t="s">
        <v>3484</v>
      </c>
      <c r="P29" s="59"/>
      <c r="Q29" s="59"/>
      <c r="R29" s="13"/>
    </row>
    <row r="30" spans="1:18" ht="30" x14ac:dyDescent="0.25">
      <c r="A30" s="9" t="s">
        <v>14</v>
      </c>
      <c r="B30" s="28">
        <f>IF(ISBLANK(A30),0,INDEX(txtstylestab[],MATCH(A30,txtstylestab[style_Name],0),1))</f>
        <v>6</v>
      </c>
      <c r="C30" s="28">
        <f t="shared" si="1"/>
        <v>1</v>
      </c>
      <c r="D30" s="28">
        <f t="shared" si="2"/>
        <v>2</v>
      </c>
      <c r="E30" s="28">
        <f t="shared" si="3"/>
        <v>0</v>
      </c>
      <c r="F30" s="59" t="str">
        <f t="shared" si="4"/>
        <v/>
      </c>
      <c r="G30" s="42" t="s">
        <v>39</v>
      </c>
      <c r="H30" s="43" t="s">
        <v>1776</v>
      </c>
      <c r="I30" s="44" t="s">
        <v>1794</v>
      </c>
      <c r="J30" s="45" t="s">
        <v>402</v>
      </c>
      <c r="K30" s="46" t="s">
        <v>1795</v>
      </c>
      <c r="L30" s="47" t="s">
        <v>2364</v>
      </c>
      <c r="M30" s="48" t="s">
        <v>2365</v>
      </c>
      <c r="N30" s="49"/>
      <c r="O30" s="50" t="s">
        <v>3269</v>
      </c>
      <c r="P30" s="59"/>
      <c r="Q30" s="59"/>
      <c r="R30" s="13"/>
    </row>
    <row r="31" spans="1:18" ht="45" x14ac:dyDescent="0.25">
      <c r="A31" s="9" t="s">
        <v>14</v>
      </c>
      <c r="B31" s="28">
        <f>IF(ISBLANK(A31),0,INDEX(txtstylestab[],MATCH(A31,txtstylestab[style_Name],0),1))</f>
        <v>6</v>
      </c>
      <c r="C31" s="28">
        <f t="shared" si="1"/>
        <v>1</v>
      </c>
      <c r="D31" s="28">
        <f t="shared" si="2"/>
        <v>2</v>
      </c>
      <c r="E31" s="28">
        <f t="shared" si="3"/>
        <v>0</v>
      </c>
      <c r="F31" s="59" t="str">
        <f t="shared" si="4"/>
        <v/>
      </c>
      <c r="G31" s="42" t="s">
        <v>1777</v>
      </c>
      <c r="H31" s="43" t="s">
        <v>1778</v>
      </c>
      <c r="I31" s="44" t="s">
        <v>2196</v>
      </c>
      <c r="J31" s="45" t="s">
        <v>2197</v>
      </c>
      <c r="K31" s="46" t="s">
        <v>2195</v>
      </c>
      <c r="L31" s="47" t="s">
        <v>2366</v>
      </c>
      <c r="M31" s="48" t="s">
        <v>2367</v>
      </c>
      <c r="N31" s="49"/>
      <c r="O31" s="50" t="s">
        <v>3272</v>
      </c>
      <c r="P31" s="59"/>
      <c r="Q31" s="59"/>
      <c r="R31" s="13"/>
    </row>
    <row r="32" spans="1:18" ht="60" x14ac:dyDescent="0.25">
      <c r="A32" s="9" t="s">
        <v>14</v>
      </c>
      <c r="B32" s="28">
        <f>IF(ISBLANK(A32),0,INDEX(txtstylestab[],MATCH(A32,txtstylestab[style_Name],0),1))</f>
        <v>6</v>
      </c>
      <c r="C32" s="28">
        <f t="shared" si="1"/>
        <v>1</v>
      </c>
      <c r="D32" s="28">
        <f t="shared" si="2"/>
        <v>2</v>
      </c>
      <c r="E32" s="28">
        <f t="shared" si="3"/>
        <v>0</v>
      </c>
      <c r="F32" s="59" t="str">
        <f t="shared" si="4"/>
        <v/>
      </c>
      <c r="G32" s="42" t="s">
        <v>1779</v>
      </c>
      <c r="H32" s="43" t="s">
        <v>1780</v>
      </c>
      <c r="I32" s="44" t="s">
        <v>2198</v>
      </c>
      <c r="J32" s="45" t="s">
        <v>2199</v>
      </c>
      <c r="K32" s="46" t="s">
        <v>2302</v>
      </c>
      <c r="L32" s="47" t="s">
        <v>2368</v>
      </c>
      <c r="M32" s="48" t="s">
        <v>2369</v>
      </c>
      <c r="N32" s="49"/>
      <c r="O32" s="50" t="s">
        <v>3485</v>
      </c>
      <c r="P32" s="59"/>
      <c r="Q32" s="59"/>
      <c r="R32" s="13"/>
    </row>
    <row r="33" spans="1:18" ht="30" x14ac:dyDescent="0.25">
      <c r="A33" s="9" t="s">
        <v>14</v>
      </c>
      <c r="B33" s="28">
        <f>IF(ISBLANK(A33),0,INDEX(txtstylestab[],MATCH(A33,txtstylestab[style_Name],0),1))</f>
        <v>6</v>
      </c>
      <c r="C33" s="28">
        <f t="shared" si="1"/>
        <v>1</v>
      </c>
      <c r="D33" s="28">
        <f t="shared" si="2"/>
        <v>2</v>
      </c>
      <c r="E33" s="28">
        <f t="shared" si="3"/>
        <v>0</v>
      </c>
      <c r="F33" s="59" t="str">
        <f t="shared" si="4"/>
        <v/>
      </c>
      <c r="G33" s="42" t="s">
        <v>40</v>
      </c>
      <c r="H33" s="43" t="s">
        <v>1781</v>
      </c>
      <c r="I33" s="44" t="s">
        <v>1782</v>
      </c>
      <c r="J33" s="45" t="s">
        <v>403</v>
      </c>
      <c r="K33" s="46" t="s">
        <v>1783</v>
      </c>
      <c r="L33" s="47"/>
      <c r="M33" s="48" t="s">
        <v>2370</v>
      </c>
      <c r="N33" s="49"/>
      <c r="O33" s="50" t="s">
        <v>3178</v>
      </c>
      <c r="P33" s="59"/>
      <c r="Q33" s="59"/>
      <c r="R33" s="13"/>
    </row>
    <row r="34" spans="1:18" ht="45" x14ac:dyDescent="0.25">
      <c r="A34" s="9" t="s">
        <v>21</v>
      </c>
      <c r="B34" s="28">
        <f>IF(ISBLANK(A34),0,INDEX(txtstylestab[],MATCH(A34,txtstylestab[style_Name],0),1))</f>
        <v>0</v>
      </c>
      <c r="C34" s="28">
        <f t="shared" si="1"/>
        <v>1</v>
      </c>
      <c r="D34" s="28">
        <f t="shared" si="2"/>
        <v>2</v>
      </c>
      <c r="E34" s="28">
        <f t="shared" si="3"/>
        <v>0</v>
      </c>
      <c r="F34" s="59" t="str">
        <f t="shared" si="4"/>
        <v/>
      </c>
      <c r="G34" s="42"/>
      <c r="H34" s="43"/>
      <c r="I34" s="44"/>
      <c r="J34" s="45"/>
      <c r="K34" s="46"/>
      <c r="L34" s="47"/>
      <c r="M34" s="48"/>
      <c r="N34" s="49"/>
      <c r="O34" s="50" t="s">
        <v>3476</v>
      </c>
      <c r="P34" s="59"/>
      <c r="Q34" s="59"/>
      <c r="R34" s="13"/>
    </row>
    <row r="35" spans="1:18" ht="30" x14ac:dyDescent="0.25">
      <c r="A35" s="9" t="s">
        <v>21</v>
      </c>
      <c r="B35" s="28">
        <f>IF(ISBLANK(A35),0,INDEX(txtstylestab[],MATCH(A35,txtstylestab[style_Name],0),1))</f>
        <v>0</v>
      </c>
      <c r="C35" s="28">
        <f t="shared" si="1"/>
        <v>1</v>
      </c>
      <c r="D35" s="28">
        <f t="shared" si="2"/>
        <v>2</v>
      </c>
      <c r="E35" s="28">
        <f t="shared" si="3"/>
        <v>0</v>
      </c>
      <c r="F35" s="59" t="str">
        <f t="shared" si="4"/>
        <v/>
      </c>
      <c r="G35" s="42" t="s">
        <v>20</v>
      </c>
      <c r="H35" s="43" t="s">
        <v>45</v>
      </c>
      <c r="I35" s="44" t="s">
        <v>2284</v>
      </c>
      <c r="J35" s="45" t="s">
        <v>529</v>
      </c>
      <c r="K35" s="46" t="s">
        <v>63</v>
      </c>
      <c r="L35" s="47" t="s">
        <v>2371</v>
      </c>
      <c r="M35" s="48" t="s">
        <v>2372</v>
      </c>
      <c r="N35" s="49"/>
      <c r="O35" s="50" t="s">
        <v>3236</v>
      </c>
      <c r="P35" s="59"/>
      <c r="Q35" s="59"/>
      <c r="R35" s="13"/>
    </row>
    <row r="36" spans="1:18" ht="30" x14ac:dyDescent="0.25">
      <c r="A36" s="9" t="s">
        <v>21</v>
      </c>
      <c r="B36" s="28">
        <f>IF(ISBLANK(A36),0,INDEX(txtstylestab[],MATCH(A36,txtstylestab[style_Name],0),1))</f>
        <v>0</v>
      </c>
      <c r="C36" s="28">
        <f t="shared" si="1"/>
        <v>1</v>
      </c>
      <c r="D36" s="28">
        <f t="shared" si="2"/>
        <v>2</v>
      </c>
      <c r="E36" s="28">
        <f t="shared" si="3"/>
        <v>0</v>
      </c>
      <c r="F36" s="59" t="str">
        <f t="shared" si="4"/>
        <v/>
      </c>
      <c r="G36" s="42"/>
      <c r="H36" s="43"/>
      <c r="I36" s="44" t="s">
        <v>2286</v>
      </c>
      <c r="J36" s="45" t="s">
        <v>404</v>
      </c>
      <c r="K36" s="46" t="s">
        <v>78</v>
      </c>
      <c r="L36" s="47"/>
      <c r="M36" s="48"/>
      <c r="N36" s="49"/>
      <c r="O36" s="77"/>
      <c r="P36" s="59"/>
      <c r="Q36" s="59"/>
      <c r="R36" s="13"/>
    </row>
    <row r="37" spans="1:18" ht="18" thickBot="1" x14ac:dyDescent="0.35">
      <c r="A37" s="9" t="s">
        <v>11</v>
      </c>
      <c r="B37" s="28">
        <f>IF(ISBLANK(A37),0,INDEX(txtstylestab[],MATCH(A37,txtstylestab[style_Name],0),1))</f>
        <v>2</v>
      </c>
      <c r="C37" s="28">
        <f t="shared" si="1"/>
        <v>1</v>
      </c>
      <c r="D37" s="28">
        <f t="shared" si="2"/>
        <v>3</v>
      </c>
      <c r="E37" s="28">
        <f t="shared" si="3"/>
        <v>0</v>
      </c>
      <c r="F37" s="51" t="str">
        <f t="shared" si="4"/>
        <v>1.3.</v>
      </c>
      <c r="G37" s="68" t="s">
        <v>79</v>
      </c>
      <c r="H37" s="68"/>
      <c r="I37" s="68"/>
      <c r="J37" s="68"/>
      <c r="K37" s="68"/>
      <c r="L37" s="68"/>
      <c r="M37" s="68"/>
      <c r="N37" s="68"/>
      <c r="O37" s="68"/>
      <c r="P37" s="68"/>
      <c r="Q37" s="68"/>
      <c r="R37" s="13"/>
    </row>
    <row r="38" spans="1:18" ht="15.75" thickTop="1" x14ac:dyDescent="0.25">
      <c r="A38" s="9" t="s">
        <v>22</v>
      </c>
      <c r="B38" s="28">
        <f>IF(ISBLANK(A38),0,INDEX(txtstylestab[],MATCH(A38,txtstylestab[style_Name],0),1))</f>
        <v>4</v>
      </c>
      <c r="C38" s="28">
        <f t="shared" si="1"/>
        <v>1</v>
      </c>
      <c r="D38" s="28">
        <f t="shared" si="2"/>
        <v>3</v>
      </c>
      <c r="E38" s="28">
        <f t="shared" si="3"/>
        <v>0</v>
      </c>
      <c r="F38" s="56" t="str">
        <f t="shared" si="4"/>
        <v/>
      </c>
      <c r="G38" s="67" t="s">
        <v>80</v>
      </c>
      <c r="H38" s="67"/>
      <c r="I38" s="67"/>
      <c r="J38" s="67"/>
      <c r="K38" s="67"/>
      <c r="L38" s="67"/>
      <c r="M38" s="67"/>
      <c r="N38" s="67"/>
      <c r="O38" s="67"/>
      <c r="P38" s="67"/>
      <c r="Q38" s="67"/>
      <c r="R38" s="13"/>
    </row>
    <row r="39" spans="1:18" x14ac:dyDescent="0.25">
      <c r="A39" s="9" t="s">
        <v>23</v>
      </c>
      <c r="B39" s="28">
        <f>IF(ISBLANK(A39),0,INDEX(txtstylestab[],MATCH(A39,txtstylestab[style_Name],0),1))</f>
        <v>5</v>
      </c>
      <c r="C39" s="28">
        <f t="shared" si="1"/>
        <v>1</v>
      </c>
      <c r="D39" s="28">
        <f t="shared" si="2"/>
        <v>3</v>
      </c>
      <c r="E39" s="28">
        <f t="shared" si="3"/>
        <v>0</v>
      </c>
      <c r="F39" s="56" t="str">
        <f t="shared" si="4"/>
        <v/>
      </c>
      <c r="G39" s="69" t="s">
        <v>81</v>
      </c>
      <c r="H39" s="69"/>
      <c r="I39" s="69"/>
      <c r="J39" s="69"/>
      <c r="K39" s="69"/>
      <c r="L39" s="69"/>
      <c r="M39" s="69"/>
      <c r="N39" s="69"/>
      <c r="O39" s="69"/>
      <c r="P39" s="69"/>
      <c r="Q39" s="69"/>
      <c r="R39" s="13"/>
    </row>
    <row r="40" spans="1:18" x14ac:dyDescent="0.25">
      <c r="A40" s="9" t="s">
        <v>21</v>
      </c>
      <c r="B40" s="28">
        <f>IF(ISBLANK(A40),0,INDEX(txtstylestab[],MATCH(A40,txtstylestab[style_Name],0),1))</f>
        <v>0</v>
      </c>
      <c r="C40" s="28">
        <f t="shared" si="1"/>
        <v>1</v>
      </c>
      <c r="D40" s="28">
        <f t="shared" si="2"/>
        <v>3</v>
      </c>
      <c r="E40" s="28">
        <f t="shared" si="3"/>
        <v>0</v>
      </c>
      <c r="F40" s="59" t="str">
        <f t="shared" si="4"/>
        <v/>
      </c>
      <c r="G40" s="42" t="s">
        <v>82</v>
      </c>
      <c r="H40" s="43" t="s">
        <v>83</v>
      </c>
      <c r="I40" s="44" t="s">
        <v>84</v>
      </c>
      <c r="J40" s="45" t="s">
        <v>85</v>
      </c>
      <c r="K40" s="46" t="s">
        <v>86</v>
      </c>
      <c r="L40" s="47" t="s">
        <v>2373</v>
      </c>
      <c r="M40" s="48" t="s">
        <v>2333</v>
      </c>
      <c r="N40" s="49"/>
      <c r="O40" s="50" t="s">
        <v>3166</v>
      </c>
      <c r="P40" s="59"/>
      <c r="Q40" s="59"/>
      <c r="R40" s="13"/>
    </row>
    <row r="41" spans="1:18" ht="75" x14ac:dyDescent="0.25">
      <c r="A41" s="9" t="s">
        <v>21</v>
      </c>
      <c r="B41" s="28">
        <f>IF(ISBLANK(A41),0,INDEX(txtstylestab[],MATCH(A41,txtstylestab[style_Name],0),1))</f>
        <v>0</v>
      </c>
      <c r="C41" s="28">
        <f t="shared" si="1"/>
        <v>1</v>
      </c>
      <c r="D41" s="28">
        <f t="shared" si="2"/>
        <v>3</v>
      </c>
      <c r="E41" s="28">
        <f t="shared" si="3"/>
        <v>0</v>
      </c>
      <c r="F41" s="59" t="str">
        <f t="shared" si="4"/>
        <v/>
      </c>
      <c r="G41" s="42" t="s">
        <v>87</v>
      </c>
      <c r="H41" s="43" t="s">
        <v>88</v>
      </c>
      <c r="I41" s="44" t="s">
        <v>89</v>
      </c>
      <c r="J41" s="45" t="s">
        <v>90</v>
      </c>
      <c r="K41" s="46" t="s">
        <v>91</v>
      </c>
      <c r="L41" s="47" t="s">
        <v>2386</v>
      </c>
      <c r="M41" s="48" t="s">
        <v>2387</v>
      </c>
      <c r="N41" s="49"/>
      <c r="O41" s="50" t="s">
        <v>3290</v>
      </c>
      <c r="P41" s="59"/>
      <c r="Q41" s="59"/>
      <c r="R41" s="13"/>
    </row>
    <row r="42" spans="1:18" ht="120" x14ac:dyDescent="0.25">
      <c r="A42" s="9" t="s">
        <v>21</v>
      </c>
      <c r="B42" s="28">
        <f>IF(ISBLANK(A42),0,INDEX(txtstylestab[],MATCH(A42,txtstylestab[style_Name],0),1))</f>
        <v>0</v>
      </c>
      <c r="C42" s="28">
        <f t="shared" si="1"/>
        <v>1</v>
      </c>
      <c r="D42" s="28">
        <f t="shared" si="2"/>
        <v>3</v>
      </c>
      <c r="E42" s="28">
        <f t="shared" si="3"/>
        <v>0</v>
      </c>
      <c r="F42" s="59" t="str">
        <f t="shared" si="4"/>
        <v/>
      </c>
      <c r="G42" s="42" t="s">
        <v>92</v>
      </c>
      <c r="H42" s="43" t="s">
        <v>465</v>
      </c>
      <c r="I42" s="44" t="s">
        <v>2287</v>
      </c>
      <c r="J42" s="45" t="s">
        <v>530</v>
      </c>
      <c r="K42" s="46" t="s">
        <v>93</v>
      </c>
      <c r="L42" s="47" t="s">
        <v>2388</v>
      </c>
      <c r="M42" s="48" t="s">
        <v>2389</v>
      </c>
      <c r="N42" s="49"/>
      <c r="O42" s="50" t="s">
        <v>3291</v>
      </c>
      <c r="P42" s="59"/>
      <c r="Q42" s="59"/>
      <c r="R42" s="13"/>
    </row>
    <row r="43" spans="1:18" ht="75" x14ac:dyDescent="0.25">
      <c r="A43" s="9" t="s">
        <v>21</v>
      </c>
      <c r="B43" s="28">
        <f>IF(ISBLANK(A43),0,INDEX(txtstylestab[],MATCH(A43,txtstylestab[style_Name],0),1))</f>
        <v>0</v>
      </c>
      <c r="C43" s="28">
        <f t="shared" si="1"/>
        <v>1</v>
      </c>
      <c r="D43" s="28">
        <f t="shared" si="2"/>
        <v>3</v>
      </c>
      <c r="E43" s="28">
        <f t="shared" si="3"/>
        <v>0</v>
      </c>
      <c r="F43" s="59" t="str">
        <f t="shared" si="4"/>
        <v/>
      </c>
      <c r="G43" s="42" t="s">
        <v>1784</v>
      </c>
      <c r="H43" s="43" t="s">
        <v>1785</v>
      </c>
      <c r="I43" s="44" t="s">
        <v>1786</v>
      </c>
      <c r="J43" s="45" t="s">
        <v>1787</v>
      </c>
      <c r="K43" s="46" t="s">
        <v>1788</v>
      </c>
      <c r="L43" s="47" t="s">
        <v>2374</v>
      </c>
      <c r="M43" s="48" t="s">
        <v>2375</v>
      </c>
      <c r="N43" s="49"/>
      <c r="O43" s="50" t="s">
        <v>3226</v>
      </c>
      <c r="P43" s="59"/>
      <c r="Q43" s="59"/>
      <c r="R43" s="13"/>
    </row>
    <row r="44" spans="1:18" ht="60" x14ac:dyDescent="0.25">
      <c r="A44" s="9" t="s">
        <v>14</v>
      </c>
      <c r="B44" s="28">
        <f>IF(ISBLANK(A44),0,INDEX(txtstylestab[],MATCH(A44,txtstylestab[style_Name],0),1))</f>
        <v>6</v>
      </c>
      <c r="C44" s="28">
        <f t="shared" si="1"/>
        <v>1</v>
      </c>
      <c r="D44" s="28">
        <f t="shared" si="2"/>
        <v>3</v>
      </c>
      <c r="E44" s="28">
        <f t="shared" si="3"/>
        <v>0</v>
      </c>
      <c r="F44" s="59" t="str">
        <f t="shared" si="4"/>
        <v/>
      </c>
      <c r="G44" s="42" t="s">
        <v>976</v>
      </c>
      <c r="H44" s="43" t="s">
        <v>979</v>
      </c>
      <c r="I44" s="44" t="s">
        <v>981</v>
      </c>
      <c r="J44" s="45" t="s">
        <v>983</v>
      </c>
      <c r="K44" s="46" t="s">
        <v>1711</v>
      </c>
      <c r="L44" s="47" t="s">
        <v>2376</v>
      </c>
      <c r="M44" s="48" t="s">
        <v>2377</v>
      </c>
      <c r="N44" s="49"/>
      <c r="O44" s="50" t="s">
        <v>3227</v>
      </c>
      <c r="P44" s="59"/>
      <c r="Q44" s="59"/>
      <c r="R44" s="13"/>
    </row>
    <row r="45" spans="1:18" ht="60" x14ac:dyDescent="0.25">
      <c r="A45" s="9" t="s">
        <v>14</v>
      </c>
      <c r="B45" s="28">
        <f>IF(ISBLANK(A45),0,INDEX(txtstylestab[],MATCH(A45,txtstylestab[style_Name],0),1))</f>
        <v>6</v>
      </c>
      <c r="C45" s="28">
        <f t="shared" si="1"/>
        <v>1</v>
      </c>
      <c r="D45" s="28">
        <f t="shared" si="2"/>
        <v>3</v>
      </c>
      <c r="E45" s="28">
        <f t="shared" si="3"/>
        <v>0</v>
      </c>
      <c r="F45" s="59" t="str">
        <f t="shared" si="4"/>
        <v/>
      </c>
      <c r="G45" s="42" t="s">
        <v>977</v>
      </c>
      <c r="H45" s="43" t="s">
        <v>980</v>
      </c>
      <c r="I45" s="44" t="s">
        <v>982</v>
      </c>
      <c r="J45" s="45" t="s">
        <v>984</v>
      </c>
      <c r="K45" s="46" t="s">
        <v>987</v>
      </c>
      <c r="L45" s="47" t="s">
        <v>2378</v>
      </c>
      <c r="M45" s="48" t="s">
        <v>2379</v>
      </c>
      <c r="N45" s="49"/>
      <c r="O45" s="50" t="s">
        <v>3228</v>
      </c>
      <c r="P45" s="59"/>
      <c r="Q45" s="59"/>
      <c r="R45" s="13"/>
    </row>
    <row r="46" spans="1:18" ht="45" x14ac:dyDescent="0.25">
      <c r="A46" s="9" t="s">
        <v>14</v>
      </c>
      <c r="B46" s="28">
        <f>IF(ISBLANK(A46),0,INDEX(txtstylestab[],MATCH(A46,txtstylestab[style_Name],0),1))</f>
        <v>6</v>
      </c>
      <c r="C46" s="28">
        <f t="shared" si="1"/>
        <v>1</v>
      </c>
      <c r="D46" s="28">
        <f t="shared" si="2"/>
        <v>3</v>
      </c>
      <c r="E46" s="28">
        <f t="shared" si="3"/>
        <v>0</v>
      </c>
      <c r="F46" s="59" t="str">
        <f t="shared" si="4"/>
        <v/>
      </c>
      <c r="G46" s="42" t="s">
        <v>978</v>
      </c>
      <c r="H46" s="43" t="s">
        <v>979</v>
      </c>
      <c r="I46" s="44" t="s">
        <v>981</v>
      </c>
      <c r="J46" s="45" t="s">
        <v>985</v>
      </c>
      <c r="K46" s="46" t="s">
        <v>988</v>
      </c>
      <c r="L46" s="47" t="s">
        <v>2380</v>
      </c>
      <c r="M46" s="48" t="s">
        <v>2381</v>
      </c>
      <c r="N46" s="49"/>
      <c r="O46" s="50" t="s">
        <v>3229</v>
      </c>
      <c r="P46" s="59"/>
      <c r="Q46" s="59"/>
      <c r="R46" s="13"/>
    </row>
    <row r="47" spans="1:18" ht="135" x14ac:dyDescent="0.25">
      <c r="A47" s="9" t="s">
        <v>21</v>
      </c>
      <c r="B47" s="28">
        <f>IF(ISBLANK(A47),0,INDEX(txtstylestab[],MATCH(A47,txtstylestab[style_Name],0),1))</f>
        <v>0</v>
      </c>
      <c r="C47" s="28">
        <f t="shared" si="1"/>
        <v>1</v>
      </c>
      <c r="D47" s="28">
        <f t="shared" si="2"/>
        <v>3</v>
      </c>
      <c r="E47" s="28">
        <f t="shared" si="3"/>
        <v>0</v>
      </c>
      <c r="F47" s="59" t="str">
        <f t="shared" si="4"/>
        <v/>
      </c>
      <c r="G47" s="42" t="s">
        <v>2214</v>
      </c>
      <c r="H47" s="43" t="s">
        <v>2215</v>
      </c>
      <c r="I47" s="44" t="s">
        <v>2238</v>
      </c>
      <c r="J47" s="45" t="s">
        <v>94</v>
      </c>
      <c r="K47" s="46" t="s">
        <v>1712</v>
      </c>
      <c r="L47" s="47" t="s">
        <v>2382</v>
      </c>
      <c r="M47" s="48" t="s">
        <v>2383</v>
      </c>
      <c r="N47" s="49"/>
      <c r="O47" s="50" t="s">
        <v>3292</v>
      </c>
      <c r="P47" s="59"/>
      <c r="Q47" s="59"/>
      <c r="R47" s="13"/>
    </row>
    <row r="48" spans="1:18" ht="30" x14ac:dyDescent="0.25">
      <c r="A48" s="9" t="s">
        <v>21</v>
      </c>
      <c r="B48" s="28">
        <f>IF(ISBLANK(A48),0,INDEX(txtstylestab[],MATCH(A48,txtstylestab[style_Name],0),1))</f>
        <v>0</v>
      </c>
      <c r="C48" s="28">
        <f t="shared" si="1"/>
        <v>1</v>
      </c>
      <c r="D48" s="28">
        <f t="shared" si="2"/>
        <v>3</v>
      </c>
      <c r="E48" s="28">
        <f t="shared" si="3"/>
        <v>0</v>
      </c>
      <c r="F48" s="59" t="str">
        <f t="shared" si="4"/>
        <v/>
      </c>
      <c r="G48" s="42" t="s">
        <v>97</v>
      </c>
      <c r="H48" s="43" t="s">
        <v>96</v>
      </c>
      <c r="I48" s="44" t="s">
        <v>48</v>
      </c>
      <c r="J48" s="45" t="s">
        <v>397</v>
      </c>
      <c r="K48" s="46" t="s">
        <v>59</v>
      </c>
      <c r="L48" s="47" t="s">
        <v>2384</v>
      </c>
      <c r="M48" s="48" t="s">
        <v>2385</v>
      </c>
      <c r="N48" s="49"/>
      <c r="O48" s="50" t="s">
        <v>3231</v>
      </c>
      <c r="P48" s="59"/>
      <c r="Q48" s="59"/>
      <c r="R48" s="13"/>
    </row>
    <row r="49" spans="1:18" ht="15.75" thickBot="1" x14ac:dyDescent="0.3">
      <c r="A49" s="9" t="s">
        <v>12</v>
      </c>
      <c r="B49" s="28">
        <f>IF(ISBLANK(A49),0,INDEX(txtstylestab[],MATCH(A49,txtstylestab[style_Name],0),1))</f>
        <v>3</v>
      </c>
      <c r="C49" s="28">
        <f t="shared" si="1"/>
        <v>1</v>
      </c>
      <c r="D49" s="28">
        <f t="shared" si="2"/>
        <v>3</v>
      </c>
      <c r="E49" s="28">
        <f t="shared" si="3"/>
        <v>1</v>
      </c>
      <c r="F49" s="55" t="str">
        <f t="shared" si="4"/>
        <v>1.3.1.</v>
      </c>
      <c r="G49" s="70" t="s">
        <v>98</v>
      </c>
      <c r="H49" s="70"/>
      <c r="I49" s="70"/>
      <c r="J49" s="70"/>
      <c r="K49" s="70"/>
      <c r="L49" s="71"/>
      <c r="M49" s="71"/>
      <c r="N49" s="70"/>
      <c r="O49" s="70"/>
      <c r="P49" s="70"/>
      <c r="Q49" s="70"/>
      <c r="R49" s="13"/>
    </row>
    <row r="50" spans="1:18" x14ac:dyDescent="0.25">
      <c r="A50" s="9" t="s">
        <v>22</v>
      </c>
      <c r="B50" s="28">
        <f>IF(ISBLANK(A50),0,INDEX(txtstylestab[],MATCH(A50,txtstylestab[style_Name],0),1))</f>
        <v>4</v>
      </c>
      <c r="C50" s="28">
        <f t="shared" si="1"/>
        <v>1</v>
      </c>
      <c r="D50" s="28">
        <f t="shared" si="2"/>
        <v>3</v>
      </c>
      <c r="E50" s="28">
        <f t="shared" si="3"/>
        <v>1</v>
      </c>
      <c r="F50" s="56" t="str">
        <f t="shared" si="4"/>
        <v/>
      </c>
      <c r="G50" s="67" t="s">
        <v>1789</v>
      </c>
      <c r="H50" s="67"/>
      <c r="I50" s="67"/>
      <c r="J50" s="67"/>
      <c r="K50" s="67"/>
      <c r="L50" s="67"/>
      <c r="M50" s="67"/>
      <c r="N50" s="67"/>
      <c r="O50" s="67"/>
      <c r="P50" s="67"/>
      <c r="Q50" s="67"/>
      <c r="R50" s="13"/>
    </row>
    <row r="51" spans="1:18" x14ac:dyDescent="0.25">
      <c r="A51" s="9" t="s">
        <v>21</v>
      </c>
      <c r="B51" s="28">
        <f>IF(ISBLANK(A51),0,INDEX(txtstylestab[],MATCH(A51,txtstylestab[style_Name],0),1))</f>
        <v>0</v>
      </c>
      <c r="C51" s="28">
        <f t="shared" si="1"/>
        <v>1</v>
      </c>
      <c r="D51" s="28">
        <f t="shared" si="2"/>
        <v>3</v>
      </c>
      <c r="E51" s="28">
        <f t="shared" si="3"/>
        <v>1</v>
      </c>
      <c r="F51" s="59" t="str">
        <f t="shared" si="4"/>
        <v/>
      </c>
      <c r="G51" s="61" t="s">
        <v>82</v>
      </c>
      <c r="H51" s="62"/>
      <c r="I51" s="63"/>
      <c r="J51" s="64"/>
      <c r="K51" s="65"/>
      <c r="L51" s="71"/>
      <c r="M51" s="71"/>
      <c r="N51" s="72"/>
      <c r="O51" s="72"/>
      <c r="P51" s="73"/>
      <c r="Q51" s="74"/>
      <c r="R51" s="13"/>
    </row>
    <row r="52" spans="1:18" ht="60" x14ac:dyDescent="0.25">
      <c r="A52" s="9" t="s">
        <v>21</v>
      </c>
      <c r="B52" s="28">
        <f>IF(ISBLANK(A52),0,INDEX(txtstylestab[],MATCH(A52,txtstylestab[style_Name],0),1))</f>
        <v>0</v>
      </c>
      <c r="C52" s="28">
        <f t="shared" si="1"/>
        <v>1</v>
      </c>
      <c r="D52" s="28">
        <f t="shared" si="2"/>
        <v>3</v>
      </c>
      <c r="E52" s="28">
        <f t="shared" si="3"/>
        <v>1</v>
      </c>
      <c r="F52" s="59" t="str">
        <f t="shared" si="4"/>
        <v/>
      </c>
      <c r="G52" s="61" t="s">
        <v>99</v>
      </c>
      <c r="H52" s="62"/>
      <c r="I52" s="63"/>
      <c r="J52" s="64"/>
      <c r="K52" s="65"/>
      <c r="L52" s="71"/>
      <c r="M52" s="71"/>
      <c r="N52" s="72"/>
      <c r="O52" s="72"/>
      <c r="P52" s="73"/>
      <c r="Q52" s="74"/>
      <c r="R52" s="13"/>
    </row>
    <row r="53" spans="1:18" x14ac:dyDescent="0.25">
      <c r="A53" s="9" t="s">
        <v>21</v>
      </c>
      <c r="B53" s="28">
        <f>IF(ISBLANK(A53),0,INDEX(txtstylestab[],MATCH(A53,txtstylestab[style_Name],0),1))</f>
        <v>0</v>
      </c>
      <c r="C53" s="28">
        <f t="shared" si="1"/>
        <v>1</v>
      </c>
      <c r="D53" s="28">
        <f t="shared" si="2"/>
        <v>3</v>
      </c>
      <c r="E53" s="28">
        <f t="shared" si="3"/>
        <v>1</v>
      </c>
      <c r="F53" s="59" t="str">
        <f t="shared" si="4"/>
        <v/>
      </c>
      <c r="G53" s="61" t="s">
        <v>100</v>
      </c>
      <c r="H53" s="62"/>
      <c r="I53" s="63"/>
      <c r="J53" s="64"/>
      <c r="K53" s="65"/>
      <c r="L53" s="71"/>
      <c r="M53" s="71"/>
      <c r="N53" s="72"/>
      <c r="O53" s="72"/>
      <c r="P53" s="73"/>
      <c r="Q53" s="74"/>
      <c r="R53" s="13"/>
    </row>
    <row r="54" spans="1:18" ht="18" thickBot="1" x14ac:dyDescent="0.35">
      <c r="A54" s="9" t="s">
        <v>11</v>
      </c>
      <c r="B54" s="28">
        <f>IF(ISBLANK(A54),0,INDEX(txtstylestab[],MATCH(A54,txtstylestab[style_Name],0),1))</f>
        <v>2</v>
      </c>
      <c r="C54" s="28">
        <f t="shared" si="1"/>
        <v>1</v>
      </c>
      <c r="D54" s="28">
        <f t="shared" si="2"/>
        <v>4</v>
      </c>
      <c r="E54" s="28">
        <f t="shared" si="3"/>
        <v>0</v>
      </c>
      <c r="F54" s="54" t="str">
        <f t="shared" si="4"/>
        <v>1.4.</v>
      </c>
      <c r="G54" s="68" t="s">
        <v>101</v>
      </c>
      <c r="H54" s="68"/>
      <c r="I54" s="68"/>
      <c r="J54" s="68"/>
      <c r="K54" s="68"/>
      <c r="L54" s="68"/>
      <c r="M54" s="68"/>
      <c r="N54" s="68"/>
      <c r="O54" s="68"/>
      <c r="P54" s="68"/>
      <c r="Q54" s="68"/>
      <c r="R54" s="13"/>
    </row>
    <row r="55" spans="1:18" ht="15.75" thickTop="1" x14ac:dyDescent="0.25">
      <c r="A55" s="9" t="s">
        <v>21</v>
      </c>
      <c r="B55" s="28">
        <f>IF(ISBLANK(A55),0,INDEX(txtstylestab[],MATCH(A55,txtstylestab[style_Name],0),1))</f>
        <v>0</v>
      </c>
      <c r="C55" s="28">
        <f t="shared" si="1"/>
        <v>1</v>
      </c>
      <c r="D55" s="28">
        <f t="shared" si="2"/>
        <v>4</v>
      </c>
      <c r="E55" s="28">
        <f t="shared" si="3"/>
        <v>0</v>
      </c>
      <c r="F55" s="59" t="str">
        <f t="shared" si="4"/>
        <v/>
      </c>
      <c r="G55" s="42" t="s">
        <v>82</v>
      </c>
      <c r="H55" s="43" t="s">
        <v>83</v>
      </c>
      <c r="I55" s="44" t="s">
        <v>84</v>
      </c>
      <c r="J55" s="45" t="s">
        <v>85</v>
      </c>
      <c r="K55" s="46" t="s">
        <v>86</v>
      </c>
      <c r="L55" s="47" t="s">
        <v>2398</v>
      </c>
      <c r="M55" s="48" t="s">
        <v>2333</v>
      </c>
      <c r="N55" s="49"/>
      <c r="O55" s="50" t="s">
        <v>3166</v>
      </c>
      <c r="P55" s="59"/>
      <c r="Q55" s="59"/>
      <c r="R55" s="13"/>
    </row>
    <row r="56" spans="1:18" ht="60" x14ac:dyDescent="0.25">
      <c r="A56" s="9" t="s">
        <v>21</v>
      </c>
      <c r="B56" s="28">
        <f>IF(ISBLANK(A56),0,INDEX(txtstylestab[],MATCH(A56,txtstylestab[style_Name],0),1))</f>
        <v>0</v>
      </c>
      <c r="C56" s="28">
        <f t="shared" si="1"/>
        <v>1</v>
      </c>
      <c r="D56" s="28">
        <f t="shared" si="2"/>
        <v>4</v>
      </c>
      <c r="E56" s="28">
        <f t="shared" si="3"/>
        <v>0</v>
      </c>
      <c r="F56" s="59" t="str">
        <f t="shared" si="4"/>
        <v/>
      </c>
      <c r="G56" s="42" t="s">
        <v>102</v>
      </c>
      <c r="H56" s="43" t="s">
        <v>103</v>
      </c>
      <c r="I56" s="44" t="s">
        <v>104</v>
      </c>
      <c r="J56" s="45" t="s">
        <v>105</v>
      </c>
      <c r="K56" s="46" t="s">
        <v>106</v>
      </c>
      <c r="L56" s="47" t="s">
        <v>2399</v>
      </c>
      <c r="M56" s="48" t="s">
        <v>2400</v>
      </c>
      <c r="N56" s="49"/>
      <c r="O56" s="50" t="s">
        <v>3294</v>
      </c>
      <c r="P56" s="59"/>
      <c r="Q56" s="59"/>
      <c r="R56" s="13"/>
    </row>
    <row r="57" spans="1:18" ht="15.75" thickBot="1" x14ac:dyDescent="0.3">
      <c r="A57" s="9" t="s">
        <v>12</v>
      </c>
      <c r="B57" s="28">
        <f>IF(ISBLANK(A57),0,INDEX(txtstylestab[],MATCH(A57,txtstylestab[style_Name],0),1))</f>
        <v>3</v>
      </c>
      <c r="C57" s="28">
        <f t="shared" si="1"/>
        <v>1</v>
      </c>
      <c r="D57" s="28">
        <f t="shared" si="2"/>
        <v>4</v>
      </c>
      <c r="E57" s="28">
        <f t="shared" si="3"/>
        <v>1</v>
      </c>
      <c r="F57" s="55" t="str">
        <f t="shared" si="4"/>
        <v>1.4.1.</v>
      </c>
      <c r="G57" s="70" t="s">
        <v>107</v>
      </c>
      <c r="H57" s="70"/>
      <c r="I57" s="70"/>
      <c r="J57" s="70"/>
      <c r="K57" s="70"/>
      <c r="L57" s="70"/>
      <c r="M57" s="70"/>
      <c r="N57" s="70"/>
      <c r="O57" s="70"/>
      <c r="P57" s="70"/>
      <c r="Q57" s="70"/>
      <c r="R57" s="13"/>
    </row>
    <row r="58" spans="1:18" x14ac:dyDescent="0.25">
      <c r="A58" s="9" t="s">
        <v>22</v>
      </c>
      <c r="B58" s="28">
        <f>IF(ISBLANK(A58),0,INDEX(txtstylestab[],MATCH(A58,txtstylestab[style_Name],0),1))</f>
        <v>4</v>
      </c>
      <c r="C58" s="28">
        <f t="shared" si="1"/>
        <v>1</v>
      </c>
      <c r="D58" s="28">
        <f t="shared" si="2"/>
        <v>4</v>
      </c>
      <c r="E58" s="28">
        <f t="shared" si="3"/>
        <v>1</v>
      </c>
      <c r="F58" s="56" t="str">
        <f t="shared" si="4"/>
        <v/>
      </c>
      <c r="G58" s="67" t="s">
        <v>108</v>
      </c>
      <c r="H58" s="67"/>
      <c r="I58" s="67"/>
      <c r="J58" s="67"/>
      <c r="K58" s="67"/>
      <c r="L58" s="67"/>
      <c r="M58" s="67"/>
      <c r="N58" s="67"/>
      <c r="O58" s="67"/>
      <c r="P58" s="67"/>
      <c r="Q58" s="67"/>
      <c r="R58" s="13"/>
    </row>
    <row r="59" spans="1:18" ht="30" x14ac:dyDescent="0.25">
      <c r="A59" s="9" t="s">
        <v>21</v>
      </c>
      <c r="B59" s="28">
        <f>IF(ISBLANK(A59),0,INDEX(txtstylestab[],MATCH(A59,txtstylestab[style_Name],0),1))</f>
        <v>0</v>
      </c>
      <c r="C59" s="28">
        <f t="shared" si="1"/>
        <v>1</v>
      </c>
      <c r="D59" s="28">
        <f t="shared" si="2"/>
        <v>4</v>
      </c>
      <c r="E59" s="28">
        <f t="shared" si="3"/>
        <v>1</v>
      </c>
      <c r="F59" s="59" t="str">
        <f t="shared" si="4"/>
        <v/>
      </c>
      <c r="G59" s="42" t="s">
        <v>109</v>
      </c>
      <c r="H59" s="43" t="s">
        <v>110</v>
      </c>
      <c r="I59" s="44" t="s">
        <v>111</v>
      </c>
      <c r="J59" s="45" t="s">
        <v>112</v>
      </c>
      <c r="K59" s="46" t="s">
        <v>113</v>
      </c>
      <c r="L59" s="47" t="s">
        <v>2401</v>
      </c>
      <c r="M59" s="48" t="s">
        <v>2402</v>
      </c>
      <c r="N59" s="49"/>
      <c r="O59" s="50" t="s">
        <v>3295</v>
      </c>
      <c r="P59" s="59"/>
      <c r="Q59" s="59"/>
      <c r="R59" s="13"/>
    </row>
    <row r="60" spans="1:18" ht="45" x14ac:dyDescent="0.25">
      <c r="A60" s="9" t="s">
        <v>21</v>
      </c>
      <c r="B60" s="28">
        <f>IF(ISBLANK(A60),0,INDEX(txtstylestab[],MATCH(A60,txtstylestab[style_Name],0),1))</f>
        <v>0</v>
      </c>
      <c r="C60" s="28">
        <f t="shared" si="1"/>
        <v>1</v>
      </c>
      <c r="D60" s="28">
        <f t="shared" si="2"/>
        <v>4</v>
      </c>
      <c r="E60" s="28">
        <f t="shared" si="3"/>
        <v>1</v>
      </c>
      <c r="F60" s="59" t="str">
        <f t="shared" si="4"/>
        <v/>
      </c>
      <c r="G60" s="42" t="s">
        <v>114</v>
      </c>
      <c r="H60" s="43" t="s">
        <v>115</v>
      </c>
      <c r="I60" s="44" t="s">
        <v>116</v>
      </c>
      <c r="J60" s="45" t="s">
        <v>117</v>
      </c>
      <c r="K60" s="46" t="s">
        <v>118</v>
      </c>
      <c r="L60" s="47" t="s">
        <v>2403</v>
      </c>
      <c r="M60" s="48" t="s">
        <v>2404</v>
      </c>
      <c r="N60" s="49"/>
      <c r="O60" s="50" t="s">
        <v>3299</v>
      </c>
      <c r="P60" s="59"/>
      <c r="Q60" s="59"/>
      <c r="R60" s="13"/>
    </row>
    <row r="61" spans="1:18" x14ac:dyDescent="0.25">
      <c r="A61" s="9" t="s">
        <v>21</v>
      </c>
      <c r="B61" s="28">
        <f>IF(ISBLANK(A61),0,INDEX(txtstylestab[],MATCH(A61,txtstylestab[style_Name],0),1))</f>
        <v>0</v>
      </c>
      <c r="C61" s="28">
        <f t="shared" si="1"/>
        <v>1</v>
      </c>
      <c r="D61" s="28">
        <f t="shared" si="2"/>
        <v>4</v>
      </c>
      <c r="E61" s="28">
        <f t="shared" si="3"/>
        <v>1</v>
      </c>
      <c r="F61" s="59" t="str">
        <f t="shared" si="4"/>
        <v/>
      </c>
      <c r="G61" s="42" t="s">
        <v>119</v>
      </c>
      <c r="H61" s="43" t="s">
        <v>120</v>
      </c>
      <c r="I61" s="44" t="s">
        <v>121</v>
      </c>
      <c r="J61" s="45" t="s">
        <v>122</v>
      </c>
      <c r="K61" s="46" t="s">
        <v>123</v>
      </c>
      <c r="L61" s="47" t="s">
        <v>2405</v>
      </c>
      <c r="M61" s="48" t="s">
        <v>2406</v>
      </c>
      <c r="N61" s="49"/>
      <c r="O61" s="50" t="s">
        <v>3303</v>
      </c>
      <c r="P61" s="59"/>
      <c r="Q61" s="59"/>
      <c r="R61" s="13"/>
    </row>
    <row r="62" spans="1:18" ht="30" x14ac:dyDescent="0.25">
      <c r="A62" s="9" t="s">
        <v>21</v>
      </c>
      <c r="B62" s="28">
        <f>IF(ISBLANK(A62),0,INDEX(txtstylestab[],MATCH(A62,txtstylestab[style_Name],0),1))</f>
        <v>0</v>
      </c>
      <c r="C62" s="28">
        <f t="shared" si="1"/>
        <v>1</v>
      </c>
      <c r="D62" s="28">
        <f t="shared" si="2"/>
        <v>4</v>
      </c>
      <c r="E62" s="28">
        <f t="shared" si="3"/>
        <v>1</v>
      </c>
      <c r="F62" s="59" t="str">
        <f t="shared" si="4"/>
        <v/>
      </c>
      <c r="G62" s="42" t="s">
        <v>124</v>
      </c>
      <c r="H62" s="43" t="s">
        <v>125</v>
      </c>
      <c r="I62" s="44" t="s">
        <v>126</v>
      </c>
      <c r="J62" s="45" t="s">
        <v>127</v>
      </c>
      <c r="K62" s="46" t="s">
        <v>128</v>
      </c>
      <c r="L62" s="47" t="s">
        <v>2407</v>
      </c>
      <c r="M62" s="48" t="s">
        <v>2408</v>
      </c>
      <c r="N62" s="49"/>
      <c r="O62" s="50" t="s">
        <v>3478</v>
      </c>
      <c r="P62" s="59"/>
      <c r="Q62" s="59"/>
      <c r="R62" s="13"/>
    </row>
    <row r="63" spans="1:18" ht="45" x14ac:dyDescent="0.25">
      <c r="A63" s="9" t="s">
        <v>21</v>
      </c>
      <c r="B63" s="28">
        <f>IF(ISBLANK(A63),0,INDEX(txtstylestab[],MATCH(A63,txtstylestab[style_Name],0),1))</f>
        <v>0</v>
      </c>
      <c r="C63" s="28">
        <f t="shared" si="1"/>
        <v>1</v>
      </c>
      <c r="D63" s="28">
        <f t="shared" si="2"/>
        <v>4</v>
      </c>
      <c r="E63" s="28">
        <f t="shared" si="3"/>
        <v>1</v>
      </c>
      <c r="F63" s="59" t="str">
        <f t="shared" si="4"/>
        <v/>
      </c>
      <c r="G63" s="42" t="s">
        <v>129</v>
      </c>
      <c r="H63" s="43" t="s">
        <v>130</v>
      </c>
      <c r="I63" s="44" t="s">
        <v>131</v>
      </c>
      <c r="J63" s="45" t="s">
        <v>132</v>
      </c>
      <c r="K63" s="46" t="s">
        <v>133</v>
      </c>
      <c r="L63" s="47" t="s">
        <v>2409</v>
      </c>
      <c r="M63" s="48" t="s">
        <v>2410</v>
      </c>
      <c r="N63" s="49"/>
      <c r="O63" s="50" t="s">
        <v>3305</v>
      </c>
      <c r="P63" s="59"/>
      <c r="Q63" s="59"/>
      <c r="R63" s="13"/>
    </row>
    <row r="64" spans="1:18" ht="45" x14ac:dyDescent="0.25">
      <c r="A64" s="9" t="s">
        <v>21</v>
      </c>
      <c r="B64" s="28">
        <f>IF(ISBLANK(A64),0,INDEX(txtstylestab[],MATCH(A64,txtstylestab[style_Name],0),1))</f>
        <v>0</v>
      </c>
      <c r="C64" s="28">
        <f t="shared" si="1"/>
        <v>1</v>
      </c>
      <c r="D64" s="28">
        <f t="shared" si="2"/>
        <v>4</v>
      </c>
      <c r="E64" s="28">
        <f t="shared" si="3"/>
        <v>1</v>
      </c>
      <c r="F64" s="59" t="str">
        <f t="shared" si="4"/>
        <v/>
      </c>
      <c r="G64" s="42" t="s">
        <v>134</v>
      </c>
      <c r="H64" s="43" t="s">
        <v>163</v>
      </c>
      <c r="I64" s="44" t="s">
        <v>135</v>
      </c>
      <c r="J64" s="45" t="s">
        <v>136</v>
      </c>
      <c r="K64" s="46" t="s">
        <v>137</v>
      </c>
      <c r="L64" s="47" t="s">
        <v>2411</v>
      </c>
      <c r="M64" s="48" t="s">
        <v>2412</v>
      </c>
      <c r="N64" s="49"/>
      <c r="O64" s="50" t="s">
        <v>3296</v>
      </c>
      <c r="P64" s="59"/>
      <c r="Q64" s="59"/>
      <c r="R64" s="13"/>
    </row>
    <row r="65" spans="1:18" ht="75" x14ac:dyDescent="0.25">
      <c r="A65" s="9" t="s">
        <v>21</v>
      </c>
      <c r="B65" s="28">
        <f>IF(ISBLANK(A65),0,INDEX(txtstylestab[],MATCH(A65,txtstylestab[style_Name],0),1))</f>
        <v>0</v>
      </c>
      <c r="C65" s="28">
        <f t="shared" si="1"/>
        <v>1</v>
      </c>
      <c r="D65" s="28">
        <f t="shared" si="2"/>
        <v>4</v>
      </c>
      <c r="E65" s="28">
        <f t="shared" si="3"/>
        <v>1</v>
      </c>
      <c r="F65" s="59" t="str">
        <f t="shared" si="4"/>
        <v/>
      </c>
      <c r="G65" s="42" t="s">
        <v>138</v>
      </c>
      <c r="H65" s="43" t="s">
        <v>139</v>
      </c>
      <c r="I65" s="44" t="s">
        <v>140</v>
      </c>
      <c r="J65" s="45" t="s">
        <v>141</v>
      </c>
      <c r="K65" s="46" t="s">
        <v>142</v>
      </c>
      <c r="L65" s="47" t="s">
        <v>2413</v>
      </c>
      <c r="M65" s="48" t="s">
        <v>2414</v>
      </c>
      <c r="N65" s="49"/>
      <c r="O65" s="50" t="s">
        <v>3297</v>
      </c>
      <c r="P65" s="59"/>
      <c r="Q65" s="59"/>
      <c r="R65" s="13"/>
    </row>
    <row r="66" spans="1:18" ht="30" x14ac:dyDescent="0.25">
      <c r="A66" s="9" t="s">
        <v>21</v>
      </c>
      <c r="B66" s="28">
        <f>IF(ISBLANK(A66),0,INDEX(txtstylestab[],MATCH(A66,txtstylestab[style_Name],0),1))</f>
        <v>0</v>
      </c>
      <c r="C66" s="28">
        <f t="shared" si="1"/>
        <v>1</v>
      </c>
      <c r="D66" s="28">
        <f t="shared" si="2"/>
        <v>4</v>
      </c>
      <c r="E66" s="28">
        <f t="shared" si="3"/>
        <v>1</v>
      </c>
      <c r="F66" s="59" t="str">
        <f t="shared" si="4"/>
        <v/>
      </c>
      <c r="G66" s="42" t="s">
        <v>143</v>
      </c>
      <c r="H66" s="43" t="s">
        <v>144</v>
      </c>
      <c r="I66" s="44" t="s">
        <v>145</v>
      </c>
      <c r="J66" s="45" t="s">
        <v>146</v>
      </c>
      <c r="K66" s="46" t="s">
        <v>147</v>
      </c>
      <c r="L66" s="47" t="s">
        <v>2415</v>
      </c>
      <c r="M66" s="48" t="s">
        <v>2416</v>
      </c>
      <c r="N66" s="49"/>
      <c r="O66" s="50" t="s">
        <v>3298</v>
      </c>
      <c r="P66" s="59"/>
      <c r="Q66" s="59"/>
      <c r="R66" s="13"/>
    </row>
    <row r="67" spans="1:18" x14ac:dyDescent="0.25">
      <c r="A67" s="9" t="s">
        <v>22</v>
      </c>
      <c r="B67" s="28">
        <f>IF(ISBLANK(A67),0,INDEX(txtstylestab[],MATCH(A67,txtstylestab[style_Name],0),1))</f>
        <v>4</v>
      </c>
      <c r="C67" s="28">
        <f t="shared" si="1"/>
        <v>1</v>
      </c>
      <c r="D67" s="28">
        <f t="shared" si="2"/>
        <v>4</v>
      </c>
      <c r="E67" s="28">
        <f t="shared" si="3"/>
        <v>1</v>
      </c>
      <c r="F67" s="56" t="str">
        <f t="shared" si="4"/>
        <v/>
      </c>
      <c r="G67" s="67" t="s">
        <v>148</v>
      </c>
      <c r="H67" s="67"/>
      <c r="I67" s="67"/>
      <c r="J67" s="67"/>
      <c r="K67" s="67"/>
      <c r="L67" s="67"/>
      <c r="M67" s="67"/>
      <c r="N67" s="67"/>
      <c r="O67" s="67"/>
      <c r="P67" s="67"/>
      <c r="Q67" s="67"/>
      <c r="R67" s="13"/>
    </row>
    <row r="68" spans="1:18" ht="30" x14ac:dyDescent="0.25">
      <c r="A68" s="9" t="s">
        <v>21</v>
      </c>
      <c r="B68" s="28">
        <f>IF(ISBLANK(A68),0,INDEX(txtstylestab[],MATCH(A68,txtstylestab[style_Name],0),1))</f>
        <v>0</v>
      </c>
      <c r="C68" s="28">
        <f t="shared" ref="C68:C131" si="5">IF(B68=1,C67+1,C67)</f>
        <v>1</v>
      </c>
      <c r="D68" s="28">
        <f t="shared" ref="D68:D131" si="6">IF(B68=1,0,IF(B68=2,D67+1,IF(AND(B68=3,D67=0),1,D67)))</f>
        <v>4</v>
      </c>
      <c r="E68" s="28">
        <f t="shared" ref="E68:E131" si="7">IF(OR(B68=1,B68=2),0,IF(B68=3,E67+1,E67))</f>
        <v>1</v>
      </c>
      <c r="F68" s="59" t="str">
        <f t="shared" ref="F68:F131" si="8">IF(OR(B68=1,B68=2,B68=3),TEXT(C68,"#")&amp;".","")&amp;IF(OR(B68=2,B68=3),TEXT(D68,"#")&amp;".","")&amp;IF(B68=3,TEXT(E68,"#")&amp;".","")</f>
        <v/>
      </c>
      <c r="G68" s="42" t="s">
        <v>149</v>
      </c>
      <c r="H68" s="43" t="s">
        <v>150</v>
      </c>
      <c r="I68" s="44" t="s">
        <v>151</v>
      </c>
      <c r="J68" s="45" t="s">
        <v>152</v>
      </c>
      <c r="K68" s="46" t="s">
        <v>153</v>
      </c>
      <c r="L68" s="47" t="s">
        <v>2417</v>
      </c>
      <c r="M68" s="48" t="s">
        <v>2418</v>
      </c>
      <c r="N68" s="49"/>
      <c r="O68" s="50" t="s">
        <v>3300</v>
      </c>
      <c r="P68" s="59"/>
      <c r="Q68" s="59"/>
      <c r="R68" s="13"/>
    </row>
    <row r="69" spans="1:18" ht="45" x14ac:dyDescent="0.25">
      <c r="A69" s="9" t="s">
        <v>21</v>
      </c>
      <c r="B69" s="28">
        <f>IF(ISBLANK(A69),0,INDEX(txtstylestab[],MATCH(A69,txtstylestab[style_Name],0),1))</f>
        <v>0</v>
      </c>
      <c r="C69" s="28">
        <f t="shared" si="5"/>
        <v>1</v>
      </c>
      <c r="D69" s="28">
        <f t="shared" si="6"/>
        <v>4</v>
      </c>
      <c r="E69" s="28">
        <f t="shared" si="7"/>
        <v>1</v>
      </c>
      <c r="F69" s="59" t="str">
        <f t="shared" si="8"/>
        <v/>
      </c>
      <c r="G69" s="42" t="s">
        <v>114</v>
      </c>
      <c r="H69" s="43" t="s">
        <v>115</v>
      </c>
      <c r="I69" s="44" t="s">
        <v>116</v>
      </c>
      <c r="J69" s="45" t="s">
        <v>154</v>
      </c>
      <c r="K69" s="46" t="s">
        <v>118</v>
      </c>
      <c r="L69" s="47" t="s">
        <v>2403</v>
      </c>
      <c r="M69" s="48" t="s">
        <v>2404</v>
      </c>
      <c r="N69" s="49"/>
      <c r="O69" s="50" t="s">
        <v>3299</v>
      </c>
      <c r="P69" s="59"/>
      <c r="Q69" s="59"/>
      <c r="R69" s="13"/>
    </row>
    <row r="70" spans="1:18" x14ac:dyDescent="0.25">
      <c r="A70" s="9" t="s">
        <v>21</v>
      </c>
      <c r="B70" s="28">
        <f>IF(ISBLANK(A70),0,INDEX(txtstylestab[],MATCH(A70,txtstylestab[style_Name],0),1))</f>
        <v>0</v>
      </c>
      <c r="C70" s="28">
        <f t="shared" si="5"/>
        <v>1</v>
      </c>
      <c r="D70" s="28">
        <f t="shared" si="6"/>
        <v>4</v>
      </c>
      <c r="E70" s="28">
        <f t="shared" si="7"/>
        <v>1</v>
      </c>
      <c r="F70" s="59" t="str">
        <f t="shared" si="8"/>
        <v/>
      </c>
      <c r="G70" s="42" t="s">
        <v>155</v>
      </c>
      <c r="H70" s="43" t="s">
        <v>156</v>
      </c>
      <c r="I70" s="44" t="s">
        <v>121</v>
      </c>
      <c r="J70" s="45" t="s">
        <v>122</v>
      </c>
      <c r="K70" s="46" t="s">
        <v>123</v>
      </c>
      <c r="L70" s="47" t="s">
        <v>2405</v>
      </c>
      <c r="M70" s="48" t="s">
        <v>2419</v>
      </c>
      <c r="N70" s="49"/>
      <c r="O70" s="50" t="s">
        <v>3303</v>
      </c>
      <c r="P70" s="59"/>
      <c r="Q70" s="59"/>
      <c r="R70" s="13"/>
    </row>
    <row r="71" spans="1:18" ht="30" x14ac:dyDescent="0.25">
      <c r="A71" s="9" t="s">
        <v>21</v>
      </c>
      <c r="B71" s="28">
        <f>IF(ISBLANK(A71),0,INDEX(txtstylestab[],MATCH(A71,txtstylestab[style_Name],0),1))</f>
        <v>0</v>
      </c>
      <c r="C71" s="28">
        <f t="shared" si="5"/>
        <v>1</v>
      </c>
      <c r="D71" s="28">
        <f t="shared" si="6"/>
        <v>4</v>
      </c>
      <c r="E71" s="28">
        <f t="shared" si="7"/>
        <v>1</v>
      </c>
      <c r="F71" s="59" t="str">
        <f t="shared" si="8"/>
        <v/>
      </c>
      <c r="G71" s="42" t="s">
        <v>157</v>
      </c>
      <c r="H71" s="43" t="s">
        <v>158</v>
      </c>
      <c r="I71" s="44" t="s">
        <v>159</v>
      </c>
      <c r="J71" s="45" t="s">
        <v>160</v>
      </c>
      <c r="K71" s="46" t="s">
        <v>161</v>
      </c>
      <c r="L71" s="47" t="s">
        <v>2420</v>
      </c>
      <c r="M71" s="48" t="s">
        <v>2421</v>
      </c>
      <c r="N71" s="49"/>
      <c r="O71" s="50" t="s">
        <v>3304</v>
      </c>
      <c r="P71" s="59"/>
      <c r="Q71" s="59"/>
      <c r="R71" s="13"/>
    </row>
    <row r="72" spans="1:18" ht="30" x14ac:dyDescent="0.25">
      <c r="A72" s="9" t="s">
        <v>21</v>
      </c>
      <c r="B72" s="28">
        <f>IF(ISBLANK(A72),0,INDEX(txtstylestab[],MATCH(A72,txtstylestab[style_Name],0),1))</f>
        <v>0</v>
      </c>
      <c r="C72" s="28">
        <f t="shared" si="5"/>
        <v>1</v>
      </c>
      <c r="D72" s="28">
        <f t="shared" si="6"/>
        <v>4</v>
      </c>
      <c r="E72" s="28">
        <f t="shared" si="7"/>
        <v>1</v>
      </c>
      <c r="F72" s="59" t="str">
        <f t="shared" si="8"/>
        <v/>
      </c>
      <c r="G72" s="42" t="s">
        <v>124</v>
      </c>
      <c r="H72" s="43" t="s">
        <v>125</v>
      </c>
      <c r="I72" s="44" t="s">
        <v>126</v>
      </c>
      <c r="J72" s="45" t="s">
        <v>127</v>
      </c>
      <c r="K72" s="46" t="s">
        <v>128</v>
      </c>
      <c r="L72" s="47" t="s">
        <v>2422</v>
      </c>
      <c r="M72" s="48" t="s">
        <v>2423</v>
      </c>
      <c r="N72" s="49"/>
      <c r="O72" s="50" t="s">
        <v>3478</v>
      </c>
      <c r="P72" s="59"/>
      <c r="Q72" s="59"/>
      <c r="R72" s="13"/>
    </row>
    <row r="73" spans="1:18" ht="45" x14ac:dyDescent="0.25">
      <c r="A73" s="9" t="s">
        <v>21</v>
      </c>
      <c r="B73" s="28">
        <f>IF(ISBLANK(A73),0,INDEX(txtstylestab[],MATCH(A73,txtstylestab[style_Name],0),1))</f>
        <v>0</v>
      </c>
      <c r="C73" s="28">
        <f t="shared" si="5"/>
        <v>1</v>
      </c>
      <c r="D73" s="28">
        <f t="shared" si="6"/>
        <v>4</v>
      </c>
      <c r="E73" s="28">
        <f t="shared" si="7"/>
        <v>1</v>
      </c>
      <c r="F73" s="59" t="str">
        <f t="shared" si="8"/>
        <v/>
      </c>
      <c r="G73" s="42" t="s">
        <v>129</v>
      </c>
      <c r="H73" s="43" t="s">
        <v>130</v>
      </c>
      <c r="I73" s="44" t="s">
        <v>131</v>
      </c>
      <c r="J73" s="45" t="s">
        <v>162</v>
      </c>
      <c r="K73" s="46" t="s">
        <v>133</v>
      </c>
      <c r="L73" s="47" t="s">
        <v>2409</v>
      </c>
      <c r="M73" s="48" t="s">
        <v>2424</v>
      </c>
      <c r="N73" s="49"/>
      <c r="O73" s="50" t="s">
        <v>3301</v>
      </c>
      <c r="P73" s="59"/>
      <c r="Q73" s="59"/>
      <c r="R73" s="13"/>
    </row>
    <row r="74" spans="1:18" ht="45" x14ac:dyDescent="0.25">
      <c r="A74" s="9" t="s">
        <v>21</v>
      </c>
      <c r="B74" s="28">
        <f>IF(ISBLANK(A74),0,INDEX(txtstylestab[],MATCH(A74,txtstylestab[style_Name],0),1))</f>
        <v>0</v>
      </c>
      <c r="C74" s="28">
        <f t="shared" si="5"/>
        <v>1</v>
      </c>
      <c r="D74" s="28">
        <f t="shared" si="6"/>
        <v>4</v>
      </c>
      <c r="E74" s="28">
        <f t="shared" si="7"/>
        <v>1</v>
      </c>
      <c r="F74" s="59" t="str">
        <f t="shared" si="8"/>
        <v/>
      </c>
      <c r="G74" s="42" t="s">
        <v>134</v>
      </c>
      <c r="H74" s="43" t="s">
        <v>163</v>
      </c>
      <c r="I74" s="44" t="s">
        <v>135</v>
      </c>
      <c r="J74" s="45" t="s">
        <v>136</v>
      </c>
      <c r="K74" s="46" t="s">
        <v>137</v>
      </c>
      <c r="L74" s="47" t="s">
        <v>2425</v>
      </c>
      <c r="M74" s="48" t="s">
        <v>2426</v>
      </c>
      <c r="N74" s="49"/>
      <c r="O74" s="50" t="s">
        <v>3296</v>
      </c>
      <c r="P74" s="59"/>
      <c r="Q74" s="59"/>
      <c r="R74" s="13"/>
    </row>
    <row r="75" spans="1:18" ht="75" x14ac:dyDescent="0.25">
      <c r="A75" s="9" t="s">
        <v>21</v>
      </c>
      <c r="B75" s="28">
        <f>IF(ISBLANK(A75),0,INDEX(txtstylestab[],MATCH(A75,txtstylestab[style_Name],0),1))</f>
        <v>0</v>
      </c>
      <c r="C75" s="28">
        <f t="shared" si="5"/>
        <v>1</v>
      </c>
      <c r="D75" s="28">
        <f t="shared" si="6"/>
        <v>4</v>
      </c>
      <c r="E75" s="28">
        <f t="shared" si="7"/>
        <v>1</v>
      </c>
      <c r="F75" s="59" t="str">
        <f t="shared" si="8"/>
        <v/>
      </c>
      <c r="G75" s="42" t="s">
        <v>138</v>
      </c>
      <c r="H75" s="43" t="s">
        <v>139</v>
      </c>
      <c r="I75" s="44" t="s">
        <v>140</v>
      </c>
      <c r="J75" s="45" t="s">
        <v>141</v>
      </c>
      <c r="K75" s="46" t="s">
        <v>142</v>
      </c>
      <c r="L75" s="47" t="s">
        <v>2427</v>
      </c>
      <c r="M75" s="48" t="s">
        <v>2414</v>
      </c>
      <c r="N75" s="49"/>
      <c r="O75" s="50" t="s">
        <v>3297</v>
      </c>
      <c r="P75" s="59"/>
      <c r="Q75" s="59"/>
      <c r="R75" s="13"/>
    </row>
    <row r="76" spans="1:18" ht="30" x14ac:dyDescent="0.25">
      <c r="A76" s="9" t="s">
        <v>21</v>
      </c>
      <c r="B76" s="28">
        <f>IF(ISBLANK(A76),0,INDEX(txtstylestab[],MATCH(A76,txtstylestab[style_Name],0),1))</f>
        <v>0</v>
      </c>
      <c r="C76" s="28">
        <f t="shared" si="5"/>
        <v>1</v>
      </c>
      <c r="D76" s="28">
        <f t="shared" si="6"/>
        <v>4</v>
      </c>
      <c r="E76" s="28">
        <f t="shared" si="7"/>
        <v>1</v>
      </c>
      <c r="F76" s="59" t="str">
        <f t="shared" si="8"/>
        <v/>
      </c>
      <c r="G76" s="42" t="s">
        <v>143</v>
      </c>
      <c r="H76" s="43" t="s">
        <v>144</v>
      </c>
      <c r="I76" s="44" t="s">
        <v>180</v>
      </c>
      <c r="J76" s="45" t="s">
        <v>146</v>
      </c>
      <c r="K76" s="46" t="s">
        <v>147</v>
      </c>
      <c r="L76" s="47" t="s">
        <v>2415</v>
      </c>
      <c r="M76" s="48" t="s">
        <v>2416</v>
      </c>
      <c r="N76" s="49"/>
      <c r="O76" s="50" t="s">
        <v>3298</v>
      </c>
      <c r="P76" s="59"/>
      <c r="Q76" s="59"/>
      <c r="R76" s="13"/>
    </row>
    <row r="77" spans="1:18" x14ac:dyDescent="0.25">
      <c r="A77" s="9" t="s">
        <v>22</v>
      </c>
      <c r="B77" s="28">
        <f>IF(ISBLANK(A77),0,INDEX(txtstylestab[],MATCH(A77,txtstylestab[style_Name],0),1))</f>
        <v>4</v>
      </c>
      <c r="C77" s="28">
        <f t="shared" si="5"/>
        <v>1</v>
      </c>
      <c r="D77" s="28">
        <f t="shared" si="6"/>
        <v>4</v>
      </c>
      <c r="E77" s="28">
        <f t="shared" si="7"/>
        <v>1</v>
      </c>
      <c r="F77" s="56" t="str">
        <f t="shared" si="8"/>
        <v/>
      </c>
      <c r="G77" s="67" t="s">
        <v>164</v>
      </c>
      <c r="H77" s="67"/>
      <c r="I77" s="67"/>
      <c r="J77" s="67"/>
      <c r="K77" s="67"/>
      <c r="L77" s="67"/>
      <c r="M77" s="67"/>
      <c r="N77" s="67"/>
      <c r="O77" s="67"/>
      <c r="P77" s="67"/>
      <c r="Q77" s="67"/>
      <c r="R77" s="13"/>
    </row>
    <row r="78" spans="1:18" ht="30" x14ac:dyDescent="0.25">
      <c r="A78" s="9" t="s">
        <v>21</v>
      </c>
      <c r="B78" s="28">
        <f>IF(ISBLANK(A78),0,INDEX(txtstylestab[],MATCH(A78,txtstylestab[style_Name],0),1))</f>
        <v>0</v>
      </c>
      <c r="C78" s="28">
        <f t="shared" si="5"/>
        <v>1</v>
      </c>
      <c r="D78" s="28">
        <f t="shared" si="6"/>
        <v>4</v>
      </c>
      <c r="E78" s="28">
        <f t="shared" si="7"/>
        <v>1</v>
      </c>
      <c r="F78" s="59" t="str">
        <f t="shared" si="8"/>
        <v/>
      </c>
      <c r="G78" s="42" t="s">
        <v>165</v>
      </c>
      <c r="H78" s="43" t="s">
        <v>166</v>
      </c>
      <c r="I78" s="44" t="s">
        <v>167</v>
      </c>
      <c r="J78" s="45" t="s">
        <v>168</v>
      </c>
      <c r="K78" s="46" t="s">
        <v>169</v>
      </c>
      <c r="L78" s="47" t="s">
        <v>2428</v>
      </c>
      <c r="M78" s="48" t="s">
        <v>2429</v>
      </c>
      <c r="N78" s="49"/>
      <c r="O78" s="50" t="s">
        <v>3302</v>
      </c>
      <c r="P78" s="59"/>
      <c r="Q78" s="59"/>
      <c r="R78" s="13"/>
    </row>
    <row r="79" spans="1:18" ht="45" x14ac:dyDescent="0.25">
      <c r="A79" s="9" t="s">
        <v>21</v>
      </c>
      <c r="B79" s="28">
        <f>IF(ISBLANK(A79),0,INDEX(txtstylestab[],MATCH(A79,txtstylestab[style_Name],0),1))</f>
        <v>0</v>
      </c>
      <c r="C79" s="28">
        <f t="shared" si="5"/>
        <v>1</v>
      </c>
      <c r="D79" s="28">
        <f t="shared" si="6"/>
        <v>4</v>
      </c>
      <c r="E79" s="28">
        <f t="shared" si="7"/>
        <v>1</v>
      </c>
      <c r="F79" s="59" t="str">
        <f t="shared" si="8"/>
        <v/>
      </c>
      <c r="G79" s="42" t="s">
        <v>114</v>
      </c>
      <c r="H79" s="43" t="s">
        <v>115</v>
      </c>
      <c r="I79" s="44" t="s">
        <v>170</v>
      </c>
      <c r="J79" s="45" t="s">
        <v>154</v>
      </c>
      <c r="K79" s="46" t="s">
        <v>118</v>
      </c>
      <c r="L79" s="47" t="s">
        <v>2403</v>
      </c>
      <c r="M79" s="48" t="s">
        <v>2404</v>
      </c>
      <c r="N79" s="49"/>
      <c r="O79" s="50" t="s">
        <v>3299</v>
      </c>
      <c r="P79" s="59"/>
      <c r="Q79" s="59"/>
      <c r="R79" s="13"/>
    </row>
    <row r="80" spans="1:18" x14ac:dyDescent="0.25">
      <c r="A80" s="9" t="s">
        <v>21</v>
      </c>
      <c r="B80" s="28">
        <f>IF(ISBLANK(A80),0,INDEX(txtstylestab[],MATCH(A80,txtstylestab[style_Name],0),1))</f>
        <v>0</v>
      </c>
      <c r="C80" s="28">
        <f t="shared" si="5"/>
        <v>1</v>
      </c>
      <c r="D80" s="28">
        <f t="shared" si="6"/>
        <v>4</v>
      </c>
      <c r="E80" s="28">
        <f t="shared" si="7"/>
        <v>1</v>
      </c>
      <c r="F80" s="59" t="str">
        <f t="shared" si="8"/>
        <v/>
      </c>
      <c r="G80" s="42" t="s">
        <v>155</v>
      </c>
      <c r="H80" s="43" t="s">
        <v>171</v>
      </c>
      <c r="I80" s="44" t="s">
        <v>121</v>
      </c>
      <c r="J80" s="45" t="s">
        <v>122</v>
      </c>
      <c r="K80" s="46" t="s">
        <v>123</v>
      </c>
      <c r="L80" s="47" t="s">
        <v>2405</v>
      </c>
      <c r="M80" s="48" t="s">
        <v>2430</v>
      </c>
      <c r="N80" s="49"/>
      <c r="O80" s="50" t="s">
        <v>3303</v>
      </c>
      <c r="P80" s="59"/>
      <c r="Q80" s="59"/>
      <c r="R80" s="13"/>
    </row>
    <row r="81" spans="1:18" ht="30" x14ac:dyDescent="0.25">
      <c r="A81" s="9" t="s">
        <v>21</v>
      </c>
      <c r="B81" s="28">
        <f>IF(ISBLANK(A81),0,INDEX(txtstylestab[],MATCH(A81,txtstylestab[style_Name],0),1))</f>
        <v>0</v>
      </c>
      <c r="C81" s="28">
        <f t="shared" si="5"/>
        <v>1</v>
      </c>
      <c r="D81" s="28">
        <f t="shared" si="6"/>
        <v>4</v>
      </c>
      <c r="E81" s="28">
        <f t="shared" si="7"/>
        <v>1</v>
      </c>
      <c r="F81" s="59" t="str">
        <f t="shared" si="8"/>
        <v/>
      </c>
      <c r="G81" s="42" t="s">
        <v>172</v>
      </c>
      <c r="H81" s="43" t="s">
        <v>173</v>
      </c>
      <c r="I81" s="44" t="s">
        <v>174</v>
      </c>
      <c r="J81" s="45" t="s">
        <v>175</v>
      </c>
      <c r="K81" s="46" t="s">
        <v>176</v>
      </c>
      <c r="L81" s="47" t="s">
        <v>2431</v>
      </c>
      <c r="M81" s="48" t="s">
        <v>2432</v>
      </c>
      <c r="N81" s="49"/>
      <c r="O81" s="50" t="s">
        <v>3308</v>
      </c>
      <c r="P81" s="59"/>
      <c r="Q81" s="59"/>
      <c r="R81" s="13"/>
    </row>
    <row r="82" spans="1:18" ht="30" x14ac:dyDescent="0.25">
      <c r="A82" s="9" t="s">
        <v>21</v>
      </c>
      <c r="B82" s="28">
        <f>IF(ISBLANK(A82),0,INDEX(txtstylestab[],MATCH(A82,txtstylestab[style_Name],0),1))</f>
        <v>0</v>
      </c>
      <c r="C82" s="28">
        <f t="shared" si="5"/>
        <v>1</v>
      </c>
      <c r="D82" s="28">
        <f t="shared" si="6"/>
        <v>4</v>
      </c>
      <c r="E82" s="28">
        <f t="shared" si="7"/>
        <v>1</v>
      </c>
      <c r="F82" s="59" t="str">
        <f t="shared" si="8"/>
        <v/>
      </c>
      <c r="G82" s="42" t="s">
        <v>177</v>
      </c>
      <c r="H82" s="43" t="s">
        <v>125</v>
      </c>
      <c r="I82" s="44" t="s">
        <v>126</v>
      </c>
      <c r="J82" s="45" t="s">
        <v>127</v>
      </c>
      <c r="K82" s="46" t="s">
        <v>128</v>
      </c>
      <c r="L82" s="47" t="s">
        <v>2422</v>
      </c>
      <c r="M82" s="48" t="s">
        <v>2423</v>
      </c>
      <c r="N82" s="49"/>
      <c r="O82" s="50" t="s">
        <v>3478</v>
      </c>
      <c r="P82" s="59"/>
      <c r="Q82" s="59"/>
      <c r="R82" s="13"/>
    </row>
    <row r="83" spans="1:18" ht="45" x14ac:dyDescent="0.25">
      <c r="A83" s="9" t="s">
        <v>21</v>
      </c>
      <c r="B83" s="28">
        <f>IF(ISBLANK(A83),0,INDEX(txtstylestab[],MATCH(A83,txtstylestab[style_Name],0),1))</f>
        <v>0</v>
      </c>
      <c r="C83" s="28">
        <f t="shared" si="5"/>
        <v>1</v>
      </c>
      <c r="D83" s="28">
        <f t="shared" si="6"/>
        <v>4</v>
      </c>
      <c r="E83" s="28">
        <f t="shared" si="7"/>
        <v>1</v>
      </c>
      <c r="F83" s="59" t="str">
        <f t="shared" si="8"/>
        <v/>
      </c>
      <c r="G83" s="42" t="s">
        <v>129</v>
      </c>
      <c r="H83" s="43" t="s">
        <v>130</v>
      </c>
      <c r="I83" s="44" t="s">
        <v>178</v>
      </c>
      <c r="J83" s="45" t="s">
        <v>132</v>
      </c>
      <c r="K83" s="46" t="s">
        <v>133</v>
      </c>
      <c r="L83" s="47" t="s">
        <v>2409</v>
      </c>
      <c r="M83" s="48" t="s">
        <v>2433</v>
      </c>
      <c r="N83" s="49"/>
      <c r="O83" s="50" t="s">
        <v>3305</v>
      </c>
      <c r="P83" s="59"/>
      <c r="Q83" s="59"/>
      <c r="R83" s="13"/>
    </row>
    <row r="84" spans="1:18" ht="45" x14ac:dyDescent="0.25">
      <c r="A84" s="9" t="s">
        <v>21</v>
      </c>
      <c r="B84" s="28">
        <f>IF(ISBLANK(A84),0,INDEX(txtstylestab[],MATCH(A84,txtstylestab[style_Name],0),1))</f>
        <v>0</v>
      </c>
      <c r="C84" s="28">
        <f t="shared" si="5"/>
        <v>1</v>
      </c>
      <c r="D84" s="28">
        <f t="shared" si="6"/>
        <v>4</v>
      </c>
      <c r="E84" s="28">
        <f t="shared" si="7"/>
        <v>1</v>
      </c>
      <c r="F84" s="59" t="str">
        <f t="shared" si="8"/>
        <v/>
      </c>
      <c r="G84" s="42" t="s">
        <v>134</v>
      </c>
      <c r="H84" s="43" t="s">
        <v>163</v>
      </c>
      <c r="I84" s="44" t="s">
        <v>135</v>
      </c>
      <c r="J84" s="45" t="s">
        <v>136</v>
      </c>
      <c r="K84" s="46" t="s">
        <v>137</v>
      </c>
      <c r="L84" s="47" t="s">
        <v>2425</v>
      </c>
      <c r="M84" s="48" t="s">
        <v>2434</v>
      </c>
      <c r="N84" s="49"/>
      <c r="O84" s="50" t="s">
        <v>3296</v>
      </c>
      <c r="P84" s="59"/>
      <c r="Q84" s="59"/>
      <c r="R84" s="13"/>
    </row>
    <row r="85" spans="1:18" ht="75" x14ac:dyDescent="0.25">
      <c r="A85" s="9" t="s">
        <v>21</v>
      </c>
      <c r="B85" s="28">
        <f>IF(ISBLANK(A85),0,INDEX(txtstylestab[],MATCH(A85,txtstylestab[style_Name],0),1))</f>
        <v>0</v>
      </c>
      <c r="C85" s="28">
        <f t="shared" si="5"/>
        <v>1</v>
      </c>
      <c r="D85" s="28">
        <f t="shared" si="6"/>
        <v>4</v>
      </c>
      <c r="E85" s="28">
        <f t="shared" si="7"/>
        <v>1</v>
      </c>
      <c r="F85" s="59" t="str">
        <f t="shared" si="8"/>
        <v/>
      </c>
      <c r="G85" s="42" t="s">
        <v>179</v>
      </c>
      <c r="H85" s="43" t="s">
        <v>139</v>
      </c>
      <c r="I85" s="44" t="s">
        <v>140</v>
      </c>
      <c r="J85" s="45" t="s">
        <v>141</v>
      </c>
      <c r="K85" s="46" t="s">
        <v>142</v>
      </c>
      <c r="L85" s="47" t="s">
        <v>2427</v>
      </c>
      <c r="M85" s="48" t="s">
        <v>2414</v>
      </c>
      <c r="N85" s="49"/>
      <c r="O85" s="50" t="s">
        <v>3297</v>
      </c>
      <c r="P85" s="59"/>
      <c r="Q85" s="59"/>
      <c r="R85" s="13"/>
    </row>
    <row r="86" spans="1:18" ht="30" x14ac:dyDescent="0.25">
      <c r="A86" s="9" t="s">
        <v>21</v>
      </c>
      <c r="B86" s="28">
        <f>IF(ISBLANK(A86),0,INDEX(txtstylestab[],MATCH(A86,txtstylestab[style_Name],0),1))</f>
        <v>0</v>
      </c>
      <c r="C86" s="28">
        <f t="shared" si="5"/>
        <v>1</v>
      </c>
      <c r="D86" s="28">
        <f t="shared" si="6"/>
        <v>4</v>
      </c>
      <c r="E86" s="28">
        <f t="shared" si="7"/>
        <v>1</v>
      </c>
      <c r="F86" s="59" t="str">
        <f t="shared" si="8"/>
        <v/>
      </c>
      <c r="G86" s="42" t="s">
        <v>143</v>
      </c>
      <c r="H86" s="43" t="s">
        <v>144</v>
      </c>
      <c r="I86" s="44" t="s">
        <v>180</v>
      </c>
      <c r="J86" s="45" t="s">
        <v>146</v>
      </c>
      <c r="K86" s="46" t="s">
        <v>147</v>
      </c>
      <c r="L86" s="47" t="s">
        <v>2435</v>
      </c>
      <c r="M86" s="48" t="s">
        <v>2416</v>
      </c>
      <c r="N86" s="49"/>
      <c r="O86" s="50" t="s">
        <v>3298</v>
      </c>
      <c r="P86" s="59"/>
      <c r="Q86" s="59"/>
      <c r="R86" s="13"/>
    </row>
    <row r="87" spans="1:18" x14ac:dyDescent="0.25">
      <c r="A87" s="9" t="s">
        <v>22</v>
      </c>
      <c r="B87" s="28">
        <f>IF(ISBLANK(A87),0,INDEX(txtstylestab[],MATCH(A87,txtstylestab[style_Name],0),1))</f>
        <v>4</v>
      </c>
      <c r="C87" s="28">
        <f t="shared" si="5"/>
        <v>1</v>
      </c>
      <c r="D87" s="28">
        <f t="shared" si="6"/>
        <v>4</v>
      </c>
      <c r="E87" s="28">
        <f t="shared" si="7"/>
        <v>1</v>
      </c>
      <c r="F87" s="56" t="str">
        <f t="shared" si="8"/>
        <v/>
      </c>
      <c r="G87" s="67" t="s">
        <v>181</v>
      </c>
      <c r="H87" s="67"/>
      <c r="I87" s="67"/>
      <c r="J87" s="67"/>
      <c r="K87" s="67"/>
      <c r="L87" s="67"/>
      <c r="M87" s="67"/>
      <c r="N87" s="67"/>
      <c r="O87" s="67"/>
      <c r="P87" s="67"/>
      <c r="Q87" s="67"/>
      <c r="R87" s="13"/>
    </row>
    <row r="88" spans="1:18" ht="30" x14ac:dyDescent="0.25">
      <c r="A88" s="9" t="s">
        <v>21</v>
      </c>
      <c r="B88" s="28">
        <f>IF(ISBLANK(A88),0,INDEX(txtstylestab[],MATCH(A88,txtstylestab[style_Name],0),1))</f>
        <v>0</v>
      </c>
      <c r="C88" s="28">
        <f t="shared" si="5"/>
        <v>1</v>
      </c>
      <c r="D88" s="28">
        <f t="shared" si="6"/>
        <v>4</v>
      </c>
      <c r="E88" s="28">
        <f t="shared" si="7"/>
        <v>1</v>
      </c>
      <c r="F88" s="59" t="str">
        <f t="shared" si="8"/>
        <v/>
      </c>
      <c r="G88" s="42" t="s">
        <v>165</v>
      </c>
      <c r="H88" s="43" t="s">
        <v>166</v>
      </c>
      <c r="I88" s="44" t="s">
        <v>167</v>
      </c>
      <c r="J88" s="45" t="s">
        <v>168</v>
      </c>
      <c r="K88" s="46" t="s">
        <v>169</v>
      </c>
      <c r="L88" s="47" t="s">
        <v>2428</v>
      </c>
      <c r="M88" s="48" t="s">
        <v>2436</v>
      </c>
      <c r="N88" s="49"/>
      <c r="O88" s="50" t="s">
        <v>3302</v>
      </c>
      <c r="P88" s="59"/>
      <c r="Q88" s="59"/>
      <c r="R88" s="13"/>
    </row>
    <row r="89" spans="1:18" ht="45" x14ac:dyDescent="0.25">
      <c r="A89" s="9" t="s">
        <v>21</v>
      </c>
      <c r="B89" s="28">
        <f>IF(ISBLANK(A89),0,INDEX(txtstylestab[],MATCH(A89,txtstylestab[style_Name],0),1))</f>
        <v>0</v>
      </c>
      <c r="C89" s="28">
        <f t="shared" si="5"/>
        <v>1</v>
      </c>
      <c r="D89" s="28">
        <f t="shared" si="6"/>
        <v>4</v>
      </c>
      <c r="E89" s="28">
        <f t="shared" si="7"/>
        <v>1</v>
      </c>
      <c r="F89" s="59" t="str">
        <f t="shared" si="8"/>
        <v/>
      </c>
      <c r="G89" s="42" t="s">
        <v>182</v>
      </c>
      <c r="H89" s="43" t="s">
        <v>115</v>
      </c>
      <c r="I89" s="44" t="s">
        <v>170</v>
      </c>
      <c r="J89" s="45" t="s">
        <v>154</v>
      </c>
      <c r="K89" s="46" t="s">
        <v>118</v>
      </c>
      <c r="L89" s="47" t="s">
        <v>2403</v>
      </c>
      <c r="M89" s="48" t="s">
        <v>2404</v>
      </c>
      <c r="N89" s="49"/>
      <c r="O89" s="50" t="s">
        <v>3299</v>
      </c>
      <c r="P89" s="59"/>
      <c r="Q89" s="59"/>
      <c r="R89" s="13"/>
    </row>
    <row r="90" spans="1:18" x14ac:dyDescent="0.25">
      <c r="A90" s="9" t="s">
        <v>21</v>
      </c>
      <c r="B90" s="28">
        <f>IF(ISBLANK(A90),0,INDEX(txtstylestab[],MATCH(A90,txtstylestab[style_Name],0),1))</f>
        <v>0</v>
      </c>
      <c r="C90" s="28">
        <f t="shared" si="5"/>
        <v>1</v>
      </c>
      <c r="D90" s="28">
        <f t="shared" si="6"/>
        <v>4</v>
      </c>
      <c r="E90" s="28">
        <f t="shared" si="7"/>
        <v>1</v>
      </c>
      <c r="F90" s="59" t="str">
        <f t="shared" si="8"/>
        <v/>
      </c>
      <c r="G90" s="42" t="s">
        <v>183</v>
      </c>
      <c r="H90" s="43" t="s">
        <v>184</v>
      </c>
      <c r="I90" s="44" t="s">
        <v>185</v>
      </c>
      <c r="J90" s="45" t="s">
        <v>122</v>
      </c>
      <c r="K90" s="46" t="s">
        <v>123</v>
      </c>
      <c r="L90" s="47" t="s">
        <v>2405</v>
      </c>
      <c r="M90" s="48" t="s">
        <v>2419</v>
      </c>
      <c r="N90" s="49"/>
      <c r="O90" s="50" t="s">
        <v>3303</v>
      </c>
      <c r="P90" s="59"/>
      <c r="Q90" s="59"/>
      <c r="R90" s="13"/>
    </row>
    <row r="91" spans="1:18" x14ac:dyDescent="0.25">
      <c r="A91" s="9" t="s">
        <v>21</v>
      </c>
      <c r="B91" s="28">
        <f>IF(ISBLANK(A91),0,INDEX(txtstylestab[],MATCH(A91,txtstylestab[style_Name],0),1))</f>
        <v>0</v>
      </c>
      <c r="C91" s="28">
        <f t="shared" si="5"/>
        <v>1</v>
      </c>
      <c r="D91" s="28">
        <f t="shared" si="6"/>
        <v>4</v>
      </c>
      <c r="E91" s="28">
        <f t="shared" si="7"/>
        <v>1</v>
      </c>
      <c r="F91" s="59" t="str">
        <f t="shared" si="8"/>
        <v/>
      </c>
      <c r="G91" s="42" t="s">
        <v>186</v>
      </c>
      <c r="H91" s="43" t="s">
        <v>187</v>
      </c>
      <c r="I91" s="44" t="s">
        <v>188</v>
      </c>
      <c r="J91" s="45" t="s">
        <v>189</v>
      </c>
      <c r="K91" s="46" t="s">
        <v>190</v>
      </c>
      <c r="L91" s="47" t="s">
        <v>2437</v>
      </c>
      <c r="M91" s="48" t="s">
        <v>2438</v>
      </c>
      <c r="N91" s="49"/>
      <c r="O91" s="50" t="s">
        <v>3306</v>
      </c>
      <c r="P91" s="59"/>
      <c r="Q91" s="59"/>
      <c r="R91" s="13"/>
    </row>
    <row r="92" spans="1:18" x14ac:dyDescent="0.25">
      <c r="A92" s="9" t="s">
        <v>21</v>
      </c>
      <c r="B92" s="28">
        <f>IF(ISBLANK(A92),0,INDEX(txtstylestab[],MATCH(A92,txtstylestab[style_Name],0),1))</f>
        <v>0</v>
      </c>
      <c r="C92" s="28">
        <f t="shared" si="5"/>
        <v>1</v>
      </c>
      <c r="D92" s="28">
        <f t="shared" si="6"/>
        <v>4</v>
      </c>
      <c r="E92" s="28">
        <f t="shared" si="7"/>
        <v>1</v>
      </c>
      <c r="F92" s="59" t="str">
        <f t="shared" si="8"/>
        <v/>
      </c>
      <c r="G92" s="42" t="s">
        <v>191</v>
      </c>
      <c r="H92" s="43" t="s">
        <v>192</v>
      </c>
      <c r="I92" s="44" t="s">
        <v>193</v>
      </c>
      <c r="J92" s="45" t="s">
        <v>194</v>
      </c>
      <c r="K92" s="46" t="s">
        <v>195</v>
      </c>
      <c r="L92" s="47" t="s">
        <v>2420</v>
      </c>
      <c r="M92" s="48" t="s">
        <v>2421</v>
      </c>
      <c r="N92" s="49"/>
      <c r="O92" s="50" t="s">
        <v>3307</v>
      </c>
      <c r="P92" s="59"/>
      <c r="Q92" s="59"/>
      <c r="R92" s="13"/>
    </row>
    <row r="93" spans="1:18" ht="30" x14ac:dyDescent="0.25">
      <c r="A93" s="9" t="s">
        <v>21</v>
      </c>
      <c r="B93" s="28">
        <f>IF(ISBLANK(A93),0,INDEX(txtstylestab[],MATCH(A93,txtstylestab[style_Name],0),1))</f>
        <v>0</v>
      </c>
      <c r="C93" s="28">
        <f t="shared" si="5"/>
        <v>1</v>
      </c>
      <c r="D93" s="28">
        <f t="shared" si="6"/>
        <v>4</v>
      </c>
      <c r="E93" s="28">
        <f t="shared" si="7"/>
        <v>1</v>
      </c>
      <c r="F93" s="59" t="str">
        <f t="shared" si="8"/>
        <v/>
      </c>
      <c r="G93" s="42" t="s">
        <v>124</v>
      </c>
      <c r="H93" s="43" t="s">
        <v>196</v>
      </c>
      <c r="I93" s="44" t="s">
        <v>197</v>
      </c>
      <c r="J93" s="45" t="s">
        <v>127</v>
      </c>
      <c r="K93" s="46" t="s">
        <v>198</v>
      </c>
      <c r="L93" s="47" t="s">
        <v>2422</v>
      </c>
      <c r="M93" s="48" t="s">
        <v>2439</v>
      </c>
      <c r="N93" s="49"/>
      <c r="O93" s="50" t="s">
        <v>3478</v>
      </c>
      <c r="P93" s="59"/>
      <c r="Q93" s="59"/>
      <c r="R93" s="13"/>
    </row>
    <row r="94" spans="1:18" ht="45" x14ac:dyDescent="0.25">
      <c r="A94" s="9" t="s">
        <v>21</v>
      </c>
      <c r="B94" s="28">
        <f>IF(ISBLANK(A94),0,INDEX(txtstylestab[],MATCH(A94,txtstylestab[style_Name],0),1))</f>
        <v>0</v>
      </c>
      <c r="C94" s="28">
        <f t="shared" si="5"/>
        <v>1</v>
      </c>
      <c r="D94" s="28">
        <f t="shared" si="6"/>
        <v>4</v>
      </c>
      <c r="E94" s="28">
        <f t="shared" si="7"/>
        <v>1</v>
      </c>
      <c r="F94" s="59" t="str">
        <f t="shared" si="8"/>
        <v/>
      </c>
      <c r="G94" s="42" t="s">
        <v>129</v>
      </c>
      <c r="H94" s="43" t="s">
        <v>130</v>
      </c>
      <c r="I94" s="44" t="s">
        <v>131</v>
      </c>
      <c r="J94" s="45" t="s">
        <v>132</v>
      </c>
      <c r="K94" s="46" t="s">
        <v>133</v>
      </c>
      <c r="L94" s="47" t="s">
        <v>2409</v>
      </c>
      <c r="M94" s="48" t="s">
        <v>2433</v>
      </c>
      <c r="N94" s="49"/>
      <c r="O94" s="50" t="s">
        <v>3305</v>
      </c>
      <c r="P94" s="59"/>
      <c r="Q94" s="59"/>
      <c r="R94" s="13"/>
    </row>
    <row r="95" spans="1:18" ht="45" x14ac:dyDescent="0.25">
      <c r="A95" s="9" t="s">
        <v>21</v>
      </c>
      <c r="B95" s="28">
        <f>IF(ISBLANK(A95),0,INDEX(txtstylestab[],MATCH(A95,txtstylestab[style_Name],0),1))</f>
        <v>0</v>
      </c>
      <c r="C95" s="28">
        <f t="shared" si="5"/>
        <v>1</v>
      </c>
      <c r="D95" s="28">
        <f t="shared" si="6"/>
        <v>4</v>
      </c>
      <c r="E95" s="28">
        <f t="shared" si="7"/>
        <v>1</v>
      </c>
      <c r="F95" s="59" t="str">
        <f t="shared" si="8"/>
        <v/>
      </c>
      <c r="G95" s="42" t="s">
        <v>134</v>
      </c>
      <c r="H95" s="43" t="s">
        <v>163</v>
      </c>
      <c r="I95" s="44" t="s">
        <v>135</v>
      </c>
      <c r="J95" s="45" t="s">
        <v>136</v>
      </c>
      <c r="K95" s="46" t="s">
        <v>137</v>
      </c>
      <c r="L95" s="47" t="s">
        <v>2425</v>
      </c>
      <c r="M95" s="48" t="s">
        <v>2426</v>
      </c>
      <c r="N95" s="49"/>
      <c r="O95" s="50" t="s">
        <v>3296</v>
      </c>
      <c r="P95" s="59"/>
      <c r="Q95" s="59"/>
      <c r="R95" s="13"/>
    </row>
    <row r="96" spans="1:18" ht="75" x14ac:dyDescent="0.25">
      <c r="A96" s="9" t="s">
        <v>21</v>
      </c>
      <c r="B96" s="28">
        <f>IF(ISBLANK(A96),0,INDEX(txtstylestab[],MATCH(A96,txtstylestab[style_Name],0),1))</f>
        <v>0</v>
      </c>
      <c r="C96" s="28">
        <f t="shared" si="5"/>
        <v>1</v>
      </c>
      <c r="D96" s="28">
        <f t="shared" si="6"/>
        <v>4</v>
      </c>
      <c r="E96" s="28">
        <f t="shared" si="7"/>
        <v>1</v>
      </c>
      <c r="F96" s="59" t="str">
        <f t="shared" si="8"/>
        <v/>
      </c>
      <c r="G96" s="42" t="s">
        <v>179</v>
      </c>
      <c r="H96" s="43" t="s">
        <v>139</v>
      </c>
      <c r="I96" s="44" t="s">
        <v>140</v>
      </c>
      <c r="J96" s="45" t="s">
        <v>141</v>
      </c>
      <c r="K96" s="46" t="s">
        <v>142</v>
      </c>
      <c r="L96" s="47" t="s">
        <v>2427</v>
      </c>
      <c r="M96" s="48" t="s">
        <v>2414</v>
      </c>
      <c r="N96" s="49"/>
      <c r="O96" s="50" t="s">
        <v>3297</v>
      </c>
      <c r="P96" s="59"/>
      <c r="Q96" s="59"/>
      <c r="R96" s="13"/>
    </row>
    <row r="97" spans="1:18" ht="30" x14ac:dyDescent="0.25">
      <c r="A97" s="9" t="s">
        <v>21</v>
      </c>
      <c r="B97" s="28">
        <f>IF(ISBLANK(A97),0,INDEX(txtstylestab[],MATCH(A97,txtstylestab[style_Name],0),1))</f>
        <v>0</v>
      </c>
      <c r="C97" s="28">
        <f t="shared" si="5"/>
        <v>1</v>
      </c>
      <c r="D97" s="28">
        <f t="shared" si="6"/>
        <v>4</v>
      </c>
      <c r="E97" s="28">
        <f t="shared" si="7"/>
        <v>1</v>
      </c>
      <c r="F97" s="59" t="str">
        <f t="shared" si="8"/>
        <v/>
      </c>
      <c r="G97" s="42" t="s">
        <v>143</v>
      </c>
      <c r="H97" s="43" t="s">
        <v>199</v>
      </c>
      <c r="I97" s="44" t="s">
        <v>180</v>
      </c>
      <c r="J97" s="45" t="s">
        <v>146</v>
      </c>
      <c r="K97" s="46" t="s">
        <v>147</v>
      </c>
      <c r="L97" s="47" t="s">
        <v>2415</v>
      </c>
      <c r="M97" s="48" t="s">
        <v>2416</v>
      </c>
      <c r="N97" s="49"/>
      <c r="O97" s="50" t="s">
        <v>3298</v>
      </c>
      <c r="P97" s="59"/>
      <c r="Q97" s="59"/>
      <c r="R97" s="13"/>
    </row>
    <row r="98" spans="1:18" x14ac:dyDescent="0.25">
      <c r="A98" s="9" t="s">
        <v>22</v>
      </c>
      <c r="B98" s="28">
        <f>IF(ISBLANK(A98),0,INDEX(txtstylestab[],MATCH(A98,txtstylestab[style_Name],0),1))</f>
        <v>4</v>
      </c>
      <c r="C98" s="28">
        <f t="shared" si="5"/>
        <v>1</v>
      </c>
      <c r="D98" s="28">
        <f t="shared" si="6"/>
        <v>4</v>
      </c>
      <c r="E98" s="28">
        <f t="shared" si="7"/>
        <v>1</v>
      </c>
      <c r="F98" s="56" t="str">
        <f t="shared" si="8"/>
        <v/>
      </c>
      <c r="G98" s="67" t="s">
        <v>200</v>
      </c>
      <c r="H98" s="67"/>
      <c r="I98" s="67"/>
      <c r="J98" s="67"/>
      <c r="K98" s="67"/>
      <c r="L98" s="67"/>
      <c r="M98" s="67"/>
      <c r="N98" s="67"/>
      <c r="O98" s="67"/>
      <c r="P98" s="67"/>
      <c r="Q98" s="67"/>
      <c r="R98" s="13"/>
    </row>
    <row r="99" spans="1:18" ht="30" x14ac:dyDescent="0.25">
      <c r="A99" s="9" t="s">
        <v>21</v>
      </c>
      <c r="B99" s="28">
        <f>IF(ISBLANK(A99),0,INDEX(txtstylestab[],MATCH(A99,txtstylestab[style_Name],0),1))</f>
        <v>0</v>
      </c>
      <c r="C99" s="28">
        <f t="shared" si="5"/>
        <v>1</v>
      </c>
      <c r="D99" s="28">
        <f t="shared" si="6"/>
        <v>4</v>
      </c>
      <c r="E99" s="28">
        <f t="shared" si="7"/>
        <v>1</v>
      </c>
      <c r="F99" s="59" t="str">
        <f t="shared" si="8"/>
        <v/>
      </c>
      <c r="G99" s="42" t="s">
        <v>165</v>
      </c>
      <c r="H99" s="43" t="s">
        <v>166</v>
      </c>
      <c r="I99" s="44" t="s">
        <v>167</v>
      </c>
      <c r="J99" s="45" t="s">
        <v>168</v>
      </c>
      <c r="K99" s="46" t="s">
        <v>169</v>
      </c>
      <c r="L99" s="47" t="s">
        <v>2428</v>
      </c>
      <c r="M99" s="48" t="s">
        <v>2440</v>
      </c>
      <c r="N99" s="49"/>
      <c r="O99" s="50" t="s">
        <v>3302</v>
      </c>
      <c r="P99" s="59"/>
      <c r="Q99" s="59"/>
      <c r="R99" s="13"/>
    </row>
    <row r="100" spans="1:18" ht="45" x14ac:dyDescent="0.25">
      <c r="A100" s="9" t="s">
        <v>21</v>
      </c>
      <c r="B100" s="28">
        <f>IF(ISBLANK(A100),0,INDEX(txtstylestab[],MATCH(A100,txtstylestab[style_Name],0),1))</f>
        <v>0</v>
      </c>
      <c r="C100" s="28">
        <f t="shared" si="5"/>
        <v>1</v>
      </c>
      <c r="D100" s="28">
        <f t="shared" si="6"/>
        <v>4</v>
      </c>
      <c r="E100" s="28">
        <f t="shared" si="7"/>
        <v>1</v>
      </c>
      <c r="F100" s="59" t="str">
        <f t="shared" si="8"/>
        <v/>
      </c>
      <c r="G100" s="42" t="s">
        <v>182</v>
      </c>
      <c r="H100" s="43" t="s">
        <v>115</v>
      </c>
      <c r="I100" s="44" t="s">
        <v>170</v>
      </c>
      <c r="J100" s="45" t="s">
        <v>201</v>
      </c>
      <c r="K100" s="46" t="s">
        <v>118</v>
      </c>
      <c r="L100" s="47" t="s">
        <v>2403</v>
      </c>
      <c r="M100" s="48" t="s">
        <v>2404</v>
      </c>
      <c r="N100" s="49"/>
      <c r="O100" s="50" t="s">
        <v>3299</v>
      </c>
      <c r="P100" s="59"/>
      <c r="Q100" s="59"/>
      <c r="R100" s="13"/>
    </row>
    <row r="101" spans="1:18" x14ac:dyDescent="0.25">
      <c r="A101" s="9" t="s">
        <v>21</v>
      </c>
      <c r="B101" s="28">
        <f>IF(ISBLANK(A101),0,INDEX(txtstylestab[],MATCH(A101,txtstylestab[style_Name],0),1))</f>
        <v>0</v>
      </c>
      <c r="C101" s="28">
        <f t="shared" si="5"/>
        <v>1</v>
      </c>
      <c r="D101" s="28">
        <f t="shared" si="6"/>
        <v>4</v>
      </c>
      <c r="E101" s="28">
        <f t="shared" si="7"/>
        <v>1</v>
      </c>
      <c r="F101" s="59" t="str">
        <f t="shared" si="8"/>
        <v/>
      </c>
      <c r="G101" s="42" t="s">
        <v>183</v>
      </c>
      <c r="H101" s="43" t="s">
        <v>184</v>
      </c>
      <c r="I101" s="44" t="s">
        <v>121</v>
      </c>
      <c r="J101" s="45" t="s">
        <v>122</v>
      </c>
      <c r="K101" s="46" t="s">
        <v>123</v>
      </c>
      <c r="L101" s="47" t="s">
        <v>2405</v>
      </c>
      <c r="M101" s="48" t="s">
        <v>2419</v>
      </c>
      <c r="N101" s="49"/>
      <c r="O101" s="50" t="s">
        <v>3309</v>
      </c>
      <c r="P101" s="59"/>
      <c r="Q101" s="59"/>
      <c r="R101" s="13"/>
    </row>
    <row r="102" spans="1:18" x14ac:dyDescent="0.25">
      <c r="A102" s="9" t="s">
        <v>21</v>
      </c>
      <c r="B102" s="28">
        <f>IF(ISBLANK(A102),0,INDEX(txtstylestab[],MATCH(A102,txtstylestab[style_Name],0),1))</f>
        <v>0</v>
      </c>
      <c r="C102" s="28">
        <f t="shared" si="5"/>
        <v>1</v>
      </c>
      <c r="D102" s="28">
        <f t="shared" si="6"/>
        <v>4</v>
      </c>
      <c r="E102" s="28">
        <f t="shared" si="7"/>
        <v>1</v>
      </c>
      <c r="F102" s="59" t="str">
        <f t="shared" si="8"/>
        <v/>
      </c>
      <c r="G102" s="42" t="s">
        <v>186</v>
      </c>
      <c r="H102" s="43" t="s">
        <v>187</v>
      </c>
      <c r="I102" s="44" t="s">
        <v>202</v>
      </c>
      <c r="J102" s="45" t="s">
        <v>203</v>
      </c>
      <c r="K102" s="46" t="s">
        <v>190</v>
      </c>
      <c r="L102" s="47" t="s">
        <v>2437</v>
      </c>
      <c r="M102" s="48" t="s">
        <v>2438</v>
      </c>
      <c r="N102" s="49"/>
      <c r="O102" s="50" t="s">
        <v>3306</v>
      </c>
      <c r="P102" s="59"/>
      <c r="Q102" s="59"/>
      <c r="R102" s="13"/>
    </row>
    <row r="103" spans="1:18" x14ac:dyDescent="0.25">
      <c r="A103" s="9" t="s">
        <v>21</v>
      </c>
      <c r="B103" s="28">
        <f>IF(ISBLANK(A103),0,INDEX(txtstylestab[],MATCH(A103,txtstylestab[style_Name],0),1))</f>
        <v>0</v>
      </c>
      <c r="C103" s="28">
        <f t="shared" si="5"/>
        <v>1</v>
      </c>
      <c r="D103" s="28">
        <f t="shared" si="6"/>
        <v>4</v>
      </c>
      <c r="E103" s="28">
        <f t="shared" si="7"/>
        <v>1</v>
      </c>
      <c r="F103" s="59" t="str">
        <f t="shared" si="8"/>
        <v/>
      </c>
      <c r="G103" s="42" t="s">
        <v>191</v>
      </c>
      <c r="H103" s="43" t="s">
        <v>192</v>
      </c>
      <c r="I103" s="44" t="s">
        <v>193</v>
      </c>
      <c r="J103" s="45" t="s">
        <v>204</v>
      </c>
      <c r="K103" s="46" t="s">
        <v>195</v>
      </c>
      <c r="L103" s="47" t="s">
        <v>2441</v>
      </c>
      <c r="M103" s="48" t="s">
        <v>2421</v>
      </c>
      <c r="N103" s="49"/>
      <c r="O103" s="50" t="s">
        <v>3310</v>
      </c>
      <c r="P103" s="59"/>
      <c r="Q103" s="59"/>
      <c r="R103" s="13"/>
    </row>
    <row r="104" spans="1:18" ht="30" x14ac:dyDescent="0.25">
      <c r="A104" s="9" t="s">
        <v>21</v>
      </c>
      <c r="B104" s="28">
        <f>IF(ISBLANK(A104),0,INDEX(txtstylestab[],MATCH(A104,txtstylestab[style_Name],0),1))</f>
        <v>0</v>
      </c>
      <c r="C104" s="28">
        <f t="shared" si="5"/>
        <v>1</v>
      </c>
      <c r="D104" s="28">
        <f t="shared" si="6"/>
        <v>4</v>
      </c>
      <c r="E104" s="28">
        <f t="shared" si="7"/>
        <v>1</v>
      </c>
      <c r="F104" s="59" t="str">
        <f t="shared" si="8"/>
        <v/>
      </c>
      <c r="G104" s="42" t="s">
        <v>124</v>
      </c>
      <c r="H104" s="43" t="s">
        <v>196</v>
      </c>
      <c r="I104" s="44" t="s">
        <v>126</v>
      </c>
      <c r="J104" s="45" t="s">
        <v>127</v>
      </c>
      <c r="K104" s="46" t="s">
        <v>198</v>
      </c>
      <c r="L104" s="47" t="s">
        <v>2422</v>
      </c>
      <c r="M104" s="48" t="s">
        <v>2423</v>
      </c>
      <c r="N104" s="49"/>
      <c r="O104" s="50" t="s">
        <v>3478</v>
      </c>
      <c r="P104" s="59"/>
      <c r="Q104" s="59"/>
      <c r="R104" s="13"/>
    </row>
    <row r="105" spans="1:18" ht="45" x14ac:dyDescent="0.25">
      <c r="A105" s="9" t="s">
        <v>21</v>
      </c>
      <c r="B105" s="28">
        <f>IF(ISBLANK(A105),0,INDEX(txtstylestab[],MATCH(A105,txtstylestab[style_Name],0),1))</f>
        <v>0</v>
      </c>
      <c r="C105" s="28">
        <f t="shared" si="5"/>
        <v>1</v>
      </c>
      <c r="D105" s="28">
        <f t="shared" si="6"/>
        <v>4</v>
      </c>
      <c r="E105" s="28">
        <f t="shared" si="7"/>
        <v>1</v>
      </c>
      <c r="F105" s="59" t="str">
        <f t="shared" si="8"/>
        <v/>
      </c>
      <c r="G105" s="42" t="s">
        <v>205</v>
      </c>
      <c r="H105" s="43" t="s">
        <v>130</v>
      </c>
      <c r="I105" s="44" t="s">
        <v>131</v>
      </c>
      <c r="J105" s="45" t="s">
        <v>132</v>
      </c>
      <c r="K105" s="46" t="s">
        <v>133</v>
      </c>
      <c r="L105" s="47" t="s">
        <v>2409</v>
      </c>
      <c r="M105" s="48" t="s">
        <v>2433</v>
      </c>
      <c r="N105" s="49"/>
      <c r="O105" s="50" t="s">
        <v>3305</v>
      </c>
      <c r="P105" s="59"/>
      <c r="Q105" s="59"/>
      <c r="R105" s="13"/>
    </row>
    <row r="106" spans="1:18" ht="45" x14ac:dyDescent="0.25">
      <c r="A106" s="9" t="s">
        <v>21</v>
      </c>
      <c r="B106" s="28">
        <f>IF(ISBLANK(A106),0,INDEX(txtstylestab[],MATCH(A106,txtstylestab[style_Name],0),1))</f>
        <v>0</v>
      </c>
      <c r="C106" s="28">
        <f t="shared" si="5"/>
        <v>1</v>
      </c>
      <c r="D106" s="28">
        <f t="shared" si="6"/>
        <v>4</v>
      </c>
      <c r="E106" s="28">
        <f t="shared" si="7"/>
        <v>1</v>
      </c>
      <c r="F106" s="59" t="str">
        <f t="shared" si="8"/>
        <v/>
      </c>
      <c r="G106" s="42" t="s">
        <v>206</v>
      </c>
      <c r="H106" s="43" t="s">
        <v>163</v>
      </c>
      <c r="I106" s="44" t="s">
        <v>135</v>
      </c>
      <c r="J106" s="45" t="s">
        <v>136</v>
      </c>
      <c r="K106" s="46" t="s">
        <v>137</v>
      </c>
      <c r="L106" s="47" t="s">
        <v>2425</v>
      </c>
      <c r="M106" s="48" t="s">
        <v>2426</v>
      </c>
      <c r="N106" s="49"/>
      <c r="O106" s="50" t="s">
        <v>3296</v>
      </c>
      <c r="P106" s="59"/>
      <c r="Q106" s="59"/>
      <c r="R106" s="13"/>
    </row>
    <row r="107" spans="1:18" ht="75" x14ac:dyDescent="0.25">
      <c r="A107" s="9" t="s">
        <v>21</v>
      </c>
      <c r="B107" s="28">
        <f>IF(ISBLANK(A107),0,INDEX(txtstylestab[],MATCH(A107,txtstylestab[style_Name],0),1))</f>
        <v>0</v>
      </c>
      <c r="C107" s="28">
        <f t="shared" si="5"/>
        <v>1</v>
      </c>
      <c r="D107" s="28">
        <f t="shared" si="6"/>
        <v>4</v>
      </c>
      <c r="E107" s="28">
        <f t="shared" si="7"/>
        <v>1</v>
      </c>
      <c r="F107" s="59" t="str">
        <f t="shared" si="8"/>
        <v/>
      </c>
      <c r="G107" s="42" t="s">
        <v>207</v>
      </c>
      <c r="H107" s="43" t="s">
        <v>208</v>
      </c>
      <c r="I107" s="44" t="s">
        <v>209</v>
      </c>
      <c r="J107" s="45" t="s">
        <v>141</v>
      </c>
      <c r="K107" s="46" t="s">
        <v>142</v>
      </c>
      <c r="L107" s="47" t="s">
        <v>2427</v>
      </c>
      <c r="M107" s="48" t="s">
        <v>2414</v>
      </c>
      <c r="N107" s="49"/>
      <c r="O107" s="50" t="s">
        <v>3297</v>
      </c>
      <c r="P107" s="59"/>
      <c r="Q107" s="59"/>
      <c r="R107" s="13"/>
    </row>
    <row r="108" spans="1:18" ht="30" x14ac:dyDescent="0.25">
      <c r="A108" s="9" t="s">
        <v>21</v>
      </c>
      <c r="B108" s="28">
        <f>IF(ISBLANK(A108),0,INDEX(txtstylestab[],MATCH(A108,txtstylestab[style_Name],0),1))</f>
        <v>0</v>
      </c>
      <c r="C108" s="28">
        <f t="shared" si="5"/>
        <v>1</v>
      </c>
      <c r="D108" s="28">
        <f t="shared" si="6"/>
        <v>4</v>
      </c>
      <c r="E108" s="28">
        <f t="shared" si="7"/>
        <v>1</v>
      </c>
      <c r="F108" s="59" t="str">
        <f t="shared" si="8"/>
        <v/>
      </c>
      <c r="G108" s="42" t="s">
        <v>210</v>
      </c>
      <c r="H108" s="43" t="s">
        <v>199</v>
      </c>
      <c r="I108" s="44" t="s">
        <v>180</v>
      </c>
      <c r="J108" s="45" t="s">
        <v>146</v>
      </c>
      <c r="K108" s="46" t="s">
        <v>147</v>
      </c>
      <c r="L108" s="47" t="s">
        <v>2415</v>
      </c>
      <c r="M108" s="48" t="s">
        <v>2416</v>
      </c>
      <c r="N108" s="49"/>
      <c r="O108" s="50" t="s">
        <v>3298</v>
      </c>
      <c r="P108" s="59"/>
      <c r="Q108" s="59"/>
      <c r="R108" s="13"/>
    </row>
    <row r="109" spans="1:18" x14ac:dyDescent="0.25">
      <c r="A109" s="9" t="s">
        <v>23</v>
      </c>
      <c r="B109" s="28">
        <f>IF(ISBLANK(A109),0,INDEX(txtstylestab[],MATCH(A109,txtstylestab[style_Name],0),1))</f>
        <v>5</v>
      </c>
      <c r="C109" s="28">
        <f t="shared" si="5"/>
        <v>1</v>
      </c>
      <c r="D109" s="28">
        <f t="shared" si="6"/>
        <v>4</v>
      </c>
      <c r="E109" s="28">
        <f t="shared" si="7"/>
        <v>1</v>
      </c>
      <c r="F109" s="56" t="str">
        <f t="shared" si="8"/>
        <v/>
      </c>
      <c r="G109" s="69" t="s">
        <v>211</v>
      </c>
      <c r="H109" s="69"/>
      <c r="I109" s="69"/>
      <c r="J109" s="69"/>
      <c r="K109" s="69"/>
      <c r="L109" s="69"/>
      <c r="M109" s="69"/>
      <c r="N109" s="69"/>
      <c r="O109" s="69"/>
      <c r="P109" s="69"/>
      <c r="Q109" s="69"/>
      <c r="R109" s="13"/>
    </row>
    <row r="110" spans="1:18" ht="75" x14ac:dyDescent="0.25">
      <c r="A110" s="9" t="s">
        <v>21</v>
      </c>
      <c r="B110" s="28">
        <f>IF(ISBLANK(A110),0,INDEX(txtstylestab[],MATCH(A110,txtstylestab[style_Name],0),1))</f>
        <v>0</v>
      </c>
      <c r="C110" s="28">
        <f t="shared" si="5"/>
        <v>1</v>
      </c>
      <c r="D110" s="28">
        <f t="shared" si="6"/>
        <v>4</v>
      </c>
      <c r="E110" s="28">
        <f t="shared" si="7"/>
        <v>1</v>
      </c>
      <c r="F110" s="59" t="str">
        <f t="shared" si="8"/>
        <v/>
      </c>
      <c r="G110" s="42" t="s">
        <v>212</v>
      </c>
      <c r="H110" s="43" t="s">
        <v>213</v>
      </c>
      <c r="I110" s="44" t="s">
        <v>1630</v>
      </c>
      <c r="J110" s="45" t="s">
        <v>214</v>
      </c>
      <c r="K110" s="46" t="s">
        <v>215</v>
      </c>
      <c r="L110" s="47" t="s">
        <v>2442</v>
      </c>
      <c r="M110" s="48" t="s">
        <v>2443</v>
      </c>
      <c r="N110" s="49"/>
      <c r="O110" s="50" t="s">
        <v>3311</v>
      </c>
      <c r="P110" s="59"/>
      <c r="Q110" s="59"/>
      <c r="R110" s="13"/>
    </row>
    <row r="111" spans="1:18" x14ac:dyDescent="0.25">
      <c r="A111" s="9" t="s">
        <v>23</v>
      </c>
      <c r="B111" s="28">
        <f>IF(ISBLANK(A111),0,INDEX(txtstylestab[],MATCH(A111,txtstylestab[style_Name],0),1))</f>
        <v>5</v>
      </c>
      <c r="C111" s="28">
        <f t="shared" si="5"/>
        <v>1</v>
      </c>
      <c r="D111" s="28">
        <f t="shared" si="6"/>
        <v>4</v>
      </c>
      <c r="E111" s="28">
        <f t="shared" si="7"/>
        <v>1</v>
      </c>
      <c r="F111" s="56" t="str">
        <f t="shared" si="8"/>
        <v/>
      </c>
      <c r="G111" s="69" t="s">
        <v>216</v>
      </c>
      <c r="H111" s="69"/>
      <c r="I111" s="69"/>
      <c r="J111" s="69"/>
      <c r="K111" s="69"/>
      <c r="L111" s="69"/>
      <c r="M111" s="69"/>
      <c r="N111" s="69"/>
      <c r="O111" s="69"/>
      <c r="P111" s="69"/>
      <c r="Q111" s="69"/>
      <c r="R111" s="13"/>
    </row>
    <row r="112" spans="1:18" ht="60" x14ac:dyDescent="0.25">
      <c r="A112" s="9" t="s">
        <v>21</v>
      </c>
      <c r="B112" s="28">
        <f>IF(ISBLANK(A112),0,INDEX(txtstylestab[],MATCH(A112,txtstylestab[style_Name],0),1))</f>
        <v>0</v>
      </c>
      <c r="C112" s="28">
        <f t="shared" si="5"/>
        <v>1</v>
      </c>
      <c r="D112" s="28">
        <f t="shared" si="6"/>
        <v>4</v>
      </c>
      <c r="E112" s="28">
        <f t="shared" si="7"/>
        <v>1</v>
      </c>
      <c r="F112" s="59" t="str">
        <f t="shared" si="8"/>
        <v/>
      </c>
      <c r="G112" s="42" t="s">
        <v>217</v>
      </c>
      <c r="H112" s="43" t="s">
        <v>218</v>
      </c>
      <c r="I112" s="44" t="s">
        <v>219</v>
      </c>
      <c r="J112" s="45" t="s">
        <v>220</v>
      </c>
      <c r="K112" s="46" t="s">
        <v>221</v>
      </c>
      <c r="L112" s="47" t="s">
        <v>2444</v>
      </c>
      <c r="M112" s="48" t="s">
        <v>2445</v>
      </c>
      <c r="N112" s="49"/>
      <c r="O112" s="50" t="s">
        <v>3312</v>
      </c>
      <c r="P112" s="59"/>
      <c r="Q112" s="59"/>
      <c r="R112" s="13"/>
    </row>
    <row r="113" spans="1:18" x14ac:dyDescent="0.25">
      <c r="A113" s="9" t="s">
        <v>22</v>
      </c>
      <c r="B113" s="28">
        <f>IF(ISBLANK(A113),0,INDEX(txtstylestab[],MATCH(A113,txtstylestab[style_Name],0),1))</f>
        <v>4</v>
      </c>
      <c r="C113" s="28">
        <f t="shared" si="5"/>
        <v>1</v>
      </c>
      <c r="D113" s="28">
        <f t="shared" si="6"/>
        <v>4</v>
      </c>
      <c r="E113" s="28">
        <f t="shared" si="7"/>
        <v>1</v>
      </c>
      <c r="F113" s="56" t="str">
        <f t="shared" si="8"/>
        <v/>
      </c>
      <c r="G113" s="67" t="s">
        <v>222</v>
      </c>
      <c r="H113" s="67"/>
      <c r="I113" s="67"/>
      <c r="J113" s="67"/>
      <c r="K113" s="67"/>
      <c r="L113" s="67"/>
      <c r="M113" s="67"/>
      <c r="N113" s="67"/>
      <c r="O113" s="67"/>
      <c r="P113" s="67"/>
      <c r="Q113" s="67"/>
      <c r="R113" s="13"/>
    </row>
    <row r="114" spans="1:18" ht="30" x14ac:dyDescent="0.25">
      <c r="A114" s="9" t="s">
        <v>21</v>
      </c>
      <c r="B114" s="28">
        <f>IF(ISBLANK(A114),0,INDEX(txtstylestab[],MATCH(A114,txtstylestab[style_Name],0),1))</f>
        <v>0</v>
      </c>
      <c r="C114" s="28">
        <f t="shared" si="5"/>
        <v>1</v>
      </c>
      <c r="D114" s="28">
        <f t="shared" si="6"/>
        <v>4</v>
      </c>
      <c r="E114" s="28">
        <f t="shared" si="7"/>
        <v>1</v>
      </c>
      <c r="F114" s="59" t="str">
        <f t="shared" si="8"/>
        <v/>
      </c>
      <c r="G114" s="42" t="s">
        <v>165</v>
      </c>
      <c r="H114" s="43" t="s">
        <v>166</v>
      </c>
      <c r="I114" s="44" t="s">
        <v>167</v>
      </c>
      <c r="J114" s="45" t="s">
        <v>168</v>
      </c>
      <c r="K114" s="46" t="s">
        <v>169</v>
      </c>
      <c r="L114" s="47" t="s">
        <v>2428</v>
      </c>
      <c r="M114" s="48" t="s">
        <v>2436</v>
      </c>
      <c r="N114" s="49"/>
      <c r="O114" s="50" t="s">
        <v>3302</v>
      </c>
      <c r="P114" s="59"/>
      <c r="Q114" s="59"/>
      <c r="R114" s="13"/>
    </row>
    <row r="115" spans="1:18" ht="45" x14ac:dyDescent="0.25">
      <c r="A115" s="9" t="s">
        <v>21</v>
      </c>
      <c r="B115" s="28">
        <f>IF(ISBLANK(A115),0,INDEX(txtstylestab[],MATCH(A115,txtstylestab[style_Name],0),1))</f>
        <v>0</v>
      </c>
      <c r="C115" s="28">
        <f t="shared" si="5"/>
        <v>1</v>
      </c>
      <c r="D115" s="28">
        <f t="shared" si="6"/>
        <v>4</v>
      </c>
      <c r="E115" s="28">
        <f t="shared" si="7"/>
        <v>1</v>
      </c>
      <c r="F115" s="59" t="str">
        <f t="shared" si="8"/>
        <v/>
      </c>
      <c r="G115" s="42" t="s">
        <v>114</v>
      </c>
      <c r="H115" s="43" t="s">
        <v>115</v>
      </c>
      <c r="I115" s="44" t="s">
        <v>170</v>
      </c>
      <c r="J115" s="45" t="s">
        <v>154</v>
      </c>
      <c r="K115" s="46" t="s">
        <v>118</v>
      </c>
      <c r="L115" s="47" t="s">
        <v>2403</v>
      </c>
      <c r="M115" s="48" t="s">
        <v>2404</v>
      </c>
      <c r="N115" s="49"/>
      <c r="O115" s="50" t="s">
        <v>3299</v>
      </c>
      <c r="P115" s="59"/>
      <c r="Q115" s="59"/>
      <c r="R115" s="13"/>
    </row>
    <row r="116" spans="1:18" x14ac:dyDescent="0.25">
      <c r="A116" s="9" t="s">
        <v>21</v>
      </c>
      <c r="B116" s="28">
        <f>IF(ISBLANK(A116),0,INDEX(txtstylestab[],MATCH(A116,txtstylestab[style_Name],0),1))</f>
        <v>0</v>
      </c>
      <c r="C116" s="28">
        <f t="shared" si="5"/>
        <v>1</v>
      </c>
      <c r="D116" s="28">
        <f t="shared" si="6"/>
        <v>4</v>
      </c>
      <c r="E116" s="28">
        <f t="shared" si="7"/>
        <v>1</v>
      </c>
      <c r="F116" s="59" t="str">
        <f t="shared" si="8"/>
        <v/>
      </c>
      <c r="G116" s="42" t="s">
        <v>155</v>
      </c>
      <c r="H116" s="43" t="s">
        <v>171</v>
      </c>
      <c r="I116" s="44" t="s">
        <v>121</v>
      </c>
      <c r="J116" s="45" t="s">
        <v>122</v>
      </c>
      <c r="K116" s="46" t="s">
        <v>123</v>
      </c>
      <c r="L116" s="47" t="s">
        <v>2405</v>
      </c>
      <c r="M116" s="48" t="s">
        <v>2419</v>
      </c>
      <c r="N116" s="49"/>
      <c r="O116" s="50" t="s">
        <v>3309</v>
      </c>
      <c r="P116" s="59"/>
      <c r="Q116" s="59"/>
      <c r="R116" s="13"/>
    </row>
    <row r="117" spans="1:18" ht="30" x14ac:dyDescent="0.25">
      <c r="A117" s="9" t="s">
        <v>21</v>
      </c>
      <c r="B117" s="28">
        <f>IF(ISBLANK(A117),0,INDEX(txtstylestab[],MATCH(A117,txtstylestab[style_Name],0),1))</f>
        <v>0</v>
      </c>
      <c r="C117" s="28">
        <f t="shared" si="5"/>
        <v>1</v>
      </c>
      <c r="D117" s="28">
        <f t="shared" si="6"/>
        <v>4</v>
      </c>
      <c r="E117" s="28">
        <f t="shared" si="7"/>
        <v>1</v>
      </c>
      <c r="F117" s="59" t="str">
        <f t="shared" si="8"/>
        <v/>
      </c>
      <c r="G117" s="42" t="s">
        <v>172</v>
      </c>
      <c r="H117" s="43" t="s">
        <v>173</v>
      </c>
      <c r="I117" s="44" t="s">
        <v>174</v>
      </c>
      <c r="J117" s="45" t="s">
        <v>175</v>
      </c>
      <c r="K117" s="46" t="s">
        <v>176</v>
      </c>
      <c r="L117" s="47" t="s">
        <v>2431</v>
      </c>
      <c r="M117" s="48" t="s">
        <v>2432</v>
      </c>
      <c r="N117" s="49"/>
      <c r="O117" s="50" t="s">
        <v>3308</v>
      </c>
      <c r="P117" s="59"/>
      <c r="Q117" s="59"/>
      <c r="R117" s="13"/>
    </row>
    <row r="118" spans="1:18" ht="30" x14ac:dyDescent="0.25">
      <c r="A118" s="9" t="s">
        <v>21</v>
      </c>
      <c r="B118" s="28">
        <f>IF(ISBLANK(A118),0,INDEX(txtstylestab[],MATCH(A118,txtstylestab[style_Name],0),1))</f>
        <v>0</v>
      </c>
      <c r="C118" s="28">
        <f t="shared" si="5"/>
        <v>1</v>
      </c>
      <c r="D118" s="28">
        <f t="shared" si="6"/>
        <v>4</v>
      </c>
      <c r="E118" s="28">
        <f t="shared" si="7"/>
        <v>1</v>
      </c>
      <c r="F118" s="59" t="str">
        <f t="shared" si="8"/>
        <v/>
      </c>
      <c r="G118" s="42" t="s">
        <v>177</v>
      </c>
      <c r="H118" s="43" t="s">
        <v>125</v>
      </c>
      <c r="I118" s="44" t="s">
        <v>126</v>
      </c>
      <c r="J118" s="45" t="s">
        <v>127</v>
      </c>
      <c r="K118" s="46" t="s">
        <v>128</v>
      </c>
      <c r="L118" s="47" t="s">
        <v>2422</v>
      </c>
      <c r="M118" s="48" t="s">
        <v>2423</v>
      </c>
      <c r="N118" s="49"/>
      <c r="O118" s="50" t="s">
        <v>3478</v>
      </c>
      <c r="P118" s="59"/>
      <c r="Q118" s="59"/>
      <c r="R118" s="13"/>
    </row>
    <row r="119" spans="1:18" ht="60" x14ac:dyDescent="0.25">
      <c r="A119" s="9" t="s">
        <v>21</v>
      </c>
      <c r="B119" s="28">
        <f>IF(ISBLANK(A119),0,INDEX(txtstylestab[],MATCH(A119,txtstylestab[style_Name],0),1))</f>
        <v>0</v>
      </c>
      <c r="C119" s="28">
        <f t="shared" si="5"/>
        <v>1</v>
      </c>
      <c r="D119" s="28">
        <f t="shared" si="6"/>
        <v>4</v>
      </c>
      <c r="E119" s="28">
        <f t="shared" si="7"/>
        <v>1</v>
      </c>
      <c r="F119" s="59" t="str">
        <f t="shared" si="8"/>
        <v/>
      </c>
      <c r="G119" s="42" t="s">
        <v>223</v>
      </c>
      <c r="H119" s="43" t="s">
        <v>224</v>
      </c>
      <c r="I119" s="44" t="s">
        <v>225</v>
      </c>
      <c r="J119" s="45" t="s">
        <v>226</v>
      </c>
      <c r="K119" s="46" t="s">
        <v>227</v>
      </c>
      <c r="L119" s="47" t="s">
        <v>2409</v>
      </c>
      <c r="M119" s="48" t="s">
        <v>2433</v>
      </c>
      <c r="N119" s="49"/>
      <c r="O119" s="50"/>
      <c r="P119" s="59"/>
      <c r="Q119" s="59"/>
      <c r="R119" s="13"/>
    </row>
    <row r="120" spans="1:18" ht="45" x14ac:dyDescent="0.25">
      <c r="A120" s="9" t="s">
        <v>21</v>
      </c>
      <c r="B120" s="28">
        <f>IF(ISBLANK(A120),0,INDEX(txtstylestab[],MATCH(A120,txtstylestab[style_Name],0),1))</f>
        <v>0</v>
      </c>
      <c r="C120" s="28">
        <f t="shared" si="5"/>
        <v>1</v>
      </c>
      <c r="D120" s="28">
        <f t="shared" si="6"/>
        <v>4</v>
      </c>
      <c r="E120" s="28">
        <f t="shared" si="7"/>
        <v>1</v>
      </c>
      <c r="F120" s="59" t="str">
        <f t="shared" si="8"/>
        <v/>
      </c>
      <c r="G120" s="42" t="s">
        <v>134</v>
      </c>
      <c r="H120" s="43" t="s">
        <v>163</v>
      </c>
      <c r="I120" s="44" t="s">
        <v>135</v>
      </c>
      <c r="J120" s="45" t="s">
        <v>136</v>
      </c>
      <c r="K120" s="46" t="s">
        <v>137</v>
      </c>
      <c r="L120" s="47" t="s">
        <v>2425</v>
      </c>
      <c r="M120" s="48" t="s">
        <v>2434</v>
      </c>
      <c r="N120" s="49"/>
      <c r="O120" s="50" t="s">
        <v>3296</v>
      </c>
      <c r="P120" s="59"/>
      <c r="Q120" s="59"/>
      <c r="R120" s="13"/>
    </row>
    <row r="121" spans="1:18" ht="75" x14ac:dyDescent="0.25">
      <c r="A121" s="9" t="s">
        <v>21</v>
      </c>
      <c r="B121" s="28">
        <f>IF(ISBLANK(A121),0,INDEX(txtstylestab[],MATCH(A121,txtstylestab[style_Name],0),1))</f>
        <v>0</v>
      </c>
      <c r="C121" s="28">
        <f t="shared" si="5"/>
        <v>1</v>
      </c>
      <c r="D121" s="28">
        <f t="shared" si="6"/>
        <v>4</v>
      </c>
      <c r="E121" s="28">
        <f t="shared" si="7"/>
        <v>1</v>
      </c>
      <c r="F121" s="59" t="str">
        <f t="shared" si="8"/>
        <v/>
      </c>
      <c r="G121" s="42" t="s">
        <v>179</v>
      </c>
      <c r="H121" s="43" t="s">
        <v>139</v>
      </c>
      <c r="I121" s="44" t="s">
        <v>140</v>
      </c>
      <c r="J121" s="45" t="s">
        <v>141</v>
      </c>
      <c r="K121" s="46" t="s">
        <v>142</v>
      </c>
      <c r="L121" s="47" t="s">
        <v>2427</v>
      </c>
      <c r="M121" s="48" t="s">
        <v>2414</v>
      </c>
      <c r="N121" s="49"/>
      <c r="O121" s="50" t="s">
        <v>3297</v>
      </c>
      <c r="P121" s="59"/>
      <c r="Q121" s="59"/>
      <c r="R121" s="13"/>
    </row>
    <row r="122" spans="1:18" ht="30" x14ac:dyDescent="0.25">
      <c r="A122" s="9" t="s">
        <v>21</v>
      </c>
      <c r="B122" s="28">
        <f>IF(ISBLANK(A122),0,INDEX(txtstylestab[],MATCH(A122,txtstylestab[style_Name],0),1))</f>
        <v>0</v>
      </c>
      <c r="C122" s="28">
        <f t="shared" si="5"/>
        <v>1</v>
      </c>
      <c r="D122" s="28">
        <f t="shared" si="6"/>
        <v>4</v>
      </c>
      <c r="E122" s="28">
        <f t="shared" si="7"/>
        <v>1</v>
      </c>
      <c r="F122" s="59" t="str">
        <f t="shared" si="8"/>
        <v/>
      </c>
      <c r="G122" s="42" t="s">
        <v>143</v>
      </c>
      <c r="H122" s="43" t="s">
        <v>144</v>
      </c>
      <c r="I122" s="44" t="s">
        <v>180</v>
      </c>
      <c r="J122" s="45" t="s">
        <v>146</v>
      </c>
      <c r="K122" s="46" t="s">
        <v>147</v>
      </c>
      <c r="L122" s="47" t="s">
        <v>2435</v>
      </c>
      <c r="M122" s="48" t="s">
        <v>2416</v>
      </c>
      <c r="N122" s="49"/>
      <c r="O122" s="50" t="s">
        <v>3298</v>
      </c>
      <c r="P122" s="59"/>
      <c r="Q122" s="59"/>
      <c r="R122" s="13"/>
    </row>
    <row r="123" spans="1:18" x14ac:dyDescent="0.25">
      <c r="A123" s="9" t="s">
        <v>22</v>
      </c>
      <c r="B123" s="28">
        <f>IF(ISBLANK(A123),0,INDEX(txtstylestab[],MATCH(A123,txtstylestab[style_Name],0),1))</f>
        <v>4</v>
      </c>
      <c r="C123" s="28">
        <f t="shared" si="5"/>
        <v>1</v>
      </c>
      <c r="D123" s="28">
        <f t="shared" si="6"/>
        <v>4</v>
      </c>
      <c r="E123" s="28">
        <f t="shared" si="7"/>
        <v>1</v>
      </c>
      <c r="F123" s="56" t="str">
        <f t="shared" si="8"/>
        <v/>
      </c>
      <c r="G123" s="67" t="s">
        <v>1790</v>
      </c>
      <c r="H123" s="67"/>
      <c r="I123" s="67"/>
      <c r="J123" s="67"/>
      <c r="K123" s="67"/>
      <c r="L123" s="67"/>
      <c r="M123" s="67"/>
      <c r="N123" s="67"/>
      <c r="O123" s="67"/>
      <c r="P123" s="67"/>
      <c r="Q123" s="67"/>
      <c r="R123" s="13"/>
    </row>
    <row r="124" spans="1:18" ht="30" x14ac:dyDescent="0.25">
      <c r="A124" s="9" t="s">
        <v>21</v>
      </c>
      <c r="B124" s="28">
        <f>IF(ISBLANK(A124),0,INDEX(txtstylestab[],MATCH(A124,txtstylestab[style_Name],0),1))</f>
        <v>0</v>
      </c>
      <c r="C124" s="28">
        <f t="shared" si="5"/>
        <v>1</v>
      </c>
      <c r="D124" s="28">
        <f t="shared" si="6"/>
        <v>4</v>
      </c>
      <c r="E124" s="28">
        <f t="shared" si="7"/>
        <v>1</v>
      </c>
      <c r="F124" s="59" t="str">
        <f t="shared" si="8"/>
        <v/>
      </c>
      <c r="G124" s="42" t="s">
        <v>228</v>
      </c>
      <c r="H124" s="43" t="s">
        <v>229</v>
      </c>
      <c r="I124" s="44" t="s">
        <v>230</v>
      </c>
      <c r="J124" s="45" t="s">
        <v>231</v>
      </c>
      <c r="K124" s="46" t="s">
        <v>232</v>
      </c>
      <c r="L124" s="47" t="s">
        <v>2446</v>
      </c>
      <c r="M124" s="48" t="s">
        <v>2447</v>
      </c>
      <c r="N124" s="49"/>
      <c r="O124" s="50" t="s">
        <v>3313</v>
      </c>
      <c r="P124" s="50"/>
      <c r="Q124" s="59"/>
      <c r="R124" s="13"/>
    </row>
    <row r="125" spans="1:18" ht="45" x14ac:dyDescent="0.25">
      <c r="A125" s="9" t="s">
        <v>21</v>
      </c>
      <c r="B125" s="28">
        <f>IF(ISBLANK(A125),0,INDEX(txtstylestab[],MATCH(A125,txtstylestab[style_Name],0),1))</f>
        <v>0</v>
      </c>
      <c r="C125" s="28">
        <f t="shared" si="5"/>
        <v>1</v>
      </c>
      <c r="D125" s="28">
        <f t="shared" si="6"/>
        <v>4</v>
      </c>
      <c r="E125" s="28">
        <f t="shared" si="7"/>
        <v>1</v>
      </c>
      <c r="F125" s="59" t="str">
        <f t="shared" si="8"/>
        <v/>
      </c>
      <c r="G125" s="42" t="s">
        <v>182</v>
      </c>
      <c r="H125" s="43" t="s">
        <v>115</v>
      </c>
      <c r="I125" s="44" t="s">
        <v>170</v>
      </c>
      <c r="J125" s="45" t="s">
        <v>233</v>
      </c>
      <c r="K125" s="46" t="s">
        <v>118</v>
      </c>
      <c r="L125" s="47" t="s">
        <v>2403</v>
      </c>
      <c r="M125" s="48" t="s">
        <v>2448</v>
      </c>
      <c r="N125" s="49"/>
      <c r="O125" s="50" t="s">
        <v>3299</v>
      </c>
      <c r="P125" s="50"/>
      <c r="Q125" s="59"/>
      <c r="R125" s="13"/>
    </row>
    <row r="126" spans="1:18" ht="30" x14ac:dyDescent="0.25">
      <c r="A126" s="9" t="s">
        <v>21</v>
      </c>
      <c r="B126" s="28">
        <f>IF(ISBLANK(A126),0,INDEX(txtstylestab[],MATCH(A126,txtstylestab[style_Name],0),1))</f>
        <v>0</v>
      </c>
      <c r="C126" s="28">
        <f t="shared" si="5"/>
        <v>1</v>
      </c>
      <c r="D126" s="28">
        <f t="shared" si="6"/>
        <v>4</v>
      </c>
      <c r="E126" s="28">
        <f t="shared" si="7"/>
        <v>1</v>
      </c>
      <c r="F126" s="59" t="str">
        <f t="shared" si="8"/>
        <v/>
      </c>
      <c r="G126" s="42" t="s">
        <v>234</v>
      </c>
      <c r="H126" s="43" t="s">
        <v>235</v>
      </c>
      <c r="I126" s="44" t="s">
        <v>236</v>
      </c>
      <c r="J126" s="45" t="s">
        <v>237</v>
      </c>
      <c r="K126" s="46" t="s">
        <v>238</v>
      </c>
      <c r="L126" s="47" t="s">
        <v>2449</v>
      </c>
      <c r="M126" s="48" t="s">
        <v>2450</v>
      </c>
      <c r="N126" s="49"/>
      <c r="O126" s="50" t="s">
        <v>3314</v>
      </c>
      <c r="P126" s="50"/>
      <c r="Q126" s="59"/>
      <c r="R126" s="13"/>
    </row>
    <row r="127" spans="1:18" x14ac:dyDescent="0.25">
      <c r="A127" s="9" t="s">
        <v>21</v>
      </c>
      <c r="B127" s="28">
        <f>IF(ISBLANK(A127),0,INDEX(txtstylestab[],MATCH(A127,txtstylestab[style_Name],0),1))</f>
        <v>0</v>
      </c>
      <c r="C127" s="28">
        <f t="shared" si="5"/>
        <v>1</v>
      </c>
      <c r="D127" s="28">
        <f t="shared" si="6"/>
        <v>4</v>
      </c>
      <c r="E127" s="28">
        <f t="shared" si="7"/>
        <v>1</v>
      </c>
      <c r="F127" s="59" t="str">
        <f t="shared" si="8"/>
        <v/>
      </c>
      <c r="G127" s="42" t="s">
        <v>239</v>
      </c>
      <c r="H127" s="43" t="s">
        <v>240</v>
      </c>
      <c r="I127" s="44" t="s">
        <v>531</v>
      </c>
      <c r="J127" s="45" t="s">
        <v>241</v>
      </c>
      <c r="K127" s="46" t="s">
        <v>242</v>
      </c>
      <c r="L127" s="47" t="s">
        <v>2451</v>
      </c>
      <c r="M127" s="48" t="s">
        <v>2452</v>
      </c>
      <c r="N127" s="49"/>
      <c r="O127" s="50" t="s">
        <v>3304</v>
      </c>
      <c r="P127" s="50"/>
      <c r="Q127" s="59"/>
      <c r="R127" s="13"/>
    </row>
    <row r="128" spans="1:18" ht="30" x14ac:dyDescent="0.25">
      <c r="A128" s="9" t="s">
        <v>21</v>
      </c>
      <c r="B128" s="28">
        <f>IF(ISBLANK(A128),0,INDEX(txtstylestab[],MATCH(A128,txtstylestab[style_Name],0),1))</f>
        <v>0</v>
      </c>
      <c r="C128" s="28">
        <f t="shared" si="5"/>
        <v>1</v>
      </c>
      <c r="D128" s="28">
        <f t="shared" si="6"/>
        <v>4</v>
      </c>
      <c r="E128" s="28">
        <f t="shared" si="7"/>
        <v>1</v>
      </c>
      <c r="F128" s="59" t="str">
        <f t="shared" si="8"/>
        <v/>
      </c>
      <c r="G128" s="42" t="s">
        <v>243</v>
      </c>
      <c r="H128" s="43" t="s">
        <v>244</v>
      </c>
      <c r="I128" s="44" t="s">
        <v>245</v>
      </c>
      <c r="J128" s="45" t="s">
        <v>246</v>
      </c>
      <c r="K128" s="46" t="s">
        <v>247</v>
      </c>
      <c r="L128" s="47" t="s">
        <v>2453</v>
      </c>
      <c r="M128" s="48" t="s">
        <v>2454</v>
      </c>
      <c r="N128" s="49"/>
      <c r="O128" s="50" t="s">
        <v>3479</v>
      </c>
      <c r="P128" s="50"/>
      <c r="Q128" s="59"/>
      <c r="R128" s="13"/>
    </row>
    <row r="129" spans="1:18" ht="45" x14ac:dyDescent="0.25">
      <c r="A129" s="9" t="s">
        <v>21</v>
      </c>
      <c r="B129" s="28">
        <f>IF(ISBLANK(A129),0,INDEX(txtstylestab[],MATCH(A129,txtstylestab[style_Name],0),1))</f>
        <v>0</v>
      </c>
      <c r="C129" s="28">
        <f t="shared" si="5"/>
        <v>1</v>
      </c>
      <c r="D129" s="28">
        <f t="shared" si="6"/>
        <v>4</v>
      </c>
      <c r="E129" s="28">
        <f t="shared" si="7"/>
        <v>1</v>
      </c>
      <c r="F129" s="59" t="str">
        <f t="shared" si="8"/>
        <v/>
      </c>
      <c r="G129" s="42" t="s">
        <v>205</v>
      </c>
      <c r="H129" s="43" t="s">
        <v>130</v>
      </c>
      <c r="I129" s="44" t="s">
        <v>248</v>
      </c>
      <c r="J129" s="45" t="s">
        <v>132</v>
      </c>
      <c r="K129" s="46" t="s">
        <v>133</v>
      </c>
      <c r="L129" s="47" t="s">
        <v>2409</v>
      </c>
      <c r="M129" s="48" t="s">
        <v>2424</v>
      </c>
      <c r="N129" s="49"/>
      <c r="O129" s="50" t="s">
        <v>3305</v>
      </c>
      <c r="P129" s="59"/>
      <c r="Q129" s="59"/>
      <c r="R129" s="13"/>
    </row>
    <row r="130" spans="1:18" ht="45" x14ac:dyDescent="0.25">
      <c r="A130" s="9" t="s">
        <v>21</v>
      </c>
      <c r="B130" s="28">
        <f>IF(ISBLANK(A130),0,INDEX(txtstylestab[],MATCH(A130,txtstylestab[style_Name],0),1))</f>
        <v>0</v>
      </c>
      <c r="C130" s="28">
        <f t="shared" si="5"/>
        <v>1</v>
      </c>
      <c r="D130" s="28">
        <f t="shared" si="6"/>
        <v>4</v>
      </c>
      <c r="E130" s="28">
        <f t="shared" si="7"/>
        <v>1</v>
      </c>
      <c r="F130" s="59" t="str">
        <f t="shared" si="8"/>
        <v/>
      </c>
      <c r="G130" s="42" t="s">
        <v>206</v>
      </c>
      <c r="H130" s="43" t="s">
        <v>163</v>
      </c>
      <c r="I130" s="44" t="s">
        <v>135</v>
      </c>
      <c r="J130" s="45" t="s">
        <v>136</v>
      </c>
      <c r="K130" s="46" t="s">
        <v>249</v>
      </c>
      <c r="L130" s="47" t="s">
        <v>2425</v>
      </c>
      <c r="M130" s="48" t="s">
        <v>2426</v>
      </c>
      <c r="N130" s="49"/>
      <c r="O130" s="50" t="s">
        <v>3296</v>
      </c>
      <c r="P130" s="50"/>
      <c r="Q130" s="59"/>
      <c r="R130" s="13"/>
    </row>
    <row r="131" spans="1:18" ht="75" x14ac:dyDescent="0.25">
      <c r="A131" s="9" t="s">
        <v>21</v>
      </c>
      <c r="B131" s="28">
        <f>IF(ISBLANK(A131),0,INDEX(txtstylestab[],MATCH(A131,txtstylestab[style_Name],0),1))</f>
        <v>0</v>
      </c>
      <c r="C131" s="28">
        <f t="shared" si="5"/>
        <v>1</v>
      </c>
      <c r="D131" s="28">
        <f t="shared" si="6"/>
        <v>4</v>
      </c>
      <c r="E131" s="28">
        <f t="shared" si="7"/>
        <v>1</v>
      </c>
      <c r="F131" s="59" t="str">
        <f t="shared" si="8"/>
        <v/>
      </c>
      <c r="G131" s="42" t="s">
        <v>207</v>
      </c>
      <c r="H131" s="43" t="s">
        <v>208</v>
      </c>
      <c r="I131" s="44" t="s">
        <v>209</v>
      </c>
      <c r="J131" s="45" t="s">
        <v>141</v>
      </c>
      <c r="K131" s="46" t="s">
        <v>142</v>
      </c>
      <c r="L131" s="47" t="s">
        <v>2427</v>
      </c>
      <c r="M131" s="48" t="s">
        <v>2414</v>
      </c>
      <c r="N131" s="49"/>
      <c r="O131" s="50" t="s">
        <v>3297</v>
      </c>
      <c r="P131" s="50"/>
      <c r="Q131" s="59"/>
      <c r="R131" s="13"/>
    </row>
    <row r="132" spans="1:18" ht="30" x14ac:dyDescent="0.25">
      <c r="A132" s="9" t="s">
        <v>21</v>
      </c>
      <c r="B132" s="28">
        <f>IF(ISBLANK(A132),0,INDEX(txtstylestab[],MATCH(A132,txtstylestab[style_Name],0),1))</f>
        <v>0</v>
      </c>
      <c r="C132" s="28">
        <f t="shared" ref="C132:C195" si="9">IF(B132=1,C131+1,C131)</f>
        <v>1</v>
      </c>
      <c r="D132" s="28">
        <f t="shared" ref="D132:D195" si="10">IF(B132=1,0,IF(B132=2,D131+1,IF(AND(B132=3,D131=0),1,D131)))</f>
        <v>4</v>
      </c>
      <c r="E132" s="28">
        <f t="shared" ref="E132:E195" si="11">IF(OR(B132=1,B132=2),0,IF(B132=3,E131+1,E131))</f>
        <v>1</v>
      </c>
      <c r="F132" s="59" t="str">
        <f t="shared" ref="F132:F195" si="12">IF(OR(B132=1,B132=2,B132=3),TEXT(C132,"#")&amp;".","")&amp;IF(OR(B132=2,B132=3),TEXT(D132,"#")&amp;".","")&amp;IF(B132=3,TEXT(E132,"#")&amp;".","")</f>
        <v/>
      </c>
      <c r="G132" s="42" t="s">
        <v>210</v>
      </c>
      <c r="H132" s="43" t="s">
        <v>199</v>
      </c>
      <c r="I132" s="44" t="s">
        <v>180</v>
      </c>
      <c r="J132" s="45" t="s">
        <v>146</v>
      </c>
      <c r="K132" s="46" t="s">
        <v>147</v>
      </c>
      <c r="L132" s="47" t="s">
        <v>2415</v>
      </c>
      <c r="M132" s="48" t="s">
        <v>2416</v>
      </c>
      <c r="N132" s="49"/>
      <c r="O132" s="50" t="s">
        <v>3298</v>
      </c>
      <c r="P132" s="50"/>
      <c r="Q132" s="59"/>
      <c r="R132" s="13"/>
    </row>
    <row r="133" spans="1:18" x14ac:dyDescent="0.25">
      <c r="A133" s="9" t="s">
        <v>23</v>
      </c>
      <c r="B133" s="28">
        <f>IF(ISBLANK(A133),0,INDEX(txtstylestab[],MATCH(A133,txtstylestab[style_Name],0),1))</f>
        <v>5</v>
      </c>
      <c r="C133" s="28">
        <f t="shared" si="9"/>
        <v>1</v>
      </c>
      <c r="D133" s="28">
        <f t="shared" si="10"/>
        <v>4</v>
      </c>
      <c r="E133" s="28">
        <f t="shared" si="11"/>
        <v>1</v>
      </c>
      <c r="F133" s="56" t="str">
        <f t="shared" si="12"/>
        <v/>
      </c>
      <c r="G133" s="69" t="s">
        <v>250</v>
      </c>
      <c r="H133" s="69"/>
      <c r="I133" s="69"/>
      <c r="J133" s="69"/>
      <c r="K133" s="69"/>
      <c r="L133" s="69"/>
      <c r="M133" s="69"/>
      <c r="N133" s="69"/>
      <c r="O133" s="69"/>
      <c r="P133" s="69"/>
      <c r="Q133" s="69"/>
      <c r="R133" s="13"/>
    </row>
    <row r="134" spans="1:18" ht="90" x14ac:dyDescent="0.25">
      <c r="A134" s="9" t="s">
        <v>21</v>
      </c>
      <c r="B134" s="28">
        <f>IF(ISBLANK(A134),0,INDEX(txtstylestab[],MATCH(A134,txtstylestab[style_Name],0),1))</f>
        <v>0</v>
      </c>
      <c r="C134" s="28">
        <f t="shared" si="9"/>
        <v>1</v>
      </c>
      <c r="D134" s="28">
        <f t="shared" si="10"/>
        <v>4</v>
      </c>
      <c r="E134" s="28">
        <f t="shared" si="11"/>
        <v>1</v>
      </c>
      <c r="F134" s="59" t="str">
        <f t="shared" si="12"/>
        <v/>
      </c>
      <c r="G134" s="42" t="s">
        <v>251</v>
      </c>
      <c r="H134" s="43" t="s">
        <v>252</v>
      </c>
      <c r="I134" s="44" t="s">
        <v>1631</v>
      </c>
      <c r="J134" s="45" t="s">
        <v>405</v>
      </c>
      <c r="K134" s="46" t="s">
        <v>253</v>
      </c>
      <c r="L134" s="47" t="s">
        <v>2455</v>
      </c>
      <c r="M134" s="48" t="s">
        <v>2456</v>
      </c>
      <c r="N134" s="49"/>
      <c r="O134" s="50" t="s">
        <v>3315</v>
      </c>
      <c r="P134" s="59"/>
      <c r="Q134" s="59"/>
      <c r="R134" s="13"/>
    </row>
    <row r="135" spans="1:18" ht="15.75" thickBot="1" x14ac:dyDescent="0.3">
      <c r="A135" s="9" t="s">
        <v>12</v>
      </c>
      <c r="B135" s="28">
        <f>IF(ISBLANK(A135),0,INDEX(txtstylestab[],MATCH(A135,txtstylestab[style_Name],0),1))</f>
        <v>3</v>
      </c>
      <c r="C135" s="28">
        <f t="shared" si="9"/>
        <v>1</v>
      </c>
      <c r="D135" s="28">
        <f t="shared" si="10"/>
        <v>4</v>
      </c>
      <c r="E135" s="28">
        <f t="shared" si="11"/>
        <v>2</v>
      </c>
      <c r="F135" s="55" t="str">
        <f t="shared" si="12"/>
        <v>1.4.2.</v>
      </c>
      <c r="G135" s="70" t="s">
        <v>254</v>
      </c>
      <c r="H135" s="70"/>
      <c r="I135" s="70"/>
      <c r="J135" s="70"/>
      <c r="K135" s="70"/>
      <c r="L135" s="70"/>
      <c r="M135" s="70"/>
      <c r="N135" s="70"/>
      <c r="O135" s="70"/>
      <c r="P135" s="70"/>
      <c r="Q135" s="70"/>
      <c r="R135" s="13"/>
    </row>
    <row r="136" spans="1:18" ht="60" x14ac:dyDescent="0.25">
      <c r="A136" s="9" t="s">
        <v>21</v>
      </c>
      <c r="B136" s="28">
        <f>IF(ISBLANK(A136),0,INDEX(txtstylestab[],MATCH(A136,txtstylestab[style_Name],0),1))</f>
        <v>0</v>
      </c>
      <c r="C136" s="28">
        <f t="shared" si="9"/>
        <v>1</v>
      </c>
      <c r="D136" s="28">
        <f t="shared" si="10"/>
        <v>4</v>
      </c>
      <c r="E136" s="28">
        <f t="shared" si="11"/>
        <v>2</v>
      </c>
      <c r="F136" s="59" t="str">
        <f t="shared" si="12"/>
        <v/>
      </c>
      <c r="G136" s="42" t="s">
        <v>255</v>
      </c>
      <c r="H136" s="43" t="s">
        <v>256</v>
      </c>
      <c r="I136" s="44" t="s">
        <v>257</v>
      </c>
      <c r="J136" s="45" t="s">
        <v>258</v>
      </c>
      <c r="K136" s="46" t="s">
        <v>259</v>
      </c>
      <c r="L136" s="47" t="s">
        <v>2457</v>
      </c>
      <c r="M136" s="48" t="s">
        <v>2458</v>
      </c>
      <c r="N136" s="49"/>
      <c r="O136" s="50" t="s">
        <v>3316</v>
      </c>
      <c r="P136" s="59"/>
      <c r="Q136" s="59"/>
      <c r="R136" s="13"/>
    </row>
    <row r="137" spans="1:18" ht="30" x14ac:dyDescent="0.25">
      <c r="A137" s="9" t="s">
        <v>21</v>
      </c>
      <c r="B137" s="28">
        <f>IF(ISBLANK(A137),0,INDEX(txtstylestab[],MATCH(A137,txtstylestab[style_Name],0),1))</f>
        <v>0</v>
      </c>
      <c r="C137" s="28">
        <f t="shared" si="9"/>
        <v>1</v>
      </c>
      <c r="D137" s="28">
        <f t="shared" si="10"/>
        <v>4</v>
      </c>
      <c r="E137" s="28">
        <f t="shared" si="11"/>
        <v>2</v>
      </c>
      <c r="F137" s="59" t="str">
        <f t="shared" si="12"/>
        <v/>
      </c>
      <c r="G137" s="42" t="s">
        <v>260</v>
      </c>
      <c r="H137" s="43" t="s">
        <v>261</v>
      </c>
      <c r="I137" s="44" t="s">
        <v>262</v>
      </c>
      <c r="J137" s="45" t="s">
        <v>263</v>
      </c>
      <c r="K137" s="46" t="s">
        <v>264</v>
      </c>
      <c r="L137" s="47" t="s">
        <v>2459</v>
      </c>
      <c r="M137" s="48" t="s">
        <v>2460</v>
      </c>
      <c r="N137" s="49"/>
      <c r="O137" s="50" t="s">
        <v>3317</v>
      </c>
      <c r="P137" s="59"/>
      <c r="Q137" s="59"/>
      <c r="R137" s="13"/>
    </row>
    <row r="138" spans="1:18" ht="60" x14ac:dyDescent="0.25">
      <c r="A138" s="9" t="s">
        <v>21</v>
      </c>
      <c r="B138" s="28">
        <f>IF(ISBLANK(A138),0,INDEX(txtstylestab[],MATCH(A138,txtstylestab[style_Name],0),1))</f>
        <v>0</v>
      </c>
      <c r="C138" s="28">
        <f t="shared" si="9"/>
        <v>1</v>
      </c>
      <c r="D138" s="28">
        <f t="shared" si="10"/>
        <v>4</v>
      </c>
      <c r="E138" s="28">
        <f t="shared" si="11"/>
        <v>2</v>
      </c>
      <c r="F138" s="59" t="str">
        <f t="shared" si="12"/>
        <v/>
      </c>
      <c r="G138" s="42" t="s">
        <v>265</v>
      </c>
      <c r="H138" s="43" t="s">
        <v>266</v>
      </c>
      <c r="I138" s="44" t="s">
        <v>267</v>
      </c>
      <c r="J138" s="45" t="s">
        <v>268</v>
      </c>
      <c r="K138" s="46" t="s">
        <v>269</v>
      </c>
      <c r="L138" s="47" t="s">
        <v>2461</v>
      </c>
      <c r="M138" s="48" t="s">
        <v>2462</v>
      </c>
      <c r="N138" s="49"/>
      <c r="O138" s="50" t="s">
        <v>3318</v>
      </c>
      <c r="P138" s="59"/>
      <c r="Q138" s="59"/>
      <c r="R138" s="13"/>
    </row>
    <row r="139" spans="1:18" ht="60" x14ac:dyDescent="0.25">
      <c r="A139" s="9" t="s">
        <v>21</v>
      </c>
      <c r="B139" s="28">
        <f>IF(ISBLANK(A139),0,INDEX(txtstylestab[],MATCH(A139,txtstylestab[style_Name],0),1))</f>
        <v>0</v>
      </c>
      <c r="C139" s="28">
        <f t="shared" si="9"/>
        <v>1</v>
      </c>
      <c r="D139" s="28">
        <f t="shared" si="10"/>
        <v>4</v>
      </c>
      <c r="E139" s="28">
        <f t="shared" si="11"/>
        <v>2</v>
      </c>
      <c r="F139" s="59" t="str">
        <f t="shared" si="12"/>
        <v/>
      </c>
      <c r="G139" s="42" t="s">
        <v>270</v>
      </c>
      <c r="H139" s="43" t="s">
        <v>271</v>
      </c>
      <c r="I139" s="44" t="s">
        <v>272</v>
      </c>
      <c r="J139" s="45" t="s">
        <v>273</v>
      </c>
      <c r="K139" s="46" t="s">
        <v>274</v>
      </c>
      <c r="L139" s="47" t="s">
        <v>2463</v>
      </c>
      <c r="M139" s="48" t="s">
        <v>2464</v>
      </c>
      <c r="N139" s="49"/>
      <c r="O139" s="50" t="s">
        <v>3319</v>
      </c>
      <c r="P139" s="59"/>
      <c r="Q139" s="59"/>
      <c r="R139" s="13"/>
    </row>
    <row r="140" spans="1:18" ht="15.75" thickBot="1" x14ac:dyDescent="0.3">
      <c r="A140" s="9" t="s">
        <v>12</v>
      </c>
      <c r="B140" s="28">
        <f>IF(ISBLANK(A140),0,INDEX(txtstylestab[],MATCH(A140,txtstylestab[style_Name],0),1))</f>
        <v>3</v>
      </c>
      <c r="C140" s="28">
        <f t="shared" si="9"/>
        <v>1</v>
      </c>
      <c r="D140" s="28">
        <f t="shared" si="10"/>
        <v>4</v>
      </c>
      <c r="E140" s="28">
        <f t="shared" si="11"/>
        <v>3</v>
      </c>
      <c r="F140" s="55" t="str">
        <f t="shared" si="12"/>
        <v>1.4.3.</v>
      </c>
      <c r="G140" s="70" t="s">
        <v>275</v>
      </c>
      <c r="H140" s="70"/>
      <c r="I140" s="70"/>
      <c r="J140" s="70"/>
      <c r="K140" s="70"/>
      <c r="L140" s="70"/>
      <c r="M140" s="70"/>
      <c r="N140" s="70"/>
      <c r="O140" s="70"/>
      <c r="P140" s="70"/>
      <c r="Q140" s="70"/>
      <c r="R140" s="13"/>
    </row>
    <row r="141" spans="1:18" ht="60" x14ac:dyDescent="0.25">
      <c r="A141" s="9" t="s">
        <v>21</v>
      </c>
      <c r="B141" s="28">
        <f>IF(ISBLANK(A141),0,INDEX(txtstylestab[],MATCH(A141,txtstylestab[style_Name],0),1))</f>
        <v>0</v>
      </c>
      <c r="C141" s="28">
        <f t="shared" si="9"/>
        <v>1</v>
      </c>
      <c r="D141" s="28">
        <f t="shared" si="10"/>
        <v>4</v>
      </c>
      <c r="E141" s="28">
        <f t="shared" si="11"/>
        <v>3</v>
      </c>
      <c r="F141" s="59" t="str">
        <f t="shared" si="12"/>
        <v/>
      </c>
      <c r="G141" s="42" t="s">
        <v>276</v>
      </c>
      <c r="H141" s="43" t="s">
        <v>277</v>
      </c>
      <c r="I141" s="44" t="s">
        <v>2239</v>
      </c>
      <c r="J141" s="45" t="s">
        <v>278</v>
      </c>
      <c r="K141" s="46" t="s">
        <v>279</v>
      </c>
      <c r="L141" s="47" t="s">
        <v>2465</v>
      </c>
      <c r="M141" s="48" t="s">
        <v>2466</v>
      </c>
      <c r="N141" s="49"/>
      <c r="O141" s="50" t="s">
        <v>3320</v>
      </c>
      <c r="P141" s="59"/>
      <c r="Q141" s="59"/>
      <c r="R141" s="13"/>
    </row>
    <row r="142" spans="1:18" ht="45" x14ac:dyDescent="0.25">
      <c r="A142" s="9" t="s">
        <v>21</v>
      </c>
      <c r="B142" s="28">
        <f>IF(ISBLANK(A142),0,INDEX(txtstylestab[],MATCH(A142,txtstylestab[style_Name],0),1))</f>
        <v>0</v>
      </c>
      <c r="C142" s="28">
        <f t="shared" si="9"/>
        <v>1</v>
      </c>
      <c r="D142" s="28">
        <f t="shared" si="10"/>
        <v>4</v>
      </c>
      <c r="E142" s="28">
        <f t="shared" si="11"/>
        <v>3</v>
      </c>
      <c r="F142" s="59" t="str">
        <f t="shared" si="12"/>
        <v/>
      </c>
      <c r="G142" s="42" t="s">
        <v>280</v>
      </c>
      <c r="H142" s="43" t="s">
        <v>281</v>
      </c>
      <c r="I142" s="44" t="s">
        <v>282</v>
      </c>
      <c r="J142" s="45" t="s">
        <v>283</v>
      </c>
      <c r="K142" s="46" t="s">
        <v>284</v>
      </c>
      <c r="L142" s="47" t="s">
        <v>2467</v>
      </c>
      <c r="M142" s="48" t="s">
        <v>2468</v>
      </c>
      <c r="N142" s="49"/>
      <c r="O142" s="50" t="s">
        <v>3321</v>
      </c>
      <c r="P142" s="59"/>
      <c r="Q142" s="59"/>
      <c r="R142" s="13"/>
    </row>
    <row r="143" spans="1:18" ht="30" x14ac:dyDescent="0.25">
      <c r="A143" s="9" t="s">
        <v>21</v>
      </c>
      <c r="B143" s="28">
        <f>IF(ISBLANK(A143),0,INDEX(txtstylestab[],MATCH(A143,txtstylestab[style_Name],0),1))</f>
        <v>0</v>
      </c>
      <c r="C143" s="28">
        <f t="shared" si="9"/>
        <v>1</v>
      </c>
      <c r="D143" s="28">
        <f t="shared" si="10"/>
        <v>4</v>
      </c>
      <c r="E143" s="28">
        <f t="shared" si="11"/>
        <v>3</v>
      </c>
      <c r="F143" s="59" t="str">
        <f t="shared" si="12"/>
        <v/>
      </c>
      <c r="G143" s="42" t="s">
        <v>285</v>
      </c>
      <c r="H143" s="43" t="s">
        <v>286</v>
      </c>
      <c r="I143" s="44" t="s">
        <v>287</v>
      </c>
      <c r="J143" s="45" t="s">
        <v>288</v>
      </c>
      <c r="K143" s="46" t="s">
        <v>289</v>
      </c>
      <c r="L143" s="47" t="s">
        <v>2469</v>
      </c>
      <c r="M143" s="48" t="s">
        <v>2470</v>
      </c>
      <c r="N143" s="49"/>
      <c r="O143" s="50" t="s">
        <v>3322</v>
      </c>
      <c r="P143" s="59"/>
      <c r="Q143" s="59"/>
      <c r="R143" s="13"/>
    </row>
    <row r="144" spans="1:18" ht="45" x14ac:dyDescent="0.25">
      <c r="A144" s="9" t="s">
        <v>21</v>
      </c>
      <c r="B144" s="28">
        <f>IF(ISBLANK(A144),0,INDEX(txtstylestab[],MATCH(A144,txtstylestab[style_Name],0),1))</f>
        <v>0</v>
      </c>
      <c r="C144" s="28">
        <f t="shared" si="9"/>
        <v>1</v>
      </c>
      <c r="D144" s="28">
        <f t="shared" si="10"/>
        <v>4</v>
      </c>
      <c r="E144" s="28">
        <f t="shared" si="11"/>
        <v>3</v>
      </c>
      <c r="F144" s="59" t="str">
        <f t="shared" si="12"/>
        <v/>
      </c>
      <c r="G144" s="42" t="s">
        <v>290</v>
      </c>
      <c r="H144" s="43" t="s">
        <v>291</v>
      </c>
      <c r="I144" s="44" t="s">
        <v>292</v>
      </c>
      <c r="J144" s="45" t="s">
        <v>293</v>
      </c>
      <c r="K144" s="46" t="s">
        <v>294</v>
      </c>
      <c r="L144" s="47" t="s">
        <v>2471</v>
      </c>
      <c r="M144" s="48" t="s">
        <v>2472</v>
      </c>
      <c r="N144" s="49"/>
      <c r="O144" s="50" t="s">
        <v>3323</v>
      </c>
      <c r="P144" s="59"/>
      <c r="Q144" s="59"/>
      <c r="R144" s="13"/>
    </row>
    <row r="145" spans="1:18" ht="15.75" thickBot="1" x14ac:dyDescent="0.3">
      <c r="A145" s="9" t="s">
        <v>12</v>
      </c>
      <c r="B145" s="28">
        <f>IF(ISBLANK(A145),0,INDEX(txtstylestab[],MATCH(A145,txtstylestab[style_Name],0),1))</f>
        <v>3</v>
      </c>
      <c r="C145" s="28">
        <f t="shared" si="9"/>
        <v>1</v>
      </c>
      <c r="D145" s="28">
        <f t="shared" si="10"/>
        <v>4</v>
      </c>
      <c r="E145" s="28">
        <f t="shared" si="11"/>
        <v>4</v>
      </c>
      <c r="F145" s="55" t="str">
        <f t="shared" si="12"/>
        <v>1.4.4.</v>
      </c>
      <c r="G145" s="70" t="s">
        <v>295</v>
      </c>
      <c r="H145" s="70"/>
      <c r="I145" s="70"/>
      <c r="J145" s="70"/>
      <c r="K145" s="70"/>
      <c r="L145" s="70"/>
      <c r="M145" s="70"/>
      <c r="N145" s="70"/>
      <c r="O145" s="70"/>
      <c r="P145" s="70"/>
      <c r="Q145" s="70"/>
      <c r="R145" s="13"/>
    </row>
    <row r="146" spans="1:18" x14ac:dyDescent="0.25">
      <c r="A146" s="9" t="s">
        <v>22</v>
      </c>
      <c r="B146" s="28">
        <f>IF(ISBLANK(A146),0,INDEX(txtstylestab[],MATCH(A146,txtstylestab[style_Name],0),1))</f>
        <v>4</v>
      </c>
      <c r="C146" s="28">
        <f t="shared" si="9"/>
        <v>1</v>
      </c>
      <c r="D146" s="28">
        <f t="shared" si="10"/>
        <v>4</v>
      </c>
      <c r="E146" s="28">
        <f t="shared" si="11"/>
        <v>4</v>
      </c>
      <c r="F146" s="56" t="str">
        <f t="shared" si="12"/>
        <v/>
      </c>
      <c r="G146" s="67" t="s">
        <v>296</v>
      </c>
      <c r="H146" s="67"/>
      <c r="I146" s="67"/>
      <c r="J146" s="67"/>
      <c r="K146" s="67"/>
      <c r="L146" s="67"/>
      <c r="M146" s="67"/>
      <c r="N146" s="67"/>
      <c r="O146" s="67"/>
      <c r="P146" s="67"/>
      <c r="Q146" s="67"/>
      <c r="R146" s="13"/>
    </row>
    <row r="147" spans="1:18" ht="45" x14ac:dyDescent="0.25">
      <c r="A147" s="9" t="s">
        <v>21</v>
      </c>
      <c r="B147" s="28">
        <f>IF(ISBLANK(A147),0,INDEX(txtstylestab[],MATCH(A147,txtstylestab[style_Name],0),1))</f>
        <v>0</v>
      </c>
      <c r="C147" s="28">
        <f t="shared" si="9"/>
        <v>1</v>
      </c>
      <c r="D147" s="28">
        <f t="shared" si="10"/>
        <v>4</v>
      </c>
      <c r="E147" s="28">
        <f t="shared" si="11"/>
        <v>4</v>
      </c>
      <c r="F147" s="59" t="str">
        <f t="shared" si="12"/>
        <v/>
      </c>
      <c r="G147" s="42" t="s">
        <v>297</v>
      </c>
      <c r="H147" s="43" t="s">
        <v>298</v>
      </c>
      <c r="I147" s="44" t="s">
        <v>299</v>
      </c>
      <c r="J147" s="45" t="s">
        <v>300</v>
      </c>
      <c r="K147" s="46" t="s">
        <v>301</v>
      </c>
      <c r="L147" s="47" t="s">
        <v>2473</v>
      </c>
      <c r="M147" s="48" t="s">
        <v>2474</v>
      </c>
      <c r="N147" s="49"/>
      <c r="O147" s="50" t="s">
        <v>3324</v>
      </c>
      <c r="P147" s="59"/>
      <c r="Q147" s="59"/>
      <c r="R147" s="13"/>
    </row>
    <row r="148" spans="1:18" x14ac:dyDescent="0.25">
      <c r="A148" s="9" t="s">
        <v>22</v>
      </c>
      <c r="B148" s="28">
        <f>IF(ISBLANK(A148),0,INDEX(txtstylestab[],MATCH(A148,txtstylestab[style_Name],0),1))</f>
        <v>4</v>
      </c>
      <c r="C148" s="28">
        <f t="shared" si="9"/>
        <v>1</v>
      </c>
      <c r="D148" s="28">
        <f t="shared" si="10"/>
        <v>4</v>
      </c>
      <c r="E148" s="28">
        <f t="shared" si="11"/>
        <v>4</v>
      </c>
      <c r="F148" s="56" t="str">
        <f t="shared" si="12"/>
        <v/>
      </c>
      <c r="G148" s="67" t="s">
        <v>302</v>
      </c>
      <c r="H148" s="67"/>
      <c r="I148" s="67"/>
      <c r="J148" s="67"/>
      <c r="K148" s="67"/>
      <c r="L148" s="67"/>
      <c r="M148" s="67"/>
      <c r="N148" s="67"/>
      <c r="O148" s="67"/>
      <c r="P148" s="67"/>
      <c r="Q148" s="67"/>
      <c r="R148" s="13"/>
    </row>
    <row r="149" spans="1:18" ht="30" x14ac:dyDescent="0.25">
      <c r="A149" s="9" t="s">
        <v>21</v>
      </c>
      <c r="B149" s="28">
        <f>IF(ISBLANK(A149),0,INDEX(txtstylestab[],MATCH(A149,txtstylestab[style_Name],0),1))</f>
        <v>0</v>
      </c>
      <c r="C149" s="28">
        <f t="shared" si="9"/>
        <v>1</v>
      </c>
      <c r="D149" s="28">
        <f t="shared" si="10"/>
        <v>4</v>
      </c>
      <c r="E149" s="28">
        <f t="shared" si="11"/>
        <v>4</v>
      </c>
      <c r="F149" s="59" t="str">
        <f t="shared" si="12"/>
        <v/>
      </c>
      <c r="G149" s="42" t="s">
        <v>303</v>
      </c>
      <c r="H149" s="43" t="s">
        <v>304</v>
      </c>
      <c r="I149" s="44" t="s">
        <v>305</v>
      </c>
      <c r="J149" s="45" t="s">
        <v>306</v>
      </c>
      <c r="K149" s="46" t="s">
        <v>307</v>
      </c>
      <c r="L149" s="47" t="s">
        <v>2475</v>
      </c>
      <c r="M149" s="48" t="s">
        <v>2476</v>
      </c>
      <c r="N149" s="49"/>
      <c r="O149" s="50" t="s">
        <v>3325</v>
      </c>
      <c r="P149" s="59"/>
      <c r="Q149" s="59"/>
      <c r="R149" s="13"/>
    </row>
    <row r="150" spans="1:18" ht="45" x14ac:dyDescent="0.25">
      <c r="A150" s="9" t="s">
        <v>21</v>
      </c>
      <c r="B150" s="28">
        <f>IF(ISBLANK(A150),0,INDEX(txtstylestab[],MATCH(A150,txtstylestab[style_Name],0),1))</f>
        <v>0</v>
      </c>
      <c r="C150" s="28">
        <f t="shared" si="9"/>
        <v>1</v>
      </c>
      <c r="D150" s="28">
        <f t="shared" si="10"/>
        <v>4</v>
      </c>
      <c r="E150" s="28">
        <f t="shared" si="11"/>
        <v>4</v>
      </c>
      <c r="F150" s="59" t="str">
        <f t="shared" si="12"/>
        <v/>
      </c>
      <c r="G150" s="42" t="s">
        <v>308</v>
      </c>
      <c r="H150" s="43" t="s">
        <v>309</v>
      </c>
      <c r="I150" s="44" t="s">
        <v>310</v>
      </c>
      <c r="J150" s="45" t="s">
        <v>311</v>
      </c>
      <c r="K150" s="46" t="s">
        <v>312</v>
      </c>
      <c r="L150" s="47" t="s">
        <v>2477</v>
      </c>
      <c r="M150" s="48" t="s">
        <v>2478</v>
      </c>
      <c r="N150" s="49"/>
      <c r="O150" s="50" t="s">
        <v>3326</v>
      </c>
      <c r="P150" s="59"/>
      <c r="Q150" s="59"/>
      <c r="R150" s="13"/>
    </row>
    <row r="151" spans="1:18" ht="60" x14ac:dyDescent="0.25">
      <c r="A151" s="9" t="s">
        <v>21</v>
      </c>
      <c r="B151" s="28">
        <f>IF(ISBLANK(A151),0,INDEX(txtstylestab[],MATCH(A151,txtstylestab[style_Name],0),1))</f>
        <v>0</v>
      </c>
      <c r="C151" s="28">
        <f t="shared" si="9"/>
        <v>1</v>
      </c>
      <c r="D151" s="28">
        <f t="shared" si="10"/>
        <v>4</v>
      </c>
      <c r="E151" s="28">
        <f t="shared" si="11"/>
        <v>4</v>
      </c>
      <c r="F151" s="59" t="str">
        <f t="shared" si="12"/>
        <v/>
      </c>
      <c r="G151" s="42" t="s">
        <v>313</v>
      </c>
      <c r="H151" s="43" t="s">
        <v>314</v>
      </c>
      <c r="I151" s="44" t="s">
        <v>315</v>
      </c>
      <c r="J151" s="45" t="s">
        <v>316</v>
      </c>
      <c r="K151" s="46" t="s">
        <v>317</v>
      </c>
      <c r="L151" s="47" t="s">
        <v>2479</v>
      </c>
      <c r="M151" s="48" t="s">
        <v>2480</v>
      </c>
      <c r="N151" s="49"/>
      <c r="O151" s="50" t="s">
        <v>3327</v>
      </c>
      <c r="P151" s="59"/>
      <c r="Q151" s="59"/>
      <c r="R151" s="13"/>
    </row>
    <row r="152" spans="1:18" ht="60" x14ac:dyDescent="0.25">
      <c r="A152" s="9" t="s">
        <v>21</v>
      </c>
      <c r="B152" s="28">
        <f>IF(ISBLANK(A152),0,INDEX(txtstylestab[],MATCH(A152,txtstylestab[style_Name],0),1))</f>
        <v>0</v>
      </c>
      <c r="C152" s="28">
        <f t="shared" si="9"/>
        <v>1</v>
      </c>
      <c r="D152" s="28">
        <f t="shared" si="10"/>
        <v>4</v>
      </c>
      <c r="E152" s="28">
        <f t="shared" si="11"/>
        <v>4</v>
      </c>
      <c r="F152" s="59" t="str">
        <f t="shared" si="12"/>
        <v/>
      </c>
      <c r="G152" s="42" t="s">
        <v>318</v>
      </c>
      <c r="H152" s="43" t="s">
        <v>319</v>
      </c>
      <c r="I152" s="44" t="s">
        <v>320</v>
      </c>
      <c r="J152" s="45" t="s">
        <v>321</v>
      </c>
      <c r="K152" s="46" t="s">
        <v>322</v>
      </c>
      <c r="L152" s="47" t="s">
        <v>2481</v>
      </c>
      <c r="M152" s="48" t="s">
        <v>2482</v>
      </c>
      <c r="N152" s="49"/>
      <c r="O152" s="50" t="s">
        <v>3328</v>
      </c>
      <c r="P152" s="59"/>
      <c r="Q152" s="59"/>
      <c r="R152" s="13"/>
    </row>
    <row r="153" spans="1:18" ht="45" x14ac:dyDescent="0.25">
      <c r="A153" s="9" t="s">
        <v>21</v>
      </c>
      <c r="B153" s="28">
        <f>IF(ISBLANK(A153),0,INDEX(txtstylestab[],MATCH(A153,txtstylestab[style_Name],0),1))</f>
        <v>0</v>
      </c>
      <c r="C153" s="28">
        <f t="shared" si="9"/>
        <v>1</v>
      </c>
      <c r="D153" s="28">
        <f t="shared" si="10"/>
        <v>4</v>
      </c>
      <c r="E153" s="28">
        <f t="shared" si="11"/>
        <v>4</v>
      </c>
      <c r="F153" s="59" t="str">
        <f t="shared" si="12"/>
        <v/>
      </c>
      <c r="G153" s="42" t="s">
        <v>323</v>
      </c>
      <c r="H153" s="43" t="s">
        <v>324</v>
      </c>
      <c r="I153" s="44" t="s">
        <v>1632</v>
      </c>
      <c r="J153" s="45" t="s">
        <v>325</v>
      </c>
      <c r="K153" s="46" t="s">
        <v>326</v>
      </c>
      <c r="L153" s="47" t="s">
        <v>2483</v>
      </c>
      <c r="M153" s="48" t="s">
        <v>2484</v>
      </c>
      <c r="N153" s="49"/>
      <c r="O153" s="50" t="s">
        <v>3329</v>
      </c>
      <c r="P153" s="59"/>
      <c r="Q153" s="59"/>
      <c r="R153" s="13"/>
    </row>
    <row r="154" spans="1:18" ht="45" x14ac:dyDescent="0.25">
      <c r="A154" s="9" t="s">
        <v>21</v>
      </c>
      <c r="B154" s="28">
        <f>IF(ISBLANK(A154),0,INDEX(txtstylestab[],MATCH(A154,txtstylestab[style_Name],0),1))</f>
        <v>0</v>
      </c>
      <c r="C154" s="28">
        <f t="shared" si="9"/>
        <v>1</v>
      </c>
      <c r="D154" s="28">
        <f t="shared" si="10"/>
        <v>4</v>
      </c>
      <c r="E154" s="28">
        <f t="shared" si="11"/>
        <v>4</v>
      </c>
      <c r="F154" s="59" t="str">
        <f t="shared" si="12"/>
        <v/>
      </c>
      <c r="G154" s="42" t="s">
        <v>327</v>
      </c>
      <c r="H154" s="43" t="s">
        <v>328</v>
      </c>
      <c r="I154" s="44" t="s">
        <v>329</v>
      </c>
      <c r="J154" s="45" t="s">
        <v>330</v>
      </c>
      <c r="K154" s="46" t="s">
        <v>331</v>
      </c>
      <c r="L154" s="47" t="s">
        <v>2485</v>
      </c>
      <c r="M154" s="48" t="s">
        <v>2486</v>
      </c>
      <c r="N154" s="49"/>
      <c r="O154" s="50" t="s">
        <v>3330</v>
      </c>
      <c r="P154" s="59"/>
      <c r="Q154" s="59"/>
      <c r="R154" s="13"/>
    </row>
    <row r="155" spans="1:18" ht="30" x14ac:dyDescent="0.25">
      <c r="A155" s="9" t="s">
        <v>21</v>
      </c>
      <c r="B155" s="28">
        <f>IF(ISBLANK(A155),0,INDEX(txtstylestab[],MATCH(A155,txtstylestab[style_Name],0),1))</f>
        <v>0</v>
      </c>
      <c r="C155" s="28">
        <f t="shared" si="9"/>
        <v>1</v>
      </c>
      <c r="D155" s="28">
        <f t="shared" si="10"/>
        <v>4</v>
      </c>
      <c r="E155" s="28">
        <f t="shared" si="11"/>
        <v>4</v>
      </c>
      <c r="F155" s="59" t="str">
        <f t="shared" si="12"/>
        <v/>
      </c>
      <c r="G155" s="42" t="s">
        <v>332</v>
      </c>
      <c r="H155" s="43" t="s">
        <v>333</v>
      </c>
      <c r="I155" s="44" t="s">
        <v>334</v>
      </c>
      <c r="J155" s="45" t="s">
        <v>335</v>
      </c>
      <c r="K155" s="46" t="s">
        <v>336</v>
      </c>
      <c r="L155" s="47" t="s">
        <v>2487</v>
      </c>
      <c r="M155" s="48" t="s">
        <v>2488</v>
      </c>
      <c r="N155" s="49"/>
      <c r="O155" s="50" t="s">
        <v>3331</v>
      </c>
      <c r="P155" s="59"/>
      <c r="Q155" s="59"/>
      <c r="R155" s="13"/>
    </row>
    <row r="156" spans="1:18" ht="15.75" thickBot="1" x14ac:dyDescent="0.3">
      <c r="A156" s="9" t="s">
        <v>12</v>
      </c>
      <c r="B156" s="28">
        <f>IF(ISBLANK(A156),0,INDEX(txtstylestab[],MATCH(A156,txtstylestab[style_Name],0),1))</f>
        <v>3</v>
      </c>
      <c r="C156" s="28">
        <f t="shared" si="9"/>
        <v>1</v>
      </c>
      <c r="D156" s="28">
        <f t="shared" si="10"/>
        <v>4</v>
      </c>
      <c r="E156" s="28">
        <f t="shared" si="11"/>
        <v>5</v>
      </c>
      <c r="F156" s="55" t="str">
        <f t="shared" si="12"/>
        <v>1.4.5.</v>
      </c>
      <c r="G156" s="70" t="s">
        <v>337</v>
      </c>
      <c r="H156" s="70"/>
      <c r="I156" s="70"/>
      <c r="J156" s="70"/>
      <c r="K156" s="70"/>
      <c r="L156" s="70"/>
      <c r="M156" s="70"/>
      <c r="N156" s="70"/>
      <c r="O156" s="70"/>
      <c r="P156" s="70"/>
      <c r="Q156" s="70"/>
      <c r="R156" s="13"/>
    </row>
    <row r="157" spans="1:18" ht="105" x14ac:dyDescent="0.25">
      <c r="A157" s="9" t="s">
        <v>21</v>
      </c>
      <c r="B157" s="28">
        <f>IF(ISBLANK(A157),0,INDEX(txtstylestab[],MATCH(A157,txtstylestab[style_Name],0),1))</f>
        <v>0</v>
      </c>
      <c r="C157" s="28">
        <f t="shared" si="9"/>
        <v>1</v>
      </c>
      <c r="D157" s="28">
        <f t="shared" si="10"/>
        <v>4</v>
      </c>
      <c r="E157" s="28">
        <f t="shared" si="11"/>
        <v>5</v>
      </c>
      <c r="F157" s="59" t="str">
        <f t="shared" si="12"/>
        <v/>
      </c>
      <c r="G157" s="42" t="s">
        <v>338</v>
      </c>
      <c r="H157" s="43" t="s">
        <v>339</v>
      </c>
      <c r="I157" s="44" t="s">
        <v>340</v>
      </c>
      <c r="J157" s="45" t="s">
        <v>341</v>
      </c>
      <c r="K157" s="46" t="s">
        <v>342</v>
      </c>
      <c r="L157" s="47" t="s">
        <v>2489</v>
      </c>
      <c r="M157" s="48" t="s">
        <v>2490</v>
      </c>
      <c r="N157" s="49"/>
      <c r="O157" s="50" t="s">
        <v>3332</v>
      </c>
      <c r="P157" s="59"/>
      <c r="Q157" s="59"/>
      <c r="R157" s="13"/>
    </row>
    <row r="158" spans="1:18" x14ac:dyDescent="0.25">
      <c r="A158" s="9" t="s">
        <v>21</v>
      </c>
      <c r="B158" s="28">
        <f>IF(ISBLANK(A158),0,INDEX(txtstylestab[],MATCH(A158,txtstylestab[style_Name],0),1))</f>
        <v>0</v>
      </c>
      <c r="C158" s="28">
        <f t="shared" si="9"/>
        <v>1</v>
      </c>
      <c r="D158" s="28">
        <f t="shared" si="10"/>
        <v>4</v>
      </c>
      <c r="E158" s="28">
        <f t="shared" si="11"/>
        <v>5</v>
      </c>
      <c r="F158" s="59" t="str">
        <f t="shared" si="12"/>
        <v/>
      </c>
      <c r="G158" s="42" t="s">
        <v>6</v>
      </c>
      <c r="H158" s="43" t="s">
        <v>26</v>
      </c>
      <c r="I158" s="44" t="s">
        <v>48</v>
      </c>
      <c r="J158" s="45" t="s">
        <v>397</v>
      </c>
      <c r="K158" s="46" t="s">
        <v>59</v>
      </c>
      <c r="L158" s="47" t="s">
        <v>2491</v>
      </c>
      <c r="M158" s="48" t="s">
        <v>2492</v>
      </c>
      <c r="N158" s="49"/>
      <c r="O158" s="50" t="s">
        <v>3173</v>
      </c>
      <c r="P158" s="59"/>
      <c r="Q158" s="59"/>
      <c r="R158" s="13"/>
    </row>
    <row r="159" spans="1:18" ht="18" thickBot="1" x14ac:dyDescent="0.35">
      <c r="A159" s="9" t="s">
        <v>11</v>
      </c>
      <c r="B159" s="28">
        <f>IF(ISBLANK(A159),0,INDEX(txtstylestab[],MATCH(A159,txtstylestab[style_Name],0),1))</f>
        <v>2</v>
      </c>
      <c r="C159" s="28">
        <f t="shared" si="9"/>
        <v>1</v>
      </c>
      <c r="D159" s="28">
        <f t="shared" si="10"/>
        <v>5</v>
      </c>
      <c r="E159" s="28">
        <f t="shared" si="11"/>
        <v>0</v>
      </c>
      <c r="F159" s="54" t="str">
        <f t="shared" si="12"/>
        <v>1.5.</v>
      </c>
      <c r="G159" s="68" t="s">
        <v>343</v>
      </c>
      <c r="H159" s="68"/>
      <c r="I159" s="68"/>
      <c r="J159" s="68"/>
      <c r="K159" s="68"/>
      <c r="L159" s="68"/>
      <c r="M159" s="68"/>
      <c r="N159" s="68"/>
      <c r="O159" s="68"/>
      <c r="P159" s="68"/>
      <c r="Q159" s="68"/>
      <c r="R159" s="13"/>
    </row>
    <row r="160" spans="1:18" ht="15.75" thickTop="1" x14ac:dyDescent="0.25">
      <c r="A160" s="9" t="s">
        <v>21</v>
      </c>
      <c r="B160" s="28">
        <f>IF(ISBLANK(A160),0,INDEX(txtstylestab[],MATCH(A160,txtstylestab[style_Name],0),1))</f>
        <v>0</v>
      </c>
      <c r="C160" s="28">
        <f t="shared" si="9"/>
        <v>1</v>
      </c>
      <c r="D160" s="28">
        <f t="shared" si="10"/>
        <v>5</v>
      </c>
      <c r="E160" s="28">
        <f t="shared" si="11"/>
        <v>0</v>
      </c>
      <c r="F160" s="59" t="str">
        <f t="shared" si="12"/>
        <v/>
      </c>
      <c r="G160" s="42" t="s">
        <v>344</v>
      </c>
      <c r="H160" s="43" t="s">
        <v>83</v>
      </c>
      <c r="I160" s="44" t="s">
        <v>84</v>
      </c>
      <c r="J160" s="45" t="s">
        <v>85</v>
      </c>
      <c r="K160" s="46" t="s">
        <v>86</v>
      </c>
      <c r="L160" s="47" t="s">
        <v>2398</v>
      </c>
      <c r="M160" s="48" t="s">
        <v>2333</v>
      </c>
      <c r="N160" s="49"/>
      <c r="O160" s="50" t="s">
        <v>3166</v>
      </c>
      <c r="P160" s="59"/>
      <c r="Q160" s="59"/>
      <c r="R160" s="13"/>
    </row>
    <row r="161" spans="1:18" ht="45" x14ac:dyDescent="0.25">
      <c r="A161" s="9" t="s">
        <v>21</v>
      </c>
      <c r="B161" s="28">
        <f>IF(ISBLANK(A161),0,INDEX(txtstylestab[],MATCH(A161,txtstylestab[style_Name],0),1))</f>
        <v>0</v>
      </c>
      <c r="C161" s="28">
        <f t="shared" si="9"/>
        <v>1</v>
      </c>
      <c r="D161" s="28">
        <f t="shared" si="10"/>
        <v>5</v>
      </c>
      <c r="E161" s="28">
        <f t="shared" si="11"/>
        <v>0</v>
      </c>
      <c r="F161" s="59" t="str">
        <f t="shared" si="12"/>
        <v/>
      </c>
      <c r="G161" s="42" t="s">
        <v>345</v>
      </c>
      <c r="H161" s="43" t="s">
        <v>346</v>
      </c>
      <c r="I161" s="44" t="s">
        <v>347</v>
      </c>
      <c r="J161" s="45" t="s">
        <v>348</v>
      </c>
      <c r="K161" s="46" t="s">
        <v>349</v>
      </c>
      <c r="L161" s="47" t="s">
        <v>2493</v>
      </c>
      <c r="M161" s="48" t="s">
        <v>2494</v>
      </c>
      <c r="N161" s="49"/>
      <c r="O161" s="50" t="s">
        <v>3333</v>
      </c>
      <c r="P161" s="59"/>
      <c r="Q161" s="59"/>
      <c r="R161" s="13"/>
    </row>
    <row r="162" spans="1:18" ht="60" x14ac:dyDescent="0.25">
      <c r="A162" s="9" t="s">
        <v>21</v>
      </c>
      <c r="B162" s="28">
        <f>IF(ISBLANK(A162),0,INDEX(txtstylestab[],MATCH(A162,txtstylestab[style_Name],0),1))</f>
        <v>0</v>
      </c>
      <c r="C162" s="28">
        <f t="shared" si="9"/>
        <v>1</v>
      </c>
      <c r="D162" s="28">
        <f t="shared" si="10"/>
        <v>5</v>
      </c>
      <c r="E162" s="28">
        <f t="shared" si="11"/>
        <v>0</v>
      </c>
      <c r="F162" s="59" t="str">
        <f t="shared" si="12"/>
        <v/>
      </c>
      <c r="G162" s="42" t="s">
        <v>350</v>
      </c>
      <c r="H162" s="43" t="s">
        <v>351</v>
      </c>
      <c r="I162" s="44" t="s">
        <v>352</v>
      </c>
      <c r="J162" s="45" t="s">
        <v>353</v>
      </c>
      <c r="K162" s="46" t="s">
        <v>1713</v>
      </c>
      <c r="L162" s="47" t="s">
        <v>2495</v>
      </c>
      <c r="M162" s="48" t="s">
        <v>2496</v>
      </c>
      <c r="N162" s="49"/>
      <c r="O162" s="50" t="s">
        <v>3334</v>
      </c>
      <c r="P162" s="59"/>
      <c r="Q162" s="59"/>
      <c r="R162" s="13"/>
    </row>
    <row r="163" spans="1:18" ht="30" x14ac:dyDescent="0.25">
      <c r="A163" s="9" t="s">
        <v>21</v>
      </c>
      <c r="B163" s="28">
        <f>IF(ISBLANK(A163),0,INDEX(txtstylestab[],MATCH(A163,txtstylestab[style_Name],0),1))</f>
        <v>0</v>
      </c>
      <c r="C163" s="28">
        <f t="shared" si="9"/>
        <v>1</v>
      </c>
      <c r="D163" s="28">
        <f t="shared" si="10"/>
        <v>5</v>
      </c>
      <c r="E163" s="28">
        <f t="shared" si="11"/>
        <v>0</v>
      </c>
      <c r="F163" s="59" t="str">
        <f t="shared" si="12"/>
        <v/>
      </c>
      <c r="G163" s="42" t="s">
        <v>354</v>
      </c>
      <c r="H163" s="43" t="s">
        <v>355</v>
      </c>
      <c r="I163" s="44" t="s">
        <v>356</v>
      </c>
      <c r="J163" s="45" t="s">
        <v>357</v>
      </c>
      <c r="K163" s="46" t="s">
        <v>358</v>
      </c>
      <c r="L163" s="47" t="s">
        <v>2497</v>
      </c>
      <c r="M163" s="48" t="s">
        <v>2498</v>
      </c>
      <c r="N163" s="49"/>
      <c r="O163" s="50" t="s">
        <v>3335</v>
      </c>
      <c r="P163" s="59"/>
      <c r="Q163" s="59"/>
      <c r="R163" s="13"/>
    </row>
    <row r="164" spans="1:18" ht="30" x14ac:dyDescent="0.25">
      <c r="A164" s="9" t="s">
        <v>21</v>
      </c>
      <c r="B164" s="28">
        <f>IF(ISBLANK(A164),0,INDEX(txtstylestab[],MATCH(A164,txtstylestab[style_Name],0),1))</f>
        <v>0</v>
      </c>
      <c r="C164" s="28">
        <f t="shared" si="9"/>
        <v>1</v>
      </c>
      <c r="D164" s="28">
        <f t="shared" si="10"/>
        <v>5</v>
      </c>
      <c r="E164" s="28">
        <f t="shared" si="11"/>
        <v>0</v>
      </c>
      <c r="F164" s="59" t="str">
        <f t="shared" si="12"/>
        <v/>
      </c>
      <c r="G164" s="42" t="s">
        <v>359</v>
      </c>
      <c r="H164" s="43" t="s">
        <v>360</v>
      </c>
      <c r="I164" s="44" t="s">
        <v>361</v>
      </c>
      <c r="J164" s="45" t="s">
        <v>362</v>
      </c>
      <c r="K164" s="46" t="s">
        <v>363</v>
      </c>
      <c r="L164" s="47" t="s">
        <v>2499</v>
      </c>
      <c r="M164" s="48" t="s">
        <v>2500</v>
      </c>
      <c r="N164" s="49"/>
      <c r="O164" s="50" t="s">
        <v>3336</v>
      </c>
      <c r="P164" s="59"/>
      <c r="Q164" s="59"/>
      <c r="R164" s="13"/>
    </row>
    <row r="165" spans="1:18" ht="30" x14ac:dyDescent="0.25">
      <c r="A165" s="9" t="s">
        <v>21</v>
      </c>
      <c r="B165" s="28">
        <f>IF(ISBLANK(A165),0,INDEX(txtstylestab[],MATCH(A165,txtstylestab[style_Name],0),1))</f>
        <v>0</v>
      </c>
      <c r="C165" s="28">
        <f t="shared" si="9"/>
        <v>1</v>
      </c>
      <c r="D165" s="28">
        <f t="shared" si="10"/>
        <v>5</v>
      </c>
      <c r="E165" s="28">
        <f t="shared" si="11"/>
        <v>0</v>
      </c>
      <c r="F165" s="59" t="str">
        <f t="shared" si="12"/>
        <v/>
      </c>
      <c r="G165" s="42" t="s">
        <v>364</v>
      </c>
      <c r="H165" s="43" t="s">
        <v>365</v>
      </c>
      <c r="I165" s="44" t="s">
        <v>366</v>
      </c>
      <c r="J165" s="45" t="s">
        <v>367</v>
      </c>
      <c r="K165" s="46" t="s">
        <v>368</v>
      </c>
      <c r="L165" s="47" t="s">
        <v>2501</v>
      </c>
      <c r="M165" s="48" t="s">
        <v>2502</v>
      </c>
      <c r="N165" s="49"/>
      <c r="O165" s="50" t="s">
        <v>3337</v>
      </c>
      <c r="P165" s="59"/>
      <c r="Q165" s="59"/>
      <c r="R165" s="13"/>
    </row>
    <row r="166" spans="1:18" ht="30" x14ac:dyDescent="0.25">
      <c r="A166" s="9" t="s">
        <v>21</v>
      </c>
      <c r="B166" s="28">
        <f>IF(ISBLANK(A166),0,INDEX(txtstylestab[],MATCH(A166,txtstylestab[style_Name],0),1))</f>
        <v>0</v>
      </c>
      <c r="C166" s="28">
        <f t="shared" si="9"/>
        <v>1</v>
      </c>
      <c r="D166" s="28">
        <f t="shared" si="10"/>
        <v>5</v>
      </c>
      <c r="E166" s="28">
        <f t="shared" si="11"/>
        <v>0</v>
      </c>
      <c r="F166" s="59" t="str">
        <f t="shared" si="12"/>
        <v/>
      </c>
      <c r="G166" s="42" t="s">
        <v>369</v>
      </c>
      <c r="H166" s="43" t="s">
        <v>370</v>
      </c>
      <c r="I166" s="44" t="s">
        <v>371</v>
      </c>
      <c r="J166" s="45" t="s">
        <v>372</v>
      </c>
      <c r="K166" s="46" t="s">
        <v>373</v>
      </c>
      <c r="L166" s="47" t="s">
        <v>2503</v>
      </c>
      <c r="M166" s="48" t="s">
        <v>2504</v>
      </c>
      <c r="N166" s="49"/>
      <c r="O166" s="50" t="s">
        <v>3338</v>
      </c>
      <c r="P166" s="59"/>
      <c r="Q166" s="59"/>
      <c r="R166" s="13"/>
    </row>
    <row r="167" spans="1:18" ht="75" x14ac:dyDescent="0.25">
      <c r="A167" s="9" t="s">
        <v>21</v>
      </c>
      <c r="B167" s="28">
        <f>IF(ISBLANK(A167),0,INDEX(txtstylestab[],MATCH(A167,txtstylestab[style_Name],0),1))</f>
        <v>0</v>
      </c>
      <c r="C167" s="28">
        <f t="shared" si="9"/>
        <v>1</v>
      </c>
      <c r="D167" s="28">
        <f t="shared" si="10"/>
        <v>5</v>
      </c>
      <c r="E167" s="28">
        <f t="shared" si="11"/>
        <v>0</v>
      </c>
      <c r="F167" s="59" t="str">
        <f t="shared" si="12"/>
        <v/>
      </c>
      <c r="G167" s="42" t="s">
        <v>374</v>
      </c>
      <c r="H167" s="43" t="s">
        <v>375</v>
      </c>
      <c r="I167" s="75" t="s">
        <v>376</v>
      </c>
      <c r="J167" s="45" t="s">
        <v>377</v>
      </c>
      <c r="K167" s="46" t="s">
        <v>378</v>
      </c>
      <c r="L167" s="47" t="s">
        <v>2505</v>
      </c>
      <c r="M167" s="48" t="s">
        <v>2506</v>
      </c>
      <c r="N167" s="49"/>
      <c r="O167" s="50" t="s">
        <v>3339</v>
      </c>
      <c r="P167" s="59"/>
      <c r="Q167" s="59"/>
      <c r="R167" s="13"/>
    </row>
    <row r="168" spans="1:18" ht="120" x14ac:dyDescent="0.25">
      <c r="A168" s="9" t="s">
        <v>21</v>
      </c>
      <c r="B168" s="28">
        <f>IF(ISBLANK(A168),0,INDEX(txtstylestab[],MATCH(A168,txtstylestab[style_Name],0),1))</f>
        <v>0</v>
      </c>
      <c r="C168" s="28">
        <f t="shared" si="9"/>
        <v>1</v>
      </c>
      <c r="D168" s="28">
        <f t="shared" si="10"/>
        <v>5</v>
      </c>
      <c r="E168" s="28">
        <f t="shared" si="11"/>
        <v>0</v>
      </c>
      <c r="F168" s="59" t="str">
        <f t="shared" si="12"/>
        <v/>
      </c>
      <c r="G168" s="42" t="s">
        <v>2156</v>
      </c>
      <c r="H168" s="43" t="s">
        <v>2157</v>
      </c>
      <c r="I168" s="44" t="s">
        <v>2158</v>
      </c>
      <c r="J168" s="45" t="s">
        <v>2159</v>
      </c>
      <c r="K168" s="46" t="s">
        <v>2160</v>
      </c>
      <c r="L168" s="47" t="s">
        <v>2508</v>
      </c>
      <c r="M168" s="48" t="s">
        <v>2510</v>
      </c>
      <c r="N168" s="49"/>
      <c r="O168" s="50" t="s">
        <v>3340</v>
      </c>
      <c r="P168" s="59"/>
      <c r="Q168" s="59"/>
      <c r="R168" s="13"/>
    </row>
    <row r="169" spans="1:18" ht="105" x14ac:dyDescent="0.25">
      <c r="A169" s="9" t="s">
        <v>21</v>
      </c>
      <c r="B169" s="28">
        <f>IF(ISBLANK(A169),0,INDEX(txtstylestab[],MATCH(A169,txtstylestab[style_Name],0),1))</f>
        <v>0</v>
      </c>
      <c r="C169" s="28">
        <f t="shared" si="9"/>
        <v>1</v>
      </c>
      <c r="D169" s="28">
        <f t="shared" si="10"/>
        <v>5</v>
      </c>
      <c r="E169" s="28">
        <f t="shared" si="11"/>
        <v>0</v>
      </c>
      <c r="F169" s="59" t="str">
        <f t="shared" si="12"/>
        <v/>
      </c>
      <c r="G169" s="42" t="s">
        <v>2172</v>
      </c>
      <c r="H169" s="43" t="s">
        <v>2173</v>
      </c>
      <c r="I169" s="44" t="s">
        <v>2174</v>
      </c>
      <c r="J169" s="45" t="s">
        <v>2175</v>
      </c>
      <c r="K169" s="46" t="s">
        <v>2176</v>
      </c>
      <c r="L169" s="47" t="s">
        <v>2509</v>
      </c>
      <c r="M169" s="48" t="s">
        <v>2511</v>
      </c>
      <c r="N169" s="49"/>
      <c r="O169" s="50" t="s">
        <v>3480</v>
      </c>
      <c r="P169" s="59"/>
      <c r="Q169" s="59"/>
      <c r="R169" s="13"/>
    </row>
    <row r="170" spans="1:18" ht="60" x14ac:dyDescent="0.25">
      <c r="A170" s="9" t="s">
        <v>21</v>
      </c>
      <c r="B170" s="28">
        <f>IF(ISBLANK(A170),0,INDEX(txtstylestab[],MATCH(A170,txtstylestab[style_Name],0),1))</f>
        <v>0</v>
      </c>
      <c r="C170" s="28">
        <f t="shared" si="9"/>
        <v>1</v>
      </c>
      <c r="D170" s="28">
        <f t="shared" si="10"/>
        <v>5</v>
      </c>
      <c r="E170" s="28">
        <f t="shared" si="11"/>
        <v>0</v>
      </c>
      <c r="F170" s="59" t="str">
        <f t="shared" si="12"/>
        <v/>
      </c>
      <c r="G170" s="42" t="s">
        <v>2187</v>
      </c>
      <c r="H170" s="43" t="s">
        <v>2188</v>
      </c>
      <c r="I170" s="44" t="s">
        <v>2189</v>
      </c>
      <c r="J170" s="45" t="s">
        <v>2190</v>
      </c>
      <c r="K170" s="46" t="s">
        <v>2191</v>
      </c>
      <c r="L170" s="47" t="s">
        <v>2512</v>
      </c>
      <c r="M170" s="48" t="s">
        <v>2513</v>
      </c>
      <c r="N170" s="49"/>
      <c r="O170" s="50" t="s">
        <v>3341</v>
      </c>
      <c r="P170" s="59"/>
      <c r="Q170" s="59"/>
      <c r="R170" s="13"/>
    </row>
    <row r="171" spans="1:18" x14ac:dyDescent="0.25">
      <c r="A171" s="9" t="s">
        <v>22</v>
      </c>
      <c r="B171" s="28">
        <f>IF(ISBLANK(A171),0,INDEX(txtstylestab[],MATCH(A171,txtstylestab[style_Name],0),1))</f>
        <v>4</v>
      </c>
      <c r="C171" s="28">
        <f t="shared" si="9"/>
        <v>1</v>
      </c>
      <c r="D171" s="28">
        <f t="shared" si="10"/>
        <v>5</v>
      </c>
      <c r="E171" s="28">
        <f t="shared" si="11"/>
        <v>0</v>
      </c>
      <c r="F171" s="56" t="str">
        <f t="shared" si="12"/>
        <v/>
      </c>
      <c r="G171" s="53" t="s">
        <v>379</v>
      </c>
      <c r="H171" s="53"/>
      <c r="I171" s="53"/>
      <c r="J171" s="53"/>
      <c r="K171" s="53"/>
      <c r="L171" s="53"/>
      <c r="M171" s="53"/>
      <c r="N171" s="53"/>
      <c r="O171" s="53"/>
      <c r="P171" s="53"/>
      <c r="Q171" s="53"/>
      <c r="R171" s="13"/>
    </row>
    <row r="172" spans="1:18" ht="90" x14ac:dyDescent="0.25">
      <c r="A172" s="9" t="s">
        <v>21</v>
      </c>
      <c r="B172" s="28">
        <f>IF(ISBLANK(A172),0,INDEX(txtstylestab[],MATCH(A172,txtstylestab[style_Name],0),1))</f>
        <v>0</v>
      </c>
      <c r="C172" s="28">
        <f t="shared" si="9"/>
        <v>1</v>
      </c>
      <c r="D172" s="28">
        <f t="shared" si="10"/>
        <v>5</v>
      </c>
      <c r="E172" s="28">
        <f t="shared" si="11"/>
        <v>0</v>
      </c>
      <c r="F172" s="59" t="str">
        <f t="shared" si="12"/>
        <v/>
      </c>
      <c r="G172" s="42" t="s">
        <v>380</v>
      </c>
      <c r="H172" s="43" t="s">
        <v>406</v>
      </c>
      <c r="I172" s="44" t="s">
        <v>381</v>
      </c>
      <c r="J172" s="45" t="s">
        <v>382</v>
      </c>
      <c r="K172" s="46" t="s">
        <v>383</v>
      </c>
      <c r="L172" s="47" t="s">
        <v>2514</v>
      </c>
      <c r="M172" s="48" t="s">
        <v>2507</v>
      </c>
      <c r="N172" s="49"/>
      <c r="O172" s="50" t="s">
        <v>3342</v>
      </c>
      <c r="P172" s="59"/>
      <c r="Q172" s="59"/>
      <c r="R172" s="13"/>
    </row>
    <row r="173" spans="1:18" x14ac:dyDescent="0.25">
      <c r="A173" s="9" t="s">
        <v>21</v>
      </c>
      <c r="B173" s="28">
        <f>IF(ISBLANK(A173),0,INDEX(txtstylestab[],MATCH(A173,txtstylestab[style_Name],0),1))</f>
        <v>0</v>
      </c>
      <c r="C173" s="28">
        <f t="shared" si="9"/>
        <v>1</v>
      </c>
      <c r="D173" s="28">
        <f t="shared" si="10"/>
        <v>5</v>
      </c>
      <c r="E173" s="28">
        <f t="shared" si="11"/>
        <v>0</v>
      </c>
      <c r="F173" s="59" t="str">
        <f t="shared" si="12"/>
        <v/>
      </c>
      <c r="G173" s="42" t="s">
        <v>6</v>
      </c>
      <c r="H173" s="43" t="s">
        <v>96</v>
      </c>
      <c r="I173" s="44" t="s">
        <v>48</v>
      </c>
      <c r="J173" s="45" t="s">
        <v>397</v>
      </c>
      <c r="K173" s="46" t="s">
        <v>59</v>
      </c>
      <c r="L173" s="47"/>
      <c r="M173" s="48"/>
      <c r="N173" s="49"/>
      <c r="O173" s="50" t="s">
        <v>3173</v>
      </c>
      <c r="P173" s="59"/>
      <c r="Q173" s="59"/>
      <c r="R173" s="13"/>
    </row>
    <row r="174" spans="1:18" ht="18" thickBot="1" x14ac:dyDescent="0.35">
      <c r="A174" s="9" t="s">
        <v>11</v>
      </c>
      <c r="B174" s="28">
        <f>IF(ISBLANK(A174),0,INDEX(txtstylestab[],MATCH(A174,txtstylestab[style_Name],0),1))</f>
        <v>2</v>
      </c>
      <c r="C174" s="28">
        <f t="shared" si="9"/>
        <v>1</v>
      </c>
      <c r="D174" s="28">
        <f t="shared" si="10"/>
        <v>6</v>
      </c>
      <c r="E174" s="28">
        <f t="shared" si="11"/>
        <v>0</v>
      </c>
      <c r="F174" s="54" t="str">
        <f t="shared" si="12"/>
        <v>1.6.</v>
      </c>
      <c r="G174" s="68" t="s">
        <v>385</v>
      </c>
      <c r="H174" s="68"/>
      <c r="I174" s="68"/>
      <c r="J174" s="68"/>
      <c r="K174" s="68"/>
      <c r="L174" s="68"/>
      <c r="M174" s="68"/>
      <c r="N174" s="68"/>
      <c r="O174" s="68"/>
      <c r="P174" s="68"/>
      <c r="Q174" s="68"/>
      <c r="R174" s="13"/>
    </row>
    <row r="175" spans="1:18" ht="15.75" thickTop="1" x14ac:dyDescent="0.25">
      <c r="A175" s="9" t="s">
        <v>21</v>
      </c>
      <c r="B175" s="28">
        <f>IF(ISBLANK(A175),0,INDEX(txtstylestab[],MATCH(A175,txtstylestab[style_Name],0),1))</f>
        <v>0</v>
      </c>
      <c r="C175" s="28">
        <f t="shared" si="9"/>
        <v>1</v>
      </c>
      <c r="D175" s="28">
        <f t="shared" si="10"/>
        <v>6</v>
      </c>
      <c r="E175" s="28">
        <f t="shared" si="11"/>
        <v>0</v>
      </c>
      <c r="F175" s="59" t="str">
        <f t="shared" si="12"/>
        <v/>
      </c>
      <c r="G175" s="42" t="s">
        <v>344</v>
      </c>
      <c r="H175" s="43" t="s">
        <v>83</v>
      </c>
      <c r="I175" s="44" t="s">
        <v>386</v>
      </c>
      <c r="J175" s="45" t="s">
        <v>85</v>
      </c>
      <c r="K175" s="46" t="s">
        <v>86</v>
      </c>
      <c r="L175" s="47" t="s">
        <v>2398</v>
      </c>
      <c r="M175" s="48" t="s">
        <v>2333</v>
      </c>
      <c r="N175" s="49"/>
      <c r="O175" s="50" t="s">
        <v>3166</v>
      </c>
      <c r="P175" s="59"/>
      <c r="Q175" s="59"/>
      <c r="R175" s="13"/>
    </row>
    <row r="176" spans="1:18" ht="45" x14ac:dyDescent="0.25">
      <c r="A176" s="9" t="s">
        <v>21</v>
      </c>
      <c r="B176" s="28">
        <f>IF(ISBLANK(A176),0,INDEX(txtstylestab[],MATCH(A176,txtstylestab[style_Name],0),1))</f>
        <v>0</v>
      </c>
      <c r="C176" s="28">
        <f t="shared" si="9"/>
        <v>1</v>
      </c>
      <c r="D176" s="28">
        <f t="shared" si="10"/>
        <v>6</v>
      </c>
      <c r="E176" s="28">
        <f t="shared" si="11"/>
        <v>0</v>
      </c>
      <c r="F176" s="59" t="str">
        <f t="shared" si="12"/>
        <v/>
      </c>
      <c r="G176" s="42" t="s">
        <v>387</v>
      </c>
      <c r="H176" s="43" t="s">
        <v>388</v>
      </c>
      <c r="I176" s="44" t="s">
        <v>389</v>
      </c>
      <c r="J176" s="45" t="s">
        <v>390</v>
      </c>
      <c r="K176" s="46" t="s">
        <v>391</v>
      </c>
      <c r="L176" s="47" t="s">
        <v>2515</v>
      </c>
      <c r="M176" s="48" t="s">
        <v>2516</v>
      </c>
      <c r="N176" s="49"/>
      <c r="O176" s="50" t="s">
        <v>3343</v>
      </c>
      <c r="P176" s="59"/>
      <c r="Q176" s="59"/>
      <c r="R176" s="13"/>
    </row>
    <row r="177" spans="1:18" ht="45" x14ac:dyDescent="0.25">
      <c r="A177" s="9" t="s">
        <v>21</v>
      </c>
      <c r="B177" s="28">
        <f>IF(ISBLANK(A177),0,INDEX(txtstylestab[],MATCH(A177,txtstylestab[style_Name],0),1))</f>
        <v>0</v>
      </c>
      <c r="C177" s="28">
        <f t="shared" si="9"/>
        <v>1</v>
      </c>
      <c r="D177" s="28">
        <f t="shared" si="10"/>
        <v>6</v>
      </c>
      <c r="E177" s="28">
        <f t="shared" si="11"/>
        <v>0</v>
      </c>
      <c r="F177" s="59" t="str">
        <f t="shared" si="12"/>
        <v/>
      </c>
      <c r="G177" s="42" t="s">
        <v>392</v>
      </c>
      <c r="H177" s="43" t="s">
        <v>393</v>
      </c>
      <c r="I177" s="44" t="s">
        <v>394</v>
      </c>
      <c r="J177" s="45" t="s">
        <v>395</v>
      </c>
      <c r="K177" s="46" t="s">
        <v>396</v>
      </c>
      <c r="L177" s="47" t="s">
        <v>2517</v>
      </c>
      <c r="M177" s="48" t="s">
        <v>2518</v>
      </c>
      <c r="N177" s="49"/>
      <c r="O177" s="50" t="s">
        <v>3344</v>
      </c>
      <c r="P177" s="59"/>
      <c r="Q177" s="59"/>
      <c r="R177" s="13"/>
    </row>
    <row r="178" spans="1:18" x14ac:dyDescent="0.25">
      <c r="A178" s="9" t="s">
        <v>21</v>
      </c>
      <c r="B178" s="28">
        <f>IF(ISBLANK(A178),0,INDEX(txtstylestab[],MATCH(A178,txtstylestab[style_Name],0),1))</f>
        <v>0</v>
      </c>
      <c r="C178" s="28">
        <f t="shared" si="9"/>
        <v>1</v>
      </c>
      <c r="D178" s="28">
        <f t="shared" si="10"/>
        <v>6</v>
      </c>
      <c r="E178" s="28">
        <f t="shared" si="11"/>
        <v>0</v>
      </c>
      <c r="F178" s="59" t="str">
        <f t="shared" si="12"/>
        <v/>
      </c>
      <c r="G178" s="42" t="s">
        <v>6</v>
      </c>
      <c r="H178" s="43" t="s">
        <v>26</v>
      </c>
      <c r="I178" s="44" t="s">
        <v>48</v>
      </c>
      <c r="J178" s="45" t="s">
        <v>54</v>
      </c>
      <c r="K178" s="46" t="s">
        <v>59</v>
      </c>
      <c r="L178" s="47" t="s">
        <v>2491</v>
      </c>
      <c r="M178" s="48" t="s">
        <v>2492</v>
      </c>
      <c r="N178" s="49"/>
      <c r="O178" s="50" t="s">
        <v>3173</v>
      </c>
      <c r="P178" s="59"/>
      <c r="Q178" s="59"/>
      <c r="R178" s="13"/>
    </row>
    <row r="179" spans="1:18" ht="18" thickBot="1" x14ac:dyDescent="0.35">
      <c r="A179" s="9" t="s">
        <v>11</v>
      </c>
      <c r="B179" s="28">
        <f>IF(ISBLANK(A179),0,INDEX(txtstylestab[],MATCH(A179,txtstylestab[style_Name],0),1))</f>
        <v>2</v>
      </c>
      <c r="C179" s="28">
        <f t="shared" si="9"/>
        <v>1</v>
      </c>
      <c r="D179" s="28">
        <f t="shared" si="10"/>
        <v>7</v>
      </c>
      <c r="E179" s="28">
        <f t="shared" si="11"/>
        <v>0</v>
      </c>
      <c r="F179" s="54" t="str">
        <f t="shared" si="12"/>
        <v>1.7.</v>
      </c>
      <c r="G179" s="68" t="s">
        <v>407</v>
      </c>
      <c r="H179" s="68"/>
      <c r="I179" s="68"/>
      <c r="J179" s="68"/>
      <c r="K179" s="68"/>
      <c r="L179" s="68"/>
      <c r="M179" s="68"/>
      <c r="N179" s="68"/>
      <c r="O179" s="68"/>
      <c r="P179" s="68"/>
      <c r="Q179" s="68"/>
      <c r="R179" s="13"/>
    </row>
    <row r="180" spans="1:18" ht="15.75" thickTop="1" x14ac:dyDescent="0.25">
      <c r="A180" s="9" t="s">
        <v>21</v>
      </c>
      <c r="B180" s="28">
        <f>IF(ISBLANK(A180),0,INDEX(txtstylestab[],MATCH(A180,txtstylestab[style_Name],0),1))</f>
        <v>0</v>
      </c>
      <c r="C180" s="28">
        <f t="shared" si="9"/>
        <v>1</v>
      </c>
      <c r="D180" s="28">
        <f t="shared" si="10"/>
        <v>7</v>
      </c>
      <c r="E180" s="28">
        <f t="shared" si="11"/>
        <v>0</v>
      </c>
      <c r="F180" s="59" t="str">
        <f t="shared" si="12"/>
        <v/>
      </c>
      <c r="G180" s="42" t="s">
        <v>82</v>
      </c>
      <c r="H180" s="43" t="s">
        <v>83</v>
      </c>
      <c r="I180" s="44" t="s">
        <v>84</v>
      </c>
      <c r="J180" s="45" t="s">
        <v>85</v>
      </c>
      <c r="K180" s="46" t="s">
        <v>86</v>
      </c>
      <c r="L180" s="47" t="s">
        <v>2398</v>
      </c>
      <c r="M180" s="48" t="s">
        <v>2333</v>
      </c>
      <c r="N180" s="49"/>
      <c r="O180" s="50" t="s">
        <v>3166</v>
      </c>
      <c r="P180" s="50"/>
      <c r="Q180" s="59"/>
      <c r="R180" s="13"/>
    </row>
    <row r="181" spans="1:18" x14ac:dyDescent="0.25">
      <c r="A181" s="9" t="s">
        <v>21</v>
      </c>
      <c r="B181" s="28">
        <f>IF(ISBLANK(A181),0,INDEX(txtstylestab[],MATCH(A181,txtstylestab[style_Name],0),1))</f>
        <v>0</v>
      </c>
      <c r="C181" s="28">
        <f t="shared" si="9"/>
        <v>1</v>
      </c>
      <c r="D181" s="28">
        <f t="shared" si="10"/>
        <v>7</v>
      </c>
      <c r="E181" s="28">
        <f t="shared" si="11"/>
        <v>0</v>
      </c>
      <c r="F181" s="59" t="str">
        <f t="shared" si="12"/>
        <v/>
      </c>
      <c r="G181" s="42" t="s">
        <v>408</v>
      </c>
      <c r="H181" s="43" t="s">
        <v>409</v>
      </c>
      <c r="I181" s="44" t="s">
        <v>410</v>
      </c>
      <c r="J181" s="45" t="s">
        <v>411</v>
      </c>
      <c r="K181" s="46" t="s">
        <v>412</v>
      </c>
      <c r="L181" s="47" t="s">
        <v>2519</v>
      </c>
      <c r="M181" s="48" t="s">
        <v>2520</v>
      </c>
      <c r="N181" s="49"/>
      <c r="O181" s="50"/>
      <c r="P181" s="59"/>
      <c r="Q181" s="59"/>
      <c r="R181" s="13"/>
    </row>
    <row r="182" spans="1:18" ht="30" x14ac:dyDescent="0.25">
      <c r="A182" s="9" t="s">
        <v>21</v>
      </c>
      <c r="B182" s="28">
        <f>IF(ISBLANK(A182),0,INDEX(txtstylestab[],MATCH(A182,txtstylestab[style_Name],0),1))</f>
        <v>0</v>
      </c>
      <c r="C182" s="28">
        <f t="shared" si="9"/>
        <v>1</v>
      </c>
      <c r="D182" s="28">
        <f t="shared" si="10"/>
        <v>7</v>
      </c>
      <c r="E182" s="28">
        <f t="shared" si="11"/>
        <v>0</v>
      </c>
      <c r="F182" s="59" t="str">
        <f t="shared" si="12"/>
        <v/>
      </c>
      <c r="G182" s="42"/>
      <c r="H182" s="43"/>
      <c r="I182" s="44" t="s">
        <v>413</v>
      </c>
      <c r="J182" s="45" t="s">
        <v>414</v>
      </c>
      <c r="K182" s="46" t="s">
        <v>415</v>
      </c>
      <c r="L182" s="47"/>
      <c r="M182" s="48"/>
      <c r="N182" s="49"/>
      <c r="O182" s="50" t="s">
        <v>3346</v>
      </c>
      <c r="P182" s="59"/>
      <c r="Q182" s="59"/>
      <c r="R182" s="13"/>
    </row>
    <row r="183" spans="1:18" ht="60" x14ac:dyDescent="0.25">
      <c r="A183" s="9" t="s">
        <v>21</v>
      </c>
      <c r="B183" s="28">
        <f>IF(ISBLANK(A183),0,INDEX(txtstylestab[],MATCH(A183,txtstylestab[style_Name],0),1))</f>
        <v>0</v>
      </c>
      <c r="C183" s="28">
        <f t="shared" si="9"/>
        <v>1</v>
      </c>
      <c r="D183" s="28">
        <f t="shared" si="10"/>
        <v>7</v>
      </c>
      <c r="E183" s="28">
        <f t="shared" si="11"/>
        <v>0</v>
      </c>
      <c r="F183" s="59" t="str">
        <f t="shared" si="12"/>
        <v/>
      </c>
      <c r="G183" s="42" t="s">
        <v>1799</v>
      </c>
      <c r="H183" s="43" t="s">
        <v>419</v>
      </c>
      <c r="I183" s="44" t="s">
        <v>1633</v>
      </c>
      <c r="J183" s="45" t="s">
        <v>420</v>
      </c>
      <c r="K183" s="46" t="s">
        <v>421</v>
      </c>
      <c r="L183" s="47" t="s">
        <v>2521</v>
      </c>
      <c r="M183" s="48" t="s">
        <v>2527</v>
      </c>
      <c r="N183" s="49"/>
      <c r="O183" s="50" t="s">
        <v>3345</v>
      </c>
      <c r="P183" s="59"/>
      <c r="Q183" s="59"/>
      <c r="R183" s="13"/>
    </row>
    <row r="184" spans="1:18" ht="45" x14ac:dyDescent="0.25">
      <c r="A184" s="9" t="s">
        <v>21</v>
      </c>
      <c r="B184" s="28">
        <f>IF(ISBLANK(A184),0,INDEX(txtstylestab[],MATCH(A184,txtstylestab[style_Name],0),1))</f>
        <v>0</v>
      </c>
      <c r="C184" s="28">
        <f t="shared" si="9"/>
        <v>1</v>
      </c>
      <c r="D184" s="28">
        <f t="shared" si="10"/>
        <v>7</v>
      </c>
      <c r="E184" s="28">
        <f t="shared" si="11"/>
        <v>0</v>
      </c>
      <c r="F184" s="59" t="str">
        <f t="shared" si="12"/>
        <v/>
      </c>
      <c r="G184" s="42" t="s">
        <v>416</v>
      </c>
      <c r="H184" s="43" t="s">
        <v>393</v>
      </c>
      <c r="I184" s="44" t="s">
        <v>417</v>
      </c>
      <c r="J184" s="45" t="s">
        <v>395</v>
      </c>
      <c r="K184" s="46" t="s">
        <v>418</v>
      </c>
      <c r="L184" s="47" t="s">
        <v>2522</v>
      </c>
      <c r="M184" s="48" t="s">
        <v>2518</v>
      </c>
      <c r="N184" s="49"/>
      <c r="O184" s="50" t="s">
        <v>3344</v>
      </c>
      <c r="P184" s="59"/>
      <c r="Q184" s="59"/>
      <c r="R184" s="13"/>
    </row>
    <row r="185" spans="1:18" ht="45" x14ac:dyDescent="0.25">
      <c r="A185" s="9" t="s">
        <v>21</v>
      </c>
      <c r="B185" s="28">
        <f>IF(ISBLANK(A185),0,INDEX(txtstylestab[],MATCH(A185,txtstylestab[style_Name],0),1))</f>
        <v>0</v>
      </c>
      <c r="C185" s="28">
        <f t="shared" si="9"/>
        <v>1</v>
      </c>
      <c r="D185" s="28">
        <f t="shared" si="10"/>
        <v>7</v>
      </c>
      <c r="E185" s="28">
        <f t="shared" si="11"/>
        <v>0</v>
      </c>
      <c r="F185" s="59" t="str">
        <f t="shared" si="12"/>
        <v/>
      </c>
      <c r="G185" s="42" t="s">
        <v>536</v>
      </c>
      <c r="H185" s="43" t="s">
        <v>537</v>
      </c>
      <c r="I185" s="44" t="s">
        <v>2200</v>
      </c>
      <c r="J185" s="45" t="s">
        <v>504</v>
      </c>
      <c r="K185" s="46" t="s">
        <v>538</v>
      </c>
      <c r="L185" s="47" t="s">
        <v>2523</v>
      </c>
      <c r="M185" s="48" t="s">
        <v>2524</v>
      </c>
      <c r="N185" s="49"/>
      <c r="O185" s="50" t="s">
        <v>3244</v>
      </c>
      <c r="P185" s="59"/>
      <c r="Q185" s="59"/>
      <c r="R185" s="13"/>
    </row>
    <row r="186" spans="1:18" x14ac:dyDescent="0.25">
      <c r="A186" s="9" t="s">
        <v>21</v>
      </c>
      <c r="B186" s="28">
        <f>IF(ISBLANK(A186),0,INDEX(txtstylestab[],MATCH(A186,txtstylestab[style_Name],0),1))</f>
        <v>0</v>
      </c>
      <c r="C186" s="28">
        <f t="shared" si="9"/>
        <v>1</v>
      </c>
      <c r="D186" s="28">
        <f t="shared" si="10"/>
        <v>7</v>
      </c>
      <c r="E186" s="28">
        <f t="shared" si="11"/>
        <v>0</v>
      </c>
      <c r="F186" s="59" t="str">
        <f t="shared" si="12"/>
        <v/>
      </c>
      <c r="G186" s="42" t="s">
        <v>532</v>
      </c>
      <c r="H186" s="43" t="s">
        <v>26</v>
      </c>
      <c r="I186" s="44" t="s">
        <v>48</v>
      </c>
      <c r="J186" s="45" t="s">
        <v>384</v>
      </c>
      <c r="K186" s="46" t="s">
        <v>59</v>
      </c>
      <c r="L186" s="47" t="s">
        <v>2525</v>
      </c>
      <c r="M186" s="48" t="s">
        <v>2526</v>
      </c>
      <c r="N186" s="49"/>
      <c r="O186" s="50" t="s">
        <v>3173</v>
      </c>
      <c r="P186" s="59"/>
      <c r="Q186" s="59"/>
      <c r="R186" s="13"/>
    </row>
    <row r="187" spans="1:18" ht="18" thickBot="1" x14ac:dyDescent="0.35">
      <c r="A187" s="9" t="s">
        <v>11</v>
      </c>
      <c r="B187" s="28">
        <f>IF(ISBLANK(A187),0,INDEX(txtstylestab[],MATCH(A187,txtstylestab[style_Name],0),1))</f>
        <v>2</v>
      </c>
      <c r="C187" s="28">
        <f t="shared" si="9"/>
        <v>1</v>
      </c>
      <c r="D187" s="28">
        <f t="shared" si="10"/>
        <v>8</v>
      </c>
      <c r="E187" s="28">
        <f t="shared" si="11"/>
        <v>0</v>
      </c>
      <c r="F187" s="54" t="str">
        <f t="shared" si="12"/>
        <v>1.8.</v>
      </c>
      <c r="G187" s="68" t="s">
        <v>422</v>
      </c>
      <c r="H187" s="68"/>
      <c r="I187" s="68"/>
      <c r="J187" s="68"/>
      <c r="K187" s="68"/>
      <c r="L187" s="68"/>
      <c r="M187" s="68"/>
      <c r="N187" s="68"/>
      <c r="O187" s="68"/>
      <c r="P187" s="68"/>
      <c r="Q187" s="68"/>
      <c r="R187" s="13"/>
    </row>
    <row r="188" spans="1:18" ht="15.75" thickTop="1" x14ac:dyDescent="0.25">
      <c r="A188" s="9" t="s">
        <v>21</v>
      </c>
      <c r="B188" s="28">
        <f>IF(ISBLANK(A188),0,INDEX(txtstylestab[],MATCH(A188,txtstylestab[style_Name],0),1))</f>
        <v>0</v>
      </c>
      <c r="C188" s="28">
        <f t="shared" si="9"/>
        <v>1</v>
      </c>
      <c r="D188" s="28">
        <f t="shared" si="10"/>
        <v>8</v>
      </c>
      <c r="E188" s="28">
        <f t="shared" si="11"/>
        <v>0</v>
      </c>
      <c r="F188" s="59" t="str">
        <f t="shared" si="12"/>
        <v/>
      </c>
      <c r="G188" s="42" t="s">
        <v>344</v>
      </c>
      <c r="H188" s="43" t="s">
        <v>83</v>
      </c>
      <c r="I188" s="44" t="s">
        <v>84</v>
      </c>
      <c r="J188" s="45" t="s">
        <v>85</v>
      </c>
      <c r="K188" s="46" t="s">
        <v>86</v>
      </c>
      <c r="L188" s="47" t="s">
        <v>2398</v>
      </c>
      <c r="M188" s="48" t="s">
        <v>2333</v>
      </c>
      <c r="N188" s="49"/>
      <c r="O188" s="50" t="s">
        <v>3166</v>
      </c>
      <c r="P188" s="50"/>
      <c r="Q188" s="59"/>
      <c r="R188" s="13"/>
    </row>
    <row r="189" spans="1:18" ht="30" x14ac:dyDescent="0.25">
      <c r="A189" s="9" t="s">
        <v>21</v>
      </c>
      <c r="B189" s="28">
        <f>IF(ISBLANK(A189),0,INDEX(txtstylestab[],MATCH(A189,txtstylestab[style_Name],0),1))</f>
        <v>0</v>
      </c>
      <c r="C189" s="28">
        <f t="shared" si="9"/>
        <v>1</v>
      </c>
      <c r="D189" s="28">
        <f t="shared" si="10"/>
        <v>8</v>
      </c>
      <c r="E189" s="28">
        <f t="shared" si="11"/>
        <v>0</v>
      </c>
      <c r="F189" s="59" t="str">
        <f t="shared" si="12"/>
        <v/>
      </c>
      <c r="G189" s="42" t="s">
        <v>423</v>
      </c>
      <c r="H189" s="43" t="s">
        <v>424</v>
      </c>
      <c r="I189" s="44" t="s">
        <v>425</v>
      </c>
      <c r="J189" s="45" t="s">
        <v>426</v>
      </c>
      <c r="K189" s="46" t="s">
        <v>427</v>
      </c>
      <c r="L189" s="47" t="s">
        <v>2528</v>
      </c>
      <c r="M189" s="48" t="s">
        <v>2529</v>
      </c>
      <c r="N189" s="49"/>
      <c r="O189" s="50" t="s">
        <v>3333</v>
      </c>
      <c r="P189" s="59"/>
      <c r="Q189" s="59"/>
      <c r="R189" s="13"/>
    </row>
    <row r="190" spans="1:18" x14ac:dyDescent="0.25">
      <c r="A190" s="9" t="s">
        <v>21</v>
      </c>
      <c r="B190" s="28">
        <f>IF(ISBLANK(A190),0,INDEX(txtstylestab[],MATCH(A190,txtstylestab[style_Name],0),1))</f>
        <v>0</v>
      </c>
      <c r="C190" s="28">
        <f t="shared" si="9"/>
        <v>1</v>
      </c>
      <c r="D190" s="28">
        <f t="shared" si="10"/>
        <v>8</v>
      </c>
      <c r="E190" s="28">
        <f t="shared" si="11"/>
        <v>0</v>
      </c>
      <c r="F190" s="59" t="str">
        <f t="shared" si="12"/>
        <v/>
      </c>
      <c r="G190" s="42" t="s">
        <v>428</v>
      </c>
      <c r="H190" s="43" t="s">
        <v>429</v>
      </c>
      <c r="I190" s="44" t="s">
        <v>430</v>
      </c>
      <c r="J190" s="45" t="s">
        <v>1620</v>
      </c>
      <c r="K190" s="46" t="s">
        <v>431</v>
      </c>
      <c r="L190" s="47" t="s">
        <v>2530</v>
      </c>
      <c r="M190" s="48" t="s">
        <v>2531</v>
      </c>
      <c r="N190" s="49"/>
      <c r="O190" s="50"/>
      <c r="P190" s="59"/>
      <c r="Q190" s="59"/>
      <c r="R190" s="13"/>
    </row>
    <row r="191" spans="1:18" ht="30" x14ac:dyDescent="0.25">
      <c r="A191" s="9" t="s">
        <v>21</v>
      </c>
      <c r="B191" s="28">
        <f>IF(ISBLANK(A191),0,INDEX(txtstylestab[],MATCH(A191,txtstylestab[style_Name],0),1))</f>
        <v>0</v>
      </c>
      <c r="C191" s="28">
        <f t="shared" si="9"/>
        <v>1</v>
      </c>
      <c r="D191" s="28">
        <f t="shared" si="10"/>
        <v>8</v>
      </c>
      <c r="E191" s="28">
        <f t="shared" si="11"/>
        <v>0</v>
      </c>
      <c r="F191" s="59" t="str">
        <f t="shared" si="12"/>
        <v/>
      </c>
      <c r="G191" s="42" t="s">
        <v>437</v>
      </c>
      <c r="H191" s="43" t="s">
        <v>441</v>
      </c>
      <c r="I191" s="44" t="s">
        <v>445</v>
      </c>
      <c r="J191" s="45" t="s">
        <v>449</v>
      </c>
      <c r="K191" s="46" t="s">
        <v>453</v>
      </c>
      <c r="L191" s="47" t="s">
        <v>2537</v>
      </c>
      <c r="M191" s="48" t="s">
        <v>2534</v>
      </c>
      <c r="N191" s="49"/>
      <c r="O191" s="50" t="s">
        <v>3347</v>
      </c>
      <c r="P191" s="59"/>
      <c r="Q191" s="59"/>
      <c r="R191" s="13"/>
    </row>
    <row r="192" spans="1:18" ht="30" x14ac:dyDescent="0.25">
      <c r="A192" s="9" t="s">
        <v>21</v>
      </c>
      <c r="B192" s="28">
        <f>IF(ISBLANK(A192),0,INDEX(txtstylestab[],MATCH(A192,txtstylestab[style_Name],0),1))</f>
        <v>0</v>
      </c>
      <c r="C192" s="28">
        <f t="shared" si="9"/>
        <v>1</v>
      </c>
      <c r="D192" s="28">
        <f t="shared" si="10"/>
        <v>8</v>
      </c>
      <c r="E192" s="28">
        <f t="shared" si="11"/>
        <v>0</v>
      </c>
      <c r="F192" s="59" t="str">
        <f t="shared" si="12"/>
        <v/>
      </c>
      <c r="G192" s="42" t="s">
        <v>438</v>
      </c>
      <c r="H192" s="43" t="s">
        <v>442</v>
      </c>
      <c r="I192" s="44" t="s">
        <v>446</v>
      </c>
      <c r="J192" s="45" t="s">
        <v>450</v>
      </c>
      <c r="K192" s="46" t="s">
        <v>454</v>
      </c>
      <c r="L192" s="47" t="s">
        <v>2538</v>
      </c>
      <c r="M192" s="48" t="s">
        <v>2535</v>
      </c>
      <c r="N192" s="49"/>
      <c r="O192" s="50" t="s">
        <v>3335</v>
      </c>
      <c r="P192" s="59"/>
      <c r="Q192" s="59"/>
      <c r="R192" s="13"/>
    </row>
    <row r="193" spans="1:18" ht="30" x14ac:dyDescent="0.25">
      <c r="A193" s="9" t="s">
        <v>21</v>
      </c>
      <c r="B193" s="28">
        <f>IF(ISBLANK(A193),0,INDEX(txtstylestab[],MATCH(A193,txtstylestab[style_Name],0),1))</f>
        <v>0</v>
      </c>
      <c r="C193" s="28">
        <f t="shared" si="9"/>
        <v>1</v>
      </c>
      <c r="D193" s="28">
        <f t="shared" si="10"/>
        <v>8</v>
      </c>
      <c r="E193" s="28">
        <f t="shared" si="11"/>
        <v>0</v>
      </c>
      <c r="F193" s="59" t="str">
        <f t="shared" si="12"/>
        <v/>
      </c>
      <c r="G193" s="42" t="s">
        <v>439</v>
      </c>
      <c r="H193" s="43" t="s">
        <v>443</v>
      </c>
      <c r="I193" s="44" t="s">
        <v>447</v>
      </c>
      <c r="J193" s="45" t="s">
        <v>451</v>
      </c>
      <c r="K193" s="46" t="s">
        <v>455</v>
      </c>
      <c r="L193" s="47" t="s">
        <v>2539</v>
      </c>
      <c r="M193" s="48" t="s">
        <v>2536</v>
      </c>
      <c r="N193" s="49"/>
      <c r="O193" s="50" t="s">
        <v>3348</v>
      </c>
      <c r="P193" s="59"/>
      <c r="Q193" s="59"/>
      <c r="R193" s="13"/>
    </row>
    <row r="194" spans="1:18" x14ac:dyDescent="0.25">
      <c r="A194" s="9" t="s">
        <v>21</v>
      </c>
      <c r="B194" s="28">
        <f>IF(ISBLANK(A194),0,INDEX(txtstylestab[],MATCH(A194,txtstylestab[style_Name],0),1))</f>
        <v>0</v>
      </c>
      <c r="C194" s="28">
        <f t="shared" si="9"/>
        <v>1</v>
      </c>
      <c r="D194" s="28">
        <f t="shared" si="10"/>
        <v>8</v>
      </c>
      <c r="E194" s="28">
        <f t="shared" si="11"/>
        <v>0</v>
      </c>
      <c r="F194" s="59" t="str">
        <f t="shared" si="12"/>
        <v/>
      </c>
      <c r="G194" s="42" t="s">
        <v>440</v>
      </c>
      <c r="H194" s="43" t="s">
        <v>444</v>
      </c>
      <c r="I194" s="44" t="s">
        <v>448</v>
      </c>
      <c r="J194" s="45" t="s">
        <v>452</v>
      </c>
      <c r="K194" s="46" t="s">
        <v>456</v>
      </c>
      <c r="L194" s="47" t="s">
        <v>2532</v>
      </c>
      <c r="M194" s="48" t="s">
        <v>2533</v>
      </c>
      <c r="N194" s="49"/>
      <c r="O194" s="50" t="s">
        <v>3349</v>
      </c>
      <c r="P194" s="59"/>
      <c r="Q194" s="59"/>
      <c r="R194" s="13"/>
    </row>
    <row r="195" spans="1:18" ht="30" x14ac:dyDescent="0.25">
      <c r="A195" s="9" t="s">
        <v>21</v>
      </c>
      <c r="B195" s="28">
        <f>IF(ISBLANK(A195),0,INDEX(txtstylestab[],MATCH(A195,txtstylestab[style_Name],0),1))</f>
        <v>0</v>
      </c>
      <c r="C195" s="28">
        <f t="shared" si="9"/>
        <v>1</v>
      </c>
      <c r="D195" s="28">
        <f t="shared" si="10"/>
        <v>8</v>
      </c>
      <c r="E195" s="28">
        <f t="shared" si="11"/>
        <v>0</v>
      </c>
      <c r="F195" s="59" t="str">
        <f t="shared" si="12"/>
        <v/>
      </c>
      <c r="G195" s="42" t="s">
        <v>432</v>
      </c>
      <c r="H195" s="43" t="s">
        <v>433</v>
      </c>
      <c r="I195" s="44" t="s">
        <v>434</v>
      </c>
      <c r="J195" s="45" t="s">
        <v>435</v>
      </c>
      <c r="K195" s="46" t="s">
        <v>436</v>
      </c>
      <c r="L195" s="47" t="s">
        <v>2371</v>
      </c>
      <c r="M195" s="48" t="s">
        <v>2372</v>
      </c>
      <c r="N195" s="49"/>
      <c r="O195" s="50" t="s">
        <v>3231</v>
      </c>
      <c r="P195" s="59"/>
      <c r="Q195" s="59"/>
      <c r="R195" s="13"/>
    </row>
    <row r="196" spans="1:18" x14ac:dyDescent="0.25">
      <c r="A196" s="9" t="s">
        <v>13</v>
      </c>
      <c r="B196" s="28">
        <f>IF(ISBLANK(A196),0,INDEX(txtstylestab[],MATCH(A196,txtstylestab[style_Name],0),1))</f>
        <v>7</v>
      </c>
      <c r="C196" s="28">
        <f t="shared" ref="C196:C259" si="13">IF(B196=1,C195+1,C195)</f>
        <v>1</v>
      </c>
      <c r="D196" s="28">
        <f t="shared" ref="D196:D259" si="14">IF(B196=1,0,IF(B196=2,D195+1,IF(AND(B196=3,D195=0),1,D195)))</f>
        <v>8</v>
      </c>
      <c r="E196" s="28">
        <f t="shared" ref="E196:E259" si="15">IF(OR(B196=1,B196=2),0,IF(B196=3,E195+1,E195))</f>
        <v>0</v>
      </c>
      <c r="F196" s="78" t="str">
        <f t="shared" ref="F196:F259" si="16">IF(OR(B196=1,B196=2,B196=3),TEXT(C196,"#")&amp;".","")&amp;IF(OR(B196=2,B196=3),TEXT(D196,"#")&amp;".","")&amp;IF(B196=3,TEXT(E196,"#")&amp;".","")</f>
        <v/>
      </c>
      <c r="G196" s="78" t="s">
        <v>457</v>
      </c>
      <c r="H196" s="78"/>
      <c r="I196" s="78"/>
      <c r="J196" s="78"/>
      <c r="K196" s="78"/>
      <c r="L196" s="78"/>
      <c r="M196" s="78"/>
      <c r="N196" s="78"/>
      <c r="O196" s="78"/>
      <c r="P196" s="78"/>
      <c r="Q196" s="78"/>
      <c r="R196" s="13"/>
    </row>
    <row r="197" spans="1:18" ht="18" thickBot="1" x14ac:dyDescent="0.35">
      <c r="A197" s="9" t="s">
        <v>11</v>
      </c>
      <c r="B197" s="28">
        <f>IF(ISBLANK(A197),0,INDEX(txtstylestab[],MATCH(A197,txtstylestab[style_Name],0),1))</f>
        <v>2</v>
      </c>
      <c r="C197" s="28">
        <f t="shared" si="13"/>
        <v>1</v>
      </c>
      <c r="D197" s="28">
        <f t="shared" si="14"/>
        <v>9</v>
      </c>
      <c r="E197" s="28">
        <f t="shared" si="15"/>
        <v>0</v>
      </c>
      <c r="F197" s="54" t="str">
        <f t="shared" si="16"/>
        <v>1.9.</v>
      </c>
      <c r="G197" s="68" t="s">
        <v>458</v>
      </c>
      <c r="H197" s="68"/>
      <c r="I197" s="68"/>
      <c r="J197" s="68"/>
      <c r="K197" s="68"/>
      <c r="L197" s="68"/>
      <c r="M197" s="68"/>
      <c r="N197" s="68"/>
      <c r="O197" s="68"/>
      <c r="P197" s="68"/>
      <c r="Q197" s="68"/>
      <c r="R197" s="13"/>
    </row>
    <row r="198" spans="1:18" ht="15.75" thickTop="1" x14ac:dyDescent="0.25">
      <c r="A198" s="9" t="s">
        <v>22</v>
      </c>
      <c r="B198" s="28">
        <f>IF(ISBLANK(A198),0,INDEX(txtstylestab[],MATCH(A198,txtstylestab[style_Name],0),1))</f>
        <v>4</v>
      </c>
      <c r="C198" s="28">
        <f t="shared" si="13"/>
        <v>1</v>
      </c>
      <c r="D198" s="28">
        <f t="shared" si="14"/>
        <v>9</v>
      </c>
      <c r="E198" s="28">
        <f t="shared" si="15"/>
        <v>0</v>
      </c>
      <c r="F198" s="56" t="str">
        <f t="shared" si="16"/>
        <v/>
      </c>
      <c r="G198" s="67" t="s">
        <v>459</v>
      </c>
      <c r="H198" s="67"/>
      <c r="I198" s="67"/>
      <c r="J198" s="67"/>
      <c r="K198" s="67"/>
      <c r="L198" s="67"/>
      <c r="M198" s="67"/>
      <c r="N198" s="67"/>
      <c r="O198" s="67"/>
      <c r="P198" s="67"/>
      <c r="Q198" s="67"/>
      <c r="R198" s="13"/>
    </row>
    <row r="199" spans="1:18" x14ac:dyDescent="0.25">
      <c r="A199" s="9" t="s">
        <v>21</v>
      </c>
      <c r="B199" s="28">
        <f>IF(ISBLANK(A199),0,INDEX(txtstylestab[],MATCH(A199,txtstylestab[style_Name],0),1))</f>
        <v>0</v>
      </c>
      <c r="C199" s="28">
        <f t="shared" si="13"/>
        <v>1</v>
      </c>
      <c r="D199" s="28">
        <f t="shared" si="14"/>
        <v>9</v>
      </c>
      <c r="E199" s="28">
        <f t="shared" si="15"/>
        <v>0</v>
      </c>
      <c r="F199" s="59" t="str">
        <f t="shared" si="16"/>
        <v/>
      </c>
      <c r="G199" s="42" t="s">
        <v>82</v>
      </c>
      <c r="H199" s="43" t="s">
        <v>83</v>
      </c>
      <c r="I199" s="44" t="s">
        <v>84</v>
      </c>
      <c r="J199" s="45" t="s">
        <v>85</v>
      </c>
      <c r="K199" s="46" t="s">
        <v>86</v>
      </c>
      <c r="L199" s="47" t="s">
        <v>2398</v>
      </c>
      <c r="M199" s="48" t="s">
        <v>2540</v>
      </c>
      <c r="N199" s="49"/>
      <c r="O199" s="50" t="s">
        <v>3166</v>
      </c>
      <c r="P199" s="59"/>
      <c r="Q199" s="59"/>
      <c r="R199" s="13"/>
    </row>
    <row r="200" spans="1:18" ht="45" x14ac:dyDescent="0.25">
      <c r="A200" s="9" t="s">
        <v>21</v>
      </c>
      <c r="B200" s="28">
        <f>IF(ISBLANK(A200),0,INDEX(txtstylestab[],MATCH(A200,txtstylestab[style_Name],0),1))</f>
        <v>0</v>
      </c>
      <c r="C200" s="28">
        <f t="shared" si="13"/>
        <v>1</v>
      </c>
      <c r="D200" s="28">
        <f t="shared" si="14"/>
        <v>9</v>
      </c>
      <c r="E200" s="28">
        <f t="shared" si="15"/>
        <v>0</v>
      </c>
      <c r="F200" s="59" t="str">
        <f t="shared" si="16"/>
        <v/>
      </c>
      <c r="G200" s="42" t="s">
        <v>460</v>
      </c>
      <c r="H200" s="43" t="s">
        <v>461</v>
      </c>
      <c r="I200" s="44" t="s">
        <v>462</v>
      </c>
      <c r="J200" s="45" t="s">
        <v>463</v>
      </c>
      <c r="K200" s="46" t="s">
        <v>464</v>
      </c>
      <c r="L200" s="47" t="s">
        <v>2541</v>
      </c>
      <c r="M200" s="48" t="s">
        <v>2542</v>
      </c>
      <c r="N200" s="49"/>
      <c r="O200" s="50" t="s">
        <v>3445</v>
      </c>
      <c r="P200" s="59"/>
      <c r="Q200" s="59"/>
      <c r="R200" s="13"/>
    </row>
    <row r="201" spans="1:18" x14ac:dyDescent="0.25">
      <c r="A201" s="9" t="s">
        <v>22</v>
      </c>
      <c r="B201" s="28">
        <f>IF(ISBLANK(A201),0,INDEX(txtstylestab[],MATCH(A201,txtstylestab[style_Name],0),1))</f>
        <v>4</v>
      </c>
      <c r="C201" s="28">
        <f t="shared" si="13"/>
        <v>1</v>
      </c>
      <c r="D201" s="28">
        <f t="shared" si="14"/>
        <v>9</v>
      </c>
      <c r="E201" s="28">
        <f t="shared" si="15"/>
        <v>0</v>
      </c>
      <c r="F201" s="56" t="str">
        <f t="shared" si="16"/>
        <v/>
      </c>
      <c r="G201" s="67" t="s">
        <v>467</v>
      </c>
      <c r="H201" s="67"/>
      <c r="I201" s="67"/>
      <c r="J201" s="67"/>
      <c r="K201" s="67"/>
      <c r="L201" s="67"/>
      <c r="M201" s="67"/>
      <c r="N201" s="67"/>
      <c r="O201" s="67"/>
      <c r="P201" s="67"/>
      <c r="Q201" s="67"/>
      <c r="R201" s="13"/>
    </row>
    <row r="202" spans="1:18" ht="45" x14ac:dyDescent="0.25">
      <c r="A202" s="9" t="s">
        <v>21</v>
      </c>
      <c r="B202" s="28">
        <f>IF(ISBLANK(A202),0,INDEX(txtstylestab[],MATCH(A202,txtstylestab[style_Name],0),1))</f>
        <v>0</v>
      </c>
      <c r="C202" s="28">
        <f t="shared" si="13"/>
        <v>1</v>
      </c>
      <c r="D202" s="28">
        <f t="shared" si="14"/>
        <v>9</v>
      </c>
      <c r="E202" s="28">
        <f t="shared" si="15"/>
        <v>0</v>
      </c>
      <c r="F202" s="59" t="str">
        <f t="shared" si="16"/>
        <v/>
      </c>
      <c r="G202" s="42" t="s">
        <v>1800</v>
      </c>
      <c r="H202" s="43" t="s">
        <v>1801</v>
      </c>
      <c r="I202" s="44" t="s">
        <v>1802</v>
      </c>
      <c r="J202" s="45" t="s">
        <v>468</v>
      </c>
      <c r="K202" s="46" t="s">
        <v>1803</v>
      </c>
      <c r="L202" s="47" t="s">
        <v>2551</v>
      </c>
      <c r="M202" s="48" t="s">
        <v>2552</v>
      </c>
      <c r="N202" s="49"/>
      <c r="O202" s="50" t="s">
        <v>3491</v>
      </c>
      <c r="P202" s="59"/>
      <c r="Q202" s="59"/>
      <c r="R202" s="13"/>
    </row>
    <row r="203" spans="1:18" ht="45" x14ac:dyDescent="0.25">
      <c r="A203" s="9" t="s">
        <v>14</v>
      </c>
      <c r="B203" s="28">
        <f>IF(ISBLANK(A203),0,INDEX(txtstylestab[],MATCH(A203,txtstylestab[style_Name],0),1))</f>
        <v>6</v>
      </c>
      <c r="C203" s="28">
        <f t="shared" si="13"/>
        <v>1</v>
      </c>
      <c r="D203" s="28">
        <f t="shared" si="14"/>
        <v>9</v>
      </c>
      <c r="E203" s="28">
        <f t="shared" si="15"/>
        <v>0</v>
      </c>
      <c r="F203" s="59" t="str">
        <f t="shared" si="16"/>
        <v/>
      </c>
      <c r="G203" s="42" t="s">
        <v>1804</v>
      </c>
      <c r="H203" s="43" t="s">
        <v>1805</v>
      </c>
      <c r="I203" s="44" t="s">
        <v>1806</v>
      </c>
      <c r="J203" s="45" t="s">
        <v>1807</v>
      </c>
      <c r="K203" s="46" t="s">
        <v>1808</v>
      </c>
      <c r="L203" s="47" t="s">
        <v>2553</v>
      </c>
      <c r="M203" s="48" t="s">
        <v>2554</v>
      </c>
      <c r="N203" s="49"/>
      <c r="O203" s="50" t="s">
        <v>3486</v>
      </c>
      <c r="P203" s="59"/>
      <c r="Q203" s="59"/>
      <c r="R203" s="13"/>
    </row>
    <row r="204" spans="1:18" x14ac:dyDescent="0.25">
      <c r="A204" s="9" t="s">
        <v>14</v>
      </c>
      <c r="B204" s="28">
        <f>IF(ISBLANK(A204),0,INDEX(txtstylestab[],MATCH(A204,txtstylestab[style_Name],0),1))</f>
        <v>6</v>
      </c>
      <c r="C204" s="28">
        <f t="shared" si="13"/>
        <v>1</v>
      </c>
      <c r="D204" s="28">
        <f t="shared" si="14"/>
        <v>9</v>
      </c>
      <c r="E204" s="28">
        <f t="shared" si="15"/>
        <v>0</v>
      </c>
      <c r="F204" s="59" t="str">
        <f t="shared" si="16"/>
        <v/>
      </c>
      <c r="G204" s="42" t="s">
        <v>1809</v>
      </c>
      <c r="H204" s="43" t="s">
        <v>1811</v>
      </c>
      <c r="I204" s="44" t="s">
        <v>1813</v>
      </c>
      <c r="J204" s="45" t="s">
        <v>1815</v>
      </c>
      <c r="K204" s="46" t="s">
        <v>1817</v>
      </c>
      <c r="L204" s="47" t="s">
        <v>2543</v>
      </c>
      <c r="M204" s="48" t="s">
        <v>2544</v>
      </c>
      <c r="N204" s="49"/>
      <c r="O204" s="50" t="s">
        <v>3487</v>
      </c>
      <c r="P204" s="59"/>
      <c r="Q204" s="59"/>
      <c r="R204" s="13"/>
    </row>
    <row r="205" spans="1:18" x14ac:dyDescent="0.25">
      <c r="A205" s="9" t="s">
        <v>14</v>
      </c>
      <c r="B205" s="28">
        <f>IF(ISBLANK(A205),0,INDEX(txtstylestab[],MATCH(A205,txtstylestab[style_Name],0),1))</f>
        <v>6</v>
      </c>
      <c r="C205" s="28">
        <f t="shared" si="13"/>
        <v>1</v>
      </c>
      <c r="D205" s="28">
        <f t="shared" si="14"/>
        <v>9</v>
      </c>
      <c r="E205" s="28">
        <f t="shared" si="15"/>
        <v>0</v>
      </c>
      <c r="F205" s="59" t="str">
        <f t="shared" si="16"/>
        <v/>
      </c>
      <c r="G205" s="42" t="s">
        <v>1810</v>
      </c>
      <c r="H205" s="43" t="s">
        <v>1812</v>
      </c>
      <c r="I205" s="44" t="s">
        <v>1814</v>
      </c>
      <c r="J205" s="45" t="s">
        <v>1816</v>
      </c>
      <c r="K205" s="46" t="s">
        <v>1818</v>
      </c>
      <c r="L205" s="47" t="s">
        <v>2545</v>
      </c>
      <c r="M205" s="48" t="s">
        <v>2548</v>
      </c>
      <c r="N205" s="49"/>
      <c r="O205" s="50" t="s">
        <v>3488</v>
      </c>
      <c r="P205" s="59"/>
      <c r="Q205" s="59"/>
      <c r="R205" s="13"/>
    </row>
    <row r="206" spans="1:18" x14ac:dyDescent="0.25">
      <c r="A206" s="9" t="s">
        <v>14</v>
      </c>
      <c r="B206" s="28">
        <f>IF(ISBLANK(A206),0,INDEX(txtstylestab[],MATCH(A206,txtstylestab[style_Name],0),1))</f>
        <v>6</v>
      </c>
      <c r="C206" s="28">
        <f t="shared" si="13"/>
        <v>1</v>
      </c>
      <c r="D206" s="28">
        <f t="shared" si="14"/>
        <v>9</v>
      </c>
      <c r="E206" s="28">
        <f t="shared" si="15"/>
        <v>0</v>
      </c>
      <c r="F206" s="59" t="str">
        <f t="shared" si="16"/>
        <v/>
      </c>
      <c r="G206" s="42" t="s">
        <v>1819</v>
      </c>
      <c r="H206" s="43" t="s">
        <v>1820</v>
      </c>
      <c r="I206" s="44" t="s">
        <v>1821</v>
      </c>
      <c r="J206" s="45" t="s">
        <v>1822</v>
      </c>
      <c r="K206" s="46" t="s">
        <v>1823</v>
      </c>
      <c r="L206" s="47" t="s">
        <v>2546</v>
      </c>
      <c r="M206" s="48" t="s">
        <v>2547</v>
      </c>
      <c r="N206" s="49"/>
      <c r="O206" s="50" t="s">
        <v>3489</v>
      </c>
      <c r="P206" s="59"/>
      <c r="Q206" s="59"/>
      <c r="R206" s="13"/>
    </row>
    <row r="207" spans="1:18" ht="30" x14ac:dyDescent="0.25">
      <c r="A207" s="9" t="s">
        <v>21</v>
      </c>
      <c r="B207" s="28">
        <f>IF(ISBLANK(A207),0,INDEX(txtstylestab[],MATCH(A207,txtstylestab[style_Name],0),1))</f>
        <v>0</v>
      </c>
      <c r="C207" s="28">
        <f t="shared" si="13"/>
        <v>1</v>
      </c>
      <c r="D207" s="28">
        <f t="shared" si="14"/>
        <v>9</v>
      </c>
      <c r="E207" s="28">
        <f t="shared" si="15"/>
        <v>0</v>
      </c>
      <c r="F207" s="59" t="str">
        <f t="shared" si="16"/>
        <v/>
      </c>
      <c r="G207" s="42"/>
      <c r="H207" s="43"/>
      <c r="I207" s="44"/>
      <c r="J207" s="45"/>
      <c r="K207" s="46"/>
      <c r="L207" s="47"/>
      <c r="M207" s="48"/>
      <c r="N207" s="49"/>
      <c r="O207" s="50" t="s">
        <v>3490</v>
      </c>
      <c r="P207" s="59"/>
      <c r="Q207" s="59"/>
      <c r="R207" s="13"/>
    </row>
    <row r="208" spans="1:18" x14ac:dyDescent="0.25">
      <c r="A208" s="9" t="s">
        <v>23</v>
      </c>
      <c r="B208" s="28">
        <f>IF(ISBLANK(A208),0,INDEX(txtstylestab[],MATCH(A208,txtstylestab[style_Name],0),1))</f>
        <v>5</v>
      </c>
      <c r="C208" s="28">
        <f t="shared" si="13"/>
        <v>1</v>
      </c>
      <c r="D208" s="28">
        <f t="shared" si="14"/>
        <v>9</v>
      </c>
      <c r="E208" s="28">
        <f t="shared" si="15"/>
        <v>0</v>
      </c>
      <c r="F208" s="56" t="str">
        <f t="shared" si="16"/>
        <v/>
      </c>
      <c r="G208" s="69" t="s">
        <v>474</v>
      </c>
      <c r="H208" s="69"/>
      <c r="I208" s="69"/>
      <c r="J208" s="69"/>
      <c r="K208" s="69"/>
      <c r="L208" s="69"/>
      <c r="M208" s="69"/>
      <c r="N208" s="69"/>
      <c r="O208" s="69"/>
      <c r="P208" s="69"/>
      <c r="Q208" s="69"/>
      <c r="R208" s="13"/>
    </row>
    <row r="209" spans="1:18" ht="45" x14ac:dyDescent="0.25">
      <c r="A209" s="9" t="s">
        <v>21</v>
      </c>
      <c r="B209" s="28">
        <f>IF(ISBLANK(A209),0,INDEX(txtstylestab[],MATCH(A209,txtstylestab[style_Name],0),1))</f>
        <v>0</v>
      </c>
      <c r="C209" s="28">
        <f t="shared" si="13"/>
        <v>1</v>
      </c>
      <c r="D209" s="28">
        <f t="shared" si="14"/>
        <v>9</v>
      </c>
      <c r="E209" s="28">
        <f t="shared" si="15"/>
        <v>0</v>
      </c>
      <c r="F209" s="59" t="str">
        <f t="shared" si="16"/>
        <v/>
      </c>
      <c r="G209" s="42" t="s">
        <v>1824</v>
      </c>
      <c r="H209" s="43" t="s">
        <v>1825</v>
      </c>
      <c r="I209" s="44" t="s">
        <v>1826</v>
      </c>
      <c r="J209" s="45" t="s">
        <v>1827</v>
      </c>
      <c r="K209" s="46" t="s">
        <v>1828</v>
      </c>
      <c r="L209" s="47" t="s">
        <v>2555</v>
      </c>
      <c r="M209" s="48" t="s">
        <v>2556</v>
      </c>
      <c r="N209" s="49"/>
      <c r="O209" s="50" t="s">
        <v>3494</v>
      </c>
      <c r="P209" s="59"/>
      <c r="Q209" s="59"/>
      <c r="R209" s="13"/>
    </row>
    <row r="210" spans="1:18" x14ac:dyDescent="0.25">
      <c r="A210" s="9" t="s">
        <v>14</v>
      </c>
      <c r="B210" s="28">
        <f>IF(ISBLANK(A210),0,INDEX(txtstylestab[],MATCH(A210,txtstylestab[style_Name],0),1))</f>
        <v>6</v>
      </c>
      <c r="C210" s="28">
        <f t="shared" si="13"/>
        <v>1</v>
      </c>
      <c r="D210" s="28">
        <f t="shared" si="14"/>
        <v>9</v>
      </c>
      <c r="E210" s="28">
        <f t="shared" si="15"/>
        <v>0</v>
      </c>
      <c r="F210" s="59" t="str">
        <f t="shared" si="16"/>
        <v/>
      </c>
      <c r="G210" s="42" t="s">
        <v>1809</v>
      </c>
      <c r="H210" s="43" t="s">
        <v>1811</v>
      </c>
      <c r="I210" s="44" t="s">
        <v>1813</v>
      </c>
      <c r="J210" s="45" t="s">
        <v>1815</v>
      </c>
      <c r="K210" s="46" t="s">
        <v>1817</v>
      </c>
      <c r="L210" s="47" t="s">
        <v>2543</v>
      </c>
      <c r="M210" s="48" t="s">
        <v>2544</v>
      </c>
      <c r="N210" s="49"/>
      <c r="O210" s="50" t="s">
        <v>3487</v>
      </c>
      <c r="P210" s="50"/>
      <c r="Q210" s="59"/>
      <c r="R210" s="13"/>
    </row>
    <row r="211" spans="1:18" x14ac:dyDescent="0.25">
      <c r="A211" s="9" t="s">
        <v>14</v>
      </c>
      <c r="B211" s="28">
        <f>IF(ISBLANK(A211),0,INDEX(txtstylestab[],MATCH(A211,txtstylestab[style_Name],0),1))</f>
        <v>6</v>
      </c>
      <c r="C211" s="28">
        <f t="shared" si="13"/>
        <v>1</v>
      </c>
      <c r="D211" s="28">
        <f t="shared" si="14"/>
        <v>9</v>
      </c>
      <c r="E211" s="28">
        <f t="shared" si="15"/>
        <v>0</v>
      </c>
      <c r="F211" s="59" t="str">
        <f t="shared" si="16"/>
        <v/>
      </c>
      <c r="G211" s="42" t="s">
        <v>1810</v>
      </c>
      <c r="H211" s="43" t="s">
        <v>1812</v>
      </c>
      <c r="I211" s="44" t="s">
        <v>1814</v>
      </c>
      <c r="J211" s="45" t="s">
        <v>1816</v>
      </c>
      <c r="K211" s="46" t="s">
        <v>1818</v>
      </c>
      <c r="L211" s="47" t="s">
        <v>2545</v>
      </c>
      <c r="M211" s="48" t="s">
        <v>2548</v>
      </c>
      <c r="N211" s="49"/>
      <c r="O211" s="50" t="s">
        <v>3488</v>
      </c>
      <c r="P211" s="50"/>
      <c r="Q211" s="59"/>
      <c r="R211" s="13"/>
    </row>
    <row r="212" spans="1:18" x14ac:dyDescent="0.25">
      <c r="A212" s="9" t="s">
        <v>14</v>
      </c>
      <c r="B212" s="28">
        <f>IF(ISBLANK(A212),0,INDEX(txtstylestab[],MATCH(A212,txtstylestab[style_Name],0),1))</f>
        <v>6</v>
      </c>
      <c r="C212" s="28">
        <f t="shared" si="13"/>
        <v>1</v>
      </c>
      <c r="D212" s="28">
        <f t="shared" si="14"/>
        <v>9</v>
      </c>
      <c r="E212" s="28">
        <f t="shared" si="15"/>
        <v>0</v>
      </c>
      <c r="F212" s="59" t="str">
        <f t="shared" si="16"/>
        <v/>
      </c>
      <c r="G212" s="42" t="s">
        <v>469</v>
      </c>
      <c r="H212" s="43" t="s">
        <v>470</v>
      </c>
      <c r="I212" s="44" t="s">
        <v>471</v>
      </c>
      <c r="J212" s="45" t="s">
        <v>472</v>
      </c>
      <c r="K212" s="46" t="s">
        <v>473</v>
      </c>
      <c r="L212" s="47" t="s">
        <v>2546</v>
      </c>
      <c r="M212" s="48" t="s">
        <v>2547</v>
      </c>
      <c r="N212" s="49"/>
      <c r="O212" s="50" t="s">
        <v>3489</v>
      </c>
      <c r="P212" s="50"/>
      <c r="Q212" s="59"/>
      <c r="R212" s="13"/>
    </row>
    <row r="213" spans="1:18" ht="30" x14ac:dyDescent="0.25">
      <c r="A213" s="9" t="s">
        <v>21</v>
      </c>
      <c r="B213" s="28">
        <f>IF(ISBLANK(A213),0,INDEX(txtstylestab[],MATCH(A213,txtstylestab[style_Name],0),1))</f>
        <v>0</v>
      </c>
      <c r="C213" s="28">
        <f t="shared" si="13"/>
        <v>1</v>
      </c>
      <c r="D213" s="28">
        <f t="shared" si="14"/>
        <v>9</v>
      </c>
      <c r="E213" s="28">
        <f t="shared" si="15"/>
        <v>0</v>
      </c>
      <c r="F213" s="59" t="str">
        <f t="shared" si="16"/>
        <v/>
      </c>
      <c r="G213" s="42" t="s">
        <v>1829</v>
      </c>
      <c r="H213" s="43" t="s">
        <v>1830</v>
      </c>
      <c r="I213" s="44" t="s">
        <v>1831</v>
      </c>
      <c r="J213" s="45" t="s">
        <v>475</v>
      </c>
      <c r="K213" s="46" t="s">
        <v>1832</v>
      </c>
      <c r="L213" s="47" t="s">
        <v>2557</v>
      </c>
      <c r="M213" s="48" t="s">
        <v>2558</v>
      </c>
      <c r="N213" s="49"/>
      <c r="O213" s="50" t="s">
        <v>3492</v>
      </c>
      <c r="P213" s="59"/>
      <c r="Q213" s="59"/>
      <c r="R213" s="13"/>
    </row>
    <row r="214" spans="1:18" x14ac:dyDescent="0.25">
      <c r="A214" s="9" t="s">
        <v>14</v>
      </c>
      <c r="B214" s="28">
        <f>IF(ISBLANK(A214),0,INDEX(txtstylestab[],MATCH(A214,txtstylestab[style_Name],0),1))</f>
        <v>6</v>
      </c>
      <c r="C214" s="28">
        <f t="shared" si="13"/>
        <v>1</v>
      </c>
      <c r="D214" s="28">
        <f t="shared" si="14"/>
        <v>9</v>
      </c>
      <c r="E214" s="28">
        <f t="shared" si="15"/>
        <v>0</v>
      </c>
      <c r="F214" s="59" t="str">
        <f t="shared" si="16"/>
        <v/>
      </c>
      <c r="G214" s="42" t="s">
        <v>1833</v>
      </c>
      <c r="H214" s="43" t="s">
        <v>1834</v>
      </c>
      <c r="I214" s="44" t="s">
        <v>1835</v>
      </c>
      <c r="J214" s="45" t="s">
        <v>2201</v>
      </c>
      <c r="K214" s="46" t="s">
        <v>1836</v>
      </c>
      <c r="L214" s="47" t="s">
        <v>2549</v>
      </c>
      <c r="M214" s="48" t="s">
        <v>2550</v>
      </c>
      <c r="N214" s="49"/>
      <c r="O214" s="50" t="s">
        <v>3486</v>
      </c>
      <c r="P214" s="50"/>
      <c r="Q214" s="59"/>
      <c r="R214" s="13"/>
    </row>
    <row r="215" spans="1:18" x14ac:dyDescent="0.25">
      <c r="A215" s="9" t="s">
        <v>14</v>
      </c>
      <c r="B215" s="28">
        <f>IF(ISBLANK(A215),0,INDEX(txtstylestab[],MATCH(A215,txtstylestab[style_Name],0),1))</f>
        <v>6</v>
      </c>
      <c r="C215" s="28">
        <f t="shared" si="13"/>
        <v>1</v>
      </c>
      <c r="D215" s="28">
        <f t="shared" si="14"/>
        <v>9</v>
      </c>
      <c r="E215" s="28">
        <f t="shared" si="15"/>
        <v>0</v>
      </c>
      <c r="F215" s="59" t="str">
        <f t="shared" si="16"/>
        <v/>
      </c>
      <c r="G215" s="42" t="s">
        <v>1809</v>
      </c>
      <c r="H215" s="43" t="s">
        <v>1811</v>
      </c>
      <c r="I215" s="44" t="s">
        <v>1813</v>
      </c>
      <c r="J215" s="45" t="s">
        <v>1815</v>
      </c>
      <c r="K215" s="46" t="s">
        <v>1817</v>
      </c>
      <c r="L215" s="47" t="s">
        <v>2543</v>
      </c>
      <c r="M215" s="48" t="s">
        <v>2544</v>
      </c>
      <c r="N215" s="49"/>
      <c r="O215" s="50" t="s">
        <v>3487</v>
      </c>
      <c r="P215" s="50"/>
      <c r="Q215" s="59"/>
      <c r="R215" s="13"/>
    </row>
    <row r="216" spans="1:18" x14ac:dyDescent="0.25">
      <c r="A216" s="9" t="s">
        <v>14</v>
      </c>
      <c r="B216" s="28">
        <f>IF(ISBLANK(A216),0,INDEX(txtstylestab[],MATCH(A216,txtstylestab[style_Name],0),1))</f>
        <v>6</v>
      </c>
      <c r="C216" s="28">
        <f t="shared" si="13"/>
        <v>1</v>
      </c>
      <c r="D216" s="28">
        <f t="shared" si="14"/>
        <v>9</v>
      </c>
      <c r="E216" s="28">
        <f t="shared" si="15"/>
        <v>0</v>
      </c>
      <c r="F216" s="59" t="str">
        <f t="shared" si="16"/>
        <v/>
      </c>
      <c r="G216" s="42" t="s">
        <v>1810</v>
      </c>
      <c r="H216" s="43" t="s">
        <v>1812</v>
      </c>
      <c r="I216" s="44" t="s">
        <v>1814</v>
      </c>
      <c r="J216" s="45" t="s">
        <v>1816</v>
      </c>
      <c r="K216" s="46" t="s">
        <v>1818</v>
      </c>
      <c r="L216" s="47" t="s">
        <v>2545</v>
      </c>
      <c r="M216" s="48" t="s">
        <v>2548</v>
      </c>
      <c r="N216" s="49"/>
      <c r="O216" s="50" t="s">
        <v>3488</v>
      </c>
      <c r="P216" s="50"/>
      <c r="Q216" s="59"/>
      <c r="R216" s="13"/>
    </row>
    <row r="217" spans="1:18" x14ac:dyDescent="0.25">
      <c r="A217" s="9" t="s">
        <v>14</v>
      </c>
      <c r="B217" s="28">
        <f>IF(ISBLANK(A217),0,INDEX(txtstylestab[],MATCH(A217,txtstylestab[style_Name],0),1))</f>
        <v>6</v>
      </c>
      <c r="C217" s="28">
        <f t="shared" si="13"/>
        <v>1</v>
      </c>
      <c r="D217" s="28">
        <f t="shared" si="14"/>
        <v>9</v>
      </c>
      <c r="E217" s="28">
        <f t="shared" si="15"/>
        <v>0</v>
      </c>
      <c r="F217" s="59" t="str">
        <f t="shared" si="16"/>
        <v/>
      </c>
      <c r="G217" s="42" t="s">
        <v>1819</v>
      </c>
      <c r="H217" s="43" t="s">
        <v>1820</v>
      </c>
      <c r="I217" s="44" t="s">
        <v>1821</v>
      </c>
      <c r="J217" s="45" t="s">
        <v>1822</v>
      </c>
      <c r="K217" s="46" t="s">
        <v>1823</v>
      </c>
      <c r="L217" s="47" t="s">
        <v>2546</v>
      </c>
      <c r="M217" s="48" t="s">
        <v>2547</v>
      </c>
      <c r="N217" s="49"/>
      <c r="O217" s="50" t="s">
        <v>3489</v>
      </c>
      <c r="P217" s="50"/>
      <c r="Q217" s="59"/>
      <c r="R217" s="13"/>
    </row>
    <row r="218" spans="1:18" x14ac:dyDescent="0.25">
      <c r="A218" s="9" t="s">
        <v>21</v>
      </c>
      <c r="B218" s="28">
        <f>IF(ISBLANK(A218),0,INDEX(txtstylestab[],MATCH(A218,txtstylestab[style_Name],0),1))</f>
        <v>0</v>
      </c>
      <c r="C218" s="28">
        <f t="shared" si="13"/>
        <v>1</v>
      </c>
      <c r="D218" s="28">
        <f t="shared" si="14"/>
        <v>9</v>
      </c>
      <c r="E218" s="28">
        <f t="shared" si="15"/>
        <v>0</v>
      </c>
      <c r="F218" s="59" t="str">
        <f t="shared" si="16"/>
        <v/>
      </c>
      <c r="G218" s="42"/>
      <c r="H218" s="43"/>
      <c r="I218" s="44"/>
      <c r="J218" s="45"/>
      <c r="K218" s="46"/>
      <c r="L218" s="47"/>
      <c r="M218" s="48"/>
      <c r="N218" s="49"/>
      <c r="O218" s="50" t="s">
        <v>3493</v>
      </c>
      <c r="P218" s="59"/>
      <c r="Q218" s="59"/>
      <c r="R218" s="13"/>
    </row>
    <row r="219" spans="1:18" x14ac:dyDescent="0.25">
      <c r="A219" s="9" t="s">
        <v>22</v>
      </c>
      <c r="B219" s="28">
        <f>IF(ISBLANK(A219),0,INDEX(txtstylestab[],MATCH(A219,txtstylestab[style_Name],0),1))</f>
        <v>4</v>
      </c>
      <c r="C219" s="28">
        <f t="shared" si="13"/>
        <v>1</v>
      </c>
      <c r="D219" s="28">
        <f t="shared" si="14"/>
        <v>9</v>
      </c>
      <c r="E219" s="28">
        <f t="shared" si="15"/>
        <v>0</v>
      </c>
      <c r="F219" s="56" t="str">
        <f t="shared" si="16"/>
        <v/>
      </c>
      <c r="G219" s="53" t="s">
        <v>476</v>
      </c>
      <c r="H219" s="53"/>
      <c r="I219" s="53"/>
      <c r="J219" s="53"/>
      <c r="K219" s="53"/>
      <c r="L219" s="53"/>
      <c r="M219" s="53"/>
      <c r="N219" s="53"/>
      <c r="O219" s="53"/>
      <c r="P219" s="53"/>
      <c r="Q219" s="53"/>
      <c r="R219" s="13"/>
    </row>
    <row r="220" spans="1:18" x14ac:dyDescent="0.25">
      <c r="A220" s="9" t="s">
        <v>23</v>
      </c>
      <c r="B220" s="28">
        <f>IF(ISBLANK(A220),0,INDEX(txtstylestab[],MATCH(A220,txtstylestab[style_Name],0),1))</f>
        <v>5</v>
      </c>
      <c r="C220" s="28">
        <f t="shared" si="13"/>
        <v>1</v>
      </c>
      <c r="D220" s="28">
        <f t="shared" si="14"/>
        <v>9</v>
      </c>
      <c r="E220" s="28">
        <f t="shared" si="15"/>
        <v>0</v>
      </c>
      <c r="F220" s="56" t="str">
        <f t="shared" si="16"/>
        <v/>
      </c>
      <c r="G220" s="58" t="s">
        <v>477</v>
      </c>
      <c r="H220" s="58"/>
      <c r="I220" s="58"/>
      <c r="J220" s="58"/>
      <c r="K220" s="58"/>
      <c r="L220" s="58"/>
      <c r="M220" s="58"/>
      <c r="N220" s="58"/>
      <c r="O220" s="58"/>
      <c r="P220" s="58"/>
      <c r="Q220" s="58"/>
      <c r="R220" s="13"/>
    </row>
    <row r="221" spans="1:18" x14ac:dyDescent="0.25">
      <c r="A221" s="9" t="s">
        <v>23</v>
      </c>
      <c r="B221" s="28">
        <f>IF(ISBLANK(A221),0,INDEX(txtstylestab[],MATCH(A221,txtstylestab[style_Name],0),1))</f>
        <v>5</v>
      </c>
      <c r="C221" s="28">
        <f t="shared" si="13"/>
        <v>1</v>
      </c>
      <c r="D221" s="28">
        <f t="shared" si="14"/>
        <v>9</v>
      </c>
      <c r="E221" s="28">
        <f t="shared" si="15"/>
        <v>0</v>
      </c>
      <c r="F221" s="56" t="str">
        <f t="shared" si="16"/>
        <v/>
      </c>
      <c r="G221" s="58" t="s">
        <v>478</v>
      </c>
      <c r="H221" s="58"/>
      <c r="I221" s="58"/>
      <c r="J221" s="58"/>
      <c r="K221" s="58"/>
      <c r="L221" s="58"/>
      <c r="M221" s="58"/>
      <c r="N221" s="58"/>
      <c r="O221" s="58"/>
      <c r="P221" s="58"/>
      <c r="Q221" s="58"/>
      <c r="R221" s="13"/>
    </row>
    <row r="222" spans="1:18" ht="45" x14ac:dyDescent="0.25">
      <c r="A222" s="9" t="s">
        <v>21</v>
      </c>
      <c r="B222" s="28">
        <f>IF(ISBLANK(A222),0,INDEX(txtstylestab[],MATCH(A222,txtstylestab[style_Name],0),1))</f>
        <v>0</v>
      </c>
      <c r="C222" s="28">
        <f t="shared" si="13"/>
        <v>1</v>
      </c>
      <c r="D222" s="28">
        <f t="shared" si="14"/>
        <v>9</v>
      </c>
      <c r="E222" s="28">
        <f t="shared" si="15"/>
        <v>0</v>
      </c>
      <c r="F222" s="59" t="str">
        <f t="shared" si="16"/>
        <v/>
      </c>
      <c r="G222" s="42" t="s">
        <v>479</v>
      </c>
      <c r="H222" s="43" t="s">
        <v>2219</v>
      </c>
      <c r="I222" s="44" t="s">
        <v>2240</v>
      </c>
      <c r="J222" s="45" t="s">
        <v>480</v>
      </c>
      <c r="K222" s="46" t="s">
        <v>2275</v>
      </c>
      <c r="L222" s="47" t="s">
        <v>2559</v>
      </c>
      <c r="M222" s="48" t="s">
        <v>2560</v>
      </c>
      <c r="N222" s="49"/>
      <c r="O222" s="50" t="s">
        <v>3354</v>
      </c>
      <c r="P222" s="59"/>
      <c r="Q222" s="59"/>
      <c r="R222" s="13"/>
    </row>
    <row r="223" spans="1:18" ht="60" x14ac:dyDescent="0.25">
      <c r="A223" s="9" t="s">
        <v>21</v>
      </c>
      <c r="B223" s="28">
        <f>IF(ISBLANK(A223),0,INDEX(txtstylestab[],MATCH(A223,txtstylestab[style_Name],0),1))</f>
        <v>0</v>
      </c>
      <c r="C223" s="28">
        <f t="shared" si="13"/>
        <v>1</v>
      </c>
      <c r="D223" s="28">
        <f t="shared" si="14"/>
        <v>9</v>
      </c>
      <c r="E223" s="28">
        <f t="shared" si="15"/>
        <v>0</v>
      </c>
      <c r="F223" s="59" t="str">
        <f t="shared" si="16"/>
        <v/>
      </c>
      <c r="G223" s="42" t="s">
        <v>481</v>
      </c>
      <c r="H223" s="43" t="s">
        <v>482</v>
      </c>
      <c r="I223" s="44" t="s">
        <v>1634</v>
      </c>
      <c r="J223" s="45" t="s">
        <v>483</v>
      </c>
      <c r="K223" s="46" t="s">
        <v>484</v>
      </c>
      <c r="L223" s="47" t="s">
        <v>2561</v>
      </c>
      <c r="M223" s="48" t="s">
        <v>2562</v>
      </c>
      <c r="N223" s="49"/>
      <c r="O223" s="50" t="s">
        <v>3352</v>
      </c>
      <c r="P223" s="59"/>
      <c r="Q223" s="59"/>
      <c r="R223" s="13"/>
    </row>
    <row r="224" spans="1:18" x14ac:dyDescent="0.25">
      <c r="A224" s="9" t="s">
        <v>23</v>
      </c>
      <c r="B224" s="28">
        <f>IF(ISBLANK(A224),0,INDEX(txtstylestab[],MATCH(A224,txtstylestab[style_Name],0),1))</f>
        <v>5</v>
      </c>
      <c r="C224" s="28">
        <f t="shared" si="13"/>
        <v>1</v>
      </c>
      <c r="D224" s="28">
        <f t="shared" si="14"/>
        <v>9</v>
      </c>
      <c r="E224" s="28">
        <f t="shared" si="15"/>
        <v>0</v>
      </c>
      <c r="F224" s="56" t="str">
        <f t="shared" si="16"/>
        <v/>
      </c>
      <c r="G224" s="58" t="s">
        <v>485</v>
      </c>
      <c r="H224" s="58"/>
      <c r="I224" s="58"/>
      <c r="J224" s="58"/>
      <c r="K224" s="58"/>
      <c r="L224" s="58"/>
      <c r="M224" s="58"/>
      <c r="N224" s="58"/>
      <c r="O224" s="58"/>
      <c r="P224" s="58"/>
      <c r="Q224" s="58"/>
      <c r="R224" s="13"/>
    </row>
    <row r="225" spans="1:18" ht="45" x14ac:dyDescent="0.25">
      <c r="A225" s="9" t="s">
        <v>21</v>
      </c>
      <c r="B225" s="28">
        <f>IF(ISBLANK(A225),0,INDEX(txtstylestab[],MATCH(A225,txtstylestab[style_Name],0),1))</f>
        <v>0</v>
      </c>
      <c r="C225" s="28">
        <f t="shared" si="13"/>
        <v>1</v>
      </c>
      <c r="D225" s="28">
        <f t="shared" si="14"/>
        <v>9</v>
      </c>
      <c r="E225" s="28">
        <f t="shared" si="15"/>
        <v>0</v>
      </c>
      <c r="F225" s="59" t="str">
        <f t="shared" si="16"/>
        <v/>
      </c>
      <c r="G225" s="42" t="s">
        <v>486</v>
      </c>
      <c r="H225" s="43" t="s">
        <v>2220</v>
      </c>
      <c r="I225" s="44" t="s">
        <v>2222</v>
      </c>
      <c r="J225" s="45" t="s">
        <v>533</v>
      </c>
      <c r="K225" s="46" t="s">
        <v>1714</v>
      </c>
      <c r="L225" s="47" t="s">
        <v>2563</v>
      </c>
      <c r="M225" s="48" t="s">
        <v>2564</v>
      </c>
      <c r="N225" s="49"/>
      <c r="O225" s="50" t="s">
        <v>3353</v>
      </c>
      <c r="P225" s="59"/>
      <c r="Q225" s="59"/>
      <c r="R225" s="13"/>
    </row>
    <row r="226" spans="1:18" ht="105" x14ac:dyDescent="0.25">
      <c r="A226" s="9" t="s">
        <v>21</v>
      </c>
      <c r="B226" s="28">
        <f>IF(ISBLANK(A226),0,INDEX(txtstylestab[],MATCH(A226,txtstylestab[style_Name],0),1))</f>
        <v>0</v>
      </c>
      <c r="C226" s="28">
        <f t="shared" si="13"/>
        <v>1</v>
      </c>
      <c r="D226" s="28">
        <f t="shared" si="14"/>
        <v>9</v>
      </c>
      <c r="E226" s="28">
        <f t="shared" si="15"/>
        <v>0</v>
      </c>
      <c r="F226" s="59" t="str">
        <f t="shared" si="16"/>
        <v/>
      </c>
      <c r="G226" s="42" t="s">
        <v>487</v>
      </c>
      <c r="H226" s="43" t="s">
        <v>2221</v>
      </c>
      <c r="I226" s="44" t="s">
        <v>2241</v>
      </c>
      <c r="J226" s="45" t="s">
        <v>488</v>
      </c>
      <c r="K226" s="46" t="s">
        <v>489</v>
      </c>
      <c r="L226" s="47" t="s">
        <v>2565</v>
      </c>
      <c r="M226" s="48" t="s">
        <v>2566</v>
      </c>
      <c r="N226" s="49"/>
      <c r="O226" s="50" t="s">
        <v>3355</v>
      </c>
      <c r="P226" s="59"/>
      <c r="Q226" s="59"/>
      <c r="R226" s="13"/>
    </row>
    <row r="227" spans="1:18" x14ac:dyDescent="0.25">
      <c r="A227" s="9" t="s">
        <v>23</v>
      </c>
      <c r="B227" s="28">
        <f>IF(ISBLANK(A227),0,INDEX(txtstylestab[],MATCH(A227,txtstylestab[style_Name],0),1))</f>
        <v>5</v>
      </c>
      <c r="C227" s="28">
        <f t="shared" si="13"/>
        <v>1</v>
      </c>
      <c r="D227" s="28">
        <f t="shared" si="14"/>
        <v>9</v>
      </c>
      <c r="E227" s="28">
        <f t="shared" si="15"/>
        <v>0</v>
      </c>
      <c r="F227" s="56" t="str">
        <f t="shared" si="16"/>
        <v/>
      </c>
      <c r="G227" s="58" t="s">
        <v>2321</v>
      </c>
      <c r="H227" s="58"/>
      <c r="I227" s="58"/>
      <c r="J227" s="58"/>
      <c r="K227" s="58"/>
      <c r="L227" s="58"/>
      <c r="M227" s="58"/>
      <c r="N227" s="58"/>
      <c r="O227" s="58"/>
      <c r="P227" s="58"/>
      <c r="Q227" s="58"/>
      <c r="R227" s="13"/>
    </row>
    <row r="228" spans="1:18" x14ac:dyDescent="0.25">
      <c r="A228" s="9" t="s">
        <v>22</v>
      </c>
      <c r="B228" s="28">
        <f>IF(ISBLANK(A228),0,INDEX(txtstylestab[],MATCH(A228,txtstylestab[style_Name],0),1))</f>
        <v>4</v>
      </c>
      <c r="C228" s="28">
        <f t="shared" si="13"/>
        <v>1</v>
      </c>
      <c r="D228" s="28">
        <f t="shared" si="14"/>
        <v>9</v>
      </c>
      <c r="E228" s="28">
        <f t="shared" si="15"/>
        <v>0</v>
      </c>
      <c r="F228" s="56" t="str">
        <f t="shared" si="16"/>
        <v/>
      </c>
      <c r="G228" s="53" t="s">
        <v>490</v>
      </c>
      <c r="H228" s="53"/>
      <c r="I228" s="53"/>
      <c r="J228" s="53"/>
      <c r="K228" s="53"/>
      <c r="L228" s="53"/>
      <c r="M228" s="53"/>
      <c r="N228" s="53"/>
      <c r="O228" s="53"/>
      <c r="P228" s="53"/>
      <c r="Q228" s="53"/>
      <c r="R228" s="13"/>
    </row>
    <row r="229" spans="1:18" x14ac:dyDescent="0.25">
      <c r="A229" s="9" t="s">
        <v>23</v>
      </c>
      <c r="B229" s="28">
        <f>IF(ISBLANK(A229),0,INDEX(txtstylestab[],MATCH(A229,txtstylestab[style_Name],0),1))</f>
        <v>5</v>
      </c>
      <c r="C229" s="28">
        <f t="shared" si="13"/>
        <v>1</v>
      </c>
      <c r="D229" s="28">
        <f t="shared" si="14"/>
        <v>9</v>
      </c>
      <c r="E229" s="28">
        <f t="shared" si="15"/>
        <v>0</v>
      </c>
      <c r="F229" s="56" t="str">
        <f t="shared" si="16"/>
        <v/>
      </c>
      <c r="G229" s="58" t="s">
        <v>491</v>
      </c>
      <c r="H229" s="58"/>
      <c r="I229" s="58"/>
      <c r="J229" s="58"/>
      <c r="K229" s="58"/>
      <c r="L229" s="58"/>
      <c r="M229" s="58"/>
      <c r="N229" s="58"/>
      <c r="O229" s="58"/>
      <c r="P229" s="58"/>
      <c r="Q229" s="58"/>
      <c r="R229" s="13"/>
    </row>
    <row r="230" spans="1:18" ht="60" x14ac:dyDescent="0.25">
      <c r="A230" s="9" t="s">
        <v>21</v>
      </c>
      <c r="B230" s="28">
        <f>IF(ISBLANK(A230),0,INDEX(txtstylestab[],MATCH(A230,txtstylestab[style_Name],0),1))</f>
        <v>0</v>
      </c>
      <c r="C230" s="28">
        <f t="shared" si="13"/>
        <v>1</v>
      </c>
      <c r="D230" s="28">
        <f t="shared" si="14"/>
        <v>9</v>
      </c>
      <c r="E230" s="28">
        <f t="shared" si="15"/>
        <v>0</v>
      </c>
      <c r="F230" s="59" t="str">
        <f t="shared" si="16"/>
        <v/>
      </c>
      <c r="G230" s="42" t="s">
        <v>492</v>
      </c>
      <c r="H230" s="43" t="s">
        <v>2223</v>
      </c>
      <c r="I230" s="44" t="s">
        <v>2242</v>
      </c>
      <c r="J230" s="45" t="s">
        <v>493</v>
      </c>
      <c r="K230" s="46" t="s">
        <v>494</v>
      </c>
      <c r="L230" s="47" t="s">
        <v>2567</v>
      </c>
      <c r="M230" s="48" t="s">
        <v>2568</v>
      </c>
      <c r="N230" s="49"/>
      <c r="O230" s="50" t="s">
        <v>3356</v>
      </c>
      <c r="P230" s="59"/>
      <c r="Q230" s="59"/>
      <c r="R230" s="13"/>
    </row>
    <row r="231" spans="1:18" x14ac:dyDescent="0.25">
      <c r="A231" s="9" t="s">
        <v>23</v>
      </c>
      <c r="B231" s="28">
        <f>IF(ISBLANK(A231),0,INDEX(txtstylestab[],MATCH(A231,txtstylestab[style_Name],0),1))</f>
        <v>5</v>
      </c>
      <c r="C231" s="28">
        <f t="shared" si="13"/>
        <v>1</v>
      </c>
      <c r="D231" s="28">
        <f t="shared" si="14"/>
        <v>9</v>
      </c>
      <c r="E231" s="28">
        <f t="shared" si="15"/>
        <v>0</v>
      </c>
      <c r="F231" s="56" t="str">
        <f t="shared" si="16"/>
        <v/>
      </c>
      <c r="G231" s="58" t="s">
        <v>495</v>
      </c>
      <c r="H231" s="58"/>
      <c r="I231" s="58"/>
      <c r="J231" s="58"/>
      <c r="K231" s="58"/>
      <c r="L231" s="58"/>
      <c r="M231" s="58"/>
      <c r="N231" s="58"/>
      <c r="O231" s="58"/>
      <c r="P231" s="58"/>
      <c r="Q231" s="58"/>
      <c r="R231" s="13"/>
    </row>
    <row r="232" spans="1:18" ht="75" x14ac:dyDescent="0.25">
      <c r="A232" s="9" t="s">
        <v>21</v>
      </c>
      <c r="B232" s="28">
        <f>IF(ISBLANK(A232),0,INDEX(txtstylestab[],MATCH(A232,txtstylestab[style_Name],0),1))</f>
        <v>0</v>
      </c>
      <c r="C232" s="28">
        <f t="shared" si="13"/>
        <v>1</v>
      </c>
      <c r="D232" s="28">
        <f t="shared" si="14"/>
        <v>9</v>
      </c>
      <c r="E232" s="28">
        <f t="shared" si="15"/>
        <v>0</v>
      </c>
      <c r="F232" s="59" t="str">
        <f t="shared" si="16"/>
        <v/>
      </c>
      <c r="G232" s="42" t="s">
        <v>496</v>
      </c>
      <c r="H232" s="43" t="s">
        <v>497</v>
      </c>
      <c r="I232" s="44" t="s">
        <v>498</v>
      </c>
      <c r="J232" s="45" t="s">
        <v>499</v>
      </c>
      <c r="K232" s="46" t="s">
        <v>500</v>
      </c>
      <c r="L232" s="47" t="s">
        <v>2569</v>
      </c>
      <c r="M232" s="48" t="s">
        <v>2570</v>
      </c>
      <c r="N232" s="49"/>
      <c r="O232" s="50" t="s">
        <v>3357</v>
      </c>
      <c r="P232" s="59"/>
      <c r="Q232" s="59"/>
      <c r="R232" s="13"/>
    </row>
    <row r="233" spans="1:18" ht="45" x14ac:dyDescent="0.25">
      <c r="A233" s="9" t="s">
        <v>21</v>
      </c>
      <c r="B233" s="28">
        <f>IF(ISBLANK(A233),0,INDEX(txtstylestab[],MATCH(A233,txtstylestab[style_Name],0),1))</f>
        <v>0</v>
      </c>
      <c r="C233" s="28">
        <f t="shared" si="13"/>
        <v>1</v>
      </c>
      <c r="D233" s="28">
        <f t="shared" si="14"/>
        <v>9</v>
      </c>
      <c r="E233" s="28">
        <f t="shared" si="15"/>
        <v>0</v>
      </c>
      <c r="F233" s="59" t="str">
        <f t="shared" si="16"/>
        <v/>
      </c>
      <c r="G233" s="42" t="s">
        <v>501</v>
      </c>
      <c r="H233" s="43" t="s">
        <v>502</v>
      </c>
      <c r="I233" s="44" t="s">
        <v>503</v>
      </c>
      <c r="J233" s="45" t="s">
        <v>504</v>
      </c>
      <c r="K233" s="46" t="s">
        <v>505</v>
      </c>
      <c r="L233" s="47" t="s">
        <v>2523</v>
      </c>
      <c r="M233" s="48" t="s">
        <v>2524</v>
      </c>
      <c r="N233" s="49"/>
      <c r="O233" s="50" t="s">
        <v>3358</v>
      </c>
      <c r="P233" s="59"/>
      <c r="Q233" s="59"/>
      <c r="R233" s="13"/>
    </row>
    <row r="234" spans="1:18" x14ac:dyDescent="0.25">
      <c r="A234" s="9" t="s">
        <v>22</v>
      </c>
      <c r="B234" s="28">
        <f>IF(ISBLANK(A234),0,INDEX(txtstylestab[],MATCH(A234,txtstylestab[style_Name],0),1))</f>
        <v>4</v>
      </c>
      <c r="C234" s="28">
        <f t="shared" si="13"/>
        <v>1</v>
      </c>
      <c r="D234" s="28">
        <f t="shared" si="14"/>
        <v>9</v>
      </c>
      <c r="E234" s="28">
        <f t="shared" si="15"/>
        <v>0</v>
      </c>
      <c r="F234" s="56" t="str">
        <f t="shared" si="16"/>
        <v/>
      </c>
      <c r="G234" s="53" t="s">
        <v>506</v>
      </c>
      <c r="H234" s="53"/>
      <c r="I234" s="53"/>
      <c r="J234" s="53"/>
      <c r="K234" s="53"/>
      <c r="L234" s="53"/>
      <c r="M234" s="53"/>
      <c r="N234" s="53"/>
      <c r="O234" s="53"/>
      <c r="P234" s="53"/>
      <c r="Q234" s="53"/>
      <c r="R234" s="13"/>
    </row>
    <row r="235" spans="1:18" ht="75" x14ac:dyDescent="0.25">
      <c r="A235" s="9" t="s">
        <v>21</v>
      </c>
      <c r="B235" s="28">
        <f>IF(ISBLANK(A235),0,INDEX(txtstylestab[],MATCH(A235,txtstylestab[style_Name],0),1))</f>
        <v>0</v>
      </c>
      <c r="C235" s="28">
        <f t="shared" si="13"/>
        <v>1</v>
      </c>
      <c r="D235" s="28">
        <f t="shared" si="14"/>
        <v>9</v>
      </c>
      <c r="E235" s="28">
        <f t="shared" si="15"/>
        <v>0</v>
      </c>
      <c r="F235" s="59" t="str">
        <f t="shared" si="16"/>
        <v/>
      </c>
      <c r="G235" s="42" t="s">
        <v>507</v>
      </c>
      <c r="H235" s="43" t="s">
        <v>508</v>
      </c>
      <c r="I235" s="44" t="s">
        <v>509</v>
      </c>
      <c r="J235" s="45" t="s">
        <v>510</v>
      </c>
      <c r="K235" s="46" t="s">
        <v>511</v>
      </c>
      <c r="L235" s="47" t="s">
        <v>2571</v>
      </c>
      <c r="M235" s="48" t="s">
        <v>2572</v>
      </c>
      <c r="N235" s="49"/>
      <c r="O235" s="50" t="s">
        <v>3359</v>
      </c>
      <c r="P235" s="59"/>
      <c r="Q235" s="59"/>
      <c r="R235" s="13"/>
    </row>
    <row r="236" spans="1:18" x14ac:dyDescent="0.25">
      <c r="A236" s="9" t="s">
        <v>21</v>
      </c>
      <c r="B236" s="28">
        <f>IF(ISBLANK(A236),0,INDEX(txtstylestab[],MATCH(A236,txtstylestab[style_Name],0),1))</f>
        <v>0</v>
      </c>
      <c r="C236" s="28">
        <f t="shared" si="13"/>
        <v>1</v>
      </c>
      <c r="D236" s="28">
        <f t="shared" si="14"/>
        <v>9</v>
      </c>
      <c r="E236" s="28">
        <f t="shared" si="15"/>
        <v>0</v>
      </c>
      <c r="F236" s="59" t="str">
        <f t="shared" si="16"/>
        <v/>
      </c>
      <c r="G236" s="42" t="s">
        <v>6</v>
      </c>
      <c r="H236" s="43" t="s">
        <v>96</v>
      </c>
      <c r="I236" s="44" t="s">
        <v>48</v>
      </c>
      <c r="J236" s="45" t="s">
        <v>384</v>
      </c>
      <c r="K236" s="46" t="s">
        <v>59</v>
      </c>
      <c r="L236" s="47" t="s">
        <v>2491</v>
      </c>
      <c r="M236" s="48" t="s">
        <v>2492</v>
      </c>
      <c r="N236" s="49"/>
      <c r="O236" s="50" t="s">
        <v>3173</v>
      </c>
      <c r="P236" s="59"/>
      <c r="Q236" s="59"/>
      <c r="R236" s="13"/>
    </row>
    <row r="237" spans="1:18" ht="18" thickBot="1" x14ac:dyDescent="0.35">
      <c r="A237" s="9" t="s">
        <v>11</v>
      </c>
      <c r="B237" s="28">
        <f>IF(ISBLANK(A237),0,INDEX(txtstylestab[],MATCH(A237,txtstylestab[style_Name],0),1))</f>
        <v>2</v>
      </c>
      <c r="C237" s="28">
        <f t="shared" si="13"/>
        <v>1</v>
      </c>
      <c r="D237" s="28">
        <f t="shared" si="14"/>
        <v>10</v>
      </c>
      <c r="E237" s="28">
        <f t="shared" si="15"/>
        <v>0</v>
      </c>
      <c r="F237" s="54" t="str">
        <f t="shared" si="16"/>
        <v>1.10.</v>
      </c>
      <c r="G237" s="54" t="s">
        <v>512</v>
      </c>
      <c r="H237" s="54"/>
      <c r="I237" s="54"/>
      <c r="J237" s="54"/>
      <c r="K237" s="54"/>
      <c r="L237" s="54"/>
      <c r="M237" s="54"/>
      <c r="N237" s="54"/>
      <c r="O237" s="54"/>
      <c r="P237" s="54"/>
      <c r="Q237" s="54"/>
      <c r="R237" s="13"/>
    </row>
    <row r="238" spans="1:18" ht="15.75" thickTop="1" x14ac:dyDescent="0.25">
      <c r="A238" s="9" t="s">
        <v>21</v>
      </c>
      <c r="B238" s="28">
        <f>IF(ISBLANK(A238),0,INDEX(txtstylestab[],MATCH(A238,txtstylestab[style_Name],0),1))</f>
        <v>0</v>
      </c>
      <c r="C238" s="28">
        <f t="shared" si="13"/>
        <v>1</v>
      </c>
      <c r="D238" s="28">
        <f t="shared" si="14"/>
        <v>10</v>
      </c>
      <c r="E238" s="28">
        <f t="shared" si="15"/>
        <v>0</v>
      </c>
      <c r="F238" s="59" t="str">
        <f t="shared" si="16"/>
        <v/>
      </c>
      <c r="G238" s="42" t="s">
        <v>82</v>
      </c>
      <c r="H238" s="43" t="s">
        <v>83</v>
      </c>
      <c r="I238" s="44" t="s">
        <v>84</v>
      </c>
      <c r="J238" s="45" t="s">
        <v>85</v>
      </c>
      <c r="K238" s="46" t="s">
        <v>86</v>
      </c>
      <c r="L238" s="47" t="s">
        <v>2398</v>
      </c>
      <c r="M238" s="48" t="s">
        <v>2540</v>
      </c>
      <c r="N238" s="49"/>
      <c r="O238" s="50" t="s">
        <v>3166</v>
      </c>
      <c r="P238" s="59"/>
      <c r="Q238" s="59"/>
      <c r="R238" s="13"/>
    </row>
    <row r="239" spans="1:18" ht="60" x14ac:dyDescent="0.25">
      <c r="A239" s="9" t="s">
        <v>21</v>
      </c>
      <c r="B239" s="28">
        <f>IF(ISBLANK(A239),0,INDEX(txtstylestab[],MATCH(A239,txtstylestab[style_Name],0),1))</f>
        <v>0</v>
      </c>
      <c r="C239" s="28">
        <f t="shared" si="13"/>
        <v>1</v>
      </c>
      <c r="D239" s="28">
        <f t="shared" si="14"/>
        <v>10</v>
      </c>
      <c r="E239" s="28">
        <f t="shared" si="15"/>
        <v>0</v>
      </c>
      <c r="F239" s="59" t="str">
        <f t="shared" si="16"/>
        <v/>
      </c>
      <c r="G239" s="42" t="s">
        <v>513</v>
      </c>
      <c r="H239" s="43" t="s">
        <v>2143</v>
      </c>
      <c r="I239" s="44" t="s">
        <v>2243</v>
      </c>
      <c r="J239" s="45" t="s">
        <v>514</v>
      </c>
      <c r="K239" s="46" t="s">
        <v>515</v>
      </c>
      <c r="L239" s="47" t="s">
        <v>2573</v>
      </c>
      <c r="M239" s="48" t="s">
        <v>2574</v>
      </c>
      <c r="N239" s="49"/>
      <c r="O239" s="50" t="s">
        <v>3362</v>
      </c>
      <c r="P239" s="59"/>
      <c r="Q239" s="59"/>
      <c r="R239" s="13"/>
    </row>
    <row r="240" spans="1:18" ht="60" x14ac:dyDescent="0.25">
      <c r="A240" s="9" t="s">
        <v>21</v>
      </c>
      <c r="B240" s="28">
        <f>IF(ISBLANK(A240),0,INDEX(txtstylestab[],MATCH(A240,txtstylestab[style_Name],0),1))</f>
        <v>0</v>
      </c>
      <c r="C240" s="28">
        <f t="shared" si="13"/>
        <v>1</v>
      </c>
      <c r="D240" s="28">
        <f t="shared" si="14"/>
        <v>10</v>
      </c>
      <c r="E240" s="28">
        <f t="shared" si="15"/>
        <v>0</v>
      </c>
      <c r="F240" s="59" t="str">
        <f t="shared" si="16"/>
        <v/>
      </c>
      <c r="G240" s="42" t="s">
        <v>516</v>
      </c>
      <c r="H240" s="43" t="s">
        <v>517</v>
      </c>
      <c r="I240" s="44" t="s">
        <v>518</v>
      </c>
      <c r="J240" s="45" t="s">
        <v>519</v>
      </c>
      <c r="K240" s="46" t="s">
        <v>520</v>
      </c>
      <c r="L240" s="47" t="s">
        <v>2575</v>
      </c>
      <c r="M240" s="48" t="s">
        <v>2576</v>
      </c>
      <c r="N240" s="49"/>
      <c r="O240" s="50" t="s">
        <v>3360</v>
      </c>
      <c r="P240" s="59"/>
      <c r="Q240" s="59"/>
      <c r="R240" s="13"/>
    </row>
    <row r="241" spans="1:18" ht="60" x14ac:dyDescent="0.25">
      <c r="A241" s="9" t="s">
        <v>21</v>
      </c>
      <c r="B241" s="28">
        <f>IF(ISBLANK(A241),0,INDEX(txtstylestab[],MATCH(A241,txtstylestab[style_Name],0),1))</f>
        <v>0</v>
      </c>
      <c r="C241" s="28">
        <f t="shared" si="13"/>
        <v>1</v>
      </c>
      <c r="D241" s="28">
        <f t="shared" si="14"/>
        <v>10</v>
      </c>
      <c r="E241" s="28">
        <f t="shared" si="15"/>
        <v>0</v>
      </c>
      <c r="F241" s="59" t="str">
        <f t="shared" si="16"/>
        <v/>
      </c>
      <c r="G241" s="42" t="s">
        <v>521</v>
      </c>
      <c r="H241" s="43" t="s">
        <v>2233</v>
      </c>
      <c r="I241" s="44" t="s">
        <v>2244</v>
      </c>
      <c r="J241" s="45" t="s">
        <v>522</v>
      </c>
      <c r="K241" s="46" t="s">
        <v>523</v>
      </c>
      <c r="L241" s="47" t="s">
        <v>2577</v>
      </c>
      <c r="M241" s="48" t="s">
        <v>2578</v>
      </c>
      <c r="N241" s="49"/>
      <c r="O241" s="50" t="s">
        <v>3363</v>
      </c>
      <c r="P241" s="59"/>
      <c r="Q241" s="59"/>
      <c r="R241" s="13"/>
    </row>
    <row r="242" spans="1:18" ht="90" x14ac:dyDescent="0.25">
      <c r="A242" s="9" t="s">
        <v>21</v>
      </c>
      <c r="B242" s="28">
        <f>IF(ISBLANK(A242),0,INDEX(txtstylestab[],MATCH(A242,txtstylestab[style_Name],0),1))</f>
        <v>0</v>
      </c>
      <c r="C242" s="28">
        <f t="shared" si="13"/>
        <v>1</v>
      </c>
      <c r="D242" s="28">
        <f t="shared" si="14"/>
        <v>10</v>
      </c>
      <c r="E242" s="28">
        <f t="shared" si="15"/>
        <v>0</v>
      </c>
      <c r="F242" s="59" t="str">
        <f t="shared" si="16"/>
        <v/>
      </c>
      <c r="G242" s="42" t="s">
        <v>2161</v>
      </c>
      <c r="H242" s="43" t="s">
        <v>2162</v>
      </c>
      <c r="I242" s="44" t="s">
        <v>2163</v>
      </c>
      <c r="J242" s="45" t="s">
        <v>2164</v>
      </c>
      <c r="K242" s="46" t="s">
        <v>2165</v>
      </c>
      <c r="L242" s="47" t="s">
        <v>2582</v>
      </c>
      <c r="M242" s="48" t="s">
        <v>2579</v>
      </c>
      <c r="N242" s="49"/>
      <c r="O242" s="50" t="s">
        <v>3361</v>
      </c>
      <c r="P242" s="59"/>
      <c r="Q242" s="59"/>
      <c r="R242" s="13"/>
    </row>
    <row r="243" spans="1:18" ht="105" x14ac:dyDescent="0.25">
      <c r="A243" s="9" t="s">
        <v>21</v>
      </c>
      <c r="B243" s="28">
        <f>IF(ISBLANK(A243),0,INDEX(txtstylestab[],MATCH(A243,txtstylestab[style_Name],0),1))</f>
        <v>0</v>
      </c>
      <c r="C243" s="28">
        <f t="shared" si="13"/>
        <v>1</v>
      </c>
      <c r="D243" s="28">
        <f t="shared" si="14"/>
        <v>10</v>
      </c>
      <c r="E243" s="28">
        <f t="shared" si="15"/>
        <v>0</v>
      </c>
      <c r="F243" s="59" t="str">
        <f t="shared" si="16"/>
        <v/>
      </c>
      <c r="G243" s="42" t="s">
        <v>2177</v>
      </c>
      <c r="H243" s="43" t="s">
        <v>2178</v>
      </c>
      <c r="I243" s="44" t="s">
        <v>2179</v>
      </c>
      <c r="J243" s="45" t="s">
        <v>2180</v>
      </c>
      <c r="K243" s="46" t="s">
        <v>2181</v>
      </c>
      <c r="L243" s="47" t="s">
        <v>2581</v>
      </c>
      <c r="M243" s="48" t="s">
        <v>2580</v>
      </c>
      <c r="N243" s="49"/>
      <c r="O243" s="50"/>
      <c r="P243" s="59"/>
      <c r="Q243" s="59"/>
      <c r="R243" s="13"/>
    </row>
    <row r="244" spans="1:18" x14ac:dyDescent="0.25">
      <c r="A244" s="9" t="s">
        <v>21</v>
      </c>
      <c r="B244" s="28">
        <f>IF(ISBLANK(A244),0,INDEX(txtstylestab[],MATCH(A244,txtstylestab[style_Name],0),1))</f>
        <v>0</v>
      </c>
      <c r="C244" s="28">
        <f t="shared" si="13"/>
        <v>1</v>
      </c>
      <c r="D244" s="28">
        <f t="shared" si="14"/>
        <v>10</v>
      </c>
      <c r="E244" s="28">
        <f t="shared" si="15"/>
        <v>0</v>
      </c>
      <c r="F244" s="59" t="str">
        <f t="shared" si="16"/>
        <v/>
      </c>
      <c r="G244" s="42" t="s">
        <v>6</v>
      </c>
      <c r="H244" s="43" t="s">
        <v>96</v>
      </c>
      <c r="I244" s="44" t="s">
        <v>48</v>
      </c>
      <c r="J244" s="45" t="s">
        <v>54</v>
      </c>
      <c r="K244" s="46" t="s">
        <v>59</v>
      </c>
      <c r="L244" s="47" t="s">
        <v>2525</v>
      </c>
      <c r="M244" s="48" t="s">
        <v>2492</v>
      </c>
      <c r="N244" s="49"/>
      <c r="O244" s="50" t="s">
        <v>3173</v>
      </c>
      <c r="P244" s="59"/>
      <c r="Q244" s="59"/>
      <c r="R244" s="13"/>
    </row>
    <row r="245" spans="1:18" ht="18" thickBot="1" x14ac:dyDescent="0.35">
      <c r="A245" s="9" t="s">
        <v>11</v>
      </c>
      <c r="B245" s="28">
        <f>IF(ISBLANK(A245),0,INDEX(txtstylestab[],MATCH(A245,txtstylestab[style_Name],0),1))</f>
        <v>2</v>
      </c>
      <c r="C245" s="28">
        <f t="shared" si="13"/>
        <v>1</v>
      </c>
      <c r="D245" s="28">
        <f t="shared" si="14"/>
        <v>11</v>
      </c>
      <c r="E245" s="28">
        <f t="shared" si="15"/>
        <v>0</v>
      </c>
      <c r="F245" s="54" t="str">
        <f t="shared" si="16"/>
        <v>1.11.</v>
      </c>
      <c r="G245" s="54" t="s">
        <v>524</v>
      </c>
      <c r="H245" s="54"/>
      <c r="I245" s="54"/>
      <c r="J245" s="54"/>
      <c r="K245" s="54"/>
      <c r="L245" s="54"/>
      <c r="M245" s="54"/>
      <c r="N245" s="54"/>
      <c r="O245" s="54"/>
      <c r="P245" s="54"/>
      <c r="Q245" s="54"/>
      <c r="R245" s="13"/>
    </row>
    <row r="246" spans="1:18" ht="15.75" thickTop="1" x14ac:dyDescent="0.25">
      <c r="A246" s="9" t="s">
        <v>21</v>
      </c>
      <c r="B246" s="28">
        <f>IF(ISBLANK(A246),0,INDEX(txtstylestab[],MATCH(A246,txtstylestab[style_Name],0),1))</f>
        <v>0</v>
      </c>
      <c r="C246" s="28">
        <f t="shared" si="13"/>
        <v>1</v>
      </c>
      <c r="D246" s="28">
        <f t="shared" si="14"/>
        <v>11</v>
      </c>
      <c r="E246" s="28">
        <f t="shared" si="15"/>
        <v>0</v>
      </c>
      <c r="F246" s="59" t="str">
        <f t="shared" si="16"/>
        <v/>
      </c>
      <c r="G246" s="42" t="s">
        <v>82</v>
      </c>
      <c r="H246" s="43" t="s">
        <v>83</v>
      </c>
      <c r="I246" s="44" t="s">
        <v>84</v>
      </c>
      <c r="J246" s="45" t="s">
        <v>85</v>
      </c>
      <c r="K246" s="46" t="s">
        <v>86</v>
      </c>
      <c r="L246" s="47" t="s">
        <v>2398</v>
      </c>
      <c r="M246" s="48" t="s">
        <v>2540</v>
      </c>
      <c r="N246" s="48"/>
      <c r="O246" s="48"/>
      <c r="P246" s="49"/>
      <c r="Q246" s="50"/>
      <c r="R246" s="13"/>
    </row>
    <row r="247" spans="1:18" ht="105" x14ac:dyDescent="0.25">
      <c r="A247" s="9" t="s">
        <v>21</v>
      </c>
      <c r="B247" s="28">
        <f>IF(ISBLANK(A247),0,INDEX(txtstylestab[],MATCH(A247,txtstylestab[style_Name],0),1))</f>
        <v>0</v>
      </c>
      <c r="C247" s="28">
        <f t="shared" si="13"/>
        <v>1</v>
      </c>
      <c r="D247" s="28">
        <f t="shared" si="14"/>
        <v>11</v>
      </c>
      <c r="E247" s="28">
        <f t="shared" si="15"/>
        <v>0</v>
      </c>
      <c r="F247" s="59" t="str">
        <f t="shared" si="16"/>
        <v/>
      </c>
      <c r="G247" s="42" t="s">
        <v>525</v>
      </c>
      <c r="H247" s="43" t="s">
        <v>2224</v>
      </c>
      <c r="I247" s="44" t="s">
        <v>2245</v>
      </c>
      <c r="J247" s="45" t="s">
        <v>526</v>
      </c>
      <c r="K247" s="46" t="s">
        <v>527</v>
      </c>
      <c r="L247" s="47" t="s">
        <v>2583</v>
      </c>
      <c r="M247" s="48" t="s">
        <v>2584</v>
      </c>
      <c r="N247" s="49"/>
      <c r="O247" s="49"/>
      <c r="P247" s="50"/>
      <c r="Q247" s="59"/>
      <c r="R247" s="13"/>
    </row>
    <row r="248" spans="1:18" x14ac:dyDescent="0.25">
      <c r="A248" s="9" t="s">
        <v>21</v>
      </c>
      <c r="B248" s="28">
        <f>IF(ISBLANK(A248),0,INDEX(txtstylestab[],MATCH(A248,txtstylestab[style_Name],0),1))</f>
        <v>0</v>
      </c>
      <c r="C248" s="28">
        <f t="shared" si="13"/>
        <v>1</v>
      </c>
      <c r="D248" s="28">
        <f t="shared" si="14"/>
        <v>11</v>
      </c>
      <c r="E248" s="28">
        <f t="shared" si="15"/>
        <v>0</v>
      </c>
      <c r="F248" s="59" t="str">
        <f t="shared" si="16"/>
        <v/>
      </c>
      <c r="G248" s="42" t="s">
        <v>6</v>
      </c>
      <c r="H248" s="43" t="s">
        <v>96</v>
      </c>
      <c r="I248" s="44" t="s">
        <v>48</v>
      </c>
      <c r="J248" s="45" t="s">
        <v>54</v>
      </c>
      <c r="K248" s="46" t="s">
        <v>59</v>
      </c>
      <c r="L248" s="47" t="s">
        <v>2491</v>
      </c>
      <c r="M248" s="48" t="s">
        <v>2526</v>
      </c>
      <c r="N248" s="49"/>
      <c r="O248" s="49"/>
      <c r="P248" s="50"/>
      <c r="Q248" s="59"/>
      <c r="R248" s="13"/>
    </row>
    <row r="249" spans="1:18" ht="15.75" thickBot="1" x14ac:dyDescent="0.3">
      <c r="A249" s="9" t="s">
        <v>12</v>
      </c>
      <c r="B249" s="28">
        <f>IF(ISBLANK(A249),0,INDEX(txtstylestab[],MATCH(A249,txtstylestab[style_Name],0),1))</f>
        <v>3</v>
      </c>
      <c r="C249" s="28">
        <f t="shared" si="13"/>
        <v>1</v>
      </c>
      <c r="D249" s="28">
        <f t="shared" si="14"/>
        <v>11</v>
      </c>
      <c r="E249" s="28">
        <f t="shared" si="15"/>
        <v>1</v>
      </c>
      <c r="F249" s="55" t="str">
        <f t="shared" si="16"/>
        <v>1.11.1.</v>
      </c>
      <c r="G249" s="55" t="s">
        <v>528</v>
      </c>
      <c r="H249" s="55"/>
      <c r="I249" s="55"/>
      <c r="J249" s="55"/>
      <c r="K249" s="55"/>
      <c r="L249" s="55"/>
      <c r="M249" s="55"/>
      <c r="N249" s="55"/>
      <c r="O249" s="55"/>
      <c r="P249" s="55"/>
      <c r="Q249" s="55"/>
      <c r="R249" s="13"/>
    </row>
    <row r="250" spans="1:18" x14ac:dyDescent="0.25">
      <c r="A250" s="9" t="s">
        <v>21</v>
      </c>
      <c r="B250" s="28">
        <f>IF(ISBLANK(A250),0,INDEX(txtstylestab[],MATCH(A250,txtstylestab[style_Name],0),1))</f>
        <v>0</v>
      </c>
      <c r="C250" s="28">
        <f t="shared" si="13"/>
        <v>1</v>
      </c>
      <c r="D250" s="28">
        <f t="shared" si="14"/>
        <v>11</v>
      </c>
      <c r="E250" s="28">
        <f t="shared" si="15"/>
        <v>1</v>
      </c>
      <c r="F250" s="59" t="str">
        <f t="shared" si="16"/>
        <v/>
      </c>
      <c r="G250" s="42" t="s">
        <v>82</v>
      </c>
      <c r="H250" s="43" t="s">
        <v>83</v>
      </c>
      <c r="I250" s="44" t="s">
        <v>84</v>
      </c>
      <c r="J250" s="45" t="s">
        <v>85</v>
      </c>
      <c r="K250" s="46" t="s">
        <v>86</v>
      </c>
      <c r="L250" s="47" t="s">
        <v>2398</v>
      </c>
      <c r="M250" s="48" t="s">
        <v>2540</v>
      </c>
      <c r="N250" s="49"/>
      <c r="O250" s="49"/>
      <c r="P250" s="50"/>
      <c r="Q250" s="59"/>
      <c r="R250" s="13"/>
    </row>
    <row r="251" spans="1:18" ht="75" x14ac:dyDescent="0.25">
      <c r="A251" s="9" t="s">
        <v>21</v>
      </c>
      <c r="B251" s="28">
        <f>IF(ISBLANK(A251),0,INDEX(txtstylestab[],MATCH(A251,txtstylestab[style_Name],0),1))</f>
        <v>0</v>
      </c>
      <c r="C251" s="28">
        <f t="shared" si="13"/>
        <v>1</v>
      </c>
      <c r="D251" s="28">
        <f t="shared" si="14"/>
        <v>11</v>
      </c>
      <c r="E251" s="28">
        <f t="shared" si="15"/>
        <v>1</v>
      </c>
      <c r="F251" s="59" t="str">
        <f t="shared" si="16"/>
        <v/>
      </c>
      <c r="G251" s="42" t="s">
        <v>534</v>
      </c>
      <c r="H251" s="43" t="s">
        <v>535</v>
      </c>
      <c r="I251" s="44" t="s">
        <v>498</v>
      </c>
      <c r="J251" s="45" t="s">
        <v>499</v>
      </c>
      <c r="K251" s="46" t="s">
        <v>500</v>
      </c>
      <c r="L251" s="47" t="s">
        <v>2569</v>
      </c>
      <c r="M251" s="48" t="s">
        <v>2570</v>
      </c>
      <c r="N251" s="49"/>
      <c r="O251" s="49"/>
      <c r="P251" s="50"/>
      <c r="Q251" s="59"/>
      <c r="R251" s="13"/>
    </row>
    <row r="252" spans="1:18" ht="45" x14ac:dyDescent="0.25">
      <c r="A252" s="9" t="s">
        <v>21</v>
      </c>
      <c r="B252" s="28">
        <f>IF(ISBLANK(A252),0,INDEX(txtstylestab[],MATCH(A252,txtstylestab[style_Name],0),1))</f>
        <v>0</v>
      </c>
      <c r="C252" s="28">
        <f t="shared" si="13"/>
        <v>1</v>
      </c>
      <c r="D252" s="28">
        <f t="shared" si="14"/>
        <v>11</v>
      </c>
      <c r="E252" s="28">
        <f t="shared" si="15"/>
        <v>1</v>
      </c>
      <c r="F252" s="59" t="str">
        <f t="shared" si="16"/>
        <v/>
      </c>
      <c r="G252" s="42" t="s">
        <v>536</v>
      </c>
      <c r="H252" s="43" t="s">
        <v>537</v>
      </c>
      <c r="I252" s="44" t="s">
        <v>503</v>
      </c>
      <c r="J252" s="45" t="s">
        <v>504</v>
      </c>
      <c r="K252" s="46" t="s">
        <v>538</v>
      </c>
      <c r="L252" s="47" t="s">
        <v>2523</v>
      </c>
      <c r="M252" s="48" t="s">
        <v>2524</v>
      </c>
      <c r="N252" s="49"/>
      <c r="O252" s="49"/>
      <c r="P252" s="50"/>
      <c r="Q252" s="59"/>
      <c r="R252" s="13"/>
    </row>
    <row r="253" spans="1:18" x14ac:dyDescent="0.25">
      <c r="A253" s="9" t="s">
        <v>21</v>
      </c>
      <c r="B253" s="28">
        <f>IF(ISBLANK(A253),0,INDEX(txtstylestab[],MATCH(A253,txtstylestab[style_Name],0),1))</f>
        <v>0</v>
      </c>
      <c r="C253" s="28">
        <f t="shared" si="13"/>
        <v>1</v>
      </c>
      <c r="D253" s="28">
        <f t="shared" si="14"/>
        <v>11</v>
      </c>
      <c r="E253" s="28">
        <f t="shared" si="15"/>
        <v>1</v>
      </c>
      <c r="F253" s="59" t="str">
        <f t="shared" si="16"/>
        <v/>
      </c>
      <c r="G253" s="42" t="s">
        <v>6</v>
      </c>
      <c r="H253" s="43" t="s">
        <v>26</v>
      </c>
      <c r="I253" s="44" t="s">
        <v>48</v>
      </c>
      <c r="J253" s="45" t="s">
        <v>54</v>
      </c>
      <c r="K253" s="46" t="s">
        <v>59</v>
      </c>
      <c r="L253" s="47" t="s">
        <v>2491</v>
      </c>
      <c r="M253" s="48" t="s">
        <v>2526</v>
      </c>
      <c r="N253" s="48"/>
      <c r="O253" s="48"/>
      <c r="P253" s="49"/>
      <c r="Q253" s="50"/>
      <c r="R253" s="13"/>
    </row>
    <row r="254" spans="1:18" ht="18" thickBot="1" x14ac:dyDescent="0.35">
      <c r="A254" s="9" t="s">
        <v>11</v>
      </c>
      <c r="B254" s="28">
        <f>IF(ISBLANK(A254),0,INDEX(txtstylestab[],MATCH(A254,txtstylestab[style_Name],0),1))</f>
        <v>2</v>
      </c>
      <c r="C254" s="28">
        <f t="shared" si="13"/>
        <v>1</v>
      </c>
      <c r="D254" s="28">
        <f t="shared" si="14"/>
        <v>12</v>
      </c>
      <c r="E254" s="28">
        <f t="shared" si="15"/>
        <v>0</v>
      </c>
      <c r="F254" s="54" t="str">
        <f t="shared" si="16"/>
        <v>1.12.</v>
      </c>
      <c r="G254" s="54" t="s">
        <v>539</v>
      </c>
      <c r="H254" s="54"/>
      <c r="I254" s="54"/>
      <c r="J254" s="54"/>
      <c r="K254" s="54"/>
      <c r="L254" s="54"/>
      <c r="M254" s="54"/>
      <c r="N254" s="54"/>
      <c r="O254" s="54"/>
      <c r="P254" s="54"/>
      <c r="Q254" s="54"/>
      <c r="R254" s="13"/>
    </row>
    <row r="255" spans="1:18" ht="16.5" thickTop="1" thickBot="1" x14ac:dyDescent="0.3">
      <c r="A255" s="9" t="s">
        <v>12</v>
      </c>
      <c r="B255" s="28">
        <f>IF(ISBLANK(A255),0,INDEX(txtstylestab[],MATCH(A255,txtstylestab[style_Name],0),1))</f>
        <v>3</v>
      </c>
      <c r="C255" s="28">
        <f t="shared" si="13"/>
        <v>1</v>
      </c>
      <c r="D255" s="28">
        <f t="shared" si="14"/>
        <v>12</v>
      </c>
      <c r="E255" s="28">
        <f t="shared" si="15"/>
        <v>1</v>
      </c>
      <c r="F255" s="55" t="str">
        <f t="shared" si="16"/>
        <v>1.12.1.</v>
      </c>
      <c r="G255" s="55" t="s">
        <v>540</v>
      </c>
      <c r="H255" s="55"/>
      <c r="I255" s="55"/>
      <c r="J255" s="55"/>
      <c r="K255" s="55"/>
      <c r="L255" s="55"/>
      <c r="M255" s="55"/>
      <c r="N255" s="55"/>
      <c r="O255" s="55"/>
      <c r="P255" s="55"/>
      <c r="Q255" s="55"/>
      <c r="R255" s="13"/>
    </row>
    <row r="256" spans="1:18" x14ac:dyDescent="0.25">
      <c r="A256" s="9" t="s">
        <v>21</v>
      </c>
      <c r="B256" s="28">
        <f>IF(ISBLANK(A256),0,INDEX(txtstylestab[],MATCH(A256,txtstylestab[style_Name],0),1))</f>
        <v>0</v>
      </c>
      <c r="C256" s="28">
        <f t="shared" si="13"/>
        <v>1</v>
      </c>
      <c r="D256" s="28">
        <f t="shared" si="14"/>
        <v>12</v>
      </c>
      <c r="E256" s="28">
        <f t="shared" si="15"/>
        <v>1</v>
      </c>
      <c r="F256" s="59" t="str">
        <f t="shared" si="16"/>
        <v/>
      </c>
      <c r="G256" s="42" t="s">
        <v>82</v>
      </c>
      <c r="H256" s="43" t="s">
        <v>83</v>
      </c>
      <c r="I256" s="44" t="s">
        <v>84</v>
      </c>
      <c r="J256" s="45" t="s">
        <v>85</v>
      </c>
      <c r="K256" s="46" t="s">
        <v>86</v>
      </c>
      <c r="L256" s="47" t="s">
        <v>2398</v>
      </c>
      <c r="M256" s="48" t="s">
        <v>2333</v>
      </c>
      <c r="N256" s="49"/>
      <c r="O256" s="50"/>
      <c r="P256" s="50"/>
      <c r="Q256" s="59"/>
      <c r="R256" s="13"/>
    </row>
    <row r="257" spans="1:18" ht="105" x14ac:dyDescent="0.25">
      <c r="A257" s="9" t="s">
        <v>21</v>
      </c>
      <c r="B257" s="28">
        <f>IF(ISBLANK(A257),0,INDEX(txtstylestab[],MATCH(A257,txtstylestab[style_Name],0),1))</f>
        <v>0</v>
      </c>
      <c r="C257" s="28">
        <f t="shared" si="13"/>
        <v>1</v>
      </c>
      <c r="D257" s="28">
        <f t="shared" si="14"/>
        <v>12</v>
      </c>
      <c r="E257" s="28">
        <f t="shared" si="15"/>
        <v>1</v>
      </c>
      <c r="F257" s="59" t="str">
        <f t="shared" si="16"/>
        <v/>
      </c>
      <c r="G257" s="42" t="s">
        <v>541</v>
      </c>
      <c r="H257" s="43" t="s">
        <v>2144</v>
      </c>
      <c r="I257" s="44" t="s">
        <v>2246</v>
      </c>
      <c r="J257" s="45" t="s">
        <v>542</v>
      </c>
      <c r="K257" s="46" t="s">
        <v>1715</v>
      </c>
      <c r="L257" s="47" t="s">
        <v>2585</v>
      </c>
      <c r="M257" s="48" t="s">
        <v>2586</v>
      </c>
      <c r="N257" s="49"/>
      <c r="O257" s="49"/>
      <c r="P257" s="50"/>
      <c r="Q257" s="59"/>
      <c r="R257" s="13"/>
    </row>
    <row r="258" spans="1:18" x14ac:dyDescent="0.25">
      <c r="A258" s="9" t="s">
        <v>21</v>
      </c>
      <c r="B258" s="28">
        <f>IF(ISBLANK(A258),0,INDEX(txtstylestab[],MATCH(A258,txtstylestab[style_Name],0),1))</f>
        <v>0</v>
      </c>
      <c r="C258" s="28">
        <f t="shared" si="13"/>
        <v>1</v>
      </c>
      <c r="D258" s="28">
        <f t="shared" si="14"/>
        <v>12</v>
      </c>
      <c r="E258" s="28">
        <f t="shared" si="15"/>
        <v>1</v>
      </c>
      <c r="F258" s="59" t="str">
        <f t="shared" si="16"/>
        <v/>
      </c>
      <c r="G258" s="42" t="s">
        <v>6</v>
      </c>
      <c r="H258" s="43" t="s">
        <v>96</v>
      </c>
      <c r="I258" s="44" t="s">
        <v>48</v>
      </c>
      <c r="J258" s="45" t="s">
        <v>54</v>
      </c>
      <c r="K258" s="46" t="s">
        <v>59</v>
      </c>
      <c r="L258" s="47" t="s">
        <v>2491</v>
      </c>
      <c r="M258" s="48" t="s">
        <v>2526</v>
      </c>
      <c r="N258" s="49"/>
      <c r="O258" s="49"/>
      <c r="P258" s="50"/>
      <c r="Q258" s="59"/>
      <c r="R258" s="13"/>
    </row>
    <row r="259" spans="1:18" ht="15.75" thickBot="1" x14ac:dyDescent="0.3">
      <c r="A259" s="9" t="s">
        <v>12</v>
      </c>
      <c r="B259" s="28">
        <f>IF(ISBLANK(A259),0,INDEX(txtstylestab[],MATCH(A259,txtstylestab[style_Name],0),1))</f>
        <v>3</v>
      </c>
      <c r="C259" s="28">
        <f t="shared" si="13"/>
        <v>1</v>
      </c>
      <c r="D259" s="28">
        <f t="shared" si="14"/>
        <v>12</v>
      </c>
      <c r="E259" s="28">
        <f t="shared" si="15"/>
        <v>2</v>
      </c>
      <c r="F259" s="55" t="str">
        <f t="shared" si="16"/>
        <v>1.12.2.</v>
      </c>
      <c r="G259" s="55" t="s">
        <v>543</v>
      </c>
      <c r="H259" s="55"/>
      <c r="I259" s="55"/>
      <c r="J259" s="55"/>
      <c r="K259" s="55"/>
      <c r="L259" s="55"/>
      <c r="M259" s="55"/>
      <c r="N259" s="55"/>
      <c r="O259" s="55"/>
      <c r="P259" s="55"/>
      <c r="Q259" s="55"/>
      <c r="R259" s="13"/>
    </row>
    <row r="260" spans="1:18" x14ac:dyDescent="0.25">
      <c r="A260" s="9" t="s">
        <v>21</v>
      </c>
      <c r="B260" s="28">
        <f>IF(ISBLANK(A260),0,INDEX(txtstylestab[],MATCH(A260,txtstylestab[style_Name],0),1))</f>
        <v>0</v>
      </c>
      <c r="C260" s="28">
        <f t="shared" ref="C260:C323" si="17">IF(B260=1,C259+1,C259)</f>
        <v>1</v>
      </c>
      <c r="D260" s="28">
        <f t="shared" ref="D260:D323" si="18">IF(B260=1,0,IF(B260=2,D259+1,IF(AND(B260=3,D259=0),1,D259)))</f>
        <v>12</v>
      </c>
      <c r="E260" s="28">
        <f t="shared" ref="E260:E323" si="19">IF(OR(B260=1,B260=2),0,IF(B260=3,E259+1,E259))</f>
        <v>2</v>
      </c>
      <c r="F260" s="59" t="str">
        <f t="shared" ref="F260:F323" si="20">IF(OR(B260=1,B260=2,B260=3),TEXT(C260,"#")&amp;".","")&amp;IF(OR(B260=2,B260=3),TEXT(D260,"#")&amp;".","")&amp;IF(B260=3,TEXT(E260,"#")&amp;".","")</f>
        <v/>
      </c>
      <c r="G260" s="42" t="s">
        <v>82</v>
      </c>
      <c r="H260" s="43" t="s">
        <v>83</v>
      </c>
      <c r="I260" s="44" t="s">
        <v>84</v>
      </c>
      <c r="J260" s="45" t="s">
        <v>85</v>
      </c>
      <c r="K260" s="46" t="s">
        <v>86</v>
      </c>
      <c r="L260" s="47" t="s">
        <v>2398</v>
      </c>
      <c r="M260" s="48" t="s">
        <v>2526</v>
      </c>
      <c r="N260" s="49"/>
      <c r="O260" s="50" t="s">
        <v>3364</v>
      </c>
      <c r="P260" s="59"/>
      <c r="Q260" s="59"/>
      <c r="R260" s="13"/>
    </row>
    <row r="261" spans="1:18" ht="105" x14ac:dyDescent="0.25">
      <c r="A261" s="9" t="s">
        <v>21</v>
      </c>
      <c r="B261" s="28">
        <f>IF(ISBLANK(A261),0,INDEX(txtstylestab[],MATCH(A261,txtstylestab[style_Name],0),1))</f>
        <v>0</v>
      </c>
      <c r="C261" s="28">
        <f t="shared" si="17"/>
        <v>1</v>
      </c>
      <c r="D261" s="28">
        <f t="shared" si="18"/>
        <v>12</v>
      </c>
      <c r="E261" s="28">
        <f t="shared" si="19"/>
        <v>2</v>
      </c>
      <c r="F261" s="59" t="str">
        <f t="shared" si="20"/>
        <v/>
      </c>
      <c r="G261" s="42" t="s">
        <v>544</v>
      </c>
      <c r="H261" s="43" t="s">
        <v>2145</v>
      </c>
      <c r="I261" s="44" t="s">
        <v>2247</v>
      </c>
      <c r="J261" s="45" t="s">
        <v>545</v>
      </c>
      <c r="K261" s="46" t="s">
        <v>1716</v>
      </c>
      <c r="L261" s="47" t="s">
        <v>2585</v>
      </c>
      <c r="M261" s="48" t="s">
        <v>2586</v>
      </c>
      <c r="N261" s="49"/>
      <c r="O261" s="50" t="s">
        <v>3365</v>
      </c>
      <c r="P261" s="59"/>
      <c r="Q261" s="59"/>
      <c r="R261" s="13"/>
    </row>
    <row r="262" spans="1:18" ht="60" x14ac:dyDescent="0.25">
      <c r="A262" s="9" t="s">
        <v>21</v>
      </c>
      <c r="B262" s="28">
        <f>IF(ISBLANK(A262),0,INDEX(txtstylestab[],MATCH(A262,txtstylestab[style_Name],0),1))</f>
        <v>0</v>
      </c>
      <c r="C262" s="28">
        <f t="shared" si="17"/>
        <v>1</v>
      </c>
      <c r="D262" s="28">
        <f t="shared" si="18"/>
        <v>12</v>
      </c>
      <c r="E262" s="28">
        <f t="shared" si="19"/>
        <v>2</v>
      </c>
      <c r="F262" s="59" t="str">
        <f t="shared" si="20"/>
        <v/>
      </c>
      <c r="G262" s="42" t="s">
        <v>546</v>
      </c>
      <c r="H262" s="43" t="s">
        <v>2225</v>
      </c>
      <c r="I262" s="44" t="s">
        <v>2248</v>
      </c>
      <c r="J262" s="45" t="s">
        <v>547</v>
      </c>
      <c r="K262" s="46" t="s">
        <v>1740</v>
      </c>
      <c r="L262" s="47" t="s">
        <v>2587</v>
      </c>
      <c r="M262" s="48" t="s">
        <v>2588</v>
      </c>
      <c r="N262" s="49"/>
      <c r="O262" s="50" t="s">
        <v>3366</v>
      </c>
      <c r="P262" s="59"/>
      <c r="Q262" s="59"/>
      <c r="R262" s="13"/>
    </row>
    <row r="263" spans="1:18" ht="60" x14ac:dyDescent="0.25">
      <c r="A263" s="9" t="s">
        <v>21</v>
      </c>
      <c r="B263" s="28">
        <f>IF(ISBLANK(A263),0,INDEX(txtstylestab[],MATCH(A263,txtstylestab[style_Name],0),1))</f>
        <v>0</v>
      </c>
      <c r="C263" s="28">
        <f t="shared" si="17"/>
        <v>1</v>
      </c>
      <c r="D263" s="28">
        <f t="shared" si="18"/>
        <v>12</v>
      </c>
      <c r="E263" s="28">
        <f t="shared" si="19"/>
        <v>2</v>
      </c>
      <c r="F263" s="59" t="str">
        <f t="shared" si="20"/>
        <v/>
      </c>
      <c r="G263" s="42" t="s">
        <v>548</v>
      </c>
      <c r="H263" s="43" t="s">
        <v>549</v>
      </c>
      <c r="I263" s="44" t="s">
        <v>550</v>
      </c>
      <c r="J263" s="45" t="s">
        <v>551</v>
      </c>
      <c r="K263" s="46" t="s">
        <v>1602</v>
      </c>
      <c r="L263" s="47" t="s">
        <v>2589</v>
      </c>
      <c r="M263" s="48" t="s">
        <v>2590</v>
      </c>
      <c r="N263" s="49"/>
      <c r="O263" s="50" t="s">
        <v>3367</v>
      </c>
      <c r="P263" s="59"/>
      <c r="Q263" s="59"/>
      <c r="R263" s="13"/>
    </row>
    <row r="264" spans="1:18" x14ac:dyDescent="0.25">
      <c r="A264" s="9" t="s">
        <v>21</v>
      </c>
      <c r="B264" s="28">
        <f>IF(ISBLANK(A264),0,INDEX(txtstylestab[],MATCH(A264,txtstylestab[style_Name],0),1))</f>
        <v>0</v>
      </c>
      <c r="C264" s="28">
        <f t="shared" si="17"/>
        <v>1</v>
      </c>
      <c r="D264" s="28">
        <f t="shared" si="18"/>
        <v>12</v>
      </c>
      <c r="E264" s="28">
        <f t="shared" si="19"/>
        <v>2</v>
      </c>
      <c r="F264" s="59" t="str">
        <f t="shared" si="20"/>
        <v/>
      </c>
      <c r="G264" s="42" t="s">
        <v>6</v>
      </c>
      <c r="H264" s="43" t="s">
        <v>96</v>
      </c>
      <c r="I264" s="44" t="s">
        <v>48</v>
      </c>
      <c r="J264" s="45" t="s">
        <v>54</v>
      </c>
      <c r="K264" s="46" t="s">
        <v>59</v>
      </c>
      <c r="L264" s="47" t="s">
        <v>2491</v>
      </c>
      <c r="M264" s="48" t="s">
        <v>2492</v>
      </c>
      <c r="N264" s="49"/>
      <c r="O264" s="50" t="s">
        <v>3173</v>
      </c>
      <c r="P264" s="59"/>
      <c r="Q264" s="59"/>
      <c r="R264" s="13"/>
    </row>
    <row r="265" spans="1:18" ht="15.75" thickBot="1" x14ac:dyDescent="0.3">
      <c r="A265" s="9" t="s">
        <v>12</v>
      </c>
      <c r="B265" s="28">
        <f>IF(ISBLANK(A265),0,INDEX(txtstylestab[],MATCH(A265,txtstylestab[style_Name],0),1))</f>
        <v>3</v>
      </c>
      <c r="C265" s="28">
        <f t="shared" si="17"/>
        <v>1</v>
      </c>
      <c r="D265" s="28">
        <f t="shared" si="18"/>
        <v>12</v>
      </c>
      <c r="E265" s="28">
        <f t="shared" si="19"/>
        <v>3</v>
      </c>
      <c r="F265" s="55" t="str">
        <f t="shared" si="20"/>
        <v>1.12.3.</v>
      </c>
      <c r="G265" s="55" t="s">
        <v>552</v>
      </c>
      <c r="H265" s="55"/>
      <c r="I265" s="55"/>
      <c r="J265" s="55"/>
      <c r="K265" s="55"/>
      <c r="L265" s="55"/>
      <c r="M265" s="55"/>
      <c r="N265" s="55"/>
      <c r="O265" s="55"/>
      <c r="P265" s="55"/>
      <c r="Q265" s="55"/>
      <c r="R265" s="13"/>
    </row>
    <row r="266" spans="1:18" x14ac:dyDescent="0.25">
      <c r="A266" s="9" t="s">
        <v>21</v>
      </c>
      <c r="B266" s="28">
        <f>IF(ISBLANK(A266),0,INDEX(txtstylestab[],MATCH(A266,txtstylestab[style_Name],0),1))</f>
        <v>0</v>
      </c>
      <c r="C266" s="28">
        <f t="shared" si="17"/>
        <v>1</v>
      </c>
      <c r="D266" s="28">
        <f t="shared" si="18"/>
        <v>12</v>
      </c>
      <c r="E266" s="28">
        <f t="shared" si="19"/>
        <v>3</v>
      </c>
      <c r="F266" s="59" t="str">
        <f t="shared" si="20"/>
        <v/>
      </c>
      <c r="G266" s="42" t="s">
        <v>82</v>
      </c>
      <c r="H266" s="43" t="s">
        <v>83</v>
      </c>
      <c r="I266" s="44" t="s">
        <v>84</v>
      </c>
      <c r="J266" s="45" t="s">
        <v>85</v>
      </c>
      <c r="K266" s="46" t="s">
        <v>86</v>
      </c>
      <c r="L266" s="47" t="s">
        <v>2398</v>
      </c>
      <c r="M266" s="48" t="s">
        <v>2540</v>
      </c>
      <c r="N266" s="49"/>
      <c r="O266" s="50" t="s">
        <v>3364</v>
      </c>
      <c r="P266" s="50"/>
      <c r="Q266" s="59"/>
      <c r="R266" s="13"/>
    </row>
    <row r="267" spans="1:18" ht="75" x14ac:dyDescent="0.25">
      <c r="A267" s="9" t="s">
        <v>21</v>
      </c>
      <c r="B267" s="28">
        <f>IF(ISBLANK(A267),0,INDEX(txtstylestab[],MATCH(A267,txtstylestab[style_Name],0),1))</f>
        <v>0</v>
      </c>
      <c r="C267" s="28">
        <f t="shared" si="17"/>
        <v>1</v>
      </c>
      <c r="D267" s="28">
        <f t="shared" si="18"/>
        <v>12</v>
      </c>
      <c r="E267" s="28">
        <f t="shared" si="19"/>
        <v>3</v>
      </c>
      <c r="F267" s="59" t="str">
        <f t="shared" si="20"/>
        <v/>
      </c>
      <c r="G267" s="42" t="s">
        <v>553</v>
      </c>
      <c r="H267" s="43" t="s">
        <v>554</v>
      </c>
      <c r="I267" s="44" t="s">
        <v>1635</v>
      </c>
      <c r="J267" s="45" t="s">
        <v>1621</v>
      </c>
      <c r="K267" s="46" t="s">
        <v>1603</v>
      </c>
      <c r="L267" s="47" t="s">
        <v>2591</v>
      </c>
      <c r="M267" s="48" t="s">
        <v>2592</v>
      </c>
      <c r="N267" s="49"/>
      <c r="O267" s="50" t="s">
        <v>3368</v>
      </c>
      <c r="P267" s="59"/>
      <c r="Q267" s="59"/>
      <c r="R267" s="13"/>
    </row>
    <row r="268" spans="1:18" ht="45" x14ac:dyDescent="0.25">
      <c r="A268" s="9" t="s">
        <v>21</v>
      </c>
      <c r="B268" s="28">
        <f>IF(ISBLANK(A268),0,INDEX(txtstylestab[],MATCH(A268,txtstylestab[style_Name],0),1))</f>
        <v>0</v>
      </c>
      <c r="C268" s="28">
        <f t="shared" si="17"/>
        <v>1</v>
      </c>
      <c r="D268" s="28">
        <f t="shared" si="18"/>
        <v>12</v>
      </c>
      <c r="E268" s="28">
        <f t="shared" si="19"/>
        <v>3</v>
      </c>
      <c r="F268" s="59" t="str">
        <f t="shared" si="20"/>
        <v/>
      </c>
      <c r="G268" s="42" t="s">
        <v>536</v>
      </c>
      <c r="H268" s="43" t="s">
        <v>537</v>
      </c>
      <c r="I268" s="44" t="s">
        <v>503</v>
      </c>
      <c r="J268" s="45" t="s">
        <v>504</v>
      </c>
      <c r="K268" s="46" t="s">
        <v>538</v>
      </c>
      <c r="L268" s="47" t="s">
        <v>2523</v>
      </c>
      <c r="M268" s="48" t="s">
        <v>2524</v>
      </c>
      <c r="N268" s="49"/>
      <c r="O268" s="50" t="s">
        <v>3358</v>
      </c>
      <c r="P268" s="59"/>
      <c r="Q268" s="59"/>
      <c r="R268" s="13"/>
    </row>
    <row r="269" spans="1:18" x14ac:dyDescent="0.25">
      <c r="A269" s="9" t="s">
        <v>21</v>
      </c>
      <c r="B269" s="28">
        <f>IF(ISBLANK(A269),0,INDEX(txtstylestab[],MATCH(A269,txtstylestab[style_Name],0),1))</f>
        <v>0</v>
      </c>
      <c r="C269" s="28">
        <f t="shared" si="17"/>
        <v>1</v>
      </c>
      <c r="D269" s="28">
        <f t="shared" si="18"/>
        <v>12</v>
      </c>
      <c r="E269" s="28">
        <f t="shared" si="19"/>
        <v>3</v>
      </c>
      <c r="F269" s="59" t="str">
        <f t="shared" si="20"/>
        <v/>
      </c>
      <c r="G269" s="42" t="s">
        <v>6</v>
      </c>
      <c r="H269" s="43" t="s">
        <v>26</v>
      </c>
      <c r="I269" s="44" t="s">
        <v>48</v>
      </c>
      <c r="J269" s="45" t="s">
        <v>54</v>
      </c>
      <c r="K269" s="46" t="s">
        <v>59</v>
      </c>
      <c r="L269" s="47" t="s">
        <v>2491</v>
      </c>
      <c r="M269" s="48" t="s">
        <v>2492</v>
      </c>
      <c r="N269" s="49"/>
      <c r="O269" s="50" t="s">
        <v>3173</v>
      </c>
      <c r="P269" s="59"/>
      <c r="Q269" s="59"/>
      <c r="R269" s="13"/>
    </row>
    <row r="270" spans="1:18" ht="18" thickBot="1" x14ac:dyDescent="0.35">
      <c r="A270" s="9" t="s">
        <v>11</v>
      </c>
      <c r="B270" s="28">
        <f>IF(ISBLANK(A270),0,INDEX(txtstylestab[],MATCH(A270,txtstylestab[style_Name],0),1))</f>
        <v>2</v>
      </c>
      <c r="C270" s="28">
        <f t="shared" si="17"/>
        <v>1</v>
      </c>
      <c r="D270" s="28">
        <f t="shared" si="18"/>
        <v>13</v>
      </c>
      <c r="E270" s="28">
        <f t="shared" si="19"/>
        <v>0</v>
      </c>
      <c r="F270" s="54" t="str">
        <f t="shared" si="20"/>
        <v>1.13.</v>
      </c>
      <c r="G270" s="54" t="s">
        <v>555</v>
      </c>
      <c r="H270" s="54"/>
      <c r="I270" s="54"/>
      <c r="J270" s="54"/>
      <c r="K270" s="54"/>
      <c r="L270" s="54"/>
      <c r="M270" s="54"/>
      <c r="N270" s="54"/>
      <c r="O270" s="54"/>
      <c r="P270" s="54"/>
      <c r="Q270" s="54"/>
      <c r="R270" s="13"/>
    </row>
    <row r="271" spans="1:18" ht="15.75" thickTop="1" x14ac:dyDescent="0.25">
      <c r="A271" s="9" t="s">
        <v>21</v>
      </c>
      <c r="B271" s="28">
        <f>IF(ISBLANK(A271),0,INDEX(txtstylestab[],MATCH(A271,txtstylestab[style_Name],0),1))</f>
        <v>0</v>
      </c>
      <c r="C271" s="28">
        <f t="shared" si="17"/>
        <v>1</v>
      </c>
      <c r="D271" s="28">
        <f t="shared" si="18"/>
        <v>13</v>
      </c>
      <c r="E271" s="28">
        <f t="shared" si="19"/>
        <v>0</v>
      </c>
      <c r="F271" s="59" t="str">
        <f t="shared" si="20"/>
        <v/>
      </c>
      <c r="G271" s="42" t="s">
        <v>82</v>
      </c>
      <c r="H271" s="43" t="s">
        <v>83</v>
      </c>
      <c r="I271" s="44" t="s">
        <v>84</v>
      </c>
      <c r="J271" s="45" t="s">
        <v>85</v>
      </c>
      <c r="K271" s="46" t="s">
        <v>86</v>
      </c>
      <c r="L271" s="47" t="s">
        <v>2398</v>
      </c>
      <c r="M271" s="48" t="s">
        <v>2540</v>
      </c>
      <c r="N271" s="49"/>
      <c r="O271" s="50" t="s">
        <v>3364</v>
      </c>
      <c r="P271" s="50"/>
      <c r="Q271" s="59"/>
      <c r="R271" s="13"/>
    </row>
    <row r="272" spans="1:18" ht="45" x14ac:dyDescent="0.25">
      <c r="A272" s="9" t="s">
        <v>21</v>
      </c>
      <c r="B272" s="28">
        <f>IF(ISBLANK(A272),0,INDEX(txtstylestab[],MATCH(A272,txtstylestab[style_Name],0),1))</f>
        <v>0</v>
      </c>
      <c r="C272" s="28">
        <f t="shared" si="17"/>
        <v>1</v>
      </c>
      <c r="D272" s="28">
        <f t="shared" si="18"/>
        <v>13</v>
      </c>
      <c r="E272" s="28">
        <f t="shared" si="19"/>
        <v>0</v>
      </c>
      <c r="F272" s="59" t="str">
        <f t="shared" si="20"/>
        <v/>
      </c>
      <c r="G272" s="42" t="s">
        <v>556</v>
      </c>
      <c r="H272" s="43" t="s">
        <v>2226</v>
      </c>
      <c r="I272" s="44" t="s">
        <v>2249</v>
      </c>
      <c r="J272" s="45" t="s">
        <v>557</v>
      </c>
      <c r="K272" s="46" t="s">
        <v>1717</v>
      </c>
      <c r="L272" s="47" t="s">
        <v>2593</v>
      </c>
      <c r="M272" s="48" t="s">
        <v>2594</v>
      </c>
      <c r="N272" s="49"/>
      <c r="O272" s="50" t="s">
        <v>3369</v>
      </c>
      <c r="P272" s="59"/>
      <c r="Q272" s="59"/>
      <c r="R272" s="13"/>
    </row>
    <row r="273" spans="1:18" x14ac:dyDescent="0.25">
      <c r="A273" s="9" t="s">
        <v>21</v>
      </c>
      <c r="B273" s="28">
        <f>IF(ISBLANK(A273),0,INDEX(txtstylestab[],MATCH(A273,txtstylestab[style_Name],0),1))</f>
        <v>0</v>
      </c>
      <c r="C273" s="28">
        <f t="shared" si="17"/>
        <v>1</v>
      </c>
      <c r="D273" s="28">
        <f t="shared" si="18"/>
        <v>13</v>
      </c>
      <c r="E273" s="28">
        <f t="shared" si="19"/>
        <v>0</v>
      </c>
      <c r="F273" s="59" t="str">
        <f t="shared" si="20"/>
        <v/>
      </c>
      <c r="G273" s="42" t="s">
        <v>6</v>
      </c>
      <c r="H273" s="43" t="s">
        <v>26</v>
      </c>
      <c r="I273" s="44" t="s">
        <v>48</v>
      </c>
      <c r="J273" s="45" t="s">
        <v>54</v>
      </c>
      <c r="K273" s="46" t="s">
        <v>59</v>
      </c>
      <c r="L273" s="47" t="s">
        <v>2491</v>
      </c>
      <c r="M273" s="48" t="s">
        <v>2492</v>
      </c>
      <c r="N273" s="49"/>
      <c r="O273" s="50" t="s">
        <v>3173</v>
      </c>
      <c r="P273" s="50"/>
      <c r="Q273" s="59"/>
      <c r="R273" s="13"/>
    </row>
    <row r="274" spans="1:18" ht="18" thickBot="1" x14ac:dyDescent="0.35">
      <c r="A274" s="9" t="s">
        <v>11</v>
      </c>
      <c r="B274" s="28">
        <f>IF(ISBLANK(A274),0,INDEX(txtstylestab[],MATCH(A274,txtstylestab[style_Name],0),1))</f>
        <v>2</v>
      </c>
      <c r="C274" s="28">
        <f t="shared" si="17"/>
        <v>1</v>
      </c>
      <c r="D274" s="28">
        <f t="shared" si="18"/>
        <v>14</v>
      </c>
      <c r="E274" s="28">
        <f t="shared" si="19"/>
        <v>0</v>
      </c>
      <c r="F274" s="54" t="str">
        <f t="shared" si="20"/>
        <v>1.14.</v>
      </c>
      <c r="G274" s="54" t="s">
        <v>1837</v>
      </c>
      <c r="H274" s="54"/>
      <c r="I274" s="54"/>
      <c r="J274" s="54"/>
      <c r="K274" s="54"/>
      <c r="L274" s="54"/>
      <c r="M274" s="54"/>
      <c r="N274" s="54"/>
      <c r="O274" s="54"/>
      <c r="P274" s="54"/>
      <c r="Q274" s="54"/>
      <c r="R274" s="13"/>
    </row>
    <row r="275" spans="1:18" ht="15.75" thickTop="1" x14ac:dyDescent="0.25">
      <c r="A275" s="9" t="s">
        <v>21</v>
      </c>
      <c r="B275" s="28">
        <f>IF(ISBLANK(A275),0,INDEX(txtstylestab[],MATCH(A275,txtstylestab[style_Name],0),1))</f>
        <v>0</v>
      </c>
      <c r="C275" s="28">
        <f t="shared" si="17"/>
        <v>1</v>
      </c>
      <c r="D275" s="28">
        <f t="shared" si="18"/>
        <v>14</v>
      </c>
      <c r="E275" s="28">
        <f t="shared" si="19"/>
        <v>0</v>
      </c>
      <c r="F275" s="59" t="str">
        <f t="shared" si="20"/>
        <v/>
      </c>
      <c r="G275" s="42" t="s">
        <v>82</v>
      </c>
      <c r="H275" s="43" t="s">
        <v>83</v>
      </c>
      <c r="I275" s="44" t="s">
        <v>84</v>
      </c>
      <c r="J275" s="45" t="s">
        <v>85</v>
      </c>
      <c r="K275" s="46" t="s">
        <v>86</v>
      </c>
      <c r="L275" s="47" t="s">
        <v>2398</v>
      </c>
      <c r="M275" s="47" t="s">
        <v>2540</v>
      </c>
      <c r="N275" s="48"/>
      <c r="O275" s="50" t="s">
        <v>3364</v>
      </c>
      <c r="P275" s="49"/>
      <c r="Q275" s="50"/>
      <c r="R275" s="13"/>
    </row>
    <row r="276" spans="1:18" ht="30" x14ac:dyDescent="0.25">
      <c r="A276" s="9" t="s">
        <v>21</v>
      </c>
      <c r="B276" s="28">
        <f>IF(ISBLANK(A276),0,INDEX(txtstylestab[],MATCH(A276,txtstylestab[style_Name],0),1))</f>
        <v>0</v>
      </c>
      <c r="C276" s="28">
        <f t="shared" si="17"/>
        <v>1</v>
      </c>
      <c r="D276" s="28">
        <f t="shared" si="18"/>
        <v>14</v>
      </c>
      <c r="E276" s="28">
        <f t="shared" si="19"/>
        <v>0</v>
      </c>
      <c r="F276" s="59" t="str">
        <f t="shared" si="20"/>
        <v/>
      </c>
      <c r="G276" s="42" t="s">
        <v>558</v>
      </c>
      <c r="H276" s="43" t="s">
        <v>559</v>
      </c>
      <c r="I276" s="44" t="s">
        <v>560</v>
      </c>
      <c r="J276" s="45" t="s">
        <v>1764</v>
      </c>
      <c r="K276" s="46" t="s">
        <v>561</v>
      </c>
      <c r="L276" s="47" t="s">
        <v>2595</v>
      </c>
      <c r="M276" s="48" t="s">
        <v>2596</v>
      </c>
      <c r="N276" s="49"/>
      <c r="O276" s="50"/>
      <c r="P276" s="59"/>
      <c r="Q276" s="59"/>
      <c r="R276" s="13"/>
    </row>
    <row r="277" spans="1:18" ht="30" x14ac:dyDescent="0.25">
      <c r="A277" s="9" t="s">
        <v>21</v>
      </c>
      <c r="B277" s="28">
        <f>IF(ISBLANK(A277),0,INDEX(txtstylestab[],MATCH(A277,txtstylestab[style_Name],0),1))</f>
        <v>0</v>
      </c>
      <c r="C277" s="28">
        <f t="shared" si="17"/>
        <v>1</v>
      </c>
      <c r="D277" s="28">
        <f t="shared" si="18"/>
        <v>14</v>
      </c>
      <c r="E277" s="28">
        <f t="shared" si="19"/>
        <v>0</v>
      </c>
      <c r="F277" s="59" t="str">
        <f t="shared" si="20"/>
        <v/>
      </c>
      <c r="G277" s="42"/>
      <c r="H277" s="43"/>
      <c r="I277" s="44" t="s">
        <v>413</v>
      </c>
      <c r="J277" s="45" t="s">
        <v>414</v>
      </c>
      <c r="K277" s="46" t="s">
        <v>415</v>
      </c>
      <c r="L277" s="47"/>
      <c r="M277" s="48"/>
      <c r="N277" s="49"/>
      <c r="O277" s="50" t="s">
        <v>3370</v>
      </c>
      <c r="P277" s="59"/>
      <c r="Q277" s="59"/>
      <c r="R277" s="13"/>
    </row>
    <row r="278" spans="1:18" ht="30" x14ac:dyDescent="0.25">
      <c r="A278" s="9" t="s">
        <v>21</v>
      </c>
      <c r="B278" s="28">
        <f>IF(ISBLANK(A278),0,INDEX(txtstylestab[],MATCH(A278,txtstylestab[style_Name],0),1))</f>
        <v>0</v>
      </c>
      <c r="C278" s="28">
        <f t="shared" si="17"/>
        <v>1</v>
      </c>
      <c r="D278" s="28">
        <f t="shared" si="18"/>
        <v>14</v>
      </c>
      <c r="E278" s="28">
        <f t="shared" si="19"/>
        <v>0</v>
      </c>
      <c r="F278" s="59" t="str">
        <f t="shared" si="20"/>
        <v/>
      </c>
      <c r="G278" s="42" t="s">
        <v>2288</v>
      </c>
      <c r="H278" s="43" t="s">
        <v>2291</v>
      </c>
      <c r="I278" s="44" t="s">
        <v>563</v>
      </c>
      <c r="J278" s="45" t="s">
        <v>564</v>
      </c>
      <c r="K278" s="46" t="s">
        <v>565</v>
      </c>
      <c r="L278" s="47" t="s">
        <v>2597</v>
      </c>
      <c r="M278" s="48" t="s">
        <v>2601</v>
      </c>
      <c r="N278" s="49"/>
      <c r="O278" s="50" t="s">
        <v>3371</v>
      </c>
      <c r="P278" s="59"/>
      <c r="Q278" s="59"/>
      <c r="R278" s="13"/>
    </row>
    <row r="279" spans="1:18" ht="30" x14ac:dyDescent="0.25">
      <c r="A279" s="9" t="s">
        <v>21</v>
      </c>
      <c r="B279" s="28">
        <f>IF(ISBLANK(A279),0,INDEX(txtstylestab[],MATCH(A279,txtstylestab[style_Name],0),1))</f>
        <v>0</v>
      </c>
      <c r="C279" s="28">
        <f t="shared" si="17"/>
        <v>1</v>
      </c>
      <c r="D279" s="28">
        <f t="shared" si="18"/>
        <v>14</v>
      </c>
      <c r="E279" s="28">
        <f t="shared" si="19"/>
        <v>0</v>
      </c>
      <c r="F279" s="59" t="str">
        <f t="shared" si="20"/>
        <v/>
      </c>
      <c r="G279" s="42" t="s">
        <v>2289</v>
      </c>
      <c r="H279" s="43" t="s">
        <v>2292</v>
      </c>
      <c r="I279" s="44" t="s">
        <v>2125</v>
      </c>
      <c r="J279" s="45" t="s">
        <v>566</v>
      </c>
      <c r="K279" s="46" t="s">
        <v>567</v>
      </c>
      <c r="L279" s="47" t="s">
        <v>2598</v>
      </c>
      <c r="M279" s="48" t="s">
        <v>2602</v>
      </c>
      <c r="N279" s="49"/>
      <c r="O279" s="50" t="s">
        <v>3372</v>
      </c>
      <c r="P279" s="59"/>
      <c r="Q279" s="59"/>
      <c r="R279" s="13"/>
    </row>
    <row r="280" spans="1:18" ht="60" x14ac:dyDescent="0.25">
      <c r="A280" s="9" t="s">
        <v>21</v>
      </c>
      <c r="B280" s="28">
        <f>IF(ISBLANK(A280),0,INDEX(txtstylestab[],MATCH(A280,txtstylestab[style_Name],0),1))</f>
        <v>0</v>
      </c>
      <c r="C280" s="28">
        <f t="shared" si="17"/>
        <v>1</v>
      </c>
      <c r="D280" s="28">
        <f t="shared" si="18"/>
        <v>14</v>
      </c>
      <c r="E280" s="28">
        <f t="shared" si="19"/>
        <v>0</v>
      </c>
      <c r="F280" s="59" t="str">
        <f t="shared" si="20"/>
        <v/>
      </c>
      <c r="G280" s="42" t="s">
        <v>2290</v>
      </c>
      <c r="H280" s="43" t="s">
        <v>2293</v>
      </c>
      <c r="I280" s="44" t="s">
        <v>2126</v>
      </c>
      <c r="J280" s="45" t="s">
        <v>568</v>
      </c>
      <c r="K280" s="46" t="s">
        <v>569</v>
      </c>
      <c r="L280" s="47" t="s">
        <v>2603</v>
      </c>
      <c r="M280" s="48" t="s">
        <v>2604</v>
      </c>
      <c r="N280" s="49"/>
      <c r="O280" s="50" t="s">
        <v>3373</v>
      </c>
      <c r="P280" s="59"/>
      <c r="Q280" s="59"/>
      <c r="R280" s="13"/>
    </row>
    <row r="281" spans="1:18" ht="45" x14ac:dyDescent="0.25">
      <c r="A281" s="9" t="s">
        <v>21</v>
      </c>
      <c r="B281" s="28">
        <f>IF(ISBLANK(A281),0,INDEX(txtstylestab[],MATCH(A281,txtstylestab[style_Name],0),1))</f>
        <v>0</v>
      </c>
      <c r="C281" s="28">
        <f t="shared" si="17"/>
        <v>1</v>
      </c>
      <c r="D281" s="28">
        <f t="shared" si="18"/>
        <v>14</v>
      </c>
      <c r="E281" s="28">
        <f t="shared" si="19"/>
        <v>0</v>
      </c>
      <c r="F281" s="59" t="str">
        <f t="shared" si="20"/>
        <v/>
      </c>
      <c r="G281" s="42" t="s">
        <v>570</v>
      </c>
      <c r="H281" s="43" t="s">
        <v>571</v>
      </c>
      <c r="I281" s="44" t="s">
        <v>572</v>
      </c>
      <c r="J281" s="45" t="s">
        <v>573</v>
      </c>
      <c r="K281" s="46" t="s">
        <v>574</v>
      </c>
      <c r="L281" s="47" t="s">
        <v>2599</v>
      </c>
      <c r="M281" s="48" t="s">
        <v>2605</v>
      </c>
      <c r="N281" s="49"/>
      <c r="O281" s="50" t="s">
        <v>3374</v>
      </c>
      <c r="P281" s="59"/>
      <c r="Q281" s="59"/>
      <c r="R281" s="13"/>
    </row>
    <row r="282" spans="1:18" ht="60" x14ac:dyDescent="0.25">
      <c r="A282" s="9" t="s">
        <v>21</v>
      </c>
      <c r="B282" s="28">
        <f>IF(ISBLANK(A282),0,INDEX(txtstylestab[],MATCH(A282,txtstylestab[style_Name],0),1))</f>
        <v>0</v>
      </c>
      <c r="C282" s="28">
        <f t="shared" si="17"/>
        <v>1</v>
      </c>
      <c r="D282" s="28">
        <f t="shared" si="18"/>
        <v>14</v>
      </c>
      <c r="E282" s="28">
        <f t="shared" si="19"/>
        <v>0</v>
      </c>
      <c r="F282" s="59" t="str">
        <f t="shared" si="20"/>
        <v/>
      </c>
      <c r="G282" s="42" t="s">
        <v>575</v>
      </c>
      <c r="H282" s="43" t="s">
        <v>576</v>
      </c>
      <c r="I282" s="44" t="s">
        <v>577</v>
      </c>
      <c r="J282" s="45" t="s">
        <v>578</v>
      </c>
      <c r="K282" s="46" t="s">
        <v>579</v>
      </c>
      <c r="L282" s="47" t="s">
        <v>2600</v>
      </c>
      <c r="M282" s="48" t="s">
        <v>2606</v>
      </c>
      <c r="N282" s="49"/>
      <c r="O282" s="50" t="s">
        <v>3446</v>
      </c>
      <c r="P282" s="59"/>
      <c r="Q282" s="59"/>
      <c r="R282" s="13"/>
    </row>
    <row r="283" spans="1:18" ht="120" x14ac:dyDescent="0.25">
      <c r="A283" s="9" t="s">
        <v>21</v>
      </c>
      <c r="B283" s="28">
        <f>IF(ISBLANK(A283),0,INDEX(txtstylestab[],MATCH(A283,txtstylestab[style_Name],0),1))</f>
        <v>0</v>
      </c>
      <c r="C283" s="28">
        <f t="shared" si="17"/>
        <v>1</v>
      </c>
      <c r="D283" s="28">
        <f t="shared" si="18"/>
        <v>14</v>
      </c>
      <c r="E283" s="28">
        <f t="shared" si="19"/>
        <v>0</v>
      </c>
      <c r="F283" s="59" t="str">
        <f t="shared" si="20"/>
        <v/>
      </c>
      <c r="G283" s="42" t="s">
        <v>580</v>
      </c>
      <c r="H283" s="43" t="s">
        <v>1604</v>
      </c>
      <c r="I283" s="44" t="s">
        <v>581</v>
      </c>
      <c r="J283" s="45" t="s">
        <v>582</v>
      </c>
      <c r="K283" s="46" t="s">
        <v>583</v>
      </c>
      <c r="L283" s="47" t="s">
        <v>2607</v>
      </c>
      <c r="M283" s="48" t="s">
        <v>2608</v>
      </c>
      <c r="N283" s="49"/>
      <c r="O283" s="50" t="s">
        <v>3375</v>
      </c>
      <c r="P283" s="59"/>
      <c r="Q283" s="59"/>
      <c r="R283" s="13"/>
    </row>
    <row r="284" spans="1:18" ht="30" x14ac:dyDescent="0.25">
      <c r="A284" s="9" t="s">
        <v>21</v>
      </c>
      <c r="B284" s="28">
        <f>IF(ISBLANK(A284),0,INDEX(txtstylestab[],MATCH(A284,txtstylestab[style_Name],0),1))</f>
        <v>0</v>
      </c>
      <c r="C284" s="28">
        <f t="shared" si="17"/>
        <v>1</v>
      </c>
      <c r="D284" s="28">
        <f t="shared" si="18"/>
        <v>14</v>
      </c>
      <c r="E284" s="28">
        <f t="shared" si="19"/>
        <v>0</v>
      </c>
      <c r="F284" s="59" t="str">
        <f t="shared" si="20"/>
        <v/>
      </c>
      <c r="G284" s="42" t="s">
        <v>562</v>
      </c>
      <c r="H284" s="43" t="s">
        <v>26</v>
      </c>
      <c r="I284" s="44" t="s">
        <v>48</v>
      </c>
      <c r="J284" s="45" t="s">
        <v>54</v>
      </c>
      <c r="K284" s="46" t="s">
        <v>59</v>
      </c>
      <c r="L284" s="47" t="s">
        <v>2525</v>
      </c>
      <c r="M284" s="48" t="s">
        <v>2526</v>
      </c>
      <c r="N284" s="49"/>
      <c r="O284" s="50" t="s">
        <v>3173</v>
      </c>
      <c r="P284" s="59"/>
      <c r="Q284" s="59"/>
      <c r="R284" s="13"/>
    </row>
    <row r="285" spans="1:18" ht="18" thickBot="1" x14ac:dyDescent="0.35">
      <c r="A285" s="9" t="s">
        <v>11</v>
      </c>
      <c r="B285" s="28">
        <f>IF(ISBLANK(A285),0,INDEX(txtstylestab[],MATCH(A285,txtstylestab[style_Name],0),1))</f>
        <v>2</v>
      </c>
      <c r="C285" s="28">
        <f t="shared" si="17"/>
        <v>1</v>
      </c>
      <c r="D285" s="28">
        <f t="shared" si="18"/>
        <v>15</v>
      </c>
      <c r="E285" s="28">
        <f t="shared" si="19"/>
        <v>0</v>
      </c>
      <c r="F285" s="54" t="str">
        <f t="shared" si="20"/>
        <v>1.15.</v>
      </c>
      <c r="G285" s="54" t="s">
        <v>584</v>
      </c>
      <c r="H285" s="54"/>
      <c r="I285" s="54"/>
      <c r="J285" s="54"/>
      <c r="K285" s="54"/>
      <c r="L285" s="54"/>
      <c r="M285" s="54"/>
      <c r="N285" s="54"/>
      <c r="O285" s="54"/>
      <c r="P285" s="54"/>
      <c r="Q285" s="54"/>
      <c r="R285" s="13"/>
    </row>
    <row r="286" spans="1:18" ht="15.75" thickTop="1" x14ac:dyDescent="0.25">
      <c r="A286" s="9" t="s">
        <v>22</v>
      </c>
      <c r="B286" s="28">
        <f>IF(ISBLANK(A286),0,INDEX(txtstylestab[],MATCH(A286,txtstylestab[style_Name],0),1))</f>
        <v>4</v>
      </c>
      <c r="C286" s="28">
        <f t="shared" si="17"/>
        <v>1</v>
      </c>
      <c r="D286" s="28">
        <f t="shared" si="18"/>
        <v>15</v>
      </c>
      <c r="E286" s="28">
        <f t="shared" si="19"/>
        <v>0</v>
      </c>
      <c r="F286" s="56" t="str">
        <f t="shared" si="20"/>
        <v/>
      </c>
      <c r="G286" s="53" t="s">
        <v>1838</v>
      </c>
      <c r="H286" s="53"/>
      <c r="I286" s="53"/>
      <c r="J286" s="53"/>
      <c r="K286" s="53"/>
      <c r="L286" s="53"/>
      <c r="M286" s="53"/>
      <c r="N286" s="53"/>
      <c r="O286" s="53"/>
      <c r="P286" s="53"/>
      <c r="Q286" s="53"/>
      <c r="R286" s="13"/>
    </row>
    <row r="287" spans="1:18" x14ac:dyDescent="0.25">
      <c r="A287" s="9" t="s">
        <v>21</v>
      </c>
      <c r="B287" s="28">
        <f>IF(ISBLANK(A287),0,INDEX(txtstylestab[],MATCH(A287,txtstylestab[style_Name],0),1))</f>
        <v>0</v>
      </c>
      <c r="C287" s="28">
        <f t="shared" si="17"/>
        <v>1</v>
      </c>
      <c r="D287" s="28">
        <f t="shared" si="18"/>
        <v>15</v>
      </c>
      <c r="E287" s="28">
        <f t="shared" si="19"/>
        <v>0</v>
      </c>
      <c r="F287" s="59" t="str">
        <f t="shared" si="20"/>
        <v/>
      </c>
      <c r="G287" s="42" t="s">
        <v>82</v>
      </c>
      <c r="H287" s="43" t="s">
        <v>83</v>
      </c>
      <c r="I287" s="44" t="s">
        <v>84</v>
      </c>
      <c r="J287" s="45" t="s">
        <v>85</v>
      </c>
      <c r="K287" s="46" t="s">
        <v>86</v>
      </c>
      <c r="L287" s="47" t="s">
        <v>2398</v>
      </c>
      <c r="M287" s="48" t="s">
        <v>2540</v>
      </c>
      <c r="N287" s="49"/>
      <c r="O287" s="50" t="s">
        <v>3364</v>
      </c>
      <c r="P287" s="50"/>
      <c r="Q287" s="59"/>
      <c r="R287" s="13"/>
    </row>
    <row r="288" spans="1:18" ht="150" x14ac:dyDescent="0.25">
      <c r="A288" s="9" t="s">
        <v>21</v>
      </c>
      <c r="B288" s="28">
        <f>IF(ISBLANK(A288),0,INDEX(txtstylestab[],MATCH(A288,txtstylestab[style_Name],0),1))</f>
        <v>0</v>
      </c>
      <c r="C288" s="28">
        <f t="shared" si="17"/>
        <v>1</v>
      </c>
      <c r="D288" s="28">
        <f t="shared" si="18"/>
        <v>15</v>
      </c>
      <c r="E288" s="28">
        <f t="shared" si="19"/>
        <v>0</v>
      </c>
      <c r="F288" s="59" t="str">
        <f t="shared" si="20"/>
        <v/>
      </c>
      <c r="G288" s="42" t="s">
        <v>585</v>
      </c>
      <c r="H288" s="43" t="s">
        <v>2227</v>
      </c>
      <c r="I288" s="44" t="s">
        <v>2250</v>
      </c>
      <c r="J288" s="45" t="s">
        <v>586</v>
      </c>
      <c r="K288" s="46" t="s">
        <v>1718</v>
      </c>
      <c r="L288" s="47" t="s">
        <v>2609</v>
      </c>
      <c r="M288" s="48" t="s">
        <v>2610</v>
      </c>
      <c r="N288" s="49"/>
      <c r="O288" s="50" t="s">
        <v>3376</v>
      </c>
      <c r="P288" s="59"/>
      <c r="Q288" s="59"/>
      <c r="R288" s="13"/>
    </row>
    <row r="289" spans="1:18" ht="90" x14ac:dyDescent="0.25">
      <c r="A289" s="9" t="s">
        <v>21</v>
      </c>
      <c r="B289" s="28">
        <f>IF(ISBLANK(A289),0,INDEX(txtstylestab[],MATCH(A289,txtstylestab[style_Name],0),1))</f>
        <v>0</v>
      </c>
      <c r="C289" s="28">
        <f t="shared" si="17"/>
        <v>1</v>
      </c>
      <c r="D289" s="28">
        <f t="shared" si="18"/>
        <v>15</v>
      </c>
      <c r="E289" s="28">
        <f t="shared" si="19"/>
        <v>0</v>
      </c>
      <c r="F289" s="59" t="str">
        <f t="shared" si="20"/>
        <v/>
      </c>
      <c r="G289" s="42" t="s">
        <v>587</v>
      </c>
      <c r="H289" s="43" t="s">
        <v>588</v>
      </c>
      <c r="I289" s="44" t="s">
        <v>2251</v>
      </c>
      <c r="J289" s="45" t="s">
        <v>589</v>
      </c>
      <c r="K289" s="46" t="s">
        <v>590</v>
      </c>
      <c r="L289" s="47" t="s">
        <v>2611</v>
      </c>
      <c r="M289" s="48" t="s">
        <v>2612</v>
      </c>
      <c r="N289" s="49"/>
      <c r="O289" s="50" t="s">
        <v>3377</v>
      </c>
      <c r="P289" s="59"/>
      <c r="Q289" s="59"/>
      <c r="R289" s="13"/>
    </row>
    <row r="290" spans="1:18" ht="75" x14ac:dyDescent="0.25">
      <c r="A290" s="9" t="s">
        <v>21</v>
      </c>
      <c r="B290" s="28">
        <f>IF(ISBLANK(A290),0,INDEX(txtstylestab[],MATCH(A290,txtstylestab[style_Name],0),1))</f>
        <v>0</v>
      </c>
      <c r="C290" s="28">
        <f t="shared" si="17"/>
        <v>1</v>
      </c>
      <c r="D290" s="28">
        <f t="shared" si="18"/>
        <v>15</v>
      </c>
      <c r="E290" s="28">
        <f t="shared" si="19"/>
        <v>0</v>
      </c>
      <c r="F290" s="59" t="str">
        <f t="shared" si="20"/>
        <v/>
      </c>
      <c r="G290" s="42" t="s">
        <v>591</v>
      </c>
      <c r="H290" s="43" t="s">
        <v>592</v>
      </c>
      <c r="I290" s="44" t="s">
        <v>593</v>
      </c>
      <c r="J290" s="45" t="s">
        <v>594</v>
      </c>
      <c r="K290" s="46" t="s">
        <v>595</v>
      </c>
      <c r="L290" s="47" t="s">
        <v>2613</v>
      </c>
      <c r="M290" s="48" t="s">
        <v>2614</v>
      </c>
      <c r="N290" s="49"/>
      <c r="O290" s="50" t="s">
        <v>3378</v>
      </c>
      <c r="P290" s="59"/>
      <c r="Q290" s="59"/>
      <c r="R290" s="13"/>
    </row>
    <row r="291" spans="1:18" x14ac:dyDescent="0.25">
      <c r="A291" s="9" t="s">
        <v>21</v>
      </c>
      <c r="B291" s="28">
        <f>IF(ISBLANK(A291),0,INDEX(txtstylestab[],MATCH(A291,txtstylestab[style_Name],0),1))</f>
        <v>0</v>
      </c>
      <c r="C291" s="28">
        <f t="shared" si="17"/>
        <v>1</v>
      </c>
      <c r="D291" s="28">
        <f t="shared" si="18"/>
        <v>15</v>
      </c>
      <c r="E291" s="28">
        <f t="shared" si="19"/>
        <v>0</v>
      </c>
      <c r="F291" s="59" t="str">
        <f t="shared" si="20"/>
        <v/>
      </c>
      <c r="G291" s="42" t="s">
        <v>6</v>
      </c>
      <c r="H291" s="43" t="s">
        <v>96</v>
      </c>
      <c r="I291" s="44" t="s">
        <v>48</v>
      </c>
      <c r="J291" s="45" t="s">
        <v>54</v>
      </c>
      <c r="K291" s="46" t="s">
        <v>59</v>
      </c>
      <c r="L291" s="47" t="s">
        <v>2525</v>
      </c>
      <c r="M291" s="48" t="s">
        <v>2526</v>
      </c>
      <c r="N291" s="49"/>
      <c r="O291" s="50" t="s">
        <v>3173</v>
      </c>
      <c r="P291" s="50"/>
      <c r="Q291" s="59"/>
      <c r="R291" s="13"/>
    </row>
    <row r="292" spans="1:18" ht="18" thickBot="1" x14ac:dyDescent="0.35">
      <c r="A292" s="9" t="s">
        <v>11</v>
      </c>
      <c r="B292" s="28">
        <f>IF(ISBLANK(A292),0,INDEX(txtstylestab[],MATCH(A292,txtstylestab[style_Name],0),1))</f>
        <v>2</v>
      </c>
      <c r="C292" s="28">
        <f t="shared" si="17"/>
        <v>1</v>
      </c>
      <c r="D292" s="28">
        <f t="shared" si="18"/>
        <v>16</v>
      </c>
      <c r="E292" s="28">
        <f t="shared" si="19"/>
        <v>0</v>
      </c>
      <c r="F292" s="54" t="str">
        <f t="shared" si="20"/>
        <v>1.16.</v>
      </c>
      <c r="G292" s="54" t="s">
        <v>596</v>
      </c>
      <c r="H292" s="54"/>
      <c r="I292" s="54"/>
      <c r="J292" s="54"/>
      <c r="K292" s="54"/>
      <c r="L292" s="54"/>
      <c r="M292" s="54"/>
      <c r="N292" s="54"/>
      <c r="O292" s="54"/>
      <c r="P292" s="54"/>
      <c r="Q292" s="54"/>
      <c r="R292" s="13"/>
    </row>
    <row r="293" spans="1:18" ht="15.75" thickTop="1" x14ac:dyDescent="0.25">
      <c r="A293" s="9" t="s">
        <v>22</v>
      </c>
      <c r="B293" s="28">
        <f>IF(ISBLANK(A293),0,INDEX(txtstylestab[],MATCH(A293,txtstylestab[style_Name],0),1))</f>
        <v>4</v>
      </c>
      <c r="C293" s="28">
        <f t="shared" si="17"/>
        <v>1</v>
      </c>
      <c r="D293" s="28">
        <f t="shared" si="18"/>
        <v>16</v>
      </c>
      <c r="E293" s="28">
        <f t="shared" si="19"/>
        <v>0</v>
      </c>
      <c r="F293" s="56" t="str">
        <f t="shared" si="20"/>
        <v/>
      </c>
      <c r="G293" s="53" t="s">
        <v>597</v>
      </c>
      <c r="H293" s="53"/>
      <c r="I293" s="53"/>
      <c r="J293" s="53"/>
      <c r="K293" s="53"/>
      <c r="L293" s="53"/>
      <c r="M293" s="53"/>
      <c r="N293" s="53"/>
      <c r="O293" s="53"/>
      <c r="P293" s="53"/>
      <c r="Q293" s="53"/>
      <c r="R293" s="13"/>
    </row>
    <row r="294" spans="1:18" x14ac:dyDescent="0.25">
      <c r="A294" s="9" t="s">
        <v>21</v>
      </c>
      <c r="B294" s="28">
        <f>IF(ISBLANK(A294),0,INDEX(txtstylestab[],MATCH(A294,txtstylestab[style_Name],0),1))</f>
        <v>0</v>
      </c>
      <c r="C294" s="28">
        <f t="shared" si="17"/>
        <v>1</v>
      </c>
      <c r="D294" s="28">
        <f t="shared" si="18"/>
        <v>16</v>
      </c>
      <c r="E294" s="28">
        <f t="shared" si="19"/>
        <v>0</v>
      </c>
      <c r="F294" s="59" t="str">
        <f t="shared" si="20"/>
        <v/>
      </c>
      <c r="G294" s="42" t="s">
        <v>82</v>
      </c>
      <c r="H294" s="43" t="s">
        <v>83</v>
      </c>
      <c r="I294" s="44" t="s">
        <v>84</v>
      </c>
      <c r="J294" s="45" t="s">
        <v>85</v>
      </c>
      <c r="K294" s="46" t="s">
        <v>86</v>
      </c>
      <c r="L294" s="47" t="s">
        <v>2398</v>
      </c>
      <c r="M294" s="48" t="s">
        <v>2540</v>
      </c>
      <c r="N294" s="49"/>
      <c r="O294" s="50" t="s">
        <v>3364</v>
      </c>
      <c r="P294" s="50"/>
      <c r="Q294" s="59"/>
      <c r="R294" s="13"/>
    </row>
    <row r="295" spans="1:18" ht="60" x14ac:dyDescent="0.25">
      <c r="A295" s="9" t="s">
        <v>21</v>
      </c>
      <c r="B295" s="28">
        <f>IF(ISBLANK(A295),0,INDEX(txtstylestab[],MATCH(A295,txtstylestab[style_Name],0),1))</f>
        <v>0</v>
      </c>
      <c r="C295" s="28">
        <f t="shared" si="17"/>
        <v>1</v>
      </c>
      <c r="D295" s="28">
        <f t="shared" si="18"/>
        <v>16</v>
      </c>
      <c r="E295" s="28">
        <f t="shared" si="19"/>
        <v>0</v>
      </c>
      <c r="F295" s="59" t="str">
        <f t="shared" si="20"/>
        <v/>
      </c>
      <c r="G295" s="42" t="s">
        <v>2294</v>
      </c>
      <c r="H295" s="43" t="s">
        <v>2295</v>
      </c>
      <c r="I295" s="44" t="s">
        <v>2296</v>
      </c>
      <c r="J295" s="45" t="s">
        <v>2297</v>
      </c>
      <c r="K295" s="46" t="s">
        <v>2298</v>
      </c>
      <c r="L295" s="47" t="s">
        <v>2615</v>
      </c>
      <c r="M295" s="48" t="s">
        <v>2616</v>
      </c>
      <c r="N295" s="49"/>
      <c r="O295" s="50" t="s">
        <v>3379</v>
      </c>
      <c r="P295" s="59"/>
      <c r="Q295" s="59"/>
      <c r="R295" s="13"/>
    </row>
    <row r="296" spans="1:18" ht="75" x14ac:dyDescent="0.25">
      <c r="A296" s="9" t="s">
        <v>21</v>
      </c>
      <c r="B296" s="28">
        <f>IF(ISBLANK(A296),0,INDEX(txtstylestab[],MATCH(A296,txtstylestab[style_Name],0),1))</f>
        <v>0</v>
      </c>
      <c r="C296" s="28">
        <f t="shared" si="17"/>
        <v>1</v>
      </c>
      <c r="D296" s="28">
        <f t="shared" si="18"/>
        <v>16</v>
      </c>
      <c r="E296" s="28">
        <f t="shared" si="19"/>
        <v>0</v>
      </c>
      <c r="F296" s="59" t="str">
        <f t="shared" si="20"/>
        <v/>
      </c>
      <c r="G296" s="42" t="s">
        <v>598</v>
      </c>
      <c r="H296" s="43" t="s">
        <v>2146</v>
      </c>
      <c r="I296" s="44" t="s">
        <v>2252</v>
      </c>
      <c r="J296" s="45" t="s">
        <v>599</v>
      </c>
      <c r="K296" s="46" t="s">
        <v>600</v>
      </c>
      <c r="L296" s="47" t="s">
        <v>2617</v>
      </c>
      <c r="M296" s="48" t="s">
        <v>2618</v>
      </c>
      <c r="N296" s="49"/>
      <c r="O296" s="50" t="s">
        <v>3380</v>
      </c>
      <c r="P296" s="59"/>
      <c r="Q296" s="59"/>
      <c r="R296" s="13"/>
    </row>
    <row r="297" spans="1:18" x14ac:dyDescent="0.25">
      <c r="A297" s="9" t="s">
        <v>21</v>
      </c>
      <c r="B297" s="28">
        <f>IF(ISBLANK(A297),0,INDEX(txtstylestab[],MATCH(A297,txtstylestab[style_Name],0),1))</f>
        <v>0</v>
      </c>
      <c r="C297" s="28">
        <f t="shared" si="17"/>
        <v>1</v>
      </c>
      <c r="D297" s="28">
        <f t="shared" si="18"/>
        <v>16</v>
      </c>
      <c r="E297" s="28">
        <f t="shared" si="19"/>
        <v>0</v>
      </c>
      <c r="F297" s="59" t="str">
        <f t="shared" si="20"/>
        <v/>
      </c>
      <c r="G297" s="42" t="s">
        <v>6</v>
      </c>
      <c r="H297" s="43" t="s">
        <v>26</v>
      </c>
      <c r="I297" s="44" t="s">
        <v>48</v>
      </c>
      <c r="J297" s="45" t="s">
        <v>54</v>
      </c>
      <c r="K297" s="46" t="s">
        <v>59</v>
      </c>
      <c r="L297" s="47" t="s">
        <v>2525</v>
      </c>
      <c r="M297" s="48" t="s">
        <v>2526</v>
      </c>
      <c r="N297" s="49"/>
      <c r="O297" s="50" t="s">
        <v>3173</v>
      </c>
      <c r="P297" s="50"/>
      <c r="Q297" s="59"/>
      <c r="R297" s="13"/>
    </row>
    <row r="298" spans="1:18" ht="15.75" thickBot="1" x14ac:dyDescent="0.3">
      <c r="A298" s="9" t="s">
        <v>12</v>
      </c>
      <c r="B298" s="28">
        <f>IF(ISBLANK(A298),0,INDEX(txtstylestab[],MATCH(A298,txtstylestab[style_Name],0),1))</f>
        <v>3</v>
      </c>
      <c r="C298" s="28">
        <f t="shared" si="17"/>
        <v>1</v>
      </c>
      <c r="D298" s="28">
        <f t="shared" si="18"/>
        <v>16</v>
      </c>
      <c r="E298" s="28">
        <f t="shared" si="19"/>
        <v>1</v>
      </c>
      <c r="F298" s="55" t="str">
        <f t="shared" si="20"/>
        <v>1.16.1.</v>
      </c>
      <c r="G298" s="55" t="s">
        <v>601</v>
      </c>
      <c r="H298" s="55"/>
      <c r="I298" s="55"/>
      <c r="J298" s="55"/>
      <c r="K298" s="55"/>
      <c r="L298" s="55"/>
      <c r="M298" s="55"/>
      <c r="N298" s="55"/>
      <c r="O298" s="55"/>
      <c r="P298" s="55"/>
      <c r="Q298" s="55"/>
      <c r="R298" s="13"/>
    </row>
    <row r="299" spans="1:18" x14ac:dyDescent="0.25">
      <c r="A299" s="9" t="s">
        <v>21</v>
      </c>
      <c r="B299" s="28">
        <f>IF(ISBLANK(A299),0,INDEX(txtstylestab[],MATCH(A299,txtstylestab[style_Name],0),1))</f>
        <v>0</v>
      </c>
      <c r="C299" s="28">
        <f t="shared" si="17"/>
        <v>1</v>
      </c>
      <c r="D299" s="28">
        <f t="shared" si="18"/>
        <v>16</v>
      </c>
      <c r="E299" s="28">
        <f t="shared" si="19"/>
        <v>1</v>
      </c>
      <c r="F299" s="59" t="str">
        <f t="shared" si="20"/>
        <v/>
      </c>
      <c r="G299" s="42" t="s">
        <v>82</v>
      </c>
      <c r="H299" s="43" t="s">
        <v>83</v>
      </c>
      <c r="I299" s="44" t="s">
        <v>84</v>
      </c>
      <c r="J299" s="45" t="s">
        <v>85</v>
      </c>
      <c r="K299" s="46" t="s">
        <v>86</v>
      </c>
      <c r="L299" s="47" t="s">
        <v>2398</v>
      </c>
      <c r="M299" s="48" t="s">
        <v>2540</v>
      </c>
      <c r="N299" s="49"/>
      <c r="O299" s="50" t="s">
        <v>3364</v>
      </c>
      <c r="P299" s="50"/>
      <c r="Q299" s="59"/>
      <c r="R299" s="13"/>
    </row>
    <row r="300" spans="1:18" ht="90" x14ac:dyDescent="0.25">
      <c r="A300" s="9" t="s">
        <v>21</v>
      </c>
      <c r="B300" s="28">
        <f>IF(ISBLANK(A300),0,INDEX(txtstylestab[],MATCH(A300,txtstylestab[style_Name],0),1))</f>
        <v>0</v>
      </c>
      <c r="C300" s="28">
        <f t="shared" si="17"/>
        <v>1</v>
      </c>
      <c r="D300" s="28">
        <f t="shared" si="18"/>
        <v>16</v>
      </c>
      <c r="E300" s="28">
        <f t="shared" si="19"/>
        <v>1</v>
      </c>
      <c r="F300" s="59" t="str">
        <f t="shared" si="20"/>
        <v/>
      </c>
      <c r="G300" s="42" t="s">
        <v>602</v>
      </c>
      <c r="H300" s="43" t="s">
        <v>603</v>
      </c>
      <c r="I300" s="44" t="s">
        <v>604</v>
      </c>
      <c r="J300" s="45" t="s">
        <v>605</v>
      </c>
      <c r="K300" s="46" t="s">
        <v>606</v>
      </c>
      <c r="L300" s="47" t="s">
        <v>2619</v>
      </c>
      <c r="M300" s="48" t="s">
        <v>2620</v>
      </c>
      <c r="N300" s="49"/>
      <c r="O300" s="50" t="s">
        <v>3381</v>
      </c>
      <c r="P300" s="59"/>
      <c r="Q300" s="59"/>
      <c r="R300" s="13"/>
    </row>
    <row r="301" spans="1:18" x14ac:dyDescent="0.25">
      <c r="A301" s="9" t="s">
        <v>21</v>
      </c>
      <c r="B301" s="28">
        <f>IF(ISBLANK(A301),0,INDEX(txtstylestab[],MATCH(A301,txtstylestab[style_Name],0),1))</f>
        <v>0</v>
      </c>
      <c r="C301" s="28">
        <f t="shared" si="17"/>
        <v>1</v>
      </c>
      <c r="D301" s="28">
        <f t="shared" si="18"/>
        <v>16</v>
      </c>
      <c r="E301" s="28">
        <f t="shared" si="19"/>
        <v>1</v>
      </c>
      <c r="F301" s="59" t="str">
        <f t="shared" si="20"/>
        <v/>
      </c>
      <c r="G301" s="42" t="s">
        <v>6</v>
      </c>
      <c r="H301" s="43" t="s">
        <v>26</v>
      </c>
      <c r="I301" s="44" t="s">
        <v>48</v>
      </c>
      <c r="J301" s="45" t="s">
        <v>54</v>
      </c>
      <c r="K301" s="46" t="s">
        <v>59</v>
      </c>
      <c r="L301" s="47" t="s">
        <v>2525</v>
      </c>
      <c r="M301" s="48" t="s">
        <v>2526</v>
      </c>
      <c r="N301" s="49"/>
      <c r="O301" s="50" t="s">
        <v>3173</v>
      </c>
      <c r="P301" s="50"/>
      <c r="Q301" s="59"/>
      <c r="R301" s="13"/>
    </row>
    <row r="302" spans="1:18" ht="15.75" thickBot="1" x14ac:dyDescent="0.3">
      <c r="A302" s="9" t="s">
        <v>12</v>
      </c>
      <c r="B302" s="28">
        <f>IF(ISBLANK(A302),0,INDEX(txtstylestab[],MATCH(A302,txtstylestab[style_Name],0),1))</f>
        <v>3</v>
      </c>
      <c r="C302" s="28">
        <f t="shared" si="17"/>
        <v>1</v>
      </c>
      <c r="D302" s="28">
        <f t="shared" si="18"/>
        <v>16</v>
      </c>
      <c r="E302" s="28">
        <f t="shared" si="19"/>
        <v>2</v>
      </c>
      <c r="F302" s="55" t="str">
        <f t="shared" si="20"/>
        <v>1.16.2.</v>
      </c>
      <c r="G302" s="55" t="s">
        <v>607</v>
      </c>
      <c r="H302" s="55"/>
      <c r="I302" s="55"/>
      <c r="J302" s="55"/>
      <c r="K302" s="55"/>
      <c r="L302" s="55"/>
      <c r="M302" s="55"/>
      <c r="N302" s="55"/>
      <c r="O302" s="55"/>
      <c r="P302" s="55"/>
      <c r="Q302" s="55"/>
      <c r="R302" s="13"/>
    </row>
    <row r="303" spans="1:18" x14ac:dyDescent="0.25">
      <c r="A303" s="9" t="s">
        <v>21</v>
      </c>
      <c r="B303" s="28">
        <f>IF(ISBLANK(A303),0,INDEX(txtstylestab[],MATCH(A303,txtstylestab[style_Name],0),1))</f>
        <v>0</v>
      </c>
      <c r="C303" s="28">
        <f t="shared" si="17"/>
        <v>1</v>
      </c>
      <c r="D303" s="28">
        <f t="shared" si="18"/>
        <v>16</v>
      </c>
      <c r="E303" s="28">
        <f t="shared" si="19"/>
        <v>2</v>
      </c>
      <c r="F303" s="59" t="str">
        <f t="shared" si="20"/>
        <v/>
      </c>
      <c r="G303" s="42" t="s">
        <v>82</v>
      </c>
      <c r="H303" s="43" t="s">
        <v>83</v>
      </c>
      <c r="I303" s="44" t="s">
        <v>84</v>
      </c>
      <c r="J303" s="45" t="s">
        <v>85</v>
      </c>
      <c r="K303" s="46" t="s">
        <v>86</v>
      </c>
      <c r="L303" s="47" t="s">
        <v>2398</v>
      </c>
      <c r="M303" s="48" t="s">
        <v>2540</v>
      </c>
      <c r="N303" s="49"/>
      <c r="O303" s="50" t="s">
        <v>3364</v>
      </c>
      <c r="P303" s="50"/>
      <c r="Q303" s="59"/>
      <c r="R303" s="13"/>
    </row>
    <row r="304" spans="1:18" ht="60" x14ac:dyDescent="0.25">
      <c r="A304" s="9" t="s">
        <v>21</v>
      </c>
      <c r="B304" s="28">
        <f>IF(ISBLANK(A304),0,INDEX(txtstylestab[],MATCH(A304,txtstylestab[style_Name],0),1))</f>
        <v>0</v>
      </c>
      <c r="C304" s="28">
        <f t="shared" si="17"/>
        <v>1</v>
      </c>
      <c r="D304" s="28">
        <f t="shared" si="18"/>
        <v>16</v>
      </c>
      <c r="E304" s="28">
        <f t="shared" si="19"/>
        <v>2</v>
      </c>
      <c r="F304" s="59" t="str">
        <f t="shared" si="20"/>
        <v/>
      </c>
      <c r="G304" s="42" t="s">
        <v>608</v>
      </c>
      <c r="H304" s="43" t="s">
        <v>609</v>
      </c>
      <c r="I304" s="44" t="s">
        <v>610</v>
      </c>
      <c r="J304" s="45" t="s">
        <v>1622</v>
      </c>
      <c r="K304" s="46" t="s">
        <v>611</v>
      </c>
      <c r="L304" s="47" t="s">
        <v>2621</v>
      </c>
      <c r="M304" s="48" t="s">
        <v>2622</v>
      </c>
      <c r="N304" s="49"/>
      <c r="O304" s="50" t="s">
        <v>3382</v>
      </c>
      <c r="P304" s="59"/>
      <c r="Q304" s="59"/>
      <c r="R304" s="13"/>
    </row>
    <row r="305" spans="1:18" ht="90" x14ac:dyDescent="0.25">
      <c r="A305" s="9" t="s">
        <v>21</v>
      </c>
      <c r="B305" s="28">
        <f>IF(ISBLANK(A305),0,INDEX(txtstylestab[],MATCH(A305,txtstylestab[style_Name],0),1))</f>
        <v>0</v>
      </c>
      <c r="C305" s="28">
        <f t="shared" si="17"/>
        <v>1</v>
      </c>
      <c r="D305" s="28">
        <f t="shared" si="18"/>
        <v>16</v>
      </c>
      <c r="E305" s="28">
        <f t="shared" si="19"/>
        <v>2</v>
      </c>
      <c r="F305" s="59" t="str">
        <f t="shared" si="20"/>
        <v/>
      </c>
      <c r="G305" s="42" t="s">
        <v>612</v>
      </c>
      <c r="H305" s="43" t="s">
        <v>613</v>
      </c>
      <c r="I305" s="44" t="s">
        <v>614</v>
      </c>
      <c r="J305" s="45" t="s">
        <v>615</v>
      </c>
      <c r="K305" s="46" t="s">
        <v>2303</v>
      </c>
      <c r="L305" s="47" t="s">
        <v>2623</v>
      </c>
      <c r="M305" s="48" t="s">
        <v>2624</v>
      </c>
      <c r="N305" s="49"/>
      <c r="O305" s="50" t="s">
        <v>3383</v>
      </c>
      <c r="P305" s="59"/>
      <c r="Q305" s="59"/>
      <c r="R305" s="13"/>
    </row>
    <row r="306" spans="1:18" x14ac:dyDescent="0.25">
      <c r="A306" s="9" t="s">
        <v>21</v>
      </c>
      <c r="B306" s="28">
        <f>IF(ISBLANK(A306),0,INDEX(txtstylestab[],MATCH(A306,txtstylestab[style_Name],0),1))</f>
        <v>0</v>
      </c>
      <c r="C306" s="28">
        <f t="shared" si="17"/>
        <v>1</v>
      </c>
      <c r="D306" s="28">
        <f t="shared" si="18"/>
        <v>16</v>
      </c>
      <c r="E306" s="28">
        <f t="shared" si="19"/>
        <v>2</v>
      </c>
      <c r="F306" s="59" t="str">
        <f t="shared" si="20"/>
        <v/>
      </c>
      <c r="G306" s="42" t="s">
        <v>6</v>
      </c>
      <c r="H306" s="43" t="s">
        <v>26</v>
      </c>
      <c r="I306" s="44" t="s">
        <v>48</v>
      </c>
      <c r="J306" s="45" t="s">
        <v>54</v>
      </c>
      <c r="K306" s="46" t="s">
        <v>59</v>
      </c>
      <c r="L306" s="47" t="s">
        <v>2525</v>
      </c>
      <c r="M306" s="48" t="s">
        <v>2526</v>
      </c>
      <c r="N306" s="49"/>
      <c r="O306" s="50" t="s">
        <v>3173</v>
      </c>
      <c r="P306" s="50"/>
      <c r="Q306" s="59"/>
      <c r="R306" s="13"/>
    </row>
    <row r="307" spans="1:18" ht="18" thickBot="1" x14ac:dyDescent="0.35">
      <c r="A307" s="9" t="s">
        <v>11</v>
      </c>
      <c r="B307" s="28">
        <f>IF(ISBLANK(A307),0,INDEX(txtstylestab[],MATCH(A307,txtstylestab[style_Name],0),1))</f>
        <v>2</v>
      </c>
      <c r="C307" s="28">
        <f t="shared" si="17"/>
        <v>1</v>
      </c>
      <c r="D307" s="28">
        <f t="shared" si="18"/>
        <v>17</v>
      </c>
      <c r="E307" s="28">
        <f t="shared" si="19"/>
        <v>0</v>
      </c>
      <c r="F307" s="54" t="str">
        <f t="shared" si="20"/>
        <v>1.17.</v>
      </c>
      <c r="G307" s="54" t="s">
        <v>616</v>
      </c>
      <c r="H307" s="54"/>
      <c r="I307" s="54"/>
      <c r="J307" s="54"/>
      <c r="K307" s="54"/>
      <c r="L307" s="54"/>
      <c r="M307" s="54"/>
      <c r="N307" s="54"/>
      <c r="O307" s="54"/>
      <c r="P307" s="54"/>
      <c r="Q307" s="54"/>
      <c r="R307" s="13"/>
    </row>
    <row r="308" spans="1:18" ht="60.75" thickTop="1" x14ac:dyDescent="0.25">
      <c r="A308" s="9" t="s">
        <v>21</v>
      </c>
      <c r="B308" s="28">
        <f>IF(ISBLANK(A308),0,INDEX(txtstylestab[],MATCH(A308,txtstylestab[style_Name],0),1))</f>
        <v>0</v>
      </c>
      <c r="C308" s="28">
        <f t="shared" si="17"/>
        <v>1</v>
      </c>
      <c r="D308" s="28">
        <f t="shared" si="18"/>
        <v>17</v>
      </c>
      <c r="E308" s="28">
        <f t="shared" si="19"/>
        <v>0</v>
      </c>
      <c r="F308" s="59" t="str">
        <f t="shared" si="20"/>
        <v/>
      </c>
      <c r="G308" s="42" t="s">
        <v>618</v>
      </c>
      <c r="H308" s="43" t="s">
        <v>617</v>
      </c>
      <c r="I308" s="44" t="s">
        <v>619</v>
      </c>
      <c r="J308" s="45" t="s">
        <v>620</v>
      </c>
      <c r="K308" s="46" t="s">
        <v>60</v>
      </c>
      <c r="L308" s="47" t="s">
        <v>2625</v>
      </c>
      <c r="M308" s="48" t="s">
        <v>2626</v>
      </c>
      <c r="N308" s="49"/>
      <c r="O308" s="50" t="s">
        <v>3384</v>
      </c>
      <c r="P308" s="59"/>
      <c r="Q308" s="59"/>
      <c r="R308" s="13"/>
    </row>
    <row r="309" spans="1:18" ht="45" x14ac:dyDescent="0.25">
      <c r="A309" s="9" t="s">
        <v>21</v>
      </c>
      <c r="B309" s="28">
        <f>IF(ISBLANK(A309),0,INDEX(txtstylestab[],MATCH(A309,txtstylestab[style_Name],0),1))</f>
        <v>0</v>
      </c>
      <c r="C309" s="28">
        <f t="shared" si="17"/>
        <v>1</v>
      </c>
      <c r="D309" s="28">
        <f t="shared" si="18"/>
        <v>17</v>
      </c>
      <c r="E309" s="28">
        <f t="shared" si="19"/>
        <v>0</v>
      </c>
      <c r="F309" s="59" t="str">
        <f t="shared" si="20"/>
        <v/>
      </c>
      <c r="G309" s="42" t="s">
        <v>1839</v>
      </c>
      <c r="H309" s="43" t="s">
        <v>1840</v>
      </c>
      <c r="I309" s="44" t="s">
        <v>1841</v>
      </c>
      <c r="J309" s="45" t="s">
        <v>621</v>
      </c>
      <c r="K309" s="46" t="s">
        <v>1842</v>
      </c>
      <c r="L309" s="47" t="s">
        <v>2627</v>
      </c>
      <c r="M309" s="48" t="s">
        <v>2628</v>
      </c>
      <c r="N309" s="49"/>
      <c r="O309" s="50" t="s">
        <v>3496</v>
      </c>
      <c r="P309" s="59"/>
      <c r="Q309" s="59"/>
      <c r="R309" s="13"/>
    </row>
    <row r="310" spans="1:18" x14ac:dyDescent="0.25">
      <c r="A310" s="9" t="s">
        <v>14</v>
      </c>
      <c r="B310" s="28">
        <f>IF(ISBLANK(A310),0,INDEX(txtstylestab[],MATCH(A310,txtstylestab[style_Name],0),1))</f>
        <v>6</v>
      </c>
      <c r="C310" s="28">
        <f t="shared" si="17"/>
        <v>1</v>
      </c>
      <c r="D310" s="28">
        <f t="shared" si="18"/>
        <v>17</v>
      </c>
      <c r="E310" s="28">
        <f t="shared" si="19"/>
        <v>0</v>
      </c>
      <c r="F310" s="59" t="str">
        <f t="shared" si="20"/>
        <v/>
      </c>
      <c r="G310" s="42" t="s">
        <v>1833</v>
      </c>
      <c r="H310" s="43" t="s">
        <v>1834</v>
      </c>
      <c r="I310" s="44" t="s">
        <v>1835</v>
      </c>
      <c r="J310" s="45" t="s">
        <v>2201</v>
      </c>
      <c r="K310" s="46" t="s">
        <v>1836</v>
      </c>
      <c r="L310" s="47" t="s">
        <v>2549</v>
      </c>
      <c r="M310" s="48" t="s">
        <v>2550</v>
      </c>
      <c r="N310" s="49"/>
      <c r="O310" s="50" t="s">
        <v>3487</v>
      </c>
      <c r="P310" s="59"/>
      <c r="Q310" s="59"/>
      <c r="R310" s="13"/>
    </row>
    <row r="311" spans="1:18" x14ac:dyDescent="0.25">
      <c r="A311" s="9" t="s">
        <v>14</v>
      </c>
      <c r="B311" s="28">
        <f>IF(ISBLANK(A311),0,INDEX(txtstylestab[],MATCH(A311,txtstylestab[style_Name],0),1))</f>
        <v>6</v>
      </c>
      <c r="C311" s="28">
        <f t="shared" si="17"/>
        <v>1</v>
      </c>
      <c r="D311" s="28">
        <f t="shared" si="18"/>
        <v>17</v>
      </c>
      <c r="E311" s="28">
        <f t="shared" si="19"/>
        <v>0</v>
      </c>
      <c r="F311" s="59" t="str">
        <f t="shared" si="20"/>
        <v/>
      </c>
      <c r="G311" s="42" t="s">
        <v>1809</v>
      </c>
      <c r="H311" s="43" t="s">
        <v>1811</v>
      </c>
      <c r="I311" s="44" t="s">
        <v>1813</v>
      </c>
      <c r="J311" s="45" t="s">
        <v>1815</v>
      </c>
      <c r="K311" s="46" t="s">
        <v>1817</v>
      </c>
      <c r="L311" s="47" t="s">
        <v>2543</v>
      </c>
      <c r="M311" s="48" t="s">
        <v>2544</v>
      </c>
      <c r="N311" s="49"/>
      <c r="O311" s="50" t="s">
        <v>3488</v>
      </c>
      <c r="P311" s="59"/>
      <c r="Q311" s="59"/>
      <c r="R311" s="13"/>
    </row>
    <row r="312" spans="1:18" x14ac:dyDescent="0.25">
      <c r="A312" s="9" t="s">
        <v>14</v>
      </c>
      <c r="B312" s="28">
        <f>IF(ISBLANK(A312),0,INDEX(txtstylestab[],MATCH(A312,txtstylestab[style_Name],0),1))</f>
        <v>6</v>
      </c>
      <c r="C312" s="28">
        <f t="shared" si="17"/>
        <v>1</v>
      </c>
      <c r="D312" s="28">
        <f t="shared" si="18"/>
        <v>17</v>
      </c>
      <c r="E312" s="28">
        <f t="shared" si="19"/>
        <v>0</v>
      </c>
      <c r="F312" s="59" t="str">
        <f t="shared" si="20"/>
        <v/>
      </c>
      <c r="G312" s="42" t="s">
        <v>1810</v>
      </c>
      <c r="H312" s="43" t="s">
        <v>1812</v>
      </c>
      <c r="I312" s="44" t="s">
        <v>1814</v>
      </c>
      <c r="J312" s="45" t="s">
        <v>1816</v>
      </c>
      <c r="K312" s="46" t="s">
        <v>1818</v>
      </c>
      <c r="L312" s="47" t="s">
        <v>2545</v>
      </c>
      <c r="M312" s="48" t="s">
        <v>2548</v>
      </c>
      <c r="N312" s="49"/>
      <c r="O312" s="50" t="s">
        <v>3489</v>
      </c>
      <c r="P312" s="59"/>
      <c r="Q312" s="59"/>
      <c r="R312" s="13"/>
    </row>
    <row r="313" spans="1:18" x14ac:dyDescent="0.25">
      <c r="A313" s="9" t="s">
        <v>14</v>
      </c>
      <c r="B313" s="28">
        <f>IF(ISBLANK(A313),0,INDEX(txtstylestab[],MATCH(A313,txtstylestab[style_Name],0),1))</f>
        <v>6</v>
      </c>
      <c r="C313" s="28">
        <f t="shared" si="17"/>
        <v>1</v>
      </c>
      <c r="D313" s="28">
        <f t="shared" si="18"/>
        <v>17</v>
      </c>
      <c r="E313" s="28">
        <f t="shared" si="19"/>
        <v>0</v>
      </c>
      <c r="F313" s="59" t="str">
        <f t="shared" si="20"/>
        <v/>
      </c>
      <c r="G313" s="42" t="s">
        <v>1819</v>
      </c>
      <c r="H313" s="43" t="s">
        <v>1820</v>
      </c>
      <c r="I313" s="44" t="s">
        <v>1821</v>
      </c>
      <c r="J313" s="45" t="s">
        <v>1822</v>
      </c>
      <c r="K313" s="46" t="s">
        <v>1823</v>
      </c>
      <c r="L313" s="47" t="s">
        <v>2546</v>
      </c>
      <c r="M313" s="48" t="s">
        <v>2547</v>
      </c>
      <c r="N313" s="49"/>
      <c r="O313" s="50" t="s">
        <v>3486</v>
      </c>
      <c r="P313" s="59"/>
      <c r="Q313" s="59"/>
      <c r="R313" s="13"/>
    </row>
    <row r="314" spans="1:18" x14ac:dyDescent="0.25">
      <c r="A314" s="9" t="s">
        <v>21</v>
      </c>
      <c r="B314" s="28">
        <f>IF(ISBLANK(A314),0,INDEX(txtstylestab[],MATCH(A314,txtstylestab[style_Name],0),1))</f>
        <v>0</v>
      </c>
      <c r="C314" s="28">
        <f t="shared" si="17"/>
        <v>1</v>
      </c>
      <c r="D314" s="28">
        <f t="shared" si="18"/>
        <v>17</v>
      </c>
      <c r="E314" s="28">
        <f t="shared" si="19"/>
        <v>0</v>
      </c>
      <c r="F314" s="59" t="str">
        <f t="shared" si="20"/>
        <v/>
      </c>
      <c r="G314" s="42"/>
      <c r="H314" s="43"/>
      <c r="I314" s="44"/>
      <c r="J314" s="45"/>
      <c r="K314" s="46"/>
      <c r="L314" s="47"/>
      <c r="M314" s="48"/>
      <c r="N314" s="49"/>
      <c r="O314" s="50" t="s">
        <v>3495</v>
      </c>
      <c r="P314" s="59"/>
      <c r="Q314" s="59"/>
      <c r="R314" s="13"/>
    </row>
    <row r="315" spans="1:18" x14ac:dyDescent="0.25">
      <c r="A315" s="9" t="s">
        <v>22</v>
      </c>
      <c r="B315" s="28">
        <f>IF(ISBLANK(A315),0,INDEX(txtstylestab[],MATCH(A315,txtstylestab[style_Name],0),1))</f>
        <v>4</v>
      </c>
      <c r="C315" s="28">
        <f t="shared" si="17"/>
        <v>1</v>
      </c>
      <c r="D315" s="28">
        <f t="shared" si="18"/>
        <v>17</v>
      </c>
      <c r="E315" s="28">
        <f t="shared" si="19"/>
        <v>0</v>
      </c>
      <c r="F315" s="56" t="str">
        <f t="shared" si="20"/>
        <v/>
      </c>
      <c r="G315" s="53" t="s">
        <v>1843</v>
      </c>
      <c r="H315" s="53"/>
      <c r="I315" s="53"/>
      <c r="J315" s="53"/>
      <c r="K315" s="53"/>
      <c r="L315" s="53"/>
      <c r="M315" s="53"/>
      <c r="N315" s="53"/>
      <c r="O315" s="53"/>
      <c r="P315" s="53"/>
      <c r="Q315" s="53"/>
      <c r="R315" s="13"/>
    </row>
    <row r="316" spans="1:18" ht="45" x14ac:dyDescent="0.25">
      <c r="A316" s="9" t="s">
        <v>21</v>
      </c>
      <c r="B316" s="28">
        <f>IF(ISBLANK(A316),0,INDEX(txtstylestab[],MATCH(A316,txtstylestab[style_Name],0),1))</f>
        <v>0</v>
      </c>
      <c r="C316" s="28">
        <f t="shared" si="17"/>
        <v>1</v>
      </c>
      <c r="D316" s="28">
        <f t="shared" si="18"/>
        <v>17</v>
      </c>
      <c r="E316" s="28">
        <f t="shared" si="19"/>
        <v>0</v>
      </c>
      <c r="F316" s="59" t="str">
        <f t="shared" si="20"/>
        <v/>
      </c>
      <c r="G316" s="42" t="s">
        <v>460</v>
      </c>
      <c r="H316" s="43" t="s">
        <v>622</v>
      </c>
      <c r="I316" s="44" t="s">
        <v>623</v>
      </c>
      <c r="J316" s="45" t="s">
        <v>624</v>
      </c>
      <c r="K316" s="46" t="s">
        <v>625</v>
      </c>
      <c r="L316" s="47" t="s">
        <v>2629</v>
      </c>
      <c r="M316" s="48" t="s">
        <v>2630</v>
      </c>
      <c r="N316" s="49"/>
      <c r="O316" s="50" t="s">
        <v>3385</v>
      </c>
      <c r="P316" s="59"/>
      <c r="Q316" s="59"/>
      <c r="R316" s="13"/>
    </row>
    <row r="317" spans="1:18" x14ac:dyDescent="0.25">
      <c r="A317" s="9" t="s">
        <v>21</v>
      </c>
      <c r="B317" s="28">
        <f>IF(ISBLANK(A317),0,INDEX(txtstylestab[],MATCH(A317,txtstylestab[style_Name],0),1))</f>
        <v>0</v>
      </c>
      <c r="C317" s="28">
        <f t="shared" si="17"/>
        <v>1</v>
      </c>
      <c r="D317" s="28">
        <f t="shared" si="18"/>
        <v>17</v>
      </c>
      <c r="E317" s="28">
        <f t="shared" si="19"/>
        <v>0</v>
      </c>
      <c r="F317" s="59" t="str">
        <f t="shared" si="20"/>
        <v/>
      </c>
      <c r="G317" s="42" t="s">
        <v>6</v>
      </c>
      <c r="H317" s="43" t="s">
        <v>26</v>
      </c>
      <c r="I317" s="44" t="s">
        <v>48</v>
      </c>
      <c r="J317" s="45" t="s">
        <v>384</v>
      </c>
      <c r="K317" s="46" t="s">
        <v>59</v>
      </c>
      <c r="L317" s="47" t="s">
        <v>2525</v>
      </c>
      <c r="M317" s="48" t="s">
        <v>2526</v>
      </c>
      <c r="N317" s="49"/>
      <c r="O317" s="50" t="s">
        <v>3173</v>
      </c>
      <c r="P317" s="50"/>
      <c r="Q317" s="59"/>
      <c r="R317" s="13"/>
    </row>
    <row r="318" spans="1:18" ht="18" thickBot="1" x14ac:dyDescent="0.35">
      <c r="A318" s="9" t="s">
        <v>11</v>
      </c>
      <c r="B318" s="28">
        <f>IF(ISBLANK(A318),0,INDEX(txtstylestab[],MATCH(A318,txtstylestab[style_Name],0),1))</f>
        <v>2</v>
      </c>
      <c r="C318" s="28">
        <f t="shared" si="17"/>
        <v>1</v>
      </c>
      <c r="D318" s="28">
        <f t="shared" si="18"/>
        <v>18</v>
      </c>
      <c r="E318" s="28">
        <f t="shared" si="19"/>
        <v>0</v>
      </c>
      <c r="F318" s="54" t="str">
        <f t="shared" si="20"/>
        <v>1.18.</v>
      </c>
      <c r="G318" s="54" t="s">
        <v>626</v>
      </c>
      <c r="H318" s="54"/>
      <c r="I318" s="54"/>
      <c r="J318" s="54"/>
      <c r="K318" s="54"/>
      <c r="L318" s="54"/>
      <c r="M318" s="54"/>
      <c r="N318" s="54"/>
      <c r="O318" s="54"/>
      <c r="P318" s="54"/>
      <c r="Q318" s="54"/>
      <c r="R318" s="13"/>
    </row>
    <row r="319" spans="1:18" ht="16.5" thickTop="1" thickBot="1" x14ac:dyDescent="0.3">
      <c r="A319" s="9" t="s">
        <v>12</v>
      </c>
      <c r="B319" s="28">
        <f>IF(ISBLANK(A319),0,INDEX(txtstylestab[],MATCH(A319,txtstylestab[style_Name],0),1))</f>
        <v>3</v>
      </c>
      <c r="C319" s="28">
        <f t="shared" si="17"/>
        <v>1</v>
      </c>
      <c r="D319" s="28">
        <f t="shared" si="18"/>
        <v>18</v>
      </c>
      <c r="E319" s="28">
        <f t="shared" si="19"/>
        <v>1</v>
      </c>
      <c r="F319" s="55" t="str">
        <f t="shared" si="20"/>
        <v>1.18.1.</v>
      </c>
      <c r="G319" s="55" t="s">
        <v>658</v>
      </c>
      <c r="H319" s="55"/>
      <c r="I319" s="55"/>
      <c r="J319" s="55"/>
      <c r="K319" s="55"/>
      <c r="L319" s="55"/>
      <c r="M319" s="55"/>
      <c r="N319" s="55"/>
      <c r="O319" s="55"/>
      <c r="P319" s="55"/>
      <c r="Q319" s="55"/>
      <c r="R319" s="13"/>
    </row>
    <row r="320" spans="1:18" x14ac:dyDescent="0.25">
      <c r="A320" s="9" t="s">
        <v>21</v>
      </c>
      <c r="B320" s="28">
        <f>IF(ISBLANK(A320),0,INDEX(txtstylestab[],MATCH(A320,txtstylestab[style_Name],0),1))</f>
        <v>0</v>
      </c>
      <c r="C320" s="28">
        <f t="shared" si="17"/>
        <v>1</v>
      </c>
      <c r="D320" s="28">
        <f t="shared" si="18"/>
        <v>18</v>
      </c>
      <c r="E320" s="28">
        <f t="shared" si="19"/>
        <v>1</v>
      </c>
      <c r="F320" s="59" t="str">
        <f t="shared" si="20"/>
        <v/>
      </c>
      <c r="G320" s="42" t="s">
        <v>82</v>
      </c>
      <c r="H320" s="43" t="s">
        <v>83</v>
      </c>
      <c r="I320" s="44" t="s">
        <v>84</v>
      </c>
      <c r="J320" s="45" t="s">
        <v>85</v>
      </c>
      <c r="K320" s="46" t="s">
        <v>86</v>
      </c>
      <c r="L320" s="47" t="s">
        <v>2398</v>
      </c>
      <c r="M320" s="48" t="s">
        <v>2540</v>
      </c>
      <c r="N320" s="49"/>
      <c r="O320" s="76"/>
      <c r="P320" s="50"/>
      <c r="Q320" s="59"/>
      <c r="R320" s="13"/>
    </row>
    <row r="321" spans="1:18" ht="75" x14ac:dyDescent="0.25">
      <c r="A321" s="9" t="s">
        <v>21</v>
      </c>
      <c r="B321" s="28">
        <f>IF(ISBLANK(A321),0,INDEX(txtstylestab[],MATCH(A321,txtstylestab[style_Name],0),1))</f>
        <v>0</v>
      </c>
      <c r="C321" s="28">
        <f t="shared" si="17"/>
        <v>1</v>
      </c>
      <c r="D321" s="28">
        <f t="shared" si="18"/>
        <v>18</v>
      </c>
      <c r="E321" s="28">
        <f t="shared" si="19"/>
        <v>1</v>
      </c>
      <c r="F321" s="59" t="str">
        <f t="shared" si="20"/>
        <v/>
      </c>
      <c r="G321" s="42" t="s">
        <v>627</v>
      </c>
      <c r="H321" s="43" t="s">
        <v>1844</v>
      </c>
      <c r="I321" s="44" t="s">
        <v>628</v>
      </c>
      <c r="J321" s="45" t="s">
        <v>629</v>
      </c>
      <c r="K321" s="46" t="s">
        <v>1719</v>
      </c>
      <c r="L321" s="47" t="s">
        <v>2631</v>
      </c>
      <c r="M321" s="48" t="s">
        <v>2632</v>
      </c>
      <c r="N321" s="49"/>
      <c r="O321" s="49"/>
      <c r="P321" s="50"/>
      <c r="Q321" s="59"/>
      <c r="R321" s="13"/>
    </row>
    <row r="322" spans="1:18" ht="105" x14ac:dyDescent="0.25">
      <c r="A322" s="9" t="s">
        <v>21</v>
      </c>
      <c r="B322" s="28">
        <f>IF(ISBLANK(A322),0,INDEX(txtstylestab[],MATCH(A322,txtstylestab[style_Name],0),1))</f>
        <v>0</v>
      </c>
      <c r="C322" s="28">
        <f t="shared" si="17"/>
        <v>1</v>
      </c>
      <c r="D322" s="28">
        <f t="shared" si="18"/>
        <v>18</v>
      </c>
      <c r="E322" s="28">
        <f t="shared" si="19"/>
        <v>1</v>
      </c>
      <c r="F322" s="59" t="str">
        <f t="shared" si="20"/>
        <v/>
      </c>
      <c r="G322" s="42" t="s">
        <v>630</v>
      </c>
      <c r="H322" s="43" t="s">
        <v>631</v>
      </c>
      <c r="I322" s="44" t="s">
        <v>632</v>
      </c>
      <c r="J322" s="45" t="s">
        <v>633</v>
      </c>
      <c r="K322" s="46" t="s">
        <v>634</v>
      </c>
      <c r="L322" s="47" t="s">
        <v>2633</v>
      </c>
      <c r="M322" s="48" t="s">
        <v>2634</v>
      </c>
      <c r="N322" s="49"/>
      <c r="O322" s="49"/>
      <c r="P322" s="50"/>
      <c r="Q322" s="59"/>
      <c r="R322" s="13"/>
    </row>
    <row r="323" spans="1:18" ht="45" x14ac:dyDescent="0.25">
      <c r="A323" s="9" t="s">
        <v>21</v>
      </c>
      <c r="B323" s="28">
        <f>IF(ISBLANK(A323),0,INDEX(txtstylestab[],MATCH(A323,txtstylestab[style_Name],0),1))</f>
        <v>0</v>
      </c>
      <c r="C323" s="28">
        <f t="shared" si="17"/>
        <v>1</v>
      </c>
      <c r="D323" s="28">
        <f t="shared" si="18"/>
        <v>18</v>
      </c>
      <c r="E323" s="28">
        <f t="shared" si="19"/>
        <v>1</v>
      </c>
      <c r="F323" s="59" t="str">
        <f t="shared" si="20"/>
        <v/>
      </c>
      <c r="G323" s="42" t="s">
        <v>635</v>
      </c>
      <c r="H323" s="43" t="s">
        <v>2228</v>
      </c>
      <c r="I323" s="44" t="s">
        <v>2253</v>
      </c>
      <c r="J323" s="45" t="s">
        <v>636</v>
      </c>
      <c r="K323" s="46" t="s">
        <v>1720</v>
      </c>
      <c r="L323" s="47" t="s">
        <v>2635</v>
      </c>
      <c r="M323" s="48" t="s">
        <v>2636</v>
      </c>
      <c r="N323" s="49"/>
      <c r="O323" s="49"/>
      <c r="P323" s="50"/>
      <c r="Q323" s="59"/>
      <c r="R323" s="13"/>
    </row>
    <row r="324" spans="1:18" ht="45" x14ac:dyDescent="0.25">
      <c r="A324" s="9" t="s">
        <v>21</v>
      </c>
      <c r="B324" s="28">
        <f>IF(ISBLANK(A324),0,INDEX(txtstylestab[],MATCH(A324,txtstylestab[style_Name],0),1))</f>
        <v>0</v>
      </c>
      <c r="C324" s="28">
        <f t="shared" ref="C324:C387" si="21">IF(B324=1,C323+1,C323)</f>
        <v>1</v>
      </c>
      <c r="D324" s="28">
        <f t="shared" ref="D324:D387" si="22">IF(B324=1,0,IF(B324=2,D323+1,IF(AND(B324=3,D323=0),1,D323)))</f>
        <v>18</v>
      </c>
      <c r="E324" s="28">
        <f t="shared" ref="E324:E387" si="23">IF(OR(B324=1,B324=2),0,IF(B324=3,E323+1,E323))</f>
        <v>1</v>
      </c>
      <c r="F324" s="59" t="str">
        <f t="shared" ref="F324:F387" si="24">IF(OR(B324=1,B324=2,B324=3),TEXT(C324,"#")&amp;".","")&amp;IF(OR(B324=2,B324=3),TEXT(D324,"#")&amp;".","")&amp;IF(B324=3,TEXT(E324,"#")&amp;".","")</f>
        <v/>
      </c>
      <c r="G324" s="42" t="s">
        <v>637</v>
      </c>
      <c r="H324" s="43" t="s">
        <v>638</v>
      </c>
      <c r="I324" s="44" t="s">
        <v>639</v>
      </c>
      <c r="J324" s="45" t="s">
        <v>640</v>
      </c>
      <c r="K324" s="46" t="s">
        <v>641</v>
      </c>
      <c r="L324" s="47" t="s">
        <v>2637</v>
      </c>
      <c r="M324" s="48" t="s">
        <v>2638</v>
      </c>
      <c r="N324" s="49"/>
      <c r="O324" s="49"/>
      <c r="P324" s="50"/>
      <c r="Q324" s="59"/>
      <c r="R324" s="13"/>
    </row>
    <row r="325" spans="1:18" ht="45" x14ac:dyDescent="0.25">
      <c r="A325" s="9" t="s">
        <v>21</v>
      </c>
      <c r="B325" s="28">
        <f>IF(ISBLANK(A325),0,INDEX(txtstylestab[],MATCH(A325,txtstylestab[style_Name],0),1))</f>
        <v>0</v>
      </c>
      <c r="C325" s="28">
        <f t="shared" si="21"/>
        <v>1</v>
      </c>
      <c r="D325" s="28">
        <f t="shared" si="22"/>
        <v>18</v>
      </c>
      <c r="E325" s="28">
        <f t="shared" si="23"/>
        <v>1</v>
      </c>
      <c r="F325" s="59" t="str">
        <f t="shared" si="24"/>
        <v/>
      </c>
      <c r="G325" s="42" t="s">
        <v>642</v>
      </c>
      <c r="H325" s="43" t="s">
        <v>643</v>
      </c>
      <c r="I325" s="44" t="s">
        <v>644</v>
      </c>
      <c r="J325" s="45" t="s">
        <v>645</v>
      </c>
      <c r="K325" s="46" t="s">
        <v>646</v>
      </c>
      <c r="L325" s="47" t="s">
        <v>2639</v>
      </c>
      <c r="M325" s="48" t="s">
        <v>2640</v>
      </c>
      <c r="N325" s="49"/>
      <c r="O325" s="49"/>
      <c r="P325" s="50"/>
      <c r="Q325" s="59"/>
      <c r="R325" s="13"/>
    </row>
    <row r="326" spans="1:18" x14ac:dyDescent="0.25">
      <c r="A326" s="9" t="s">
        <v>21</v>
      </c>
      <c r="B326" s="28">
        <f>IF(ISBLANK(A326),0,INDEX(txtstylestab[],MATCH(A326,txtstylestab[style_Name],0),1))</f>
        <v>0</v>
      </c>
      <c r="C326" s="28">
        <f t="shared" si="21"/>
        <v>1</v>
      </c>
      <c r="D326" s="28">
        <f t="shared" si="22"/>
        <v>18</v>
      </c>
      <c r="E326" s="28">
        <f t="shared" si="23"/>
        <v>1</v>
      </c>
      <c r="F326" s="59" t="str">
        <f t="shared" si="24"/>
        <v/>
      </c>
      <c r="G326" s="42" t="s">
        <v>6</v>
      </c>
      <c r="H326" s="43" t="s">
        <v>26</v>
      </c>
      <c r="I326" s="44" t="s">
        <v>48</v>
      </c>
      <c r="J326" s="45" t="s">
        <v>384</v>
      </c>
      <c r="K326" s="46" t="s">
        <v>59</v>
      </c>
      <c r="L326" s="47" t="s">
        <v>2525</v>
      </c>
      <c r="M326" s="48" t="s">
        <v>2526</v>
      </c>
      <c r="N326" s="49"/>
      <c r="O326" s="76"/>
      <c r="P326" s="50"/>
      <c r="Q326" s="59"/>
      <c r="R326" s="13"/>
    </row>
    <row r="327" spans="1:18" ht="15.75" thickBot="1" x14ac:dyDescent="0.3">
      <c r="A327" s="9" t="s">
        <v>12</v>
      </c>
      <c r="B327" s="28">
        <f>IF(ISBLANK(A327),0,INDEX(txtstylestab[],MATCH(A327,txtstylestab[style_Name],0),1))</f>
        <v>3</v>
      </c>
      <c r="C327" s="28">
        <f t="shared" si="21"/>
        <v>1</v>
      </c>
      <c r="D327" s="28">
        <f t="shared" si="22"/>
        <v>18</v>
      </c>
      <c r="E327" s="28">
        <f t="shared" si="23"/>
        <v>2</v>
      </c>
      <c r="F327" s="55" t="str">
        <f t="shared" si="24"/>
        <v>1.18.2.</v>
      </c>
      <c r="G327" s="55" t="s">
        <v>647</v>
      </c>
      <c r="H327" s="55"/>
      <c r="I327" s="55"/>
      <c r="J327" s="55"/>
      <c r="K327" s="55"/>
      <c r="L327" s="55"/>
      <c r="M327" s="55"/>
      <c r="N327" s="55"/>
      <c r="O327" s="55"/>
      <c r="P327" s="55"/>
      <c r="Q327" s="55"/>
      <c r="R327" s="13"/>
    </row>
    <row r="328" spans="1:18" x14ac:dyDescent="0.25">
      <c r="A328" s="9" t="s">
        <v>21</v>
      </c>
      <c r="B328" s="28">
        <f>IF(ISBLANK(A328),0,INDEX(txtstylestab[],MATCH(A328,txtstylestab[style_Name],0),1))</f>
        <v>0</v>
      </c>
      <c r="C328" s="28">
        <f t="shared" si="21"/>
        <v>1</v>
      </c>
      <c r="D328" s="28">
        <f t="shared" si="22"/>
        <v>18</v>
      </c>
      <c r="E328" s="28">
        <f t="shared" si="23"/>
        <v>2</v>
      </c>
      <c r="F328" s="59" t="str">
        <f t="shared" si="24"/>
        <v/>
      </c>
      <c r="G328" s="42" t="s">
        <v>82</v>
      </c>
      <c r="H328" s="43" t="s">
        <v>83</v>
      </c>
      <c r="I328" s="44" t="s">
        <v>84</v>
      </c>
      <c r="J328" s="45" t="s">
        <v>85</v>
      </c>
      <c r="K328" s="46" t="s">
        <v>86</v>
      </c>
      <c r="L328" s="47" t="s">
        <v>2398</v>
      </c>
      <c r="M328" s="48" t="s">
        <v>2540</v>
      </c>
      <c r="N328" s="49"/>
      <c r="O328" s="50" t="s">
        <v>3364</v>
      </c>
      <c r="P328" s="50"/>
      <c r="Q328" s="59"/>
      <c r="R328" s="13"/>
    </row>
    <row r="329" spans="1:18" ht="105" x14ac:dyDescent="0.25">
      <c r="A329" s="9" t="s">
        <v>21</v>
      </c>
      <c r="B329" s="28">
        <f>IF(ISBLANK(A329),0,INDEX(txtstylestab[],MATCH(A329,txtstylestab[style_Name],0),1))</f>
        <v>0</v>
      </c>
      <c r="C329" s="28">
        <f t="shared" si="21"/>
        <v>1</v>
      </c>
      <c r="D329" s="28">
        <f t="shared" si="22"/>
        <v>18</v>
      </c>
      <c r="E329" s="28">
        <f t="shared" si="23"/>
        <v>2</v>
      </c>
      <c r="F329" s="59" t="str">
        <f t="shared" si="24"/>
        <v/>
      </c>
      <c r="G329" s="42" t="s">
        <v>1845</v>
      </c>
      <c r="H329" s="43" t="s">
        <v>1846</v>
      </c>
      <c r="I329" s="44" t="s">
        <v>1848</v>
      </c>
      <c r="J329" s="45" t="s">
        <v>648</v>
      </c>
      <c r="K329" s="46" t="s">
        <v>1847</v>
      </c>
      <c r="L329" s="47" t="s">
        <v>2652</v>
      </c>
      <c r="M329" s="48" t="s">
        <v>2641</v>
      </c>
      <c r="N329" s="49"/>
      <c r="O329" s="50" t="s">
        <v>3386</v>
      </c>
      <c r="P329" s="59"/>
      <c r="Q329" s="59"/>
      <c r="R329" s="13"/>
    </row>
    <row r="330" spans="1:18" x14ac:dyDescent="0.25">
      <c r="A330" s="9" t="s">
        <v>14</v>
      </c>
      <c r="B330" s="28">
        <f>IF(ISBLANK(A330),0,INDEX(txtstylestab[],MATCH(A330,txtstylestab[style_Name],0),1))</f>
        <v>6</v>
      </c>
      <c r="C330" s="28">
        <f t="shared" si="21"/>
        <v>1</v>
      </c>
      <c r="D330" s="28">
        <f t="shared" si="22"/>
        <v>18</v>
      </c>
      <c r="E330" s="28">
        <f t="shared" si="23"/>
        <v>2</v>
      </c>
      <c r="F330" s="59" t="str">
        <f t="shared" si="24"/>
        <v/>
      </c>
      <c r="G330" s="42" t="s">
        <v>1849</v>
      </c>
      <c r="H330" s="43" t="s">
        <v>1853</v>
      </c>
      <c r="I330" s="44" t="s">
        <v>1857</v>
      </c>
      <c r="J330" s="45" t="s">
        <v>1860</v>
      </c>
      <c r="K330" s="46" t="s">
        <v>1864</v>
      </c>
      <c r="L330" s="47" t="s">
        <v>2642</v>
      </c>
      <c r="M330" s="48" t="s">
        <v>2643</v>
      </c>
      <c r="N330" s="49"/>
      <c r="O330" s="50" t="s">
        <v>3387</v>
      </c>
      <c r="P330" s="59"/>
      <c r="Q330" s="59"/>
      <c r="R330" s="13"/>
    </row>
    <row r="331" spans="1:18" x14ac:dyDescent="0.25">
      <c r="A331" s="9" t="s">
        <v>14</v>
      </c>
      <c r="B331" s="28">
        <f>IF(ISBLANK(A331),0,INDEX(txtstylestab[],MATCH(A331,txtstylestab[style_Name],0),1))</f>
        <v>6</v>
      </c>
      <c r="C331" s="28">
        <f t="shared" si="21"/>
        <v>1</v>
      </c>
      <c r="D331" s="28">
        <f t="shared" si="22"/>
        <v>18</v>
      </c>
      <c r="E331" s="28">
        <f t="shared" si="23"/>
        <v>2</v>
      </c>
      <c r="F331" s="59" t="str">
        <f t="shared" si="24"/>
        <v/>
      </c>
      <c r="G331" s="42" t="s">
        <v>1850</v>
      </c>
      <c r="H331" s="43" t="s">
        <v>1854</v>
      </c>
      <c r="I331" s="44" t="s">
        <v>649</v>
      </c>
      <c r="J331" s="45" t="s">
        <v>1861</v>
      </c>
      <c r="K331" s="46" t="s">
        <v>1865</v>
      </c>
      <c r="L331" s="47" t="s">
        <v>2644</v>
      </c>
      <c r="M331" s="48" t="s">
        <v>2645</v>
      </c>
      <c r="N331" s="49"/>
      <c r="O331" s="50" t="s">
        <v>3388</v>
      </c>
      <c r="P331" s="59"/>
      <c r="Q331" s="59"/>
      <c r="R331" s="13"/>
    </row>
    <row r="332" spans="1:18" x14ac:dyDescent="0.25">
      <c r="A332" s="9" t="s">
        <v>14</v>
      </c>
      <c r="B332" s="28">
        <f>IF(ISBLANK(A332),0,INDEX(txtstylestab[],MATCH(A332,txtstylestab[style_Name],0),1))</f>
        <v>6</v>
      </c>
      <c r="C332" s="28">
        <f t="shared" si="21"/>
        <v>1</v>
      </c>
      <c r="D332" s="28">
        <f t="shared" si="22"/>
        <v>18</v>
      </c>
      <c r="E332" s="28">
        <f t="shared" si="23"/>
        <v>2</v>
      </c>
      <c r="F332" s="59" t="str">
        <f t="shared" si="24"/>
        <v/>
      </c>
      <c r="G332" s="42" t="s">
        <v>1851</v>
      </c>
      <c r="H332" s="43" t="s">
        <v>1855</v>
      </c>
      <c r="I332" s="44" t="s">
        <v>1858</v>
      </c>
      <c r="J332" s="45" t="s">
        <v>1862</v>
      </c>
      <c r="K332" s="46" t="s">
        <v>1866</v>
      </c>
      <c r="L332" s="47" t="s">
        <v>2646</v>
      </c>
      <c r="M332" s="48" t="s">
        <v>2647</v>
      </c>
      <c r="N332" s="49"/>
      <c r="O332" s="50" t="s">
        <v>3389</v>
      </c>
      <c r="P332" s="59"/>
      <c r="Q332" s="59"/>
      <c r="R332" s="13"/>
    </row>
    <row r="333" spans="1:18" x14ac:dyDescent="0.25">
      <c r="A333" s="9" t="s">
        <v>14</v>
      </c>
      <c r="B333" s="28">
        <f>IF(ISBLANK(A333),0,INDEX(txtstylestab[],MATCH(A333,txtstylestab[style_Name],0),1))</f>
        <v>6</v>
      </c>
      <c r="C333" s="28">
        <f t="shared" si="21"/>
        <v>1</v>
      </c>
      <c r="D333" s="28">
        <f t="shared" si="22"/>
        <v>18</v>
      </c>
      <c r="E333" s="28">
        <f t="shared" si="23"/>
        <v>2</v>
      </c>
      <c r="F333" s="59" t="str">
        <f t="shared" si="24"/>
        <v/>
      </c>
      <c r="G333" s="42" t="s">
        <v>1852</v>
      </c>
      <c r="H333" s="43" t="s">
        <v>1856</v>
      </c>
      <c r="I333" s="44" t="s">
        <v>1859</v>
      </c>
      <c r="J333" s="45" t="s">
        <v>1863</v>
      </c>
      <c r="K333" s="46" t="s">
        <v>1867</v>
      </c>
      <c r="L333" s="47" t="s">
        <v>2648</v>
      </c>
      <c r="M333" s="48" t="s">
        <v>2649</v>
      </c>
      <c r="N333" s="49"/>
      <c r="O333" s="50" t="s">
        <v>3390</v>
      </c>
      <c r="P333" s="59"/>
      <c r="Q333" s="59"/>
      <c r="R333" s="13"/>
    </row>
    <row r="334" spans="1:18" x14ac:dyDescent="0.25">
      <c r="A334" s="9" t="s">
        <v>14</v>
      </c>
      <c r="B334" s="28">
        <f>IF(ISBLANK(A334),0,INDEX(txtstylestab[],MATCH(A334,txtstylestab[style_Name],0),1))</f>
        <v>6</v>
      </c>
      <c r="C334" s="28">
        <f t="shared" si="21"/>
        <v>1</v>
      </c>
      <c r="D334" s="28">
        <f t="shared" si="22"/>
        <v>18</v>
      </c>
      <c r="E334" s="28">
        <f t="shared" si="23"/>
        <v>2</v>
      </c>
      <c r="F334" s="59" t="str">
        <f t="shared" si="24"/>
        <v/>
      </c>
      <c r="G334" s="42" t="s">
        <v>1868</v>
      </c>
      <c r="H334" s="43" t="s">
        <v>1869</v>
      </c>
      <c r="I334" s="44" t="s">
        <v>1870</v>
      </c>
      <c r="J334" s="45" t="s">
        <v>1871</v>
      </c>
      <c r="K334" s="46" t="s">
        <v>1872</v>
      </c>
      <c r="L334" s="47" t="s">
        <v>2650</v>
      </c>
      <c r="M334" s="48" t="s">
        <v>2651</v>
      </c>
      <c r="N334" s="49"/>
      <c r="O334" s="50" t="s">
        <v>3391</v>
      </c>
      <c r="P334" s="59"/>
      <c r="Q334" s="59"/>
      <c r="R334" s="13"/>
    </row>
    <row r="335" spans="1:18" x14ac:dyDescent="0.25">
      <c r="A335" s="9" t="s">
        <v>21</v>
      </c>
      <c r="B335" s="28">
        <f>IF(ISBLANK(A335),0,INDEX(txtstylestab[],MATCH(A335,txtstylestab[style_Name],0),1))</f>
        <v>0</v>
      </c>
      <c r="C335" s="28">
        <f t="shared" si="21"/>
        <v>1</v>
      </c>
      <c r="D335" s="28">
        <f t="shared" si="22"/>
        <v>18</v>
      </c>
      <c r="E335" s="28">
        <f t="shared" si="23"/>
        <v>2</v>
      </c>
      <c r="F335" s="59" t="str">
        <f t="shared" si="24"/>
        <v/>
      </c>
      <c r="G335" s="42"/>
      <c r="H335" s="43"/>
      <c r="I335" s="44"/>
      <c r="J335" s="45"/>
      <c r="K335" s="46"/>
      <c r="L335" s="47"/>
      <c r="M335" s="48"/>
      <c r="N335" s="49"/>
      <c r="O335" s="50" t="s">
        <v>3392</v>
      </c>
      <c r="P335" s="59"/>
      <c r="Q335" s="59"/>
      <c r="R335" s="13"/>
    </row>
    <row r="336" spans="1:18" x14ac:dyDescent="0.25">
      <c r="A336" s="9" t="s">
        <v>22</v>
      </c>
      <c r="B336" s="28">
        <f>IF(ISBLANK(A336),0,INDEX(txtstylestab[],MATCH(A336,txtstylestab[style_Name],0),1))</f>
        <v>4</v>
      </c>
      <c r="C336" s="28">
        <f t="shared" si="21"/>
        <v>1</v>
      </c>
      <c r="D336" s="28">
        <f t="shared" si="22"/>
        <v>18</v>
      </c>
      <c r="E336" s="28">
        <f t="shared" si="23"/>
        <v>2</v>
      </c>
      <c r="F336" s="56" t="str">
        <f t="shared" si="24"/>
        <v/>
      </c>
      <c r="G336" s="53" t="s">
        <v>655</v>
      </c>
      <c r="H336" s="53"/>
      <c r="I336" s="53"/>
      <c r="J336" s="53"/>
      <c r="K336" s="53"/>
      <c r="L336" s="53"/>
      <c r="M336" s="53"/>
      <c r="N336" s="53"/>
      <c r="O336" s="53"/>
      <c r="P336" s="53"/>
      <c r="Q336" s="53"/>
      <c r="R336" s="13"/>
    </row>
    <row r="337" spans="1:18" ht="60" x14ac:dyDescent="0.25">
      <c r="A337" s="9" t="s">
        <v>21</v>
      </c>
      <c r="B337" s="28">
        <f>IF(ISBLANK(A337),0,INDEX(txtstylestab[],MATCH(A337,txtstylestab[style_Name],0),1))</f>
        <v>0</v>
      </c>
      <c r="C337" s="28">
        <f t="shared" si="21"/>
        <v>1</v>
      </c>
      <c r="D337" s="28">
        <f t="shared" si="22"/>
        <v>18</v>
      </c>
      <c r="E337" s="28">
        <f t="shared" si="23"/>
        <v>2</v>
      </c>
      <c r="F337" s="59" t="str">
        <f t="shared" si="24"/>
        <v/>
      </c>
      <c r="G337" s="42" t="s">
        <v>656</v>
      </c>
      <c r="H337" s="43" t="s">
        <v>657</v>
      </c>
      <c r="I337" s="44" t="s">
        <v>1605</v>
      </c>
      <c r="J337" s="45" t="s">
        <v>1606</v>
      </c>
      <c r="K337" s="46" t="s">
        <v>1722</v>
      </c>
      <c r="L337" s="47" t="s">
        <v>2655</v>
      </c>
      <c r="M337" s="48" t="s">
        <v>2656</v>
      </c>
      <c r="N337" s="49"/>
      <c r="O337" s="50" t="s">
        <v>3393</v>
      </c>
      <c r="P337" s="59"/>
      <c r="Q337" s="59"/>
      <c r="R337" s="13"/>
    </row>
    <row r="338" spans="1:18" x14ac:dyDescent="0.25">
      <c r="A338" s="9" t="s">
        <v>22</v>
      </c>
      <c r="B338" s="28">
        <f>IF(ISBLANK(A338),0,INDEX(txtstylestab[],MATCH(A338,txtstylestab[style_Name],0),1))</f>
        <v>4</v>
      </c>
      <c r="C338" s="28">
        <f t="shared" si="21"/>
        <v>1</v>
      </c>
      <c r="D338" s="28">
        <f t="shared" si="22"/>
        <v>18</v>
      </c>
      <c r="E338" s="28">
        <f t="shared" si="23"/>
        <v>2</v>
      </c>
      <c r="F338" s="56" t="str">
        <f t="shared" si="24"/>
        <v/>
      </c>
      <c r="G338" s="53" t="s">
        <v>650</v>
      </c>
      <c r="H338" s="53"/>
      <c r="I338" s="53"/>
      <c r="J338" s="53"/>
      <c r="K338" s="53"/>
      <c r="L338" s="53"/>
      <c r="M338" s="53"/>
      <c r="N338" s="53"/>
      <c r="O338" s="53"/>
      <c r="P338" s="53"/>
      <c r="Q338" s="53"/>
      <c r="R338" s="13"/>
    </row>
    <row r="339" spans="1:18" ht="60" x14ac:dyDescent="0.25">
      <c r="A339" s="9" t="s">
        <v>21</v>
      </c>
      <c r="B339" s="28">
        <f>IF(ISBLANK(A339),0,INDEX(txtstylestab[],MATCH(A339,txtstylestab[style_Name],0),1))</f>
        <v>0</v>
      </c>
      <c r="C339" s="28">
        <f t="shared" si="21"/>
        <v>1</v>
      </c>
      <c r="D339" s="28">
        <f t="shared" si="22"/>
        <v>18</v>
      </c>
      <c r="E339" s="28">
        <f t="shared" si="23"/>
        <v>2</v>
      </c>
      <c r="F339" s="59" t="str">
        <f t="shared" si="24"/>
        <v/>
      </c>
      <c r="G339" s="42" t="s">
        <v>651</v>
      </c>
      <c r="H339" s="43" t="s">
        <v>652</v>
      </c>
      <c r="I339" s="44" t="s">
        <v>653</v>
      </c>
      <c r="J339" s="45" t="s">
        <v>654</v>
      </c>
      <c r="K339" s="46" t="s">
        <v>1721</v>
      </c>
      <c r="L339" s="47" t="s">
        <v>2653</v>
      </c>
      <c r="M339" s="48" t="s">
        <v>2654</v>
      </c>
      <c r="N339" s="49"/>
      <c r="O339" s="50" t="s">
        <v>3394</v>
      </c>
      <c r="P339" s="59"/>
      <c r="Q339" s="59"/>
      <c r="R339" s="13"/>
    </row>
    <row r="340" spans="1:18" ht="45" x14ac:dyDescent="0.25">
      <c r="A340" s="9" t="s">
        <v>21</v>
      </c>
      <c r="B340" s="28">
        <f>IF(ISBLANK(A340),0,INDEX(txtstylestab[],MATCH(A340,txtstylestab[style_Name],0),1))</f>
        <v>0</v>
      </c>
      <c r="C340" s="28">
        <f t="shared" si="21"/>
        <v>1</v>
      </c>
      <c r="D340" s="28">
        <f t="shared" si="22"/>
        <v>18</v>
      </c>
      <c r="E340" s="28">
        <f t="shared" si="23"/>
        <v>2</v>
      </c>
      <c r="F340" s="59" t="str">
        <f t="shared" si="24"/>
        <v/>
      </c>
      <c r="G340" s="42" t="s">
        <v>637</v>
      </c>
      <c r="H340" s="43" t="s">
        <v>638</v>
      </c>
      <c r="I340" s="44" t="s">
        <v>639</v>
      </c>
      <c r="J340" s="45" t="s">
        <v>659</v>
      </c>
      <c r="K340" s="46" t="s">
        <v>641</v>
      </c>
      <c r="L340" s="47" t="s">
        <v>2657</v>
      </c>
      <c r="M340" s="48" t="s">
        <v>2658</v>
      </c>
      <c r="N340" s="49"/>
      <c r="O340" s="50" t="s">
        <v>3395</v>
      </c>
      <c r="P340" s="59"/>
      <c r="Q340" s="59"/>
      <c r="R340" s="13"/>
    </row>
    <row r="341" spans="1:18" ht="60" x14ac:dyDescent="0.25">
      <c r="A341" s="9" t="s">
        <v>21</v>
      </c>
      <c r="B341" s="28">
        <f>IF(ISBLANK(A341),0,INDEX(txtstylestab[],MATCH(A341,txtstylestab[style_Name],0),1))</f>
        <v>0</v>
      </c>
      <c r="C341" s="28">
        <f t="shared" si="21"/>
        <v>1</v>
      </c>
      <c r="D341" s="28">
        <f t="shared" si="22"/>
        <v>18</v>
      </c>
      <c r="E341" s="28">
        <f t="shared" si="23"/>
        <v>2</v>
      </c>
      <c r="F341" s="59" t="str">
        <f t="shared" si="24"/>
        <v/>
      </c>
      <c r="G341" s="42" t="s">
        <v>2308</v>
      </c>
      <c r="H341" s="43" t="s">
        <v>2309</v>
      </c>
      <c r="I341" s="44" t="s">
        <v>2310</v>
      </c>
      <c r="J341" s="45" t="s">
        <v>2311</v>
      </c>
      <c r="K341" s="46" t="s">
        <v>2312</v>
      </c>
      <c r="L341" s="47" t="s">
        <v>2660</v>
      </c>
      <c r="M341" s="48" t="s">
        <v>2661</v>
      </c>
      <c r="N341" s="49"/>
      <c r="O341" s="50" t="s">
        <v>3396</v>
      </c>
      <c r="P341" s="59"/>
      <c r="Q341" s="59"/>
      <c r="R341" s="13"/>
    </row>
    <row r="342" spans="1:18" ht="45" x14ac:dyDescent="0.25">
      <c r="A342" s="9" t="s">
        <v>21</v>
      </c>
      <c r="B342" s="28">
        <f>IF(ISBLANK(A342),0,INDEX(txtstylestab[],MATCH(A342,txtstylestab[style_Name],0),1))</f>
        <v>0</v>
      </c>
      <c r="C342" s="28">
        <f t="shared" si="21"/>
        <v>1</v>
      </c>
      <c r="D342" s="28">
        <f t="shared" si="22"/>
        <v>18</v>
      </c>
      <c r="E342" s="28">
        <f t="shared" si="23"/>
        <v>2</v>
      </c>
      <c r="F342" s="59" t="str">
        <f t="shared" si="24"/>
        <v/>
      </c>
      <c r="G342" s="42" t="s">
        <v>642</v>
      </c>
      <c r="H342" s="43" t="s">
        <v>643</v>
      </c>
      <c r="I342" s="44" t="s">
        <v>644</v>
      </c>
      <c r="J342" s="45" t="s">
        <v>645</v>
      </c>
      <c r="K342" s="46" t="s">
        <v>660</v>
      </c>
      <c r="L342" s="47" t="s">
        <v>2659</v>
      </c>
      <c r="M342" s="48" t="s">
        <v>2640</v>
      </c>
      <c r="N342" s="49"/>
      <c r="O342" s="50" t="s">
        <v>3397</v>
      </c>
      <c r="P342" s="59"/>
      <c r="Q342" s="59"/>
      <c r="R342" s="13"/>
    </row>
    <row r="343" spans="1:18" x14ac:dyDescent="0.25">
      <c r="A343" s="9" t="s">
        <v>21</v>
      </c>
      <c r="B343" s="28">
        <f>IF(ISBLANK(A343),0,INDEX(txtstylestab[],MATCH(A343,txtstylestab[style_Name],0),1))</f>
        <v>0</v>
      </c>
      <c r="C343" s="28">
        <f t="shared" si="21"/>
        <v>1</v>
      </c>
      <c r="D343" s="28">
        <f t="shared" si="22"/>
        <v>18</v>
      </c>
      <c r="E343" s="28">
        <f t="shared" si="23"/>
        <v>2</v>
      </c>
      <c r="F343" s="59" t="str">
        <f t="shared" si="24"/>
        <v/>
      </c>
      <c r="G343" s="42" t="s">
        <v>6</v>
      </c>
      <c r="H343" s="43" t="s">
        <v>26</v>
      </c>
      <c r="I343" s="44" t="s">
        <v>48</v>
      </c>
      <c r="J343" s="45" t="s">
        <v>54</v>
      </c>
      <c r="K343" s="46" t="s">
        <v>59</v>
      </c>
      <c r="L343" s="47" t="s">
        <v>2525</v>
      </c>
      <c r="M343" s="48" t="s">
        <v>2526</v>
      </c>
      <c r="N343" s="49"/>
      <c r="O343" s="50" t="s">
        <v>3173</v>
      </c>
      <c r="P343" s="50"/>
      <c r="Q343" s="59"/>
      <c r="R343" s="13"/>
    </row>
    <row r="344" spans="1:18" x14ac:dyDescent="0.25">
      <c r="A344" s="9" t="s">
        <v>13</v>
      </c>
      <c r="B344" s="28">
        <f>IF(ISBLANK(A344),0,INDEX(txtstylestab[],MATCH(A344,txtstylestab[style_Name],0),1))</f>
        <v>7</v>
      </c>
      <c r="C344" s="28">
        <f t="shared" si="21"/>
        <v>1</v>
      </c>
      <c r="D344" s="28">
        <f t="shared" si="22"/>
        <v>18</v>
      </c>
      <c r="E344" s="28">
        <f t="shared" si="23"/>
        <v>2</v>
      </c>
      <c r="F344" s="78" t="str">
        <f t="shared" si="24"/>
        <v/>
      </c>
      <c r="G344" s="78" t="s">
        <v>661</v>
      </c>
      <c r="H344" s="78"/>
      <c r="I344" s="78"/>
      <c r="J344" s="78"/>
      <c r="K344" s="78"/>
      <c r="L344" s="78"/>
      <c r="M344" s="78"/>
      <c r="N344" s="78"/>
      <c r="O344" s="78"/>
      <c r="P344" s="78"/>
      <c r="Q344" s="78"/>
      <c r="R344" s="13"/>
    </row>
    <row r="345" spans="1:18" ht="18" thickBot="1" x14ac:dyDescent="0.35">
      <c r="A345" s="9" t="s">
        <v>11</v>
      </c>
      <c r="B345" s="28">
        <f>IF(ISBLANK(A345),0,INDEX(txtstylestab[],MATCH(A345,txtstylestab[style_Name],0),1))</f>
        <v>2</v>
      </c>
      <c r="C345" s="28">
        <f t="shared" si="21"/>
        <v>1</v>
      </c>
      <c r="D345" s="28">
        <f t="shared" si="22"/>
        <v>19</v>
      </c>
      <c r="E345" s="28">
        <f t="shared" si="23"/>
        <v>0</v>
      </c>
      <c r="F345" s="54" t="str">
        <f t="shared" si="24"/>
        <v>1.19.</v>
      </c>
      <c r="G345" s="54" t="s">
        <v>1883</v>
      </c>
      <c r="H345" s="54"/>
      <c r="I345" s="54"/>
      <c r="J345" s="54"/>
      <c r="K345" s="54"/>
      <c r="L345" s="47"/>
      <c r="M345" s="47"/>
      <c r="N345" s="54"/>
      <c r="O345" s="54"/>
      <c r="P345" s="54"/>
      <c r="Q345" s="54"/>
      <c r="R345" s="13"/>
    </row>
    <row r="346" spans="1:18" ht="15.75" thickTop="1" x14ac:dyDescent="0.25">
      <c r="A346" s="9" t="s">
        <v>21</v>
      </c>
      <c r="B346" s="28">
        <f>IF(ISBLANK(A346),0,INDEX(txtstylestab[],MATCH(A346,txtstylestab[style_Name],0),1))</f>
        <v>0</v>
      </c>
      <c r="C346" s="28">
        <f t="shared" si="21"/>
        <v>1</v>
      </c>
      <c r="D346" s="28">
        <f t="shared" si="22"/>
        <v>19</v>
      </c>
      <c r="E346" s="28">
        <f t="shared" si="23"/>
        <v>0</v>
      </c>
      <c r="F346" s="59" t="str">
        <f t="shared" si="24"/>
        <v/>
      </c>
      <c r="G346" s="42" t="s">
        <v>82</v>
      </c>
      <c r="H346" s="43" t="s">
        <v>83</v>
      </c>
      <c r="I346" s="44" t="s">
        <v>84</v>
      </c>
      <c r="J346" s="45" t="s">
        <v>85</v>
      </c>
      <c r="K346" s="46" t="s">
        <v>86</v>
      </c>
      <c r="L346" s="47" t="s">
        <v>2398</v>
      </c>
      <c r="M346" s="48" t="s">
        <v>2540</v>
      </c>
      <c r="N346" s="49"/>
      <c r="O346" s="50" t="s">
        <v>3364</v>
      </c>
      <c r="P346" s="50"/>
      <c r="Q346" s="59"/>
      <c r="R346" s="13"/>
    </row>
    <row r="347" spans="1:18" ht="30" x14ac:dyDescent="0.25">
      <c r="A347" s="9" t="s">
        <v>21</v>
      </c>
      <c r="B347" s="28">
        <f>IF(ISBLANK(A347),0,INDEX(txtstylestab[],MATCH(A347,txtstylestab[style_Name],0),1))</f>
        <v>0</v>
      </c>
      <c r="C347" s="28">
        <f t="shared" si="21"/>
        <v>1</v>
      </c>
      <c r="D347" s="28">
        <f t="shared" si="22"/>
        <v>19</v>
      </c>
      <c r="E347" s="28">
        <f t="shared" si="23"/>
        <v>0</v>
      </c>
      <c r="F347" s="59" t="str">
        <f t="shared" si="24"/>
        <v/>
      </c>
      <c r="G347" s="42" t="s">
        <v>662</v>
      </c>
      <c r="H347" s="43" t="s">
        <v>663</v>
      </c>
      <c r="I347" s="44" t="s">
        <v>2234</v>
      </c>
      <c r="J347" s="45" t="s">
        <v>664</v>
      </c>
      <c r="K347" s="46" t="s">
        <v>665</v>
      </c>
      <c r="L347" s="47" t="s">
        <v>2662</v>
      </c>
      <c r="M347" s="48" t="s">
        <v>2663</v>
      </c>
      <c r="N347" s="49"/>
      <c r="O347" s="50" t="s">
        <v>3398</v>
      </c>
      <c r="P347" s="59"/>
      <c r="Q347" s="59"/>
      <c r="R347" s="13"/>
    </row>
    <row r="348" spans="1:18" ht="75" x14ac:dyDescent="0.25">
      <c r="A348" s="9" t="s">
        <v>21</v>
      </c>
      <c r="B348" s="28">
        <f>IF(ISBLANK(A348),0,INDEX(txtstylestab[],MATCH(A348,txtstylestab[style_Name],0),1))</f>
        <v>0</v>
      </c>
      <c r="C348" s="28">
        <f t="shared" si="21"/>
        <v>1</v>
      </c>
      <c r="D348" s="28">
        <f t="shared" si="22"/>
        <v>19</v>
      </c>
      <c r="E348" s="28">
        <f t="shared" si="23"/>
        <v>0</v>
      </c>
      <c r="F348" s="59" t="str">
        <f t="shared" si="24"/>
        <v/>
      </c>
      <c r="G348" s="42" t="s">
        <v>666</v>
      </c>
      <c r="H348" s="43" t="s">
        <v>2229</v>
      </c>
      <c r="I348" s="44" t="s">
        <v>2254</v>
      </c>
      <c r="J348" s="45" t="s">
        <v>667</v>
      </c>
      <c r="K348" s="46" t="s">
        <v>668</v>
      </c>
      <c r="L348" s="47" t="s">
        <v>2664</v>
      </c>
      <c r="M348" s="48" t="s">
        <v>2665</v>
      </c>
      <c r="N348" s="49"/>
      <c r="O348" s="50" t="s">
        <v>3399</v>
      </c>
      <c r="P348" s="59"/>
      <c r="Q348" s="59"/>
      <c r="R348" s="13"/>
    </row>
    <row r="349" spans="1:18" x14ac:dyDescent="0.25">
      <c r="A349" s="9" t="s">
        <v>21</v>
      </c>
      <c r="B349" s="28">
        <f>IF(ISBLANK(A349),0,INDEX(txtstylestab[],MATCH(A349,txtstylestab[style_Name],0),1))</f>
        <v>0</v>
      </c>
      <c r="C349" s="28">
        <f t="shared" si="21"/>
        <v>1</v>
      </c>
      <c r="D349" s="28">
        <f t="shared" si="22"/>
        <v>19</v>
      </c>
      <c r="E349" s="28">
        <f t="shared" si="23"/>
        <v>0</v>
      </c>
      <c r="F349" s="59" t="str">
        <f t="shared" si="24"/>
        <v/>
      </c>
      <c r="G349" s="42" t="s">
        <v>6</v>
      </c>
      <c r="H349" s="43" t="s">
        <v>26</v>
      </c>
      <c r="I349" s="44" t="s">
        <v>48</v>
      </c>
      <c r="J349" s="45" t="s">
        <v>54</v>
      </c>
      <c r="K349" s="46" t="s">
        <v>59</v>
      </c>
      <c r="L349" s="47" t="s">
        <v>2525</v>
      </c>
      <c r="M349" s="48" t="s">
        <v>2526</v>
      </c>
      <c r="N349" s="49"/>
      <c r="O349" s="50" t="s">
        <v>3173</v>
      </c>
      <c r="P349" s="50"/>
      <c r="Q349" s="59"/>
      <c r="R349" s="13"/>
    </row>
    <row r="350" spans="1:18" ht="18" thickBot="1" x14ac:dyDescent="0.35">
      <c r="A350" s="9" t="s">
        <v>11</v>
      </c>
      <c r="B350" s="28">
        <f>IF(ISBLANK(A350),0,INDEX(txtstylestab[],MATCH(A350,txtstylestab[style_Name],0),1))</f>
        <v>2</v>
      </c>
      <c r="C350" s="28">
        <f t="shared" si="21"/>
        <v>1</v>
      </c>
      <c r="D350" s="28">
        <f t="shared" si="22"/>
        <v>20</v>
      </c>
      <c r="E350" s="28">
        <f t="shared" si="23"/>
        <v>0</v>
      </c>
      <c r="F350" s="54" t="str">
        <f t="shared" si="24"/>
        <v>1.20.</v>
      </c>
      <c r="G350" s="54" t="s">
        <v>669</v>
      </c>
      <c r="H350" s="54"/>
      <c r="I350" s="54"/>
      <c r="J350" s="54"/>
      <c r="K350" s="54"/>
      <c r="L350" s="54"/>
      <c r="M350" s="54"/>
      <c r="N350" s="54"/>
      <c r="O350" s="54"/>
      <c r="P350" s="54"/>
      <c r="Q350" s="54"/>
      <c r="R350" s="13"/>
    </row>
    <row r="351" spans="1:18" ht="16.5" thickTop="1" thickBot="1" x14ac:dyDescent="0.3">
      <c r="A351" s="9" t="s">
        <v>12</v>
      </c>
      <c r="B351" s="28">
        <f>IF(ISBLANK(A351),0,INDEX(txtstylestab[],MATCH(A351,txtstylestab[style_Name],0),1))</f>
        <v>3</v>
      </c>
      <c r="C351" s="28">
        <f t="shared" si="21"/>
        <v>1</v>
      </c>
      <c r="D351" s="28">
        <f t="shared" si="22"/>
        <v>20</v>
      </c>
      <c r="E351" s="28">
        <f t="shared" si="23"/>
        <v>1</v>
      </c>
      <c r="F351" s="55" t="str">
        <f t="shared" si="24"/>
        <v>1.20.1.</v>
      </c>
      <c r="G351" s="55" t="s">
        <v>670</v>
      </c>
      <c r="H351" s="55"/>
      <c r="I351" s="55"/>
      <c r="J351" s="55"/>
      <c r="K351" s="55"/>
      <c r="L351" s="55"/>
      <c r="M351" s="55"/>
      <c r="N351" s="55"/>
      <c r="O351" s="55"/>
      <c r="P351" s="55"/>
      <c r="Q351" s="55"/>
      <c r="R351" s="13"/>
    </row>
    <row r="352" spans="1:18" ht="60" x14ac:dyDescent="0.25">
      <c r="A352" s="9" t="s">
        <v>21</v>
      </c>
      <c r="B352" s="28">
        <f>IF(ISBLANK(A352),0,INDEX(txtstylestab[],MATCH(A352,txtstylestab[style_Name],0),1))</f>
        <v>0</v>
      </c>
      <c r="C352" s="28">
        <f t="shared" si="21"/>
        <v>1</v>
      </c>
      <c r="D352" s="28">
        <f t="shared" si="22"/>
        <v>20</v>
      </c>
      <c r="E352" s="28">
        <f t="shared" si="23"/>
        <v>1</v>
      </c>
      <c r="F352" s="59" t="str">
        <f t="shared" si="24"/>
        <v/>
      </c>
      <c r="G352" s="42" t="s">
        <v>1873</v>
      </c>
      <c r="H352" s="43" t="s">
        <v>1874</v>
      </c>
      <c r="I352" s="44" t="s">
        <v>1875</v>
      </c>
      <c r="J352" s="45" t="s">
        <v>1876</v>
      </c>
      <c r="K352" s="46" t="s">
        <v>1877</v>
      </c>
      <c r="L352" s="47" t="s">
        <v>2666</v>
      </c>
      <c r="M352" s="48" t="s">
        <v>2667</v>
      </c>
      <c r="N352" s="49"/>
      <c r="O352" s="50" t="s">
        <v>3400</v>
      </c>
      <c r="P352" s="59"/>
      <c r="Q352" s="59"/>
      <c r="R352" s="13"/>
    </row>
    <row r="353" spans="1:18" ht="105" x14ac:dyDescent="0.25">
      <c r="A353" s="9" t="s">
        <v>14</v>
      </c>
      <c r="B353" s="28">
        <f>IF(ISBLANK(A353),0,INDEX(txtstylestab[],MATCH(A353,txtstylestab[style_Name],0),1))</f>
        <v>6</v>
      </c>
      <c r="C353" s="28">
        <f t="shared" si="21"/>
        <v>1</v>
      </c>
      <c r="D353" s="28">
        <f t="shared" si="22"/>
        <v>20</v>
      </c>
      <c r="E353" s="28">
        <f t="shared" si="23"/>
        <v>1</v>
      </c>
      <c r="F353" s="59" t="str">
        <f t="shared" si="24"/>
        <v/>
      </c>
      <c r="G353" s="42" t="s">
        <v>3402</v>
      </c>
      <c r="H353" s="43" t="s">
        <v>3403</v>
      </c>
      <c r="I353" s="44" t="s">
        <v>3404</v>
      </c>
      <c r="J353" s="45" t="s">
        <v>3405</v>
      </c>
      <c r="K353" s="46" t="s">
        <v>3406</v>
      </c>
      <c r="L353" s="47" t="s">
        <v>3407</v>
      </c>
      <c r="M353" s="48" t="s">
        <v>3408</v>
      </c>
      <c r="N353" s="49"/>
      <c r="O353" s="50" t="s">
        <v>3401</v>
      </c>
      <c r="P353" s="59"/>
      <c r="Q353" s="59"/>
      <c r="R353" s="13"/>
    </row>
    <row r="354" spans="1:18" ht="60" x14ac:dyDescent="0.25">
      <c r="A354" s="9" t="s">
        <v>14</v>
      </c>
      <c r="B354" s="28">
        <f>IF(ISBLANK(A354),0,INDEX(txtstylestab[],MATCH(A354,txtstylestab[style_Name],0),1))</f>
        <v>6</v>
      </c>
      <c r="C354" s="28">
        <f t="shared" si="21"/>
        <v>1</v>
      </c>
      <c r="D354" s="28">
        <f t="shared" si="22"/>
        <v>20</v>
      </c>
      <c r="E354" s="28">
        <f t="shared" si="23"/>
        <v>1</v>
      </c>
      <c r="F354" s="59" t="str">
        <f t="shared" si="24"/>
        <v/>
      </c>
      <c r="G354" s="42" t="s">
        <v>1878</v>
      </c>
      <c r="H354" s="43" t="s">
        <v>1879</v>
      </c>
      <c r="I354" s="44" t="s">
        <v>1881</v>
      </c>
      <c r="J354" s="45" t="s">
        <v>1880</v>
      </c>
      <c r="K354" s="46" t="s">
        <v>1882</v>
      </c>
      <c r="L354" s="47" t="s">
        <v>2668</v>
      </c>
      <c r="M354" s="48" t="s">
        <v>2800</v>
      </c>
      <c r="N354" s="49"/>
      <c r="O354" s="49"/>
      <c r="P354" s="50"/>
      <c r="Q354" s="59"/>
      <c r="R354" s="13"/>
    </row>
    <row r="355" spans="1:18" ht="75" x14ac:dyDescent="0.25">
      <c r="A355" s="9" t="s">
        <v>21</v>
      </c>
      <c r="B355" s="28">
        <f>IF(ISBLANK(A355),0,INDEX(txtstylestab[],MATCH(A355,txtstylestab[style_Name],0),1))</f>
        <v>0</v>
      </c>
      <c r="C355" s="28">
        <f t="shared" si="21"/>
        <v>1</v>
      </c>
      <c r="D355" s="28">
        <f t="shared" si="22"/>
        <v>20</v>
      </c>
      <c r="E355" s="28">
        <f t="shared" si="23"/>
        <v>1</v>
      </c>
      <c r="F355" s="59" t="str">
        <f t="shared" si="24"/>
        <v/>
      </c>
      <c r="G355" s="42" t="s">
        <v>3409</v>
      </c>
      <c r="H355" s="43" t="s">
        <v>3410</v>
      </c>
      <c r="I355" s="44" t="s">
        <v>3411</v>
      </c>
      <c r="J355" s="45" t="s">
        <v>3412</v>
      </c>
      <c r="K355" s="46" t="s">
        <v>3413</v>
      </c>
      <c r="L355" s="47" t="s">
        <v>3414</v>
      </c>
      <c r="M355" s="48" t="s">
        <v>3415</v>
      </c>
      <c r="N355" s="49"/>
      <c r="O355" s="49"/>
      <c r="P355" s="50"/>
      <c r="Q355" s="59"/>
      <c r="R355" s="13"/>
    </row>
    <row r="356" spans="1:18" x14ac:dyDescent="0.25">
      <c r="A356" s="9" t="s">
        <v>21</v>
      </c>
      <c r="B356" s="28">
        <f>IF(ISBLANK(A356),0,INDEX(txtstylestab[],MATCH(A356,txtstylestab[style_Name],0),1))</f>
        <v>0</v>
      </c>
      <c r="C356" s="28">
        <f t="shared" si="21"/>
        <v>1</v>
      </c>
      <c r="D356" s="28">
        <f t="shared" si="22"/>
        <v>20</v>
      </c>
      <c r="E356" s="28">
        <f t="shared" si="23"/>
        <v>1</v>
      </c>
      <c r="F356" s="59" t="str">
        <f t="shared" si="24"/>
        <v/>
      </c>
      <c r="G356" s="42" t="s">
        <v>6</v>
      </c>
      <c r="H356" s="43" t="s">
        <v>26</v>
      </c>
      <c r="I356" s="44" t="s">
        <v>48</v>
      </c>
      <c r="J356" s="45" t="s">
        <v>397</v>
      </c>
      <c r="K356" s="46" t="s">
        <v>59</v>
      </c>
      <c r="L356" s="47" t="s">
        <v>2525</v>
      </c>
      <c r="M356" s="48" t="s">
        <v>2526</v>
      </c>
      <c r="N356" s="49"/>
      <c r="O356" s="50" t="s">
        <v>3173</v>
      </c>
      <c r="P356" s="50"/>
      <c r="Q356" s="59"/>
      <c r="R356" s="13"/>
    </row>
    <row r="357" spans="1:18" ht="15.75" thickBot="1" x14ac:dyDescent="0.3">
      <c r="A357" s="9" t="s">
        <v>12</v>
      </c>
      <c r="B357" s="28">
        <f>IF(ISBLANK(A357),0,INDEX(txtstylestab[],MATCH(A357,txtstylestab[style_Name],0),1))</f>
        <v>3</v>
      </c>
      <c r="C357" s="28">
        <f t="shared" si="21"/>
        <v>1</v>
      </c>
      <c r="D357" s="28">
        <f t="shared" si="22"/>
        <v>20</v>
      </c>
      <c r="E357" s="28">
        <f t="shared" si="23"/>
        <v>2</v>
      </c>
      <c r="F357" s="55" t="str">
        <f t="shared" si="24"/>
        <v>1.20.2.</v>
      </c>
      <c r="G357" s="55" t="s">
        <v>671</v>
      </c>
      <c r="H357" s="55"/>
      <c r="I357" s="55"/>
      <c r="J357" s="55"/>
      <c r="K357" s="55"/>
      <c r="L357" s="55"/>
      <c r="M357" s="55"/>
      <c r="N357" s="55"/>
      <c r="O357" s="55"/>
      <c r="P357" s="55"/>
      <c r="Q357" s="55"/>
      <c r="R357" s="13"/>
    </row>
    <row r="358" spans="1:18" ht="120" x14ac:dyDescent="0.25">
      <c r="A358" s="9" t="s">
        <v>21</v>
      </c>
      <c r="B358" s="28">
        <f>IF(ISBLANK(A358),0,INDEX(txtstylestab[],MATCH(A358,txtstylestab[style_Name],0),1))</f>
        <v>0</v>
      </c>
      <c r="C358" s="28">
        <f t="shared" si="21"/>
        <v>1</v>
      </c>
      <c r="D358" s="28">
        <f t="shared" si="22"/>
        <v>20</v>
      </c>
      <c r="E358" s="28">
        <f t="shared" si="23"/>
        <v>2</v>
      </c>
      <c r="F358" s="59" t="str">
        <f t="shared" si="24"/>
        <v/>
      </c>
      <c r="G358" s="42" t="s">
        <v>678</v>
      </c>
      <c r="H358" s="43" t="s">
        <v>679</v>
      </c>
      <c r="I358" s="44" t="s">
        <v>1607</v>
      </c>
      <c r="J358" s="45" t="s">
        <v>680</v>
      </c>
      <c r="K358" s="46" t="s">
        <v>681</v>
      </c>
      <c r="L358" s="47" t="s">
        <v>2747</v>
      </c>
      <c r="M358" s="48" t="s">
        <v>2748</v>
      </c>
      <c r="N358" s="49"/>
      <c r="O358" s="50" t="s">
        <v>3420</v>
      </c>
      <c r="P358" s="59"/>
      <c r="Q358" s="59"/>
      <c r="R358" s="13"/>
    </row>
    <row r="359" spans="1:18" ht="90" x14ac:dyDescent="0.25">
      <c r="A359" s="9" t="s">
        <v>21</v>
      </c>
      <c r="B359" s="28">
        <f>IF(ISBLANK(A359),0,INDEX(txtstylestab[],MATCH(A359,txtstylestab[style_Name],0),1))</f>
        <v>0</v>
      </c>
      <c r="C359" s="28">
        <f t="shared" si="21"/>
        <v>1</v>
      </c>
      <c r="D359" s="28">
        <f t="shared" si="22"/>
        <v>20</v>
      </c>
      <c r="E359" s="28">
        <f t="shared" si="23"/>
        <v>2</v>
      </c>
      <c r="F359" s="59" t="str">
        <f t="shared" si="24"/>
        <v/>
      </c>
      <c r="G359" s="42" t="s">
        <v>672</v>
      </c>
      <c r="H359" s="43" t="s">
        <v>673</v>
      </c>
      <c r="I359" s="44" t="s">
        <v>1608</v>
      </c>
      <c r="J359" s="45" t="s">
        <v>1609</v>
      </c>
      <c r="K359" s="46" t="s">
        <v>1610</v>
      </c>
      <c r="L359" s="47" t="s">
        <v>2669</v>
      </c>
      <c r="M359" s="48" t="s">
        <v>2670</v>
      </c>
      <c r="N359" s="49"/>
      <c r="O359" s="50" t="s">
        <v>3416</v>
      </c>
      <c r="P359" s="59"/>
      <c r="Q359" s="59"/>
      <c r="R359" s="13"/>
    </row>
    <row r="360" spans="1:18" ht="45" x14ac:dyDescent="0.25">
      <c r="A360" s="9" t="s">
        <v>21</v>
      </c>
      <c r="B360" s="28">
        <f>IF(ISBLANK(A360),0,INDEX(txtstylestab[],MATCH(A360,txtstylestab[style_Name],0),1))</f>
        <v>0</v>
      </c>
      <c r="C360" s="28">
        <f t="shared" si="21"/>
        <v>1</v>
      </c>
      <c r="D360" s="28">
        <f t="shared" si="22"/>
        <v>20</v>
      </c>
      <c r="E360" s="28">
        <f t="shared" si="23"/>
        <v>2</v>
      </c>
      <c r="F360" s="59" t="str">
        <f t="shared" si="24"/>
        <v/>
      </c>
      <c r="G360" s="42" t="s">
        <v>674</v>
      </c>
      <c r="H360" s="43" t="s">
        <v>675</v>
      </c>
      <c r="I360" s="44" t="s">
        <v>1636</v>
      </c>
      <c r="J360" s="45" t="s">
        <v>676</v>
      </c>
      <c r="K360" s="46" t="s">
        <v>677</v>
      </c>
      <c r="L360" s="47" t="s">
        <v>2671</v>
      </c>
      <c r="M360" s="48" t="s">
        <v>2672</v>
      </c>
      <c r="N360" s="49"/>
      <c r="O360" s="50" t="s">
        <v>3417</v>
      </c>
      <c r="P360" s="59"/>
      <c r="Q360" s="59"/>
      <c r="R360" s="13"/>
    </row>
    <row r="361" spans="1:18" x14ac:dyDescent="0.25">
      <c r="A361" s="9" t="s">
        <v>21</v>
      </c>
      <c r="B361" s="28">
        <f>IF(ISBLANK(A361),0,INDEX(txtstylestab[],MATCH(A361,txtstylestab[style_Name],0),1))</f>
        <v>0</v>
      </c>
      <c r="C361" s="28">
        <f t="shared" si="21"/>
        <v>1</v>
      </c>
      <c r="D361" s="28">
        <f t="shared" si="22"/>
        <v>20</v>
      </c>
      <c r="E361" s="28">
        <f t="shared" si="23"/>
        <v>2</v>
      </c>
      <c r="F361" s="59" t="str">
        <f t="shared" si="24"/>
        <v/>
      </c>
      <c r="G361" s="42" t="s">
        <v>6</v>
      </c>
      <c r="H361" s="43" t="s">
        <v>26</v>
      </c>
      <c r="I361" s="44" t="s">
        <v>48</v>
      </c>
      <c r="J361" s="45" t="s">
        <v>384</v>
      </c>
      <c r="K361" s="46" t="s">
        <v>59</v>
      </c>
      <c r="L361" s="47" t="s">
        <v>2525</v>
      </c>
      <c r="M361" s="48" t="s">
        <v>2526</v>
      </c>
      <c r="N361" s="49"/>
      <c r="O361" s="50" t="s">
        <v>3173</v>
      </c>
      <c r="P361" s="50"/>
      <c r="Q361" s="59"/>
      <c r="R361" s="13"/>
    </row>
    <row r="362" spans="1:18" ht="18" thickBot="1" x14ac:dyDescent="0.35">
      <c r="A362" s="9" t="s">
        <v>11</v>
      </c>
      <c r="B362" s="28">
        <f>IF(ISBLANK(A362),0,INDEX(txtstylestab[],MATCH(A362,txtstylestab[style_Name],0),1))</f>
        <v>2</v>
      </c>
      <c r="C362" s="28">
        <f t="shared" si="21"/>
        <v>1</v>
      </c>
      <c r="D362" s="28">
        <f t="shared" si="22"/>
        <v>21</v>
      </c>
      <c r="E362" s="28">
        <f t="shared" si="23"/>
        <v>0</v>
      </c>
      <c r="F362" s="54" t="str">
        <f t="shared" si="24"/>
        <v>1.21.</v>
      </c>
      <c r="G362" s="54" t="s">
        <v>2330</v>
      </c>
      <c r="H362" s="54"/>
      <c r="I362" s="54"/>
      <c r="J362" s="54"/>
      <c r="K362" s="54"/>
      <c r="L362" s="54"/>
      <c r="M362" s="54"/>
      <c r="N362" s="54"/>
      <c r="O362" s="54"/>
      <c r="P362" s="54"/>
      <c r="Q362" s="54"/>
      <c r="R362" s="13"/>
    </row>
    <row r="363" spans="1:18" ht="15.75" thickTop="1" x14ac:dyDescent="0.25">
      <c r="A363" s="9" t="s">
        <v>21</v>
      </c>
      <c r="B363" s="28">
        <f>IF(ISBLANK(A363),0,INDEX(txtstylestab[],MATCH(A363,txtstylestab[style_Name],0),1))</f>
        <v>0</v>
      </c>
      <c r="C363" s="28">
        <f t="shared" si="21"/>
        <v>1</v>
      </c>
      <c r="D363" s="28">
        <f t="shared" si="22"/>
        <v>21</v>
      </c>
      <c r="E363" s="28">
        <f t="shared" si="23"/>
        <v>0</v>
      </c>
      <c r="F363" s="59" t="str">
        <f t="shared" si="24"/>
        <v/>
      </c>
      <c r="G363" s="42" t="s">
        <v>82</v>
      </c>
      <c r="H363" s="43" t="s">
        <v>83</v>
      </c>
      <c r="I363" s="44" t="s">
        <v>84</v>
      </c>
      <c r="J363" s="45" t="s">
        <v>85</v>
      </c>
      <c r="K363" s="46" t="s">
        <v>86</v>
      </c>
      <c r="L363" s="47" t="s">
        <v>2398</v>
      </c>
      <c r="M363" s="48" t="s">
        <v>2540</v>
      </c>
      <c r="N363" s="49"/>
      <c r="O363" s="50" t="s">
        <v>3364</v>
      </c>
      <c r="P363" s="50"/>
      <c r="Q363" s="59"/>
      <c r="R363" s="13"/>
    </row>
    <row r="364" spans="1:18" ht="60" x14ac:dyDescent="0.25">
      <c r="A364" s="9" t="s">
        <v>21</v>
      </c>
      <c r="B364" s="28">
        <f>IF(ISBLANK(A364),0,INDEX(txtstylestab[],MATCH(A364,txtstylestab[style_Name],0),1))</f>
        <v>0</v>
      </c>
      <c r="C364" s="28">
        <f t="shared" si="21"/>
        <v>1</v>
      </c>
      <c r="D364" s="28">
        <f t="shared" si="22"/>
        <v>21</v>
      </c>
      <c r="E364" s="28">
        <f t="shared" si="23"/>
        <v>0</v>
      </c>
      <c r="F364" s="59" t="str">
        <f t="shared" si="24"/>
        <v/>
      </c>
      <c r="G364" s="42" t="s">
        <v>686</v>
      </c>
      <c r="H364" s="43" t="s">
        <v>687</v>
      </c>
      <c r="I364" s="44" t="s">
        <v>688</v>
      </c>
      <c r="J364" s="45" t="s">
        <v>1623</v>
      </c>
      <c r="K364" s="46" t="s">
        <v>689</v>
      </c>
      <c r="L364" s="47" t="s">
        <v>2673</v>
      </c>
      <c r="M364" s="48" t="s">
        <v>2674</v>
      </c>
      <c r="N364" s="49"/>
      <c r="O364" s="50" t="s">
        <v>3419</v>
      </c>
      <c r="P364" s="59"/>
      <c r="Q364" s="59"/>
      <c r="R364" s="13"/>
    </row>
    <row r="365" spans="1:18" ht="75" x14ac:dyDescent="0.25">
      <c r="A365" s="9" t="s">
        <v>21</v>
      </c>
      <c r="B365" s="28">
        <f>IF(ISBLANK(A365),0,INDEX(txtstylestab[],MATCH(A365,txtstylestab[style_Name],0),1))</f>
        <v>0</v>
      </c>
      <c r="C365" s="28">
        <f t="shared" si="21"/>
        <v>1</v>
      </c>
      <c r="D365" s="28">
        <f t="shared" si="22"/>
        <v>21</v>
      </c>
      <c r="E365" s="28">
        <f t="shared" si="23"/>
        <v>0</v>
      </c>
      <c r="F365" s="59" t="str">
        <f t="shared" si="24"/>
        <v/>
      </c>
      <c r="G365" s="42" t="s">
        <v>682</v>
      </c>
      <c r="H365" s="43" t="s">
        <v>683</v>
      </c>
      <c r="I365" s="44" t="s">
        <v>1637</v>
      </c>
      <c r="J365" s="45" t="s">
        <v>684</v>
      </c>
      <c r="K365" s="46" t="s">
        <v>1723</v>
      </c>
      <c r="L365" s="47" t="s">
        <v>2675</v>
      </c>
      <c r="M365" s="48" t="s">
        <v>2676</v>
      </c>
      <c r="N365" s="49"/>
      <c r="O365" s="50" t="s">
        <v>3418</v>
      </c>
      <c r="P365" s="59"/>
      <c r="Q365" s="59"/>
      <c r="R365" s="13"/>
    </row>
    <row r="366" spans="1:18" x14ac:dyDescent="0.25">
      <c r="A366" s="9" t="s">
        <v>21</v>
      </c>
      <c r="B366" s="28">
        <f>IF(ISBLANK(A366),0,INDEX(txtstylestab[],MATCH(A366,txtstylestab[style_Name],0),1))</f>
        <v>0</v>
      </c>
      <c r="C366" s="28">
        <f t="shared" si="21"/>
        <v>1</v>
      </c>
      <c r="D366" s="28">
        <f t="shared" si="22"/>
        <v>21</v>
      </c>
      <c r="E366" s="28">
        <f t="shared" si="23"/>
        <v>0</v>
      </c>
      <c r="F366" s="59" t="str">
        <f t="shared" si="24"/>
        <v/>
      </c>
      <c r="G366" s="42" t="s">
        <v>685</v>
      </c>
      <c r="H366" s="43" t="s">
        <v>26</v>
      </c>
      <c r="I366" s="44" t="s">
        <v>48</v>
      </c>
      <c r="J366" s="45" t="s">
        <v>384</v>
      </c>
      <c r="K366" s="46" t="s">
        <v>59</v>
      </c>
      <c r="L366" s="47" t="s">
        <v>2525</v>
      </c>
      <c r="M366" s="48" t="s">
        <v>2526</v>
      </c>
      <c r="N366" s="49"/>
      <c r="O366" s="50" t="s">
        <v>3173</v>
      </c>
      <c r="P366" s="50"/>
      <c r="Q366" s="59"/>
      <c r="R366" s="13"/>
    </row>
    <row r="367" spans="1:18" ht="18" thickBot="1" x14ac:dyDescent="0.35">
      <c r="A367" s="9" t="s">
        <v>11</v>
      </c>
      <c r="B367" s="28">
        <f>IF(ISBLANK(A367),0,INDEX(txtstylestab[],MATCH(A367,txtstylestab[style_Name],0),1))</f>
        <v>2</v>
      </c>
      <c r="C367" s="28">
        <f t="shared" si="21"/>
        <v>1</v>
      </c>
      <c r="D367" s="28">
        <f t="shared" si="22"/>
        <v>22</v>
      </c>
      <c r="E367" s="28">
        <f t="shared" si="23"/>
        <v>0</v>
      </c>
      <c r="F367" s="54" t="str">
        <f t="shared" si="24"/>
        <v>1.22.</v>
      </c>
      <c r="G367" s="54" t="s">
        <v>690</v>
      </c>
      <c r="H367" s="54"/>
      <c r="I367" s="54"/>
      <c r="J367" s="54"/>
      <c r="K367" s="54"/>
      <c r="L367" s="54"/>
      <c r="M367" s="54"/>
      <c r="N367" s="54"/>
      <c r="O367" s="54"/>
      <c r="P367" s="54"/>
      <c r="Q367" s="54"/>
      <c r="R367" s="13"/>
    </row>
    <row r="368" spans="1:18" ht="15.75" thickTop="1" x14ac:dyDescent="0.25">
      <c r="A368" s="9" t="s">
        <v>21</v>
      </c>
      <c r="B368" s="28">
        <f>IF(ISBLANK(A368),0,INDEX(txtstylestab[],MATCH(A368,txtstylestab[style_Name],0),1))</f>
        <v>0</v>
      </c>
      <c r="C368" s="28">
        <f t="shared" si="21"/>
        <v>1</v>
      </c>
      <c r="D368" s="28">
        <f t="shared" si="22"/>
        <v>22</v>
      </c>
      <c r="E368" s="28">
        <f t="shared" si="23"/>
        <v>0</v>
      </c>
      <c r="F368" s="59" t="str">
        <f t="shared" si="24"/>
        <v/>
      </c>
      <c r="G368" s="42" t="s">
        <v>82</v>
      </c>
      <c r="H368" s="43" t="s">
        <v>83</v>
      </c>
      <c r="I368" s="44" t="s">
        <v>84</v>
      </c>
      <c r="J368" s="45" t="s">
        <v>85</v>
      </c>
      <c r="K368" s="46" t="s">
        <v>86</v>
      </c>
      <c r="L368" s="47" t="s">
        <v>2398</v>
      </c>
      <c r="M368" s="48" t="s">
        <v>2540</v>
      </c>
      <c r="N368" s="49"/>
      <c r="O368" s="50" t="s">
        <v>3364</v>
      </c>
      <c r="P368" s="50"/>
      <c r="Q368" s="59"/>
      <c r="R368" s="13"/>
    </row>
    <row r="369" spans="1:18" ht="30" x14ac:dyDescent="0.25">
      <c r="A369" s="9" t="s">
        <v>21</v>
      </c>
      <c r="B369" s="28">
        <f>IF(ISBLANK(A369),0,INDEX(txtstylestab[],MATCH(A369,txtstylestab[style_Name],0),1))</f>
        <v>0</v>
      </c>
      <c r="C369" s="28">
        <f t="shared" si="21"/>
        <v>1</v>
      </c>
      <c r="D369" s="28">
        <f t="shared" si="22"/>
        <v>22</v>
      </c>
      <c r="E369" s="28">
        <f t="shared" si="23"/>
        <v>0</v>
      </c>
      <c r="F369" s="59" t="str">
        <f t="shared" si="24"/>
        <v/>
      </c>
      <c r="G369" s="42" t="s">
        <v>691</v>
      </c>
      <c r="H369" s="43" t="s">
        <v>2147</v>
      </c>
      <c r="I369" s="44" t="s">
        <v>2255</v>
      </c>
      <c r="J369" s="45" t="s">
        <v>692</v>
      </c>
      <c r="K369" s="46" t="s">
        <v>693</v>
      </c>
      <c r="L369" s="47" t="s">
        <v>2677</v>
      </c>
      <c r="M369" s="48" t="s">
        <v>2678</v>
      </c>
      <c r="N369" s="49"/>
      <c r="O369" s="50" t="s">
        <v>3421</v>
      </c>
      <c r="P369" s="59"/>
      <c r="Q369" s="59"/>
      <c r="R369" s="13"/>
    </row>
    <row r="370" spans="1:18" ht="60" x14ac:dyDescent="0.25">
      <c r="A370" s="9" t="s">
        <v>21</v>
      </c>
      <c r="B370" s="28">
        <f>IF(ISBLANK(A370),0,INDEX(txtstylestab[],MATCH(A370,txtstylestab[style_Name],0),1))</f>
        <v>0</v>
      </c>
      <c r="C370" s="28">
        <f t="shared" si="21"/>
        <v>1</v>
      </c>
      <c r="D370" s="28">
        <f t="shared" si="22"/>
        <v>22</v>
      </c>
      <c r="E370" s="28">
        <f t="shared" si="23"/>
        <v>0</v>
      </c>
      <c r="F370" s="59" t="str">
        <f t="shared" si="24"/>
        <v/>
      </c>
      <c r="G370" s="42" t="s">
        <v>1884</v>
      </c>
      <c r="H370" s="43" t="s">
        <v>1885</v>
      </c>
      <c r="I370" s="44" t="s">
        <v>1886</v>
      </c>
      <c r="J370" s="45" t="s">
        <v>1887</v>
      </c>
      <c r="K370" s="46" t="s">
        <v>694</v>
      </c>
      <c r="L370" s="47" t="s">
        <v>2746</v>
      </c>
      <c r="M370" s="48" t="s">
        <v>2737</v>
      </c>
      <c r="N370" s="49"/>
      <c r="O370" s="50" t="s">
        <v>3424</v>
      </c>
      <c r="P370" s="59"/>
      <c r="Q370" s="59"/>
      <c r="R370" s="13"/>
    </row>
    <row r="371" spans="1:18" ht="45" x14ac:dyDescent="0.25">
      <c r="A371" s="9" t="s">
        <v>14</v>
      </c>
      <c r="B371" s="28">
        <f>IF(ISBLANK(A371),0,INDEX(txtstylestab[],MATCH(A371,txtstylestab[style_Name],0),1))</f>
        <v>6</v>
      </c>
      <c r="C371" s="28">
        <f t="shared" si="21"/>
        <v>1</v>
      </c>
      <c r="D371" s="28">
        <f t="shared" si="22"/>
        <v>22</v>
      </c>
      <c r="E371" s="28">
        <f t="shared" si="23"/>
        <v>0</v>
      </c>
      <c r="F371" s="59" t="str">
        <f t="shared" si="24"/>
        <v/>
      </c>
      <c r="G371" s="42" t="s">
        <v>1888</v>
      </c>
      <c r="H371" s="43" t="s">
        <v>1889</v>
      </c>
      <c r="I371" s="44" t="s">
        <v>1890</v>
      </c>
      <c r="J371" s="45" t="s">
        <v>1891</v>
      </c>
      <c r="K371" s="46" t="s">
        <v>695</v>
      </c>
      <c r="L371" s="47" t="s">
        <v>2679</v>
      </c>
      <c r="M371" s="48" t="s">
        <v>2680</v>
      </c>
      <c r="N371" s="49"/>
      <c r="O371" s="50"/>
      <c r="P371" s="59"/>
      <c r="Q371" s="59"/>
      <c r="R371" s="13"/>
    </row>
    <row r="372" spans="1:18" ht="105" x14ac:dyDescent="0.25">
      <c r="A372" s="9" t="s">
        <v>14</v>
      </c>
      <c r="B372" s="28">
        <f>IF(ISBLANK(A372),0,INDEX(txtstylestab[],MATCH(A372,txtstylestab[style_Name],0),1))</f>
        <v>6</v>
      </c>
      <c r="C372" s="28">
        <f t="shared" si="21"/>
        <v>1</v>
      </c>
      <c r="D372" s="28">
        <f t="shared" si="22"/>
        <v>22</v>
      </c>
      <c r="E372" s="28">
        <f t="shared" si="23"/>
        <v>0</v>
      </c>
      <c r="F372" s="59" t="str">
        <f t="shared" si="24"/>
        <v/>
      </c>
      <c r="G372" s="42" t="s">
        <v>696</v>
      </c>
      <c r="H372" s="43" t="s">
        <v>1892</v>
      </c>
      <c r="I372" s="44" t="s">
        <v>697</v>
      </c>
      <c r="J372" s="45" t="s">
        <v>698</v>
      </c>
      <c r="K372" s="46" t="s">
        <v>699</v>
      </c>
      <c r="L372" s="47" t="s">
        <v>2745</v>
      </c>
      <c r="M372" s="48" t="s">
        <v>2744</v>
      </c>
      <c r="N372" s="49"/>
      <c r="O372" s="50" t="s">
        <v>3423</v>
      </c>
      <c r="P372" s="59"/>
      <c r="Q372" s="59"/>
      <c r="R372" s="13"/>
    </row>
    <row r="373" spans="1:18" x14ac:dyDescent="0.25">
      <c r="A373" s="9" t="s">
        <v>22</v>
      </c>
      <c r="B373" s="28">
        <f>IF(ISBLANK(A373),0,INDEX(txtstylestab[],MATCH(A373,txtstylestab[style_Name],0),1))</f>
        <v>4</v>
      </c>
      <c r="C373" s="28">
        <f t="shared" si="21"/>
        <v>1</v>
      </c>
      <c r="D373" s="28">
        <f t="shared" si="22"/>
        <v>22</v>
      </c>
      <c r="E373" s="28">
        <f t="shared" si="23"/>
        <v>0</v>
      </c>
      <c r="F373" s="56" t="str">
        <f t="shared" si="24"/>
        <v/>
      </c>
      <c r="G373" s="53" t="s">
        <v>700</v>
      </c>
      <c r="H373" s="53"/>
      <c r="I373" s="53"/>
      <c r="J373" s="53"/>
      <c r="K373" s="53"/>
      <c r="L373" s="53"/>
      <c r="M373" s="53"/>
      <c r="N373" s="53"/>
      <c r="O373" s="53"/>
      <c r="P373" s="53"/>
      <c r="Q373" s="53"/>
      <c r="R373" s="13"/>
    </row>
    <row r="374" spans="1:18" ht="120" x14ac:dyDescent="0.25">
      <c r="A374" s="9" t="s">
        <v>21</v>
      </c>
      <c r="B374" s="28">
        <f>IF(ISBLANK(A374),0,INDEX(txtstylestab[],MATCH(A374,txtstylestab[style_Name],0),1))</f>
        <v>0</v>
      </c>
      <c r="C374" s="28">
        <f t="shared" si="21"/>
        <v>1</v>
      </c>
      <c r="D374" s="28">
        <f t="shared" si="22"/>
        <v>22</v>
      </c>
      <c r="E374" s="28">
        <f t="shared" si="23"/>
        <v>0</v>
      </c>
      <c r="F374" s="59" t="str">
        <f t="shared" si="24"/>
        <v/>
      </c>
      <c r="G374" s="42" t="s">
        <v>701</v>
      </c>
      <c r="H374" s="43" t="s">
        <v>2230</v>
      </c>
      <c r="I374" s="44" t="s">
        <v>2256</v>
      </c>
      <c r="J374" s="45" t="s">
        <v>1611</v>
      </c>
      <c r="K374" s="46" t="s">
        <v>1612</v>
      </c>
      <c r="L374" s="47" t="s">
        <v>2681</v>
      </c>
      <c r="M374" s="48" t="s">
        <v>2682</v>
      </c>
      <c r="N374" s="49"/>
      <c r="O374" s="50" t="s">
        <v>3422</v>
      </c>
      <c r="P374" s="59"/>
      <c r="Q374" s="59"/>
      <c r="R374" s="13"/>
    </row>
    <row r="375" spans="1:18" x14ac:dyDescent="0.25">
      <c r="A375" s="9" t="s">
        <v>22</v>
      </c>
      <c r="B375" s="28">
        <f>IF(ISBLANK(A375),0,INDEX(txtstylestab[],MATCH(A375,txtstylestab[style_Name],0),1))</f>
        <v>4</v>
      </c>
      <c r="C375" s="28">
        <f t="shared" si="21"/>
        <v>1</v>
      </c>
      <c r="D375" s="28">
        <f t="shared" si="22"/>
        <v>22</v>
      </c>
      <c r="E375" s="28">
        <f t="shared" si="23"/>
        <v>0</v>
      </c>
      <c r="F375" s="56" t="str">
        <f t="shared" si="24"/>
        <v/>
      </c>
      <c r="G375" s="53" t="s">
        <v>702</v>
      </c>
      <c r="H375" s="53"/>
      <c r="I375" s="53"/>
      <c r="J375" s="53"/>
      <c r="K375" s="53"/>
      <c r="L375" s="53"/>
      <c r="M375" s="53"/>
      <c r="N375" s="53"/>
      <c r="O375" s="53"/>
      <c r="P375" s="53"/>
      <c r="Q375" s="53"/>
      <c r="R375" s="13"/>
    </row>
    <row r="376" spans="1:18" ht="45" x14ac:dyDescent="0.25">
      <c r="A376" s="9" t="s">
        <v>21</v>
      </c>
      <c r="B376" s="28">
        <f>IF(ISBLANK(A376),0,INDEX(txtstylestab[],MATCH(A376,txtstylestab[style_Name],0),1))</f>
        <v>0</v>
      </c>
      <c r="C376" s="28">
        <f t="shared" si="21"/>
        <v>1</v>
      </c>
      <c r="D376" s="28">
        <f t="shared" si="22"/>
        <v>22</v>
      </c>
      <c r="E376" s="28">
        <f t="shared" si="23"/>
        <v>0</v>
      </c>
      <c r="F376" s="59" t="str">
        <f t="shared" si="24"/>
        <v/>
      </c>
      <c r="G376" s="42" t="s">
        <v>703</v>
      </c>
      <c r="H376" s="43" t="s">
        <v>2231</v>
      </c>
      <c r="I376" s="44" t="s">
        <v>2257</v>
      </c>
      <c r="J376" s="45" t="s">
        <v>704</v>
      </c>
      <c r="K376" s="46" t="s">
        <v>1741</v>
      </c>
      <c r="L376" s="47" t="s">
        <v>2683</v>
      </c>
      <c r="M376" s="48" t="s">
        <v>2684</v>
      </c>
      <c r="N376" s="49"/>
      <c r="O376" s="49"/>
      <c r="P376" s="50"/>
      <c r="Q376" s="59"/>
      <c r="R376" s="13"/>
    </row>
    <row r="377" spans="1:18" x14ac:dyDescent="0.25">
      <c r="A377" s="9" t="s">
        <v>22</v>
      </c>
      <c r="B377" s="28">
        <f>IF(ISBLANK(A377),0,INDEX(txtstylestab[],MATCH(A377,txtstylestab[style_Name],0),1))</f>
        <v>4</v>
      </c>
      <c r="C377" s="28">
        <f t="shared" si="21"/>
        <v>1</v>
      </c>
      <c r="D377" s="28">
        <f t="shared" si="22"/>
        <v>22</v>
      </c>
      <c r="E377" s="28">
        <f t="shared" si="23"/>
        <v>0</v>
      </c>
      <c r="F377" s="56" t="str">
        <f t="shared" si="24"/>
        <v/>
      </c>
      <c r="G377" s="53" t="s">
        <v>705</v>
      </c>
      <c r="H377" s="53"/>
      <c r="I377" s="53"/>
      <c r="J377" s="53"/>
      <c r="K377" s="53"/>
      <c r="L377" s="53"/>
      <c r="M377" s="53"/>
      <c r="N377" s="53"/>
      <c r="O377" s="53"/>
      <c r="P377" s="53"/>
      <c r="Q377" s="53"/>
      <c r="R377" s="13"/>
    </row>
    <row r="378" spans="1:18" ht="60" x14ac:dyDescent="0.25">
      <c r="A378" s="9" t="s">
        <v>21</v>
      </c>
      <c r="B378" s="28">
        <f>IF(ISBLANK(A378),0,INDEX(txtstylestab[],MATCH(A378,txtstylestab[style_Name],0),1))</f>
        <v>0</v>
      </c>
      <c r="C378" s="28">
        <f t="shared" si="21"/>
        <v>1</v>
      </c>
      <c r="D378" s="28">
        <f t="shared" si="22"/>
        <v>22</v>
      </c>
      <c r="E378" s="28">
        <f t="shared" si="23"/>
        <v>0</v>
      </c>
      <c r="F378" s="59" t="str">
        <f t="shared" si="24"/>
        <v/>
      </c>
      <c r="G378" s="42" t="s">
        <v>713</v>
      </c>
      <c r="H378" s="43" t="s">
        <v>714</v>
      </c>
      <c r="I378" s="44" t="s">
        <v>715</v>
      </c>
      <c r="J378" s="45" t="s">
        <v>716</v>
      </c>
      <c r="K378" s="46" t="s">
        <v>1724</v>
      </c>
      <c r="L378" s="47" t="s">
        <v>2685</v>
      </c>
      <c r="M378" s="48" t="s">
        <v>2740</v>
      </c>
      <c r="N378" s="49"/>
      <c r="O378" s="50" t="s">
        <v>3425</v>
      </c>
      <c r="P378" s="59"/>
      <c r="Q378" s="59"/>
      <c r="R378" s="13"/>
    </row>
    <row r="379" spans="1:18" ht="60" x14ac:dyDescent="0.25">
      <c r="A379" s="9" t="s">
        <v>21</v>
      </c>
      <c r="B379" s="28">
        <f>IF(ISBLANK(A379),0,INDEX(txtstylestab[],MATCH(A379,txtstylestab[style_Name],0),1))</f>
        <v>0</v>
      </c>
      <c r="C379" s="28">
        <f t="shared" si="21"/>
        <v>1</v>
      </c>
      <c r="D379" s="28">
        <f t="shared" si="22"/>
        <v>22</v>
      </c>
      <c r="E379" s="28">
        <f t="shared" si="23"/>
        <v>0</v>
      </c>
      <c r="F379" s="59" t="str">
        <f t="shared" si="24"/>
        <v/>
      </c>
      <c r="G379" s="42" t="s">
        <v>2313</v>
      </c>
      <c r="H379" s="43" t="s">
        <v>2314</v>
      </c>
      <c r="I379" s="44" t="s">
        <v>2315</v>
      </c>
      <c r="J379" s="45" t="s">
        <v>2316</v>
      </c>
      <c r="K379" s="46" t="s">
        <v>2317</v>
      </c>
      <c r="L379" s="47" t="s">
        <v>2739</v>
      </c>
      <c r="M379" s="48" t="s">
        <v>2738</v>
      </c>
      <c r="N379" s="49"/>
      <c r="O379" s="50" t="s">
        <v>3426</v>
      </c>
      <c r="P379" s="59"/>
      <c r="Q379" s="59"/>
      <c r="R379" s="13"/>
    </row>
    <row r="380" spans="1:18" ht="45" x14ac:dyDescent="0.25">
      <c r="A380" s="9" t="s">
        <v>21</v>
      </c>
      <c r="B380" s="28">
        <f>IF(ISBLANK(A380),0,INDEX(txtstylestab[],MATCH(A380,txtstylestab[style_Name],0),1))</f>
        <v>0</v>
      </c>
      <c r="C380" s="28">
        <f t="shared" si="21"/>
        <v>1</v>
      </c>
      <c r="D380" s="28">
        <f t="shared" si="22"/>
        <v>22</v>
      </c>
      <c r="E380" s="28">
        <f t="shared" si="23"/>
        <v>0</v>
      </c>
      <c r="F380" s="59" t="str">
        <f t="shared" si="24"/>
        <v/>
      </c>
      <c r="G380" s="42" t="s">
        <v>706</v>
      </c>
      <c r="H380" s="43" t="s">
        <v>707</v>
      </c>
      <c r="I380" s="44" t="s">
        <v>2304</v>
      </c>
      <c r="J380" s="45" t="s">
        <v>708</v>
      </c>
      <c r="K380" s="46" t="s">
        <v>709</v>
      </c>
      <c r="L380" s="47" t="s">
        <v>2686</v>
      </c>
      <c r="M380" s="48" t="s">
        <v>2687</v>
      </c>
      <c r="N380" s="49"/>
      <c r="O380" s="50" t="s">
        <v>3427</v>
      </c>
      <c r="P380" s="59"/>
      <c r="Q380" s="59"/>
      <c r="R380" s="13"/>
    </row>
    <row r="381" spans="1:18" ht="30" x14ac:dyDescent="0.25">
      <c r="A381" s="9" t="s">
        <v>21</v>
      </c>
      <c r="B381" s="28">
        <f>IF(ISBLANK(A381),0,INDEX(txtstylestab[],MATCH(A381,txtstylestab[style_Name],0),1))</f>
        <v>0</v>
      </c>
      <c r="C381" s="28">
        <f t="shared" si="21"/>
        <v>1</v>
      </c>
      <c r="D381" s="28">
        <f t="shared" si="22"/>
        <v>22</v>
      </c>
      <c r="E381" s="28">
        <f t="shared" si="23"/>
        <v>0</v>
      </c>
      <c r="F381" s="59" t="str">
        <f t="shared" si="24"/>
        <v/>
      </c>
      <c r="G381" s="42" t="s">
        <v>717</v>
      </c>
      <c r="H381" s="43" t="s">
        <v>718</v>
      </c>
      <c r="I381" s="44" t="s">
        <v>719</v>
      </c>
      <c r="J381" s="45" t="s">
        <v>720</v>
      </c>
      <c r="K381" s="46" t="s">
        <v>721</v>
      </c>
      <c r="L381" s="47" t="s">
        <v>2688</v>
      </c>
      <c r="M381" s="48" t="s">
        <v>2741</v>
      </c>
      <c r="N381" s="49"/>
      <c r="O381" s="50" t="s">
        <v>3433</v>
      </c>
      <c r="P381" s="59"/>
      <c r="Q381" s="59"/>
      <c r="R381" s="13"/>
    </row>
    <row r="382" spans="1:18" ht="60" x14ac:dyDescent="0.25">
      <c r="A382" s="9" t="s">
        <v>21</v>
      </c>
      <c r="B382" s="28">
        <f>IF(ISBLANK(A382),0,INDEX(txtstylestab[],MATCH(A382,txtstylestab[style_Name],0),1))</f>
        <v>0</v>
      </c>
      <c r="C382" s="28">
        <f t="shared" si="21"/>
        <v>1</v>
      </c>
      <c r="D382" s="28">
        <f t="shared" si="22"/>
        <v>22</v>
      </c>
      <c r="E382" s="28">
        <f t="shared" si="23"/>
        <v>0</v>
      </c>
      <c r="F382" s="59" t="str">
        <f t="shared" si="24"/>
        <v/>
      </c>
      <c r="G382" s="42" t="s">
        <v>722</v>
      </c>
      <c r="H382" s="43" t="s">
        <v>723</v>
      </c>
      <c r="I382" s="44" t="s">
        <v>724</v>
      </c>
      <c r="J382" s="45" t="s">
        <v>1624</v>
      </c>
      <c r="K382" s="46" t="s">
        <v>1725</v>
      </c>
      <c r="L382" s="47" t="s">
        <v>2689</v>
      </c>
      <c r="M382" s="48" t="s">
        <v>2742</v>
      </c>
      <c r="N382" s="49"/>
      <c r="O382" s="50" t="s">
        <v>3432</v>
      </c>
      <c r="P382" s="59"/>
      <c r="Q382" s="59"/>
      <c r="R382" s="13"/>
    </row>
    <row r="383" spans="1:18" ht="30" x14ac:dyDescent="0.25">
      <c r="A383" s="9" t="s">
        <v>21</v>
      </c>
      <c r="B383" s="28">
        <f>IF(ISBLANK(A383),0,INDEX(txtstylestab[],MATCH(A383,txtstylestab[style_Name],0),1))</f>
        <v>0</v>
      </c>
      <c r="C383" s="28">
        <f t="shared" si="21"/>
        <v>1</v>
      </c>
      <c r="D383" s="28">
        <f t="shared" si="22"/>
        <v>22</v>
      </c>
      <c r="E383" s="28">
        <f t="shared" si="23"/>
        <v>0</v>
      </c>
      <c r="F383" s="59" t="str">
        <f t="shared" si="24"/>
        <v/>
      </c>
      <c r="G383" s="42" t="s">
        <v>354</v>
      </c>
      <c r="H383" s="43" t="s">
        <v>725</v>
      </c>
      <c r="I383" s="44" t="s">
        <v>356</v>
      </c>
      <c r="J383" s="45" t="s">
        <v>357</v>
      </c>
      <c r="K383" s="46" t="s">
        <v>358</v>
      </c>
      <c r="L383" s="47" t="s">
        <v>2497</v>
      </c>
      <c r="M383" s="48" t="s">
        <v>2743</v>
      </c>
      <c r="N383" s="49"/>
      <c r="O383" s="50" t="s">
        <v>3431</v>
      </c>
      <c r="P383" s="59"/>
      <c r="Q383" s="59"/>
      <c r="R383" s="13"/>
    </row>
    <row r="384" spans="1:18" ht="30" x14ac:dyDescent="0.25">
      <c r="A384" s="9" t="s">
        <v>21</v>
      </c>
      <c r="B384" s="28">
        <f>IF(ISBLANK(A384),0,INDEX(txtstylestab[],MATCH(A384,txtstylestab[style_Name],0),1))</f>
        <v>0</v>
      </c>
      <c r="C384" s="28">
        <f t="shared" si="21"/>
        <v>1</v>
      </c>
      <c r="D384" s="28">
        <f t="shared" si="22"/>
        <v>22</v>
      </c>
      <c r="E384" s="28">
        <f t="shared" si="23"/>
        <v>0</v>
      </c>
      <c r="F384" s="59" t="str">
        <f t="shared" si="24"/>
        <v/>
      </c>
      <c r="G384" s="42" t="s">
        <v>359</v>
      </c>
      <c r="H384" s="43" t="s">
        <v>360</v>
      </c>
      <c r="I384" s="44" t="s">
        <v>726</v>
      </c>
      <c r="J384" s="45" t="s">
        <v>362</v>
      </c>
      <c r="K384" s="46" t="s">
        <v>727</v>
      </c>
      <c r="L384" s="47" t="s">
        <v>2690</v>
      </c>
      <c r="M384" s="48" t="s">
        <v>2500</v>
      </c>
      <c r="N384" s="49"/>
      <c r="O384" s="50" t="s">
        <v>3430</v>
      </c>
      <c r="P384" s="59"/>
      <c r="Q384" s="59"/>
      <c r="R384" s="13"/>
    </row>
    <row r="385" spans="1:18" ht="30" x14ac:dyDescent="0.25">
      <c r="A385" s="9" t="s">
        <v>21</v>
      </c>
      <c r="B385" s="28">
        <f>IF(ISBLANK(A385),0,INDEX(txtstylestab[],MATCH(A385,txtstylestab[style_Name],0),1))</f>
        <v>0</v>
      </c>
      <c r="C385" s="28">
        <f t="shared" si="21"/>
        <v>1</v>
      </c>
      <c r="D385" s="28">
        <f t="shared" si="22"/>
        <v>22</v>
      </c>
      <c r="E385" s="28">
        <f t="shared" si="23"/>
        <v>0</v>
      </c>
      <c r="F385" s="59" t="str">
        <f t="shared" si="24"/>
        <v/>
      </c>
      <c r="G385" s="42" t="s">
        <v>728</v>
      </c>
      <c r="H385" s="43" t="s">
        <v>729</v>
      </c>
      <c r="I385" s="44" t="s">
        <v>366</v>
      </c>
      <c r="J385" s="45" t="s">
        <v>730</v>
      </c>
      <c r="K385" s="46" t="s">
        <v>731</v>
      </c>
      <c r="L385" s="47" t="s">
        <v>2691</v>
      </c>
      <c r="M385" s="48" t="s">
        <v>2692</v>
      </c>
      <c r="N385" s="49"/>
      <c r="O385" s="50" t="s">
        <v>3428</v>
      </c>
      <c r="P385" s="59"/>
      <c r="Q385" s="59"/>
      <c r="R385" s="13"/>
    </row>
    <row r="386" spans="1:18" ht="45" x14ac:dyDescent="0.25">
      <c r="A386" s="9" t="s">
        <v>21</v>
      </c>
      <c r="B386" s="28">
        <f>IF(ISBLANK(A386),0,INDEX(txtstylestab[],MATCH(A386,txtstylestab[style_Name],0),1))</f>
        <v>0</v>
      </c>
      <c r="C386" s="28">
        <f t="shared" si="21"/>
        <v>1</v>
      </c>
      <c r="D386" s="28">
        <f t="shared" si="22"/>
        <v>22</v>
      </c>
      <c r="E386" s="28">
        <f t="shared" si="23"/>
        <v>0</v>
      </c>
      <c r="F386" s="59" t="str">
        <f t="shared" si="24"/>
        <v/>
      </c>
      <c r="G386" s="42" t="s">
        <v>732</v>
      </c>
      <c r="H386" s="43" t="s">
        <v>733</v>
      </c>
      <c r="I386" s="44" t="s">
        <v>734</v>
      </c>
      <c r="J386" s="45" t="s">
        <v>735</v>
      </c>
      <c r="K386" s="46" t="s">
        <v>736</v>
      </c>
      <c r="L386" s="47" t="s">
        <v>2503</v>
      </c>
      <c r="M386" s="48" t="s">
        <v>2504</v>
      </c>
      <c r="N386" s="49"/>
      <c r="O386" s="50" t="s">
        <v>3429</v>
      </c>
      <c r="P386" s="59"/>
      <c r="Q386" s="59"/>
      <c r="R386" s="13"/>
    </row>
    <row r="387" spans="1:18" ht="75" x14ac:dyDescent="0.25">
      <c r="A387" s="9" t="s">
        <v>21</v>
      </c>
      <c r="B387" s="28">
        <f>IF(ISBLANK(A387),0,INDEX(txtstylestab[],MATCH(A387,txtstylestab[style_Name],0),1))</f>
        <v>0</v>
      </c>
      <c r="C387" s="28">
        <f t="shared" si="21"/>
        <v>1</v>
      </c>
      <c r="D387" s="28">
        <f t="shared" si="22"/>
        <v>22</v>
      </c>
      <c r="E387" s="28">
        <f t="shared" si="23"/>
        <v>0</v>
      </c>
      <c r="F387" s="59" t="str">
        <f t="shared" si="24"/>
        <v/>
      </c>
      <c r="G387" s="42" t="s">
        <v>710</v>
      </c>
      <c r="H387" s="43" t="s">
        <v>711</v>
      </c>
      <c r="I387" s="44" t="s">
        <v>712</v>
      </c>
      <c r="J387" s="45" t="s">
        <v>1625</v>
      </c>
      <c r="K387" s="46" t="s">
        <v>1726</v>
      </c>
      <c r="L387" s="47" t="s">
        <v>2693</v>
      </c>
      <c r="M387" s="48" t="s">
        <v>2694</v>
      </c>
      <c r="N387" s="49"/>
      <c r="O387" s="50" t="s">
        <v>3434</v>
      </c>
      <c r="P387" s="59"/>
      <c r="Q387" s="59"/>
      <c r="R387" s="13"/>
    </row>
    <row r="388" spans="1:18" x14ac:dyDescent="0.25">
      <c r="A388" s="9" t="s">
        <v>22</v>
      </c>
      <c r="B388" s="28">
        <f>IF(ISBLANK(A388),0,INDEX(txtstylestab[],MATCH(A388,txtstylestab[style_Name],0),1))</f>
        <v>4</v>
      </c>
      <c r="C388" s="28">
        <f t="shared" ref="C388:C451" si="25">IF(B388=1,C387+1,C387)</f>
        <v>1</v>
      </c>
      <c r="D388" s="28">
        <f t="shared" ref="D388:D451" si="26">IF(B388=1,0,IF(B388=2,D387+1,IF(AND(B388=3,D387=0),1,D387)))</f>
        <v>22</v>
      </c>
      <c r="E388" s="28">
        <f t="shared" ref="E388:E451" si="27">IF(OR(B388=1,B388=2),0,IF(B388=3,E387+1,E387))</f>
        <v>0</v>
      </c>
      <c r="F388" s="56" t="str">
        <f t="shared" ref="F388:F451" si="28">IF(OR(B388=1,B388=2,B388=3),TEXT(C388,"#")&amp;".","")&amp;IF(OR(B388=2,B388=3),TEXT(D388,"#")&amp;".","")&amp;IF(B388=3,TEXT(E388,"#")&amp;".","")</f>
        <v/>
      </c>
      <c r="G388" s="53" t="s">
        <v>1893</v>
      </c>
      <c r="H388" s="53"/>
      <c r="I388" s="53"/>
      <c r="J388" s="53"/>
      <c r="K388" s="53"/>
      <c r="L388" s="53"/>
      <c r="M388" s="53"/>
      <c r="N388" s="53"/>
      <c r="O388" s="53"/>
      <c r="P388" s="53"/>
      <c r="Q388" s="53"/>
      <c r="R388" s="13"/>
    </row>
    <row r="389" spans="1:18" ht="45" x14ac:dyDescent="0.25">
      <c r="A389" s="9" t="s">
        <v>21</v>
      </c>
      <c r="B389" s="28">
        <f>IF(ISBLANK(A389),0,INDEX(txtstylestab[],MATCH(A389,txtstylestab[style_Name],0),1))</f>
        <v>0</v>
      </c>
      <c r="C389" s="28">
        <f t="shared" si="25"/>
        <v>1</v>
      </c>
      <c r="D389" s="28">
        <f t="shared" si="26"/>
        <v>22</v>
      </c>
      <c r="E389" s="28">
        <f t="shared" si="27"/>
        <v>0</v>
      </c>
      <c r="F389" s="59" t="str">
        <f t="shared" si="28"/>
        <v/>
      </c>
      <c r="G389" s="42" t="s">
        <v>737</v>
      </c>
      <c r="H389" s="43" t="s">
        <v>738</v>
      </c>
      <c r="I389" s="44" t="s">
        <v>739</v>
      </c>
      <c r="J389" s="45" t="s">
        <v>1626</v>
      </c>
      <c r="K389" s="46" t="s">
        <v>740</v>
      </c>
      <c r="L389" s="47" t="s">
        <v>2695</v>
      </c>
      <c r="M389" s="48" t="s">
        <v>2696</v>
      </c>
      <c r="N389" s="49"/>
      <c r="O389" s="50" t="s">
        <v>3435</v>
      </c>
      <c r="P389" s="59"/>
      <c r="Q389" s="59"/>
      <c r="R389" s="13"/>
    </row>
    <row r="390" spans="1:18" x14ac:dyDescent="0.25">
      <c r="A390" s="9" t="s">
        <v>22</v>
      </c>
      <c r="B390" s="28">
        <f>IF(ISBLANK(A390),0,INDEX(txtstylestab[],MATCH(A390,txtstylestab[style_Name],0),1))</f>
        <v>4</v>
      </c>
      <c r="C390" s="28">
        <f t="shared" si="25"/>
        <v>1</v>
      </c>
      <c r="D390" s="28">
        <f t="shared" si="26"/>
        <v>22</v>
      </c>
      <c r="E390" s="28">
        <f t="shared" si="27"/>
        <v>0</v>
      </c>
      <c r="F390" s="56" t="str">
        <f t="shared" si="28"/>
        <v/>
      </c>
      <c r="G390" s="53" t="s">
        <v>741</v>
      </c>
      <c r="H390" s="53"/>
      <c r="I390" s="53"/>
      <c r="J390" s="53"/>
      <c r="K390" s="53"/>
      <c r="L390" s="53"/>
      <c r="M390" s="53"/>
      <c r="N390" s="53"/>
      <c r="O390" s="53"/>
      <c r="P390" s="53"/>
      <c r="Q390" s="53"/>
      <c r="R390" s="13"/>
    </row>
    <row r="391" spans="1:18" ht="75" x14ac:dyDescent="0.25">
      <c r="A391" s="9" t="s">
        <v>21</v>
      </c>
      <c r="B391" s="28">
        <f>IF(ISBLANK(A391),0,INDEX(txtstylestab[],MATCH(A391,txtstylestab[style_Name],0),1))</f>
        <v>0</v>
      </c>
      <c r="C391" s="28">
        <f t="shared" si="25"/>
        <v>1</v>
      </c>
      <c r="D391" s="28">
        <f t="shared" si="26"/>
        <v>22</v>
      </c>
      <c r="E391" s="28">
        <f t="shared" si="27"/>
        <v>0</v>
      </c>
      <c r="F391" s="59" t="str">
        <f t="shared" si="28"/>
        <v/>
      </c>
      <c r="G391" s="42" t="s">
        <v>742</v>
      </c>
      <c r="H391" s="43" t="s">
        <v>743</v>
      </c>
      <c r="I391" s="44" t="s">
        <v>744</v>
      </c>
      <c r="J391" s="45" t="s">
        <v>745</v>
      </c>
      <c r="K391" s="46" t="s">
        <v>1727</v>
      </c>
      <c r="L391" s="47" t="s">
        <v>2698</v>
      </c>
      <c r="M391" s="48" t="s">
        <v>2697</v>
      </c>
      <c r="N391" s="49"/>
      <c r="O391" s="50" t="s">
        <v>3436</v>
      </c>
      <c r="P391" s="59"/>
      <c r="Q391" s="59"/>
      <c r="R391" s="13"/>
    </row>
    <row r="392" spans="1:18" x14ac:dyDescent="0.25">
      <c r="A392" s="9" t="s">
        <v>21</v>
      </c>
      <c r="B392" s="28">
        <f>IF(ISBLANK(A392),0,INDEX(txtstylestab[],MATCH(A392,txtstylestab[style_Name],0),1))</f>
        <v>0</v>
      </c>
      <c r="C392" s="28">
        <f t="shared" si="25"/>
        <v>1</v>
      </c>
      <c r="D392" s="28">
        <f t="shared" si="26"/>
        <v>22</v>
      </c>
      <c r="E392" s="28">
        <f t="shared" si="27"/>
        <v>0</v>
      </c>
      <c r="F392" s="59" t="str">
        <f t="shared" si="28"/>
        <v/>
      </c>
      <c r="G392" s="42" t="s">
        <v>6</v>
      </c>
      <c r="H392" s="43" t="s">
        <v>26</v>
      </c>
      <c r="I392" s="44" t="s">
        <v>48</v>
      </c>
      <c r="J392" s="45" t="s">
        <v>384</v>
      </c>
      <c r="K392" s="46" t="s">
        <v>59</v>
      </c>
      <c r="L392" s="47" t="s">
        <v>2525</v>
      </c>
      <c r="M392" s="48" t="s">
        <v>2526</v>
      </c>
      <c r="N392" s="49"/>
      <c r="O392" s="50" t="s">
        <v>3173</v>
      </c>
      <c r="P392" s="59"/>
      <c r="Q392" s="59"/>
      <c r="R392" s="13"/>
    </row>
    <row r="393" spans="1:18" ht="18" thickBot="1" x14ac:dyDescent="0.35">
      <c r="A393" s="9" t="s">
        <v>11</v>
      </c>
      <c r="B393" s="28">
        <f>IF(ISBLANK(A393),0,INDEX(txtstylestab[],MATCH(A393,txtstylestab[style_Name],0),1))</f>
        <v>2</v>
      </c>
      <c r="C393" s="28">
        <f t="shared" si="25"/>
        <v>1</v>
      </c>
      <c r="D393" s="28">
        <f t="shared" si="26"/>
        <v>23</v>
      </c>
      <c r="E393" s="28">
        <f t="shared" si="27"/>
        <v>0</v>
      </c>
      <c r="F393" s="54" t="str">
        <f t="shared" si="28"/>
        <v>1.23.</v>
      </c>
      <c r="G393" s="54" t="s">
        <v>746</v>
      </c>
      <c r="H393" s="54"/>
      <c r="I393" s="54"/>
      <c r="J393" s="54"/>
      <c r="K393" s="54"/>
      <c r="L393" s="54"/>
      <c r="M393" s="54"/>
      <c r="N393" s="54"/>
      <c r="O393" s="54"/>
      <c r="P393" s="54"/>
      <c r="Q393" s="54"/>
      <c r="R393" s="13"/>
    </row>
    <row r="394" spans="1:18" ht="15.75" thickTop="1" x14ac:dyDescent="0.25">
      <c r="A394" s="9" t="s">
        <v>21</v>
      </c>
      <c r="B394" s="28">
        <f>IF(ISBLANK(A394),0,INDEX(txtstylestab[],MATCH(A394,txtstylestab[style_Name],0),1))</f>
        <v>0</v>
      </c>
      <c r="C394" s="28">
        <f t="shared" si="25"/>
        <v>1</v>
      </c>
      <c r="D394" s="28">
        <f t="shared" si="26"/>
        <v>23</v>
      </c>
      <c r="E394" s="28">
        <f t="shared" si="27"/>
        <v>0</v>
      </c>
      <c r="F394" s="59" t="str">
        <f t="shared" si="28"/>
        <v/>
      </c>
      <c r="G394" s="42" t="s">
        <v>82</v>
      </c>
      <c r="H394" s="43" t="s">
        <v>83</v>
      </c>
      <c r="I394" s="44" t="s">
        <v>84</v>
      </c>
      <c r="J394" s="45" t="s">
        <v>85</v>
      </c>
      <c r="K394" s="46" t="s">
        <v>86</v>
      </c>
      <c r="L394" s="47" t="s">
        <v>2398</v>
      </c>
      <c r="M394" s="48" t="s">
        <v>2540</v>
      </c>
      <c r="N394" s="49"/>
      <c r="O394" s="50" t="s">
        <v>3166</v>
      </c>
      <c r="P394" s="59"/>
      <c r="Q394" s="59"/>
      <c r="R394" s="13"/>
    </row>
    <row r="395" spans="1:18" ht="30" x14ac:dyDescent="0.25">
      <c r="A395" s="9" t="s">
        <v>21</v>
      </c>
      <c r="B395" s="28">
        <f>IF(ISBLANK(A395),0,INDEX(txtstylestab[],MATCH(A395,txtstylestab[style_Name],0),1))</f>
        <v>0</v>
      </c>
      <c r="C395" s="28">
        <f t="shared" si="25"/>
        <v>1</v>
      </c>
      <c r="D395" s="28">
        <f t="shared" si="26"/>
        <v>23</v>
      </c>
      <c r="E395" s="28">
        <f t="shared" si="27"/>
        <v>0</v>
      </c>
      <c r="F395" s="59" t="str">
        <f t="shared" si="28"/>
        <v/>
      </c>
      <c r="G395" s="42" t="s">
        <v>747</v>
      </c>
      <c r="H395" s="43" t="s">
        <v>748</v>
      </c>
      <c r="I395" s="44" t="s">
        <v>1613</v>
      </c>
      <c r="J395" s="45" t="s">
        <v>749</v>
      </c>
      <c r="K395" s="46" t="s">
        <v>750</v>
      </c>
      <c r="L395" s="47" t="s">
        <v>2699</v>
      </c>
      <c r="M395" s="48" t="s">
        <v>2700</v>
      </c>
      <c r="N395" s="49"/>
      <c r="O395" s="50" t="s">
        <v>3437</v>
      </c>
      <c r="P395" s="59"/>
      <c r="Q395" s="59"/>
      <c r="R395" s="13"/>
    </row>
    <row r="396" spans="1:18" x14ac:dyDescent="0.25">
      <c r="A396" s="9" t="s">
        <v>21</v>
      </c>
      <c r="B396" s="28">
        <f>IF(ISBLANK(A396),0,INDEX(txtstylestab[],MATCH(A396,txtstylestab[style_Name],0),1))</f>
        <v>0</v>
      </c>
      <c r="C396" s="28">
        <f t="shared" si="25"/>
        <v>1</v>
      </c>
      <c r="D396" s="28">
        <f t="shared" si="26"/>
        <v>23</v>
      </c>
      <c r="E396" s="28">
        <f t="shared" si="27"/>
        <v>0</v>
      </c>
      <c r="F396" s="59" t="str">
        <f t="shared" si="28"/>
        <v/>
      </c>
      <c r="G396" s="42" t="s">
        <v>428</v>
      </c>
      <c r="H396" s="43" t="s">
        <v>751</v>
      </c>
      <c r="I396" s="44" t="s">
        <v>430</v>
      </c>
      <c r="J396" s="45" t="s">
        <v>1627</v>
      </c>
      <c r="K396" s="46" t="s">
        <v>431</v>
      </c>
      <c r="L396" s="47" t="s">
        <v>2530</v>
      </c>
      <c r="M396" s="48" t="s">
        <v>2701</v>
      </c>
      <c r="N396" s="49"/>
      <c r="O396" s="50"/>
      <c r="P396" s="59"/>
      <c r="Q396" s="59"/>
      <c r="R396" s="13"/>
    </row>
    <row r="397" spans="1:18" ht="30" x14ac:dyDescent="0.25">
      <c r="A397" s="9" t="s">
        <v>21</v>
      </c>
      <c r="B397" s="28">
        <f>IF(ISBLANK(A397),0,INDEX(txtstylestab[],MATCH(A397,txtstylestab[style_Name],0),1))</f>
        <v>0</v>
      </c>
      <c r="C397" s="28">
        <f t="shared" si="25"/>
        <v>1</v>
      </c>
      <c r="D397" s="28">
        <f t="shared" si="26"/>
        <v>23</v>
      </c>
      <c r="E397" s="28">
        <f t="shared" si="27"/>
        <v>0</v>
      </c>
      <c r="F397" s="59" t="str">
        <f t="shared" si="28"/>
        <v/>
      </c>
      <c r="G397" s="42" t="s">
        <v>437</v>
      </c>
      <c r="H397" s="43" t="s">
        <v>441</v>
      </c>
      <c r="I397" s="44" t="s">
        <v>752</v>
      </c>
      <c r="J397" s="45" t="s">
        <v>1628</v>
      </c>
      <c r="K397" s="46" t="s">
        <v>453</v>
      </c>
      <c r="L397" s="47" t="s">
        <v>2702</v>
      </c>
      <c r="M397" s="48" t="s">
        <v>2534</v>
      </c>
      <c r="N397" s="49"/>
      <c r="O397" s="50" t="s">
        <v>3347</v>
      </c>
      <c r="P397" s="59"/>
      <c r="Q397" s="59"/>
      <c r="R397" s="13"/>
    </row>
    <row r="398" spans="1:18" ht="30" x14ac:dyDescent="0.25">
      <c r="A398" s="9" t="s">
        <v>21</v>
      </c>
      <c r="B398" s="28">
        <f>IF(ISBLANK(A398),0,INDEX(txtstylestab[],MATCH(A398,txtstylestab[style_Name],0),1))</f>
        <v>0</v>
      </c>
      <c r="C398" s="28">
        <f t="shared" si="25"/>
        <v>1</v>
      </c>
      <c r="D398" s="28">
        <f t="shared" si="26"/>
        <v>23</v>
      </c>
      <c r="E398" s="28">
        <f t="shared" si="27"/>
        <v>0</v>
      </c>
      <c r="F398" s="59" t="str">
        <f t="shared" si="28"/>
        <v/>
      </c>
      <c r="G398" s="42" t="s">
        <v>438</v>
      </c>
      <c r="H398" s="43" t="s">
        <v>442</v>
      </c>
      <c r="I398" s="44" t="s">
        <v>753</v>
      </c>
      <c r="J398" s="45" t="s">
        <v>754</v>
      </c>
      <c r="K398" s="46" t="s">
        <v>454</v>
      </c>
      <c r="L398" s="47" t="s">
        <v>2703</v>
      </c>
      <c r="M398" s="48" t="s">
        <v>2535</v>
      </c>
      <c r="N398" s="49"/>
      <c r="O398" s="50" t="s">
        <v>3335</v>
      </c>
      <c r="P398" s="59"/>
      <c r="Q398" s="59"/>
      <c r="R398" s="13"/>
    </row>
    <row r="399" spans="1:18" ht="30" x14ac:dyDescent="0.25">
      <c r="A399" s="9" t="s">
        <v>21</v>
      </c>
      <c r="B399" s="28">
        <f>IF(ISBLANK(A399),0,INDEX(txtstylestab[],MATCH(A399,txtstylestab[style_Name],0),1))</f>
        <v>0</v>
      </c>
      <c r="C399" s="28">
        <f t="shared" si="25"/>
        <v>1</v>
      </c>
      <c r="D399" s="28">
        <f t="shared" si="26"/>
        <v>23</v>
      </c>
      <c r="E399" s="28">
        <f t="shared" si="27"/>
        <v>0</v>
      </c>
      <c r="F399" s="59" t="str">
        <f t="shared" si="28"/>
        <v/>
      </c>
      <c r="G399" s="42" t="s">
        <v>439</v>
      </c>
      <c r="H399" s="43" t="s">
        <v>755</v>
      </c>
      <c r="I399" s="44" t="s">
        <v>756</v>
      </c>
      <c r="J399" s="45" t="s">
        <v>757</v>
      </c>
      <c r="K399" s="46" t="s">
        <v>455</v>
      </c>
      <c r="L399" s="47" t="s">
        <v>2704</v>
      </c>
      <c r="M399" s="48" t="s">
        <v>2536</v>
      </c>
      <c r="N399" s="49"/>
      <c r="O399" s="50" t="s">
        <v>3348</v>
      </c>
      <c r="P399" s="59"/>
      <c r="Q399" s="59"/>
      <c r="R399" s="13"/>
    </row>
    <row r="400" spans="1:18" x14ac:dyDescent="0.25">
      <c r="A400" s="9" t="s">
        <v>21</v>
      </c>
      <c r="B400" s="28">
        <f>IF(ISBLANK(A400),0,INDEX(txtstylestab[],MATCH(A400,txtstylestab[style_Name],0),1))</f>
        <v>0</v>
      </c>
      <c r="C400" s="28">
        <f t="shared" si="25"/>
        <v>1</v>
      </c>
      <c r="D400" s="28">
        <f t="shared" si="26"/>
        <v>23</v>
      </c>
      <c r="E400" s="28">
        <f t="shared" si="27"/>
        <v>0</v>
      </c>
      <c r="F400" s="59" t="str">
        <f t="shared" si="28"/>
        <v/>
      </c>
      <c r="G400" s="42" t="s">
        <v>758</v>
      </c>
      <c r="H400" s="43" t="s">
        <v>444</v>
      </c>
      <c r="I400" s="44" t="s">
        <v>759</v>
      </c>
      <c r="J400" s="45" t="s">
        <v>760</v>
      </c>
      <c r="K400" s="46" t="s">
        <v>456</v>
      </c>
      <c r="L400" s="47" t="s">
        <v>2532</v>
      </c>
      <c r="M400" s="48" t="s">
        <v>2705</v>
      </c>
      <c r="N400" s="49"/>
      <c r="O400" s="50" t="s">
        <v>3349</v>
      </c>
      <c r="P400" s="59"/>
      <c r="Q400" s="59"/>
      <c r="R400" s="13"/>
    </row>
    <row r="401" spans="1:18" x14ac:dyDescent="0.25">
      <c r="A401" s="9" t="s">
        <v>21</v>
      </c>
      <c r="B401" s="28">
        <f>IF(ISBLANK(A401),0,INDEX(txtstylestab[],MATCH(A401,txtstylestab[style_Name],0),1))</f>
        <v>0</v>
      </c>
      <c r="C401" s="28">
        <f t="shared" si="25"/>
        <v>1</v>
      </c>
      <c r="D401" s="28">
        <f t="shared" si="26"/>
        <v>23</v>
      </c>
      <c r="E401" s="28">
        <f t="shared" si="27"/>
        <v>0</v>
      </c>
      <c r="F401" s="59" t="str">
        <f t="shared" si="28"/>
        <v/>
      </c>
      <c r="G401" s="42" t="s">
        <v>6</v>
      </c>
      <c r="H401" s="43" t="s">
        <v>26</v>
      </c>
      <c r="I401" s="44" t="s">
        <v>48</v>
      </c>
      <c r="J401" s="45" t="s">
        <v>384</v>
      </c>
      <c r="K401" s="46" t="s">
        <v>59</v>
      </c>
      <c r="L401" s="47" t="s">
        <v>2525</v>
      </c>
      <c r="M401" s="48" t="s">
        <v>2526</v>
      </c>
      <c r="N401" s="49"/>
      <c r="O401" s="50" t="s">
        <v>3173</v>
      </c>
      <c r="P401" s="50"/>
      <c r="Q401" s="59"/>
      <c r="R401" s="13"/>
    </row>
    <row r="402" spans="1:18" x14ac:dyDescent="0.25">
      <c r="A402" s="9" t="s">
        <v>13</v>
      </c>
      <c r="B402" s="28">
        <f>IF(ISBLANK(A402),0,INDEX(txtstylestab[],MATCH(A402,txtstylestab[style_Name],0),1))</f>
        <v>7</v>
      </c>
      <c r="C402" s="28">
        <f t="shared" si="25"/>
        <v>1</v>
      </c>
      <c r="D402" s="28">
        <f t="shared" si="26"/>
        <v>23</v>
      </c>
      <c r="E402" s="28">
        <f t="shared" si="27"/>
        <v>0</v>
      </c>
      <c r="F402" s="78" t="str">
        <f t="shared" si="28"/>
        <v/>
      </c>
      <c r="G402" s="78" t="s">
        <v>761</v>
      </c>
      <c r="H402" s="78"/>
      <c r="I402" s="78"/>
      <c r="J402" s="78"/>
      <c r="K402" s="78"/>
      <c r="L402" s="78"/>
      <c r="M402" s="78"/>
      <c r="N402" s="78"/>
      <c r="O402" s="78"/>
      <c r="P402" s="78"/>
      <c r="Q402" s="78"/>
      <c r="R402" s="13"/>
    </row>
    <row r="403" spans="1:18" ht="18" thickBot="1" x14ac:dyDescent="0.35">
      <c r="A403" s="9" t="s">
        <v>11</v>
      </c>
      <c r="B403" s="28">
        <f>IF(ISBLANK(A403),0,INDEX(txtstylestab[],MATCH(A403,txtstylestab[style_Name],0),1))</f>
        <v>2</v>
      </c>
      <c r="C403" s="28">
        <f t="shared" si="25"/>
        <v>1</v>
      </c>
      <c r="D403" s="28">
        <f t="shared" si="26"/>
        <v>24</v>
      </c>
      <c r="E403" s="28">
        <f t="shared" si="27"/>
        <v>0</v>
      </c>
      <c r="F403" s="54" t="str">
        <f t="shared" si="28"/>
        <v>1.24.</v>
      </c>
      <c r="G403" s="54" t="s">
        <v>1732</v>
      </c>
      <c r="H403" s="54"/>
      <c r="I403" s="54"/>
      <c r="J403" s="54"/>
      <c r="K403" s="54"/>
      <c r="L403" s="54"/>
      <c r="M403" s="54"/>
      <c r="N403" s="54"/>
      <c r="O403" s="54"/>
      <c r="P403" s="54"/>
      <c r="Q403" s="54"/>
      <c r="R403" s="13"/>
    </row>
    <row r="404" spans="1:18" ht="30.75" thickTop="1" x14ac:dyDescent="0.25">
      <c r="A404" s="9" t="s">
        <v>21</v>
      </c>
      <c r="B404" s="28">
        <f>IF(ISBLANK(A404),0,INDEX(txtstylestab[],MATCH(A404,txtstylestab[style_Name],0),1))</f>
        <v>0</v>
      </c>
      <c r="C404" s="28">
        <f t="shared" si="25"/>
        <v>1</v>
      </c>
      <c r="D404" s="28">
        <f t="shared" si="26"/>
        <v>24</v>
      </c>
      <c r="E404" s="28">
        <f t="shared" si="27"/>
        <v>0</v>
      </c>
      <c r="F404" s="59" t="str">
        <f t="shared" si="28"/>
        <v/>
      </c>
      <c r="G404" s="42" t="s">
        <v>1894</v>
      </c>
      <c r="H404" s="43" t="s">
        <v>1895</v>
      </c>
      <c r="I404" s="44" t="s">
        <v>1896</v>
      </c>
      <c r="J404" s="45" t="s">
        <v>1897</v>
      </c>
      <c r="K404" s="46" t="s">
        <v>1898</v>
      </c>
      <c r="L404" s="47" t="s">
        <v>2706</v>
      </c>
      <c r="M404" s="48" t="s">
        <v>2707</v>
      </c>
      <c r="N404" s="49"/>
      <c r="O404" s="50" t="s">
        <v>3438</v>
      </c>
      <c r="P404" s="59"/>
      <c r="Q404" s="59"/>
      <c r="R404" s="13"/>
    </row>
    <row r="405" spans="1:18" ht="60" x14ac:dyDescent="0.25">
      <c r="A405" s="9" t="s">
        <v>14</v>
      </c>
      <c r="B405" s="28">
        <f>IF(ISBLANK(A405),0,INDEX(txtstylestab[],MATCH(A405,txtstylestab[style_Name],0),1))</f>
        <v>6</v>
      </c>
      <c r="C405" s="28">
        <f t="shared" si="25"/>
        <v>1</v>
      </c>
      <c r="D405" s="28">
        <f t="shared" si="26"/>
        <v>24</v>
      </c>
      <c r="E405" s="28">
        <f t="shared" si="27"/>
        <v>0</v>
      </c>
      <c r="F405" s="59" t="str">
        <f t="shared" si="28"/>
        <v/>
      </c>
      <c r="G405" s="42" t="s">
        <v>1899</v>
      </c>
      <c r="H405" s="43" t="s">
        <v>1900</v>
      </c>
      <c r="I405" s="44" t="s">
        <v>1901</v>
      </c>
      <c r="J405" s="45" t="s">
        <v>1902</v>
      </c>
      <c r="K405" s="46" t="s">
        <v>1903</v>
      </c>
      <c r="L405" s="47" t="s">
        <v>2708</v>
      </c>
      <c r="M405" s="48" t="s">
        <v>2735</v>
      </c>
      <c r="N405" s="49"/>
      <c r="O405" s="50" t="s">
        <v>3439</v>
      </c>
      <c r="P405" s="59"/>
      <c r="Q405" s="59"/>
      <c r="R405" s="13"/>
    </row>
    <row r="406" spans="1:18" ht="90" x14ac:dyDescent="0.25">
      <c r="A406" s="9" t="s">
        <v>14</v>
      </c>
      <c r="B406" s="28">
        <f>IF(ISBLANK(A406),0,INDEX(txtstylestab[],MATCH(A406,txtstylestab[style_Name],0),1))</f>
        <v>6</v>
      </c>
      <c r="C406" s="28">
        <f t="shared" si="25"/>
        <v>1</v>
      </c>
      <c r="D406" s="28">
        <f t="shared" si="26"/>
        <v>24</v>
      </c>
      <c r="E406" s="28">
        <f t="shared" si="27"/>
        <v>0</v>
      </c>
      <c r="F406" s="59" t="str">
        <f t="shared" si="28"/>
        <v/>
      </c>
      <c r="G406" s="42" t="s">
        <v>762</v>
      </c>
      <c r="H406" s="43" t="s">
        <v>1904</v>
      </c>
      <c r="I406" s="44" t="s">
        <v>1638</v>
      </c>
      <c r="J406" s="45" t="s">
        <v>768</v>
      </c>
      <c r="K406" s="46" t="s">
        <v>763</v>
      </c>
      <c r="L406" s="47" t="s">
        <v>2709</v>
      </c>
      <c r="M406" s="48" t="s">
        <v>2731</v>
      </c>
      <c r="N406" s="49"/>
      <c r="O406" s="50" t="s">
        <v>3440</v>
      </c>
      <c r="P406" s="59"/>
      <c r="Q406" s="59"/>
      <c r="R406" s="13"/>
    </row>
    <row r="407" spans="1:18" ht="45" x14ac:dyDescent="0.25">
      <c r="A407" s="9" t="s">
        <v>21</v>
      </c>
      <c r="B407" s="28">
        <f>IF(ISBLANK(A407),0,INDEX(txtstylestab[],MATCH(A407,txtstylestab[style_Name],0),1))</f>
        <v>0</v>
      </c>
      <c r="C407" s="28">
        <f t="shared" si="25"/>
        <v>1</v>
      </c>
      <c r="D407" s="28">
        <f t="shared" si="26"/>
        <v>24</v>
      </c>
      <c r="E407" s="28">
        <f t="shared" si="27"/>
        <v>0</v>
      </c>
      <c r="F407" s="59" t="str">
        <f t="shared" si="28"/>
        <v/>
      </c>
      <c r="G407" s="42" t="s">
        <v>764</v>
      </c>
      <c r="H407" s="43" t="s">
        <v>765</v>
      </c>
      <c r="I407" s="44" t="s">
        <v>766</v>
      </c>
      <c r="J407" s="45" t="s">
        <v>767</v>
      </c>
      <c r="K407" s="46" t="s">
        <v>769</v>
      </c>
      <c r="L407" s="47" t="s">
        <v>2710</v>
      </c>
      <c r="M407" s="48" t="s">
        <v>2734</v>
      </c>
      <c r="N407" s="49"/>
      <c r="O407" s="50" t="s">
        <v>3441</v>
      </c>
      <c r="P407" s="59"/>
      <c r="Q407" s="59"/>
      <c r="R407" s="13"/>
    </row>
    <row r="408" spans="1:18" ht="60" x14ac:dyDescent="0.25">
      <c r="A408" s="9" t="s">
        <v>21</v>
      </c>
      <c r="B408" s="28">
        <f>IF(ISBLANK(A408),0,INDEX(txtstylestab[],MATCH(A408,txtstylestab[style_Name],0),1))</f>
        <v>0</v>
      </c>
      <c r="C408" s="28">
        <f t="shared" si="25"/>
        <v>1</v>
      </c>
      <c r="D408" s="28">
        <f t="shared" si="26"/>
        <v>24</v>
      </c>
      <c r="E408" s="28">
        <f t="shared" si="27"/>
        <v>0</v>
      </c>
      <c r="F408" s="59" t="str">
        <f t="shared" si="28"/>
        <v/>
      </c>
      <c r="G408" s="42" t="s">
        <v>713</v>
      </c>
      <c r="H408" s="43" t="s">
        <v>781</v>
      </c>
      <c r="I408" s="44" t="s">
        <v>782</v>
      </c>
      <c r="J408" s="45" t="s">
        <v>783</v>
      </c>
      <c r="K408" s="46" t="s">
        <v>2305</v>
      </c>
      <c r="L408" s="47" t="s">
        <v>2685</v>
      </c>
      <c r="M408" s="48" t="s">
        <v>2736</v>
      </c>
      <c r="N408" s="49"/>
      <c r="O408" s="50" t="s">
        <v>3442</v>
      </c>
      <c r="P408" s="59"/>
      <c r="Q408" s="59"/>
      <c r="R408" s="13"/>
    </row>
    <row r="409" spans="1:18" ht="60" x14ac:dyDescent="0.25">
      <c r="A409" s="9" t="s">
        <v>21</v>
      </c>
      <c r="B409" s="28">
        <f>IF(ISBLANK(A409),0,INDEX(txtstylestab[],MATCH(A409,txtstylestab[style_Name],0),1))</f>
        <v>0</v>
      </c>
      <c r="C409" s="28">
        <f t="shared" si="25"/>
        <v>1</v>
      </c>
      <c r="D409" s="28">
        <f t="shared" si="26"/>
        <v>24</v>
      </c>
      <c r="E409" s="28">
        <f t="shared" si="27"/>
        <v>0</v>
      </c>
      <c r="F409" s="59" t="str">
        <f t="shared" si="28"/>
        <v/>
      </c>
      <c r="G409" s="42" t="s">
        <v>2313</v>
      </c>
      <c r="H409" s="43" t="s">
        <v>2314</v>
      </c>
      <c r="I409" s="44" t="s">
        <v>2318</v>
      </c>
      <c r="J409" s="45" t="s">
        <v>2319</v>
      </c>
      <c r="K409" s="46" t="s">
        <v>2320</v>
      </c>
      <c r="L409" s="47" t="s">
        <v>2733</v>
      </c>
      <c r="M409" s="48" t="s">
        <v>2732</v>
      </c>
      <c r="N409" s="49"/>
      <c r="O409" s="50" t="s">
        <v>3443</v>
      </c>
      <c r="P409" s="59"/>
      <c r="Q409" s="59"/>
      <c r="R409" s="13"/>
    </row>
    <row r="410" spans="1:18" ht="75" x14ac:dyDescent="0.25">
      <c r="A410" s="9" t="s">
        <v>21</v>
      </c>
      <c r="B410" s="28">
        <f>IF(ISBLANK(A410),0,INDEX(txtstylestab[],MATCH(A410,txtstylestab[style_Name],0),1))</f>
        <v>0</v>
      </c>
      <c r="C410" s="28">
        <f t="shared" si="25"/>
        <v>1</v>
      </c>
      <c r="D410" s="28">
        <f t="shared" si="26"/>
        <v>24</v>
      </c>
      <c r="E410" s="28">
        <f t="shared" si="27"/>
        <v>0</v>
      </c>
      <c r="F410" s="59" t="str">
        <f t="shared" si="28"/>
        <v/>
      </c>
      <c r="G410" s="42" t="s">
        <v>770</v>
      </c>
      <c r="H410" s="43" t="s">
        <v>2148</v>
      </c>
      <c r="I410" s="44" t="s">
        <v>2259</v>
      </c>
      <c r="J410" s="45" t="s">
        <v>771</v>
      </c>
      <c r="K410" s="46" t="s">
        <v>2192</v>
      </c>
      <c r="L410" s="47" t="s">
        <v>2711</v>
      </c>
      <c r="M410" s="48" t="s">
        <v>2712</v>
      </c>
      <c r="N410" s="49"/>
      <c r="O410" s="50" t="s">
        <v>3447</v>
      </c>
      <c r="P410" s="59"/>
      <c r="Q410" s="59"/>
      <c r="R410" s="13"/>
    </row>
    <row r="411" spans="1:18" ht="45" x14ac:dyDescent="0.25">
      <c r="A411" s="9" t="s">
        <v>21</v>
      </c>
      <c r="B411" s="28">
        <f>IF(ISBLANK(A411),0,INDEX(txtstylestab[],MATCH(A411,txtstylestab[style_Name],0),1))</f>
        <v>0</v>
      </c>
      <c r="C411" s="28">
        <f t="shared" si="25"/>
        <v>1</v>
      </c>
      <c r="D411" s="28">
        <f t="shared" si="26"/>
        <v>24</v>
      </c>
      <c r="E411" s="28">
        <f t="shared" si="27"/>
        <v>0</v>
      </c>
      <c r="F411" s="59" t="str">
        <f t="shared" si="28"/>
        <v/>
      </c>
      <c r="G411" s="42" t="s">
        <v>772</v>
      </c>
      <c r="H411" s="43" t="s">
        <v>773</v>
      </c>
      <c r="I411" s="44" t="s">
        <v>774</v>
      </c>
      <c r="J411" s="45" t="s">
        <v>775</v>
      </c>
      <c r="K411" s="46" t="s">
        <v>776</v>
      </c>
      <c r="L411" s="47" t="s">
        <v>2713</v>
      </c>
      <c r="M411" s="48" t="s">
        <v>2714</v>
      </c>
      <c r="N411" s="49"/>
      <c r="O411" s="50" t="s">
        <v>3448</v>
      </c>
      <c r="P411" s="59"/>
      <c r="Q411" s="59"/>
      <c r="R411" s="13"/>
    </row>
    <row r="412" spans="1:18" ht="60" x14ac:dyDescent="0.25">
      <c r="A412" s="9" t="s">
        <v>21</v>
      </c>
      <c r="B412" s="28">
        <f>IF(ISBLANK(A412),0,INDEX(txtstylestab[],MATCH(A412,txtstylestab[style_Name],0),1))</f>
        <v>0</v>
      </c>
      <c r="C412" s="28">
        <f t="shared" si="25"/>
        <v>1</v>
      </c>
      <c r="D412" s="28">
        <f t="shared" si="26"/>
        <v>24</v>
      </c>
      <c r="E412" s="28">
        <f t="shared" si="27"/>
        <v>0</v>
      </c>
      <c r="F412" s="59" t="str">
        <f t="shared" si="28"/>
        <v/>
      </c>
      <c r="G412" s="42" t="s">
        <v>777</v>
      </c>
      <c r="H412" s="43" t="s">
        <v>778</v>
      </c>
      <c r="I412" s="44" t="s">
        <v>779</v>
      </c>
      <c r="J412" s="45" t="s">
        <v>1165</v>
      </c>
      <c r="K412" s="46" t="s">
        <v>780</v>
      </c>
      <c r="L412" s="47" t="s">
        <v>2715</v>
      </c>
      <c r="M412" s="48" t="s">
        <v>2716</v>
      </c>
      <c r="N412" s="49"/>
      <c r="O412" s="50" t="s">
        <v>3449</v>
      </c>
      <c r="P412" s="59"/>
      <c r="Q412" s="59"/>
      <c r="R412" s="13"/>
    </row>
    <row r="413" spans="1:18" x14ac:dyDescent="0.25">
      <c r="A413" s="9" t="s">
        <v>22</v>
      </c>
      <c r="B413" s="28">
        <f>IF(ISBLANK(A413),0,INDEX(txtstylestab[],MATCH(A413,txtstylestab[style_Name],0),1))</f>
        <v>4</v>
      </c>
      <c r="C413" s="28">
        <f t="shared" si="25"/>
        <v>1</v>
      </c>
      <c r="D413" s="28">
        <f t="shared" si="26"/>
        <v>24</v>
      </c>
      <c r="E413" s="28">
        <f t="shared" si="27"/>
        <v>0</v>
      </c>
      <c r="F413" s="56" t="str">
        <f t="shared" si="28"/>
        <v/>
      </c>
      <c r="G413" s="53" t="s">
        <v>784</v>
      </c>
      <c r="H413" s="53"/>
      <c r="I413" s="53"/>
      <c r="J413" s="53"/>
      <c r="K413" s="53"/>
      <c r="L413" s="53"/>
      <c r="M413" s="53"/>
      <c r="N413" s="53"/>
      <c r="O413" s="53"/>
      <c r="P413" s="53"/>
      <c r="Q413" s="53"/>
      <c r="R413" s="13"/>
    </row>
    <row r="414" spans="1:18" ht="150" x14ac:dyDescent="0.25">
      <c r="A414" s="9" t="s">
        <v>21</v>
      </c>
      <c r="B414" s="28">
        <f>IF(ISBLANK(A414),0,INDEX(txtstylestab[],MATCH(A414,txtstylestab[style_Name],0),1))</f>
        <v>0</v>
      </c>
      <c r="C414" s="28">
        <f t="shared" si="25"/>
        <v>1</v>
      </c>
      <c r="D414" s="28">
        <f t="shared" si="26"/>
        <v>24</v>
      </c>
      <c r="E414" s="28">
        <f t="shared" si="27"/>
        <v>0</v>
      </c>
      <c r="F414" s="59" t="str">
        <f t="shared" si="28"/>
        <v/>
      </c>
      <c r="G414" s="42" t="s">
        <v>785</v>
      </c>
      <c r="H414" s="43" t="s">
        <v>786</v>
      </c>
      <c r="I414" s="44" t="s">
        <v>2258</v>
      </c>
      <c r="J414" s="45" t="s">
        <v>1614</v>
      </c>
      <c r="K414" s="46" t="s">
        <v>1742</v>
      </c>
      <c r="L414" s="47" t="s">
        <v>2717</v>
      </c>
      <c r="M414" s="48" t="s">
        <v>2718</v>
      </c>
      <c r="N414" s="49"/>
      <c r="O414" s="50" t="s">
        <v>3450</v>
      </c>
      <c r="P414" s="59"/>
      <c r="Q414" s="59"/>
      <c r="R414" s="13"/>
    </row>
    <row r="415" spans="1:18" x14ac:dyDescent="0.25">
      <c r="A415" s="9" t="s">
        <v>22</v>
      </c>
      <c r="B415" s="28">
        <f>IF(ISBLANK(A415),0,INDEX(txtstylestab[],MATCH(A415,txtstylestab[style_Name],0),1))</f>
        <v>4</v>
      </c>
      <c r="C415" s="28">
        <f t="shared" si="25"/>
        <v>1</v>
      </c>
      <c r="D415" s="28">
        <f t="shared" si="26"/>
        <v>24</v>
      </c>
      <c r="E415" s="28">
        <f t="shared" si="27"/>
        <v>0</v>
      </c>
      <c r="F415" s="56" t="str">
        <f t="shared" si="28"/>
        <v/>
      </c>
      <c r="G415" s="53" t="s">
        <v>787</v>
      </c>
      <c r="H415" s="53"/>
      <c r="I415" s="53"/>
      <c r="J415" s="53"/>
      <c r="K415" s="53"/>
      <c r="L415" s="53"/>
      <c r="M415" s="53"/>
      <c r="N415" s="53"/>
      <c r="O415" s="53"/>
      <c r="P415" s="53"/>
      <c r="Q415" s="53"/>
      <c r="R415" s="13"/>
    </row>
    <row r="416" spans="1:18" ht="60" x14ac:dyDescent="0.25">
      <c r="A416" s="9" t="s">
        <v>21</v>
      </c>
      <c r="B416" s="28">
        <f>IF(ISBLANK(A416),0,INDEX(txtstylestab[],MATCH(A416,txtstylestab[style_Name],0),1))</f>
        <v>0</v>
      </c>
      <c r="C416" s="28">
        <f t="shared" si="25"/>
        <v>1</v>
      </c>
      <c r="D416" s="28">
        <f t="shared" si="26"/>
        <v>24</v>
      </c>
      <c r="E416" s="28">
        <f t="shared" si="27"/>
        <v>0</v>
      </c>
      <c r="F416" s="59" t="str">
        <f t="shared" si="28"/>
        <v/>
      </c>
      <c r="G416" s="42" t="s">
        <v>788</v>
      </c>
      <c r="H416" s="43" t="s">
        <v>789</v>
      </c>
      <c r="I416" s="44" t="s">
        <v>790</v>
      </c>
      <c r="J416" s="45" t="s">
        <v>791</v>
      </c>
      <c r="K416" s="46" t="s">
        <v>792</v>
      </c>
      <c r="L416" s="47" t="s">
        <v>2719</v>
      </c>
      <c r="M416" s="48" t="s">
        <v>2720</v>
      </c>
      <c r="N416" s="49"/>
      <c r="O416" s="50" t="s">
        <v>3451</v>
      </c>
      <c r="P416" s="59"/>
      <c r="Q416" s="59"/>
      <c r="R416" s="13"/>
    </row>
    <row r="417" spans="1:18" x14ac:dyDescent="0.25">
      <c r="A417" s="9" t="s">
        <v>22</v>
      </c>
      <c r="B417" s="28">
        <f>IF(ISBLANK(A417),0,INDEX(txtstylestab[],MATCH(A417,txtstylestab[style_Name],0),1))</f>
        <v>4</v>
      </c>
      <c r="C417" s="28">
        <f t="shared" si="25"/>
        <v>1</v>
      </c>
      <c r="D417" s="28">
        <f t="shared" si="26"/>
        <v>24</v>
      </c>
      <c r="E417" s="28">
        <f t="shared" si="27"/>
        <v>0</v>
      </c>
      <c r="F417" s="56" t="str">
        <f t="shared" si="28"/>
        <v/>
      </c>
      <c r="G417" s="53" t="s">
        <v>705</v>
      </c>
      <c r="H417" s="53"/>
      <c r="I417" s="53"/>
      <c r="J417" s="53"/>
      <c r="K417" s="53"/>
      <c r="L417" s="53"/>
      <c r="M417" s="53"/>
      <c r="N417" s="53"/>
      <c r="O417" s="53"/>
      <c r="P417" s="53"/>
      <c r="Q417" s="53"/>
      <c r="R417" s="13"/>
    </row>
    <row r="418" spans="1:18" ht="90" x14ac:dyDescent="0.25">
      <c r="A418" s="9" t="s">
        <v>21</v>
      </c>
      <c r="B418" s="28">
        <f>IF(ISBLANK(A418),0,INDEX(txtstylestab[],MATCH(A418,txtstylestab[style_Name],0),1))</f>
        <v>0</v>
      </c>
      <c r="C418" s="28">
        <f t="shared" si="25"/>
        <v>1</v>
      </c>
      <c r="D418" s="28">
        <f t="shared" si="26"/>
        <v>24</v>
      </c>
      <c r="E418" s="28">
        <f t="shared" si="27"/>
        <v>0</v>
      </c>
      <c r="F418" s="59" t="str">
        <f t="shared" si="28"/>
        <v/>
      </c>
      <c r="G418" s="42" t="s">
        <v>2139</v>
      </c>
      <c r="H418" s="43" t="s">
        <v>2140</v>
      </c>
      <c r="I418" s="44" t="s">
        <v>793</v>
      </c>
      <c r="J418" s="45" t="s">
        <v>2141</v>
      </c>
      <c r="K418" s="46" t="s">
        <v>2142</v>
      </c>
      <c r="L418" s="47" t="s">
        <v>2721</v>
      </c>
      <c r="M418" s="48" t="s">
        <v>2722</v>
      </c>
      <c r="N418" s="49"/>
      <c r="O418" s="50" t="s">
        <v>3452</v>
      </c>
      <c r="P418" s="59"/>
      <c r="Q418" s="59"/>
      <c r="R418" s="13"/>
    </row>
    <row r="419" spans="1:18" ht="30" x14ac:dyDescent="0.25">
      <c r="A419" s="9" t="s">
        <v>21</v>
      </c>
      <c r="B419" s="28">
        <f>IF(ISBLANK(A419),0,INDEX(txtstylestab[],MATCH(A419,txtstylestab[style_Name],0),1))</f>
        <v>0</v>
      </c>
      <c r="C419" s="28">
        <f t="shared" si="25"/>
        <v>1</v>
      </c>
      <c r="D419" s="28">
        <f t="shared" si="26"/>
        <v>24</v>
      </c>
      <c r="E419" s="28">
        <f t="shared" si="27"/>
        <v>0</v>
      </c>
      <c r="F419" s="59" t="str">
        <f t="shared" si="28"/>
        <v/>
      </c>
      <c r="G419" s="42" t="s">
        <v>794</v>
      </c>
      <c r="H419" s="43" t="s">
        <v>795</v>
      </c>
      <c r="I419" s="44" t="s">
        <v>796</v>
      </c>
      <c r="J419" s="45" t="s">
        <v>797</v>
      </c>
      <c r="K419" s="46" t="s">
        <v>833</v>
      </c>
      <c r="L419" s="47" t="s">
        <v>2723</v>
      </c>
      <c r="M419" s="48" t="s">
        <v>2724</v>
      </c>
      <c r="N419" s="49"/>
      <c r="O419" s="50" t="s">
        <v>3453</v>
      </c>
      <c r="P419" s="59"/>
      <c r="Q419" s="59"/>
      <c r="R419" s="13"/>
    </row>
    <row r="420" spans="1:18" ht="15.75" thickBot="1" x14ac:dyDescent="0.3">
      <c r="A420" s="9" t="s">
        <v>12</v>
      </c>
      <c r="B420" s="28">
        <f>IF(ISBLANK(A420),0,INDEX(txtstylestab[],MATCH(A420,txtstylestab[style_Name],0),1))</f>
        <v>3</v>
      </c>
      <c r="C420" s="28">
        <f t="shared" si="25"/>
        <v>1</v>
      </c>
      <c r="D420" s="28">
        <f t="shared" si="26"/>
        <v>24</v>
      </c>
      <c r="E420" s="28">
        <f t="shared" si="27"/>
        <v>1</v>
      </c>
      <c r="F420" s="55" t="str">
        <f t="shared" si="28"/>
        <v>1.24.1.</v>
      </c>
      <c r="G420" s="55" t="s">
        <v>1615</v>
      </c>
      <c r="H420" s="55"/>
      <c r="I420" s="55"/>
      <c r="J420" s="55"/>
      <c r="K420" s="55"/>
      <c r="L420" s="55"/>
      <c r="M420" s="55"/>
      <c r="N420" s="55"/>
      <c r="O420" s="55"/>
      <c r="P420" s="55"/>
      <c r="Q420" s="55"/>
      <c r="R420" s="13"/>
    </row>
    <row r="421" spans="1:18" x14ac:dyDescent="0.25">
      <c r="A421" s="9" t="s">
        <v>21</v>
      </c>
      <c r="B421" s="28">
        <f>IF(ISBLANK(A421),0,INDEX(txtstylestab[],MATCH(A421,txtstylestab[style_Name],0),1))</f>
        <v>0</v>
      </c>
      <c r="C421" s="28">
        <f t="shared" si="25"/>
        <v>1</v>
      </c>
      <c r="D421" s="28">
        <f t="shared" si="26"/>
        <v>24</v>
      </c>
      <c r="E421" s="28">
        <f t="shared" si="27"/>
        <v>1</v>
      </c>
      <c r="F421" s="59" t="str">
        <f t="shared" si="28"/>
        <v/>
      </c>
      <c r="G421" s="42" t="s">
        <v>82</v>
      </c>
      <c r="H421" s="43" t="s">
        <v>83</v>
      </c>
      <c r="I421" s="44" t="s">
        <v>84</v>
      </c>
      <c r="J421" s="45" t="s">
        <v>85</v>
      </c>
      <c r="K421" s="46" t="s">
        <v>86</v>
      </c>
      <c r="L421" s="47" t="s">
        <v>2398</v>
      </c>
      <c r="M421" s="48" t="s">
        <v>2540</v>
      </c>
      <c r="N421" s="49"/>
      <c r="O421" s="50" t="s">
        <v>3166</v>
      </c>
      <c r="P421" s="59"/>
      <c r="Q421" s="59"/>
      <c r="R421" s="13"/>
    </row>
    <row r="422" spans="1:18" ht="105" x14ac:dyDescent="0.25">
      <c r="A422" s="9" t="s">
        <v>21</v>
      </c>
      <c r="B422" s="28">
        <f>IF(ISBLANK(A422),0,INDEX(txtstylestab[],MATCH(A422,txtstylestab[style_Name],0),1))</f>
        <v>0</v>
      </c>
      <c r="C422" s="28">
        <f t="shared" si="25"/>
        <v>1</v>
      </c>
      <c r="D422" s="28">
        <f t="shared" si="26"/>
        <v>24</v>
      </c>
      <c r="E422" s="28">
        <f t="shared" si="27"/>
        <v>1</v>
      </c>
      <c r="F422" s="59" t="str">
        <f t="shared" si="28"/>
        <v/>
      </c>
      <c r="G422" s="42" t="s">
        <v>798</v>
      </c>
      <c r="H422" s="43" t="s">
        <v>1616</v>
      </c>
      <c r="I422" s="44" t="s">
        <v>1639</v>
      </c>
      <c r="J422" s="45" t="s">
        <v>799</v>
      </c>
      <c r="K422" s="46" t="s">
        <v>800</v>
      </c>
      <c r="L422" s="47" t="s">
        <v>2725</v>
      </c>
      <c r="M422" s="48" t="s">
        <v>2726</v>
      </c>
      <c r="N422" s="49"/>
      <c r="O422" s="50" t="s">
        <v>3454</v>
      </c>
      <c r="P422" s="59"/>
      <c r="Q422" s="59"/>
      <c r="R422" s="13"/>
    </row>
    <row r="423" spans="1:18" ht="30" x14ac:dyDescent="0.25">
      <c r="A423" s="9" t="s">
        <v>21</v>
      </c>
      <c r="B423" s="28">
        <f>IF(ISBLANK(A423),0,INDEX(txtstylestab[],MATCH(A423,txtstylestab[style_Name],0),1))</f>
        <v>0</v>
      </c>
      <c r="C423" s="28">
        <f t="shared" si="25"/>
        <v>1</v>
      </c>
      <c r="D423" s="28">
        <f t="shared" si="26"/>
        <v>24</v>
      </c>
      <c r="E423" s="28">
        <f t="shared" si="27"/>
        <v>1</v>
      </c>
      <c r="F423" s="59" t="str">
        <f t="shared" si="28"/>
        <v/>
      </c>
      <c r="G423" s="42" t="s">
        <v>801</v>
      </c>
      <c r="H423" s="43" t="s">
        <v>802</v>
      </c>
      <c r="I423" s="44" t="s">
        <v>803</v>
      </c>
      <c r="J423" s="45" t="s">
        <v>804</v>
      </c>
      <c r="K423" s="46" t="s">
        <v>805</v>
      </c>
      <c r="L423" s="47" t="s">
        <v>2727</v>
      </c>
      <c r="M423" s="48" t="s">
        <v>2728</v>
      </c>
      <c r="N423" s="49"/>
      <c r="O423" s="50" t="s">
        <v>3455</v>
      </c>
      <c r="P423" s="59"/>
      <c r="Q423" s="59"/>
      <c r="R423" s="13"/>
    </row>
    <row r="424" spans="1:18" x14ac:dyDescent="0.25">
      <c r="A424" s="9" t="s">
        <v>21</v>
      </c>
      <c r="B424" s="28">
        <f>IF(ISBLANK(A424),0,INDEX(txtstylestab[],MATCH(A424,txtstylestab[style_Name],0),1))</f>
        <v>0</v>
      </c>
      <c r="C424" s="28">
        <f t="shared" si="25"/>
        <v>1</v>
      </c>
      <c r="D424" s="28">
        <f t="shared" si="26"/>
        <v>24</v>
      </c>
      <c r="E424" s="28">
        <f t="shared" si="27"/>
        <v>1</v>
      </c>
      <c r="F424" s="59" t="str">
        <f t="shared" si="28"/>
        <v/>
      </c>
      <c r="G424" s="42" t="s">
        <v>6</v>
      </c>
      <c r="H424" s="43" t="s">
        <v>26</v>
      </c>
      <c r="I424" s="44" t="s">
        <v>48</v>
      </c>
      <c r="J424" s="45" t="s">
        <v>54</v>
      </c>
      <c r="K424" s="46" t="s">
        <v>59</v>
      </c>
      <c r="L424" s="47" t="s">
        <v>2525</v>
      </c>
      <c r="M424" s="48" t="s">
        <v>2526</v>
      </c>
      <c r="N424" s="49"/>
      <c r="O424" s="50" t="s">
        <v>3456</v>
      </c>
      <c r="P424" s="59"/>
      <c r="Q424" s="59"/>
      <c r="R424" s="13"/>
    </row>
    <row r="425" spans="1:18" ht="15.75" thickBot="1" x14ac:dyDescent="0.3">
      <c r="A425" s="9" t="s">
        <v>12</v>
      </c>
      <c r="B425" s="28">
        <f>IF(ISBLANK(A425),0,INDEX(txtstylestab[],MATCH(A425,txtstylestab[style_Name],0),1))</f>
        <v>3</v>
      </c>
      <c r="C425" s="28">
        <f t="shared" si="25"/>
        <v>1</v>
      </c>
      <c r="D425" s="28">
        <f t="shared" si="26"/>
        <v>24</v>
      </c>
      <c r="E425" s="28">
        <f t="shared" si="27"/>
        <v>2</v>
      </c>
      <c r="F425" s="55" t="str">
        <f t="shared" si="28"/>
        <v>1.24.2.</v>
      </c>
      <c r="G425" s="55" t="s">
        <v>1617</v>
      </c>
      <c r="H425" s="55"/>
      <c r="I425" s="55"/>
      <c r="J425" s="55"/>
      <c r="K425" s="55"/>
      <c r="L425" s="55"/>
      <c r="M425" s="55"/>
      <c r="N425" s="55"/>
      <c r="O425" s="55"/>
      <c r="P425" s="55"/>
      <c r="Q425" s="55"/>
      <c r="R425" s="13"/>
    </row>
    <row r="426" spans="1:18" x14ac:dyDescent="0.25">
      <c r="A426" s="9" t="s">
        <v>22</v>
      </c>
      <c r="B426" s="28">
        <f>IF(ISBLANK(A426),0,INDEX(txtstylestab[],MATCH(A426,txtstylestab[style_Name],0),1))</f>
        <v>4</v>
      </c>
      <c r="C426" s="28">
        <f t="shared" si="25"/>
        <v>1</v>
      </c>
      <c r="D426" s="28">
        <f t="shared" si="26"/>
        <v>24</v>
      </c>
      <c r="E426" s="28">
        <f t="shared" si="27"/>
        <v>2</v>
      </c>
      <c r="F426" s="56" t="str">
        <f t="shared" si="28"/>
        <v/>
      </c>
      <c r="G426" s="67" t="s">
        <v>1789</v>
      </c>
      <c r="H426" s="67"/>
      <c r="I426" s="67"/>
      <c r="J426" s="67"/>
      <c r="K426" s="67"/>
      <c r="L426" s="67"/>
      <c r="M426" s="67"/>
      <c r="N426" s="67"/>
      <c r="O426" s="67"/>
      <c r="P426" s="67"/>
      <c r="Q426" s="67"/>
      <c r="R426" s="13"/>
    </row>
    <row r="427" spans="1:18" ht="60" x14ac:dyDescent="0.25">
      <c r="A427" s="9" t="s">
        <v>21</v>
      </c>
      <c r="B427" s="28">
        <f>IF(ISBLANK(A427),0,INDEX(txtstylestab[],MATCH(A427,txtstylestab[style_Name],0),1))</f>
        <v>0</v>
      </c>
      <c r="C427" s="28">
        <f t="shared" si="25"/>
        <v>1</v>
      </c>
      <c r="D427" s="28">
        <f t="shared" si="26"/>
        <v>24</v>
      </c>
      <c r="E427" s="28">
        <f t="shared" si="27"/>
        <v>2</v>
      </c>
      <c r="F427" s="59" t="str">
        <f t="shared" si="28"/>
        <v/>
      </c>
      <c r="G427" s="42" t="s">
        <v>807</v>
      </c>
      <c r="H427" s="43"/>
      <c r="I427" s="44"/>
      <c r="J427" s="45"/>
      <c r="K427" s="46"/>
      <c r="L427" s="47" t="s">
        <v>2729</v>
      </c>
      <c r="M427" s="48" t="s">
        <v>2730</v>
      </c>
      <c r="N427" s="49"/>
      <c r="O427" s="49"/>
      <c r="P427" s="50"/>
      <c r="Q427" s="59"/>
      <c r="R427" s="13"/>
    </row>
    <row r="428" spans="1:18" ht="18" thickBot="1" x14ac:dyDescent="0.35">
      <c r="A428" s="9" t="s">
        <v>11</v>
      </c>
      <c r="B428" s="28">
        <f>IF(ISBLANK(A428),0,INDEX(txtstylestab[],MATCH(A428,txtstylestab[style_Name],0),1))</f>
        <v>2</v>
      </c>
      <c r="C428" s="28">
        <f t="shared" si="25"/>
        <v>1</v>
      </c>
      <c r="D428" s="28">
        <f t="shared" si="26"/>
        <v>25</v>
      </c>
      <c r="E428" s="28">
        <f t="shared" si="27"/>
        <v>0</v>
      </c>
      <c r="F428" s="54" t="str">
        <f t="shared" si="28"/>
        <v>1.25.</v>
      </c>
      <c r="G428" s="54" t="s">
        <v>808</v>
      </c>
      <c r="H428" s="54"/>
      <c r="I428" s="54"/>
      <c r="J428" s="54"/>
      <c r="K428" s="54"/>
      <c r="L428" s="54"/>
      <c r="M428" s="54"/>
      <c r="N428" s="54"/>
      <c r="O428" s="54"/>
      <c r="P428" s="54"/>
      <c r="Q428" s="54"/>
      <c r="R428" s="13"/>
    </row>
    <row r="429" spans="1:18" ht="15.75" thickTop="1" x14ac:dyDescent="0.25">
      <c r="A429" s="9" t="s">
        <v>21</v>
      </c>
      <c r="B429" s="28">
        <f>IF(ISBLANK(A429),0,INDEX(txtstylestab[],MATCH(A429,txtstylestab[style_Name],0),1))</f>
        <v>0</v>
      </c>
      <c r="C429" s="28">
        <f t="shared" si="25"/>
        <v>1</v>
      </c>
      <c r="D429" s="28">
        <f t="shared" si="26"/>
        <v>25</v>
      </c>
      <c r="E429" s="28">
        <f t="shared" si="27"/>
        <v>0</v>
      </c>
      <c r="F429" s="59" t="str">
        <f t="shared" si="28"/>
        <v/>
      </c>
      <c r="G429" s="42" t="s">
        <v>82</v>
      </c>
      <c r="H429" s="43" t="s">
        <v>83</v>
      </c>
      <c r="I429" s="44" t="s">
        <v>84</v>
      </c>
      <c r="J429" s="45" t="s">
        <v>809</v>
      </c>
      <c r="K429" s="46" t="s">
        <v>86</v>
      </c>
      <c r="L429" s="47" t="s">
        <v>2398</v>
      </c>
      <c r="M429" s="48" t="s">
        <v>2540</v>
      </c>
      <c r="N429" s="49"/>
      <c r="O429" s="50" t="s">
        <v>3166</v>
      </c>
      <c r="P429" s="50"/>
      <c r="Q429" s="59"/>
      <c r="R429" s="13"/>
    </row>
    <row r="430" spans="1:18" ht="30" x14ac:dyDescent="0.25">
      <c r="A430" s="9" t="s">
        <v>21</v>
      </c>
      <c r="B430" s="28">
        <f>IF(ISBLANK(A430),0,INDEX(txtstylestab[],MATCH(A430,txtstylestab[style_Name],0),1))</f>
        <v>0</v>
      </c>
      <c r="C430" s="28">
        <f t="shared" si="25"/>
        <v>1</v>
      </c>
      <c r="D430" s="28">
        <f t="shared" si="26"/>
        <v>25</v>
      </c>
      <c r="E430" s="28">
        <f t="shared" si="27"/>
        <v>0</v>
      </c>
      <c r="F430" s="59" t="str">
        <f t="shared" si="28"/>
        <v/>
      </c>
      <c r="G430" s="42" t="s">
        <v>810</v>
      </c>
      <c r="H430" s="43" t="s">
        <v>811</v>
      </c>
      <c r="I430" s="44" t="s">
        <v>812</v>
      </c>
      <c r="J430" s="45" t="s">
        <v>813</v>
      </c>
      <c r="K430" s="46" t="s">
        <v>814</v>
      </c>
      <c r="L430" s="47" t="s">
        <v>2749</v>
      </c>
      <c r="M430" s="48" t="s">
        <v>2750</v>
      </c>
      <c r="N430" s="49"/>
      <c r="O430" s="50" t="s">
        <v>3457</v>
      </c>
      <c r="P430" s="59"/>
      <c r="Q430" s="59"/>
      <c r="R430" s="13"/>
    </row>
    <row r="431" spans="1:18" ht="90" x14ac:dyDescent="0.25">
      <c r="A431" s="9" t="s">
        <v>21</v>
      </c>
      <c r="B431" s="28">
        <f>IF(ISBLANK(A431),0,INDEX(txtstylestab[],MATCH(A431,txtstylestab[style_Name],0),1))</f>
        <v>0</v>
      </c>
      <c r="C431" s="28">
        <f t="shared" si="25"/>
        <v>1</v>
      </c>
      <c r="D431" s="28">
        <f t="shared" si="26"/>
        <v>25</v>
      </c>
      <c r="E431" s="28">
        <f t="shared" si="27"/>
        <v>0</v>
      </c>
      <c r="F431" s="59" t="str">
        <f t="shared" si="28"/>
        <v/>
      </c>
      <c r="G431" s="42" t="s">
        <v>821</v>
      </c>
      <c r="H431" s="43" t="s">
        <v>2149</v>
      </c>
      <c r="I431" s="44" t="s">
        <v>2260</v>
      </c>
      <c r="J431" s="45" t="s">
        <v>815</v>
      </c>
      <c r="K431" s="46" t="s">
        <v>1743</v>
      </c>
      <c r="L431" s="47" t="s">
        <v>2751</v>
      </c>
      <c r="M431" s="48" t="s">
        <v>2752</v>
      </c>
      <c r="N431" s="49"/>
      <c r="O431" s="50" t="s">
        <v>3458</v>
      </c>
      <c r="P431" s="59"/>
      <c r="Q431" s="59"/>
      <c r="R431" s="13"/>
    </row>
    <row r="432" spans="1:18" ht="30" x14ac:dyDescent="0.25">
      <c r="A432" s="9" t="s">
        <v>21</v>
      </c>
      <c r="B432" s="28">
        <f>IF(ISBLANK(A432),0,INDEX(txtstylestab[],MATCH(A432,txtstylestab[style_Name],0),1))</f>
        <v>0</v>
      </c>
      <c r="C432" s="28">
        <f t="shared" si="25"/>
        <v>1</v>
      </c>
      <c r="D432" s="28">
        <f t="shared" si="26"/>
        <v>25</v>
      </c>
      <c r="E432" s="28">
        <f t="shared" si="27"/>
        <v>0</v>
      </c>
      <c r="F432" s="59" t="str">
        <f t="shared" si="28"/>
        <v/>
      </c>
      <c r="G432" s="42" t="s">
        <v>816</v>
      </c>
      <c r="H432" s="43" t="s">
        <v>817</v>
      </c>
      <c r="I432" s="44" t="s">
        <v>818</v>
      </c>
      <c r="J432" s="45" t="s">
        <v>819</v>
      </c>
      <c r="K432" s="46" t="s">
        <v>820</v>
      </c>
      <c r="L432" s="47" t="s">
        <v>2753</v>
      </c>
      <c r="M432" s="48" t="s">
        <v>2754</v>
      </c>
      <c r="N432" s="49"/>
      <c r="O432" s="50" t="s">
        <v>3241</v>
      </c>
      <c r="P432" s="59"/>
      <c r="Q432" s="59"/>
      <c r="R432" s="13"/>
    </row>
    <row r="433" spans="1:18" x14ac:dyDescent="0.25">
      <c r="A433" s="9" t="s">
        <v>21</v>
      </c>
      <c r="B433" s="28">
        <f>IF(ISBLANK(A433),0,INDEX(txtstylestab[],MATCH(A433,txtstylestab[style_Name],0),1))</f>
        <v>0</v>
      </c>
      <c r="C433" s="28">
        <f t="shared" si="25"/>
        <v>1</v>
      </c>
      <c r="D433" s="28">
        <f t="shared" si="26"/>
        <v>25</v>
      </c>
      <c r="E433" s="28">
        <f t="shared" si="27"/>
        <v>0</v>
      </c>
      <c r="F433" s="59" t="str">
        <f t="shared" si="28"/>
        <v/>
      </c>
      <c r="G433" s="42" t="s">
        <v>6</v>
      </c>
      <c r="H433" s="43" t="s">
        <v>26</v>
      </c>
      <c r="I433" s="44" t="s">
        <v>48</v>
      </c>
      <c r="J433" s="45" t="s">
        <v>54</v>
      </c>
      <c r="K433" s="46" t="s">
        <v>59</v>
      </c>
      <c r="L433" s="47" t="s">
        <v>2525</v>
      </c>
      <c r="M433" s="48" t="s">
        <v>2526</v>
      </c>
      <c r="N433" s="49"/>
      <c r="O433" s="50" t="s">
        <v>3456</v>
      </c>
      <c r="P433" s="59"/>
      <c r="Q433" s="59"/>
      <c r="R433" s="13"/>
    </row>
    <row r="434" spans="1:18" ht="18" thickBot="1" x14ac:dyDescent="0.35">
      <c r="A434" s="9" t="s">
        <v>11</v>
      </c>
      <c r="B434" s="28">
        <f>IF(ISBLANK(A434),0,INDEX(txtstylestab[],MATCH(A434,txtstylestab[style_Name],0),1))</f>
        <v>2</v>
      </c>
      <c r="C434" s="28">
        <f t="shared" si="25"/>
        <v>1</v>
      </c>
      <c r="D434" s="28">
        <f t="shared" si="26"/>
        <v>26</v>
      </c>
      <c r="E434" s="28">
        <f t="shared" si="27"/>
        <v>0</v>
      </c>
      <c r="F434" s="54" t="str">
        <f t="shared" si="28"/>
        <v>1.26.</v>
      </c>
      <c r="G434" s="54" t="s">
        <v>822</v>
      </c>
      <c r="H434" s="54"/>
      <c r="I434" s="54"/>
      <c r="J434" s="54"/>
      <c r="K434" s="54"/>
      <c r="L434" s="54"/>
      <c r="M434" s="54"/>
      <c r="N434" s="54"/>
      <c r="O434" s="54"/>
      <c r="P434" s="54"/>
      <c r="Q434" s="54"/>
      <c r="R434" s="13"/>
    </row>
    <row r="435" spans="1:18" ht="15.75" thickTop="1" x14ac:dyDescent="0.25">
      <c r="A435" s="9" t="s">
        <v>21</v>
      </c>
      <c r="B435" s="28">
        <f>IF(ISBLANK(A435),0,INDEX(txtstylestab[],MATCH(A435,txtstylestab[style_Name],0),1))</f>
        <v>0</v>
      </c>
      <c r="C435" s="28">
        <f t="shared" si="25"/>
        <v>1</v>
      </c>
      <c r="D435" s="28">
        <f t="shared" si="26"/>
        <v>26</v>
      </c>
      <c r="E435" s="28">
        <f t="shared" si="27"/>
        <v>0</v>
      </c>
      <c r="F435" s="59" t="str">
        <f t="shared" si="28"/>
        <v/>
      </c>
      <c r="G435" s="42" t="s">
        <v>82</v>
      </c>
      <c r="H435" s="43" t="s">
        <v>83</v>
      </c>
      <c r="I435" s="44" t="s">
        <v>84</v>
      </c>
      <c r="J435" s="45" t="s">
        <v>85</v>
      </c>
      <c r="K435" s="46" t="s">
        <v>86</v>
      </c>
      <c r="L435" s="47" t="s">
        <v>2398</v>
      </c>
      <c r="M435" s="48" t="s">
        <v>2540</v>
      </c>
      <c r="N435" s="49"/>
      <c r="O435" s="50" t="s">
        <v>3166</v>
      </c>
      <c r="P435" s="50"/>
      <c r="Q435" s="59"/>
      <c r="R435" s="13"/>
    </row>
    <row r="436" spans="1:18" x14ac:dyDescent="0.25">
      <c r="A436" s="9" t="s">
        <v>21</v>
      </c>
      <c r="B436" s="28">
        <f>IF(ISBLANK(A436),0,INDEX(txtstylestab[],MATCH(A436,txtstylestab[style_Name],0),1))</f>
        <v>0</v>
      </c>
      <c r="C436" s="28">
        <f t="shared" si="25"/>
        <v>1</v>
      </c>
      <c r="D436" s="28">
        <f t="shared" si="26"/>
        <v>26</v>
      </c>
      <c r="E436" s="28">
        <f t="shared" si="27"/>
        <v>0</v>
      </c>
      <c r="F436" s="59" t="str">
        <f t="shared" si="28"/>
        <v/>
      </c>
      <c r="G436" s="42" t="s">
        <v>823</v>
      </c>
      <c r="H436" s="43" t="s">
        <v>409</v>
      </c>
      <c r="I436" s="44" t="s">
        <v>410</v>
      </c>
      <c r="J436" s="45" t="s">
        <v>1619</v>
      </c>
      <c r="K436" s="46" t="s">
        <v>824</v>
      </c>
      <c r="L436" s="47" t="s">
        <v>2519</v>
      </c>
      <c r="M436" s="48" t="s">
        <v>2520</v>
      </c>
      <c r="N436" s="49"/>
      <c r="O436" s="50"/>
      <c r="P436" s="59"/>
      <c r="Q436" s="59"/>
      <c r="R436" s="13"/>
    </row>
    <row r="437" spans="1:18" ht="30" x14ac:dyDescent="0.25">
      <c r="A437" s="9" t="s">
        <v>21</v>
      </c>
      <c r="B437" s="28">
        <f>IF(ISBLANK(A437),0,INDEX(txtstylestab[],MATCH(A437,txtstylestab[style_Name],0),1))</f>
        <v>0</v>
      </c>
      <c r="C437" s="28">
        <f t="shared" si="25"/>
        <v>1</v>
      </c>
      <c r="D437" s="28">
        <f t="shared" si="26"/>
        <v>26</v>
      </c>
      <c r="E437" s="28">
        <f t="shared" si="27"/>
        <v>0</v>
      </c>
      <c r="F437" s="59" t="str">
        <f t="shared" si="28"/>
        <v/>
      </c>
      <c r="G437" s="42" t="s">
        <v>806</v>
      </c>
      <c r="H437" s="43" t="s">
        <v>825</v>
      </c>
      <c r="I437" s="44" t="s">
        <v>826</v>
      </c>
      <c r="J437" s="45" t="s">
        <v>827</v>
      </c>
      <c r="K437" s="46" t="s">
        <v>828</v>
      </c>
      <c r="L437" s="47" t="s">
        <v>2755</v>
      </c>
      <c r="M437" s="48" t="s">
        <v>2756</v>
      </c>
      <c r="N437" s="49"/>
      <c r="O437" s="50" t="s">
        <v>3459</v>
      </c>
      <c r="P437" s="59"/>
      <c r="Q437" s="59"/>
      <c r="R437" s="13"/>
    </row>
    <row r="438" spans="1:18" ht="105" x14ac:dyDescent="0.25">
      <c r="A438" s="9" t="s">
        <v>21</v>
      </c>
      <c r="B438" s="28">
        <f>IF(ISBLANK(A438),0,INDEX(txtstylestab[],MATCH(A438,txtstylestab[style_Name],0),1))</f>
        <v>0</v>
      </c>
      <c r="C438" s="28">
        <f t="shared" si="25"/>
        <v>1</v>
      </c>
      <c r="D438" s="28">
        <f t="shared" si="26"/>
        <v>26</v>
      </c>
      <c r="E438" s="28">
        <f t="shared" si="27"/>
        <v>0</v>
      </c>
      <c r="F438" s="59" t="str">
        <f t="shared" si="28"/>
        <v/>
      </c>
      <c r="G438" s="42" t="s">
        <v>834</v>
      </c>
      <c r="H438" s="43" t="s">
        <v>2232</v>
      </c>
      <c r="I438" s="44" t="s">
        <v>2261</v>
      </c>
      <c r="J438" s="45" t="s">
        <v>1164</v>
      </c>
      <c r="K438" s="46" t="s">
        <v>835</v>
      </c>
      <c r="L438" s="47" t="s">
        <v>2757</v>
      </c>
      <c r="M438" s="48" t="s">
        <v>2758</v>
      </c>
      <c r="N438" s="49"/>
      <c r="O438" s="50" t="s">
        <v>3460</v>
      </c>
      <c r="P438" s="59"/>
      <c r="Q438" s="59"/>
      <c r="R438" s="13"/>
    </row>
    <row r="439" spans="1:18" ht="30" x14ac:dyDescent="0.25">
      <c r="A439" s="9" t="s">
        <v>21</v>
      </c>
      <c r="B439" s="28">
        <f>IF(ISBLANK(A439),0,INDEX(txtstylestab[],MATCH(A439,txtstylestab[style_Name],0),1))</f>
        <v>0</v>
      </c>
      <c r="C439" s="28">
        <f t="shared" si="25"/>
        <v>1</v>
      </c>
      <c r="D439" s="28">
        <f t="shared" si="26"/>
        <v>26</v>
      </c>
      <c r="E439" s="28">
        <f t="shared" si="27"/>
        <v>0</v>
      </c>
      <c r="F439" s="59" t="str">
        <f t="shared" si="28"/>
        <v/>
      </c>
      <c r="G439" s="42" t="s">
        <v>829</v>
      </c>
      <c r="H439" s="43" t="s">
        <v>830</v>
      </c>
      <c r="I439" s="44" t="s">
        <v>831</v>
      </c>
      <c r="J439" s="45" t="s">
        <v>832</v>
      </c>
      <c r="K439" s="46" t="s">
        <v>833</v>
      </c>
      <c r="L439" s="47" t="s">
        <v>2759</v>
      </c>
      <c r="M439" s="48" t="s">
        <v>2760</v>
      </c>
      <c r="N439" s="49"/>
      <c r="O439" s="50" t="s">
        <v>3461</v>
      </c>
      <c r="P439" s="59"/>
      <c r="Q439" s="59"/>
      <c r="R439" s="13"/>
    </row>
    <row r="440" spans="1:18" ht="180" x14ac:dyDescent="0.25">
      <c r="A440" s="9" t="s">
        <v>21</v>
      </c>
      <c r="B440" s="28">
        <f>IF(ISBLANK(A440),0,INDEX(txtstylestab[],MATCH(A440,txtstylestab[style_Name],0),1))</f>
        <v>0</v>
      </c>
      <c r="C440" s="28">
        <f t="shared" si="25"/>
        <v>1</v>
      </c>
      <c r="D440" s="28">
        <f t="shared" si="26"/>
        <v>26</v>
      </c>
      <c r="E440" s="28">
        <f t="shared" si="27"/>
        <v>0</v>
      </c>
      <c r="F440" s="59" t="str">
        <f t="shared" si="28"/>
        <v/>
      </c>
      <c r="G440" s="42"/>
      <c r="H440" s="43"/>
      <c r="I440" s="44" t="s">
        <v>3462</v>
      </c>
      <c r="J440" s="45" t="s">
        <v>1765</v>
      </c>
      <c r="K440" s="46" t="s">
        <v>836</v>
      </c>
      <c r="L440" s="47"/>
      <c r="M440" s="48"/>
      <c r="N440" s="49"/>
      <c r="O440" s="50"/>
      <c r="P440" s="59"/>
      <c r="Q440" s="59"/>
      <c r="R440" s="13"/>
    </row>
    <row r="441" spans="1:18" ht="18" thickBot="1" x14ac:dyDescent="0.35">
      <c r="A441" s="9" t="s">
        <v>11</v>
      </c>
      <c r="B441" s="28">
        <f>IF(ISBLANK(A441),0,INDEX(txtstylestab[],MATCH(A441,txtstylestab[style_Name],0),1))</f>
        <v>2</v>
      </c>
      <c r="C441" s="28">
        <f t="shared" si="25"/>
        <v>1</v>
      </c>
      <c r="D441" s="28">
        <f t="shared" si="26"/>
        <v>27</v>
      </c>
      <c r="E441" s="28">
        <f t="shared" si="27"/>
        <v>0</v>
      </c>
      <c r="F441" s="54" t="str">
        <f t="shared" si="28"/>
        <v>1.27.</v>
      </c>
      <c r="G441" s="54" t="s">
        <v>837</v>
      </c>
      <c r="H441" s="54"/>
      <c r="I441" s="54"/>
      <c r="J441" s="54"/>
      <c r="K441" s="54"/>
      <c r="L441" s="54"/>
      <c r="M441" s="54"/>
      <c r="N441" s="54"/>
      <c r="O441" s="54"/>
      <c r="P441" s="54"/>
      <c r="Q441" s="54"/>
      <c r="R441" s="13"/>
    </row>
    <row r="442" spans="1:18" ht="15.75" thickTop="1" x14ac:dyDescent="0.25">
      <c r="A442" s="9" t="s">
        <v>21</v>
      </c>
      <c r="B442" s="28">
        <f>IF(ISBLANK(A442),0,INDEX(txtstylestab[],MATCH(A442,txtstylestab[style_Name],0),1))</f>
        <v>0</v>
      </c>
      <c r="C442" s="28">
        <f t="shared" si="25"/>
        <v>1</v>
      </c>
      <c r="D442" s="28">
        <f t="shared" si="26"/>
        <v>27</v>
      </c>
      <c r="E442" s="28">
        <f t="shared" si="27"/>
        <v>0</v>
      </c>
      <c r="F442" s="59" t="str">
        <f t="shared" si="28"/>
        <v/>
      </c>
      <c r="G442" s="42" t="s">
        <v>82</v>
      </c>
      <c r="H442" s="43" t="s">
        <v>83</v>
      </c>
      <c r="I442" s="44" t="s">
        <v>84</v>
      </c>
      <c r="J442" s="45" t="s">
        <v>85</v>
      </c>
      <c r="K442" s="46" t="s">
        <v>86</v>
      </c>
      <c r="L442" s="47" t="s">
        <v>2398</v>
      </c>
      <c r="M442" s="48" t="s">
        <v>2540</v>
      </c>
      <c r="N442" s="49"/>
      <c r="O442" s="50" t="s">
        <v>3166</v>
      </c>
      <c r="P442" s="50"/>
      <c r="Q442" s="59"/>
      <c r="R442" s="13"/>
    </row>
    <row r="443" spans="1:18" ht="45" x14ac:dyDescent="0.25">
      <c r="A443" s="9" t="s">
        <v>21</v>
      </c>
      <c r="B443" s="28">
        <f>IF(ISBLANK(A443),0,INDEX(txtstylestab[],MATCH(A443,txtstylestab[style_Name],0),1))</f>
        <v>0</v>
      </c>
      <c r="C443" s="28">
        <f t="shared" si="25"/>
        <v>1</v>
      </c>
      <c r="D443" s="28">
        <f t="shared" si="26"/>
        <v>27</v>
      </c>
      <c r="E443" s="28">
        <f t="shared" si="27"/>
        <v>0</v>
      </c>
      <c r="F443" s="59" t="str">
        <f t="shared" si="28"/>
        <v/>
      </c>
      <c r="G443" s="42" t="s">
        <v>838</v>
      </c>
      <c r="H443" s="43" t="s">
        <v>839</v>
      </c>
      <c r="I443" s="44" t="s">
        <v>840</v>
      </c>
      <c r="J443" s="45" t="s">
        <v>841</v>
      </c>
      <c r="K443" s="46" t="s">
        <v>842</v>
      </c>
      <c r="L443" s="47" t="s">
        <v>2761</v>
      </c>
      <c r="M443" s="48" t="s">
        <v>2762</v>
      </c>
      <c r="N443" s="49"/>
      <c r="O443" s="50" t="s">
        <v>3463</v>
      </c>
      <c r="P443" s="59"/>
      <c r="Q443" s="59"/>
      <c r="R443" s="13"/>
    </row>
    <row r="444" spans="1:18" ht="30" x14ac:dyDescent="0.25">
      <c r="A444" s="9" t="s">
        <v>21</v>
      </c>
      <c r="B444" s="28">
        <f>IF(ISBLANK(A444),0,INDEX(txtstylestab[],MATCH(A444,txtstylestab[style_Name],0),1))</f>
        <v>0</v>
      </c>
      <c r="C444" s="28">
        <f t="shared" si="25"/>
        <v>1</v>
      </c>
      <c r="D444" s="28">
        <f t="shared" si="26"/>
        <v>27</v>
      </c>
      <c r="E444" s="28">
        <f t="shared" si="27"/>
        <v>0</v>
      </c>
      <c r="F444" s="59" t="str">
        <f t="shared" si="28"/>
        <v/>
      </c>
      <c r="G444" s="42" t="s">
        <v>843</v>
      </c>
      <c r="H444" s="43" t="s">
        <v>844</v>
      </c>
      <c r="I444" s="44" t="s">
        <v>845</v>
      </c>
      <c r="J444" s="45" t="s">
        <v>846</v>
      </c>
      <c r="K444" s="46" t="s">
        <v>1728</v>
      </c>
      <c r="L444" s="47" t="s">
        <v>2763</v>
      </c>
      <c r="M444" s="48" t="s">
        <v>2764</v>
      </c>
      <c r="N444" s="49"/>
      <c r="O444" s="50" t="s">
        <v>3464</v>
      </c>
      <c r="P444" s="59"/>
      <c r="Q444" s="59"/>
      <c r="R444" s="13"/>
    </row>
    <row r="445" spans="1:18" x14ac:dyDescent="0.25">
      <c r="A445" s="9" t="s">
        <v>21</v>
      </c>
      <c r="B445" s="28">
        <f>IF(ISBLANK(A445),0,INDEX(txtstylestab[],MATCH(A445,txtstylestab[style_Name],0),1))</f>
        <v>0</v>
      </c>
      <c r="C445" s="28">
        <f t="shared" si="25"/>
        <v>1</v>
      </c>
      <c r="D445" s="28">
        <f t="shared" si="26"/>
        <v>27</v>
      </c>
      <c r="E445" s="28">
        <f t="shared" si="27"/>
        <v>0</v>
      </c>
      <c r="F445" s="59" t="str">
        <f t="shared" si="28"/>
        <v/>
      </c>
      <c r="G445" s="42" t="s">
        <v>6</v>
      </c>
      <c r="H445" s="43" t="s">
        <v>26</v>
      </c>
      <c r="I445" s="44" t="s">
        <v>48</v>
      </c>
      <c r="J445" s="45" t="s">
        <v>384</v>
      </c>
      <c r="K445" s="46" t="s">
        <v>59</v>
      </c>
      <c r="L445" s="47" t="s">
        <v>2525</v>
      </c>
      <c r="M445" s="48" t="s">
        <v>2526</v>
      </c>
      <c r="N445" s="48"/>
      <c r="O445" s="50" t="s">
        <v>3456</v>
      </c>
      <c r="P445" s="49"/>
      <c r="Q445" s="50"/>
      <c r="R445" s="13"/>
    </row>
    <row r="446" spans="1:18" ht="15.75" thickBot="1" x14ac:dyDescent="0.3">
      <c r="A446" s="9" t="s">
        <v>12</v>
      </c>
      <c r="B446" s="28">
        <f>IF(ISBLANK(A446),0,INDEX(txtstylestab[],MATCH(A446,txtstylestab[style_Name],0),1))</f>
        <v>3</v>
      </c>
      <c r="C446" s="28">
        <f t="shared" si="25"/>
        <v>1</v>
      </c>
      <c r="D446" s="28">
        <f t="shared" si="26"/>
        <v>27</v>
      </c>
      <c r="E446" s="28">
        <f t="shared" si="27"/>
        <v>1</v>
      </c>
      <c r="F446" s="55" t="str">
        <f t="shared" si="28"/>
        <v>1.27.1.</v>
      </c>
      <c r="G446" s="55" t="s">
        <v>847</v>
      </c>
      <c r="H446" s="55"/>
      <c r="I446" s="55"/>
      <c r="J446" s="55"/>
      <c r="K446" s="55"/>
      <c r="L446" s="55"/>
      <c r="M446" s="55"/>
      <c r="N446" s="55"/>
      <c r="O446" s="55"/>
      <c r="P446" s="55"/>
      <c r="Q446" s="55"/>
      <c r="R446" s="13"/>
    </row>
    <row r="447" spans="1:18" x14ac:dyDescent="0.25">
      <c r="A447" s="9" t="s">
        <v>21</v>
      </c>
      <c r="B447" s="28">
        <f>IF(ISBLANK(A447),0,INDEX(txtstylestab[],MATCH(A447,txtstylestab[style_Name],0),1))</f>
        <v>0</v>
      </c>
      <c r="C447" s="28">
        <f t="shared" si="25"/>
        <v>1</v>
      </c>
      <c r="D447" s="28">
        <f t="shared" si="26"/>
        <v>27</v>
      </c>
      <c r="E447" s="28">
        <f t="shared" si="27"/>
        <v>1</v>
      </c>
      <c r="F447" s="59" t="str">
        <f t="shared" si="28"/>
        <v/>
      </c>
      <c r="G447" s="42" t="s">
        <v>82</v>
      </c>
      <c r="H447" s="43" t="s">
        <v>83</v>
      </c>
      <c r="I447" s="44" t="s">
        <v>84</v>
      </c>
      <c r="J447" s="45" t="s">
        <v>85</v>
      </c>
      <c r="K447" s="46" t="s">
        <v>86</v>
      </c>
      <c r="L447" s="47" t="s">
        <v>2398</v>
      </c>
      <c r="M447" s="48" t="s">
        <v>2540</v>
      </c>
      <c r="N447" s="49"/>
      <c r="O447" s="50" t="s">
        <v>3166</v>
      </c>
      <c r="P447" s="50"/>
      <c r="Q447" s="59"/>
      <c r="R447" s="13"/>
    </row>
    <row r="448" spans="1:18" ht="90" x14ac:dyDescent="0.25">
      <c r="A448" s="9" t="s">
        <v>21</v>
      </c>
      <c r="B448" s="28">
        <f>IF(ISBLANK(A448),0,INDEX(txtstylestab[],MATCH(A448,txtstylestab[style_Name],0),1))</f>
        <v>0</v>
      </c>
      <c r="C448" s="28">
        <f t="shared" si="25"/>
        <v>1</v>
      </c>
      <c r="D448" s="28">
        <f t="shared" si="26"/>
        <v>27</v>
      </c>
      <c r="E448" s="28">
        <f t="shared" si="27"/>
        <v>1</v>
      </c>
      <c r="F448" s="59" t="str">
        <f t="shared" si="28"/>
        <v/>
      </c>
      <c r="G448" s="42" t="s">
        <v>848</v>
      </c>
      <c r="H448" s="43" t="s">
        <v>849</v>
      </c>
      <c r="I448" s="44" t="s">
        <v>1640</v>
      </c>
      <c r="J448" s="45" t="s">
        <v>1618</v>
      </c>
      <c r="K448" s="46" t="s">
        <v>850</v>
      </c>
      <c r="L448" s="47" t="s">
        <v>2765</v>
      </c>
      <c r="M448" s="48" t="s">
        <v>2766</v>
      </c>
      <c r="N448" s="49"/>
      <c r="O448" s="50" t="s">
        <v>3465</v>
      </c>
      <c r="P448" s="59"/>
      <c r="Q448" s="59"/>
      <c r="R448" s="13"/>
    </row>
    <row r="449" spans="1:18" x14ac:dyDescent="0.25">
      <c r="A449" s="9" t="s">
        <v>21</v>
      </c>
      <c r="B449" s="28">
        <f>IF(ISBLANK(A449),0,INDEX(txtstylestab[],MATCH(A449,txtstylestab[style_Name],0),1))</f>
        <v>0</v>
      </c>
      <c r="C449" s="28">
        <f t="shared" si="25"/>
        <v>1</v>
      </c>
      <c r="D449" s="28">
        <f t="shared" si="26"/>
        <v>27</v>
      </c>
      <c r="E449" s="28">
        <f t="shared" si="27"/>
        <v>1</v>
      </c>
      <c r="F449" s="59" t="str">
        <f t="shared" si="28"/>
        <v/>
      </c>
      <c r="G449" s="42" t="s">
        <v>6</v>
      </c>
      <c r="H449" s="43" t="s">
        <v>96</v>
      </c>
      <c r="I449" s="44" t="s">
        <v>48</v>
      </c>
      <c r="J449" s="45" t="s">
        <v>384</v>
      </c>
      <c r="K449" s="46" t="s">
        <v>59</v>
      </c>
      <c r="L449" s="47" t="s">
        <v>2525</v>
      </c>
      <c r="M449" s="48" t="s">
        <v>2526</v>
      </c>
      <c r="N449" s="49"/>
      <c r="O449" s="50" t="s">
        <v>3456</v>
      </c>
      <c r="P449" s="50"/>
      <c r="Q449" s="59"/>
      <c r="R449" s="13"/>
    </row>
    <row r="450" spans="1:18" ht="18" thickBot="1" x14ac:dyDescent="0.35">
      <c r="A450" s="9" t="s">
        <v>11</v>
      </c>
      <c r="B450" s="28">
        <f>IF(ISBLANK(A450),0,INDEX(txtstylestab[],MATCH(A450,txtstylestab[style_Name],0),1))</f>
        <v>2</v>
      </c>
      <c r="C450" s="28">
        <f t="shared" si="25"/>
        <v>1</v>
      </c>
      <c r="D450" s="28">
        <f t="shared" si="26"/>
        <v>28</v>
      </c>
      <c r="E450" s="28">
        <f t="shared" si="27"/>
        <v>0</v>
      </c>
      <c r="F450" s="54" t="str">
        <f t="shared" si="28"/>
        <v>1.28.</v>
      </c>
      <c r="G450" s="54" t="s">
        <v>851</v>
      </c>
      <c r="H450" s="54"/>
      <c r="I450" s="54"/>
      <c r="J450" s="54"/>
      <c r="K450" s="54"/>
      <c r="L450" s="54"/>
      <c r="M450" s="54"/>
      <c r="N450" s="54"/>
      <c r="O450" s="54"/>
      <c r="P450" s="54"/>
      <c r="Q450" s="54"/>
      <c r="R450" s="13"/>
    </row>
    <row r="451" spans="1:18" ht="15.75" thickTop="1" x14ac:dyDescent="0.25">
      <c r="A451" s="9" t="s">
        <v>21</v>
      </c>
      <c r="B451" s="28">
        <f>IF(ISBLANK(A451),0,INDEX(txtstylestab[],MATCH(A451,txtstylestab[style_Name],0),1))</f>
        <v>0</v>
      </c>
      <c r="C451" s="28">
        <f t="shared" si="25"/>
        <v>1</v>
      </c>
      <c r="D451" s="28">
        <f t="shared" si="26"/>
        <v>28</v>
      </c>
      <c r="E451" s="28">
        <f t="shared" si="27"/>
        <v>0</v>
      </c>
      <c r="F451" s="59" t="str">
        <f t="shared" si="28"/>
        <v/>
      </c>
      <c r="G451" s="42" t="s">
        <v>82</v>
      </c>
      <c r="H451" s="43" t="s">
        <v>852</v>
      </c>
      <c r="I451" s="44" t="s">
        <v>84</v>
      </c>
      <c r="J451" s="45" t="s">
        <v>85</v>
      </c>
      <c r="K451" s="46" t="s">
        <v>86</v>
      </c>
      <c r="L451" s="47" t="s">
        <v>2398</v>
      </c>
      <c r="M451" s="48" t="s">
        <v>2540</v>
      </c>
      <c r="N451" s="49"/>
      <c r="O451" s="50" t="s">
        <v>3166</v>
      </c>
      <c r="P451" s="50"/>
      <c r="Q451" s="59"/>
      <c r="R451" s="13"/>
    </row>
    <row r="452" spans="1:18" ht="75" x14ac:dyDescent="0.25">
      <c r="A452" s="9" t="s">
        <v>21</v>
      </c>
      <c r="B452" s="28">
        <f>IF(ISBLANK(A452),0,INDEX(txtstylestab[],MATCH(A452,txtstylestab[style_Name],0),1))</f>
        <v>0</v>
      </c>
      <c r="C452" s="28">
        <f t="shared" ref="C452:C470" si="29">IF(B452=1,C451+1,C451)</f>
        <v>1</v>
      </c>
      <c r="D452" s="28">
        <f t="shared" ref="D452:D470" si="30">IF(B452=1,0,IF(B452=2,D451+1,IF(AND(B452=3,D451=0),1,D451)))</f>
        <v>28</v>
      </c>
      <c r="E452" s="28">
        <f t="shared" ref="E452:E470" si="31">IF(OR(B452=1,B452=2),0,IF(B452=3,E451+1,E451))</f>
        <v>0</v>
      </c>
      <c r="F452" s="59" t="str">
        <f t="shared" ref="F452:F470" si="32">IF(OR(B452=1,B452=2,B452=3),TEXT(C452,"#")&amp;".","")&amp;IF(OR(B452=2,B452=3),TEXT(D452,"#")&amp;".","")&amp;IF(B452=3,TEXT(E452,"#")&amp;".","")</f>
        <v/>
      </c>
      <c r="G452" s="42" t="s">
        <v>853</v>
      </c>
      <c r="H452" s="43" t="s">
        <v>854</v>
      </c>
      <c r="I452" s="44" t="s">
        <v>855</v>
      </c>
      <c r="J452" s="45" t="s">
        <v>856</v>
      </c>
      <c r="K452" s="46" t="s">
        <v>857</v>
      </c>
      <c r="L452" s="47" t="s">
        <v>2767</v>
      </c>
      <c r="M452" s="48" t="s">
        <v>2768</v>
      </c>
      <c r="N452" s="49"/>
      <c r="O452" s="50" t="s">
        <v>3466</v>
      </c>
      <c r="P452" s="59"/>
      <c r="Q452" s="59"/>
      <c r="R452" s="13"/>
    </row>
    <row r="453" spans="1:18" ht="30" x14ac:dyDescent="0.25">
      <c r="A453" s="9" t="s">
        <v>21</v>
      </c>
      <c r="B453" s="28">
        <f>IF(ISBLANK(A453),0,INDEX(txtstylestab[],MATCH(A453,txtstylestab[style_Name],0),1))</f>
        <v>0</v>
      </c>
      <c r="C453" s="28">
        <f t="shared" si="29"/>
        <v>1</v>
      </c>
      <c r="D453" s="28">
        <f t="shared" si="30"/>
        <v>28</v>
      </c>
      <c r="E453" s="28">
        <f t="shared" si="31"/>
        <v>0</v>
      </c>
      <c r="F453" s="59" t="str">
        <f t="shared" si="32"/>
        <v/>
      </c>
      <c r="G453" s="42" t="s">
        <v>858</v>
      </c>
      <c r="H453" s="43" t="s">
        <v>859</v>
      </c>
      <c r="I453" s="44" t="s">
        <v>860</v>
      </c>
      <c r="J453" s="45" t="s">
        <v>861</v>
      </c>
      <c r="K453" s="46" t="s">
        <v>1729</v>
      </c>
      <c r="L453" s="47" t="s">
        <v>2769</v>
      </c>
      <c r="M453" s="48" t="s">
        <v>2770</v>
      </c>
      <c r="N453" s="49"/>
      <c r="O453" s="50" t="s">
        <v>3467</v>
      </c>
      <c r="P453" s="59"/>
      <c r="Q453" s="59"/>
      <c r="R453" s="13"/>
    </row>
    <row r="454" spans="1:18" x14ac:dyDescent="0.25">
      <c r="A454" s="9" t="s">
        <v>21</v>
      </c>
      <c r="B454" s="28">
        <f>IF(ISBLANK(A454),0,INDEX(txtstylestab[],MATCH(A454,txtstylestab[style_Name],0),1))</f>
        <v>0</v>
      </c>
      <c r="C454" s="28">
        <f t="shared" si="29"/>
        <v>1</v>
      </c>
      <c r="D454" s="28">
        <f t="shared" si="30"/>
        <v>28</v>
      </c>
      <c r="E454" s="28">
        <f t="shared" si="31"/>
        <v>0</v>
      </c>
      <c r="F454" s="59" t="str">
        <f t="shared" si="32"/>
        <v/>
      </c>
      <c r="G454" s="42" t="s">
        <v>6</v>
      </c>
      <c r="H454" s="43" t="s">
        <v>26</v>
      </c>
      <c r="I454" s="44" t="s">
        <v>48</v>
      </c>
      <c r="J454" s="45" t="s">
        <v>54</v>
      </c>
      <c r="K454" s="46" t="s">
        <v>59</v>
      </c>
      <c r="L454" s="47" t="s">
        <v>2525</v>
      </c>
      <c r="M454" s="48" t="s">
        <v>2526</v>
      </c>
      <c r="N454" s="49"/>
      <c r="O454" s="50" t="s">
        <v>3456</v>
      </c>
      <c r="P454" s="50"/>
      <c r="Q454" s="59"/>
      <c r="R454" s="13"/>
    </row>
    <row r="455" spans="1:18" ht="18" thickBot="1" x14ac:dyDescent="0.35">
      <c r="A455" s="9" t="s">
        <v>11</v>
      </c>
      <c r="B455" s="28">
        <f>IF(ISBLANK(A455),0,INDEX(txtstylestab[],MATCH(A455,txtstylestab[style_Name],0),1))</f>
        <v>2</v>
      </c>
      <c r="C455" s="28">
        <f t="shared" si="29"/>
        <v>1</v>
      </c>
      <c r="D455" s="28">
        <f t="shared" si="30"/>
        <v>29</v>
      </c>
      <c r="E455" s="28">
        <f t="shared" si="31"/>
        <v>0</v>
      </c>
      <c r="F455" s="54" t="str">
        <f t="shared" si="32"/>
        <v>1.29.</v>
      </c>
      <c r="G455" s="54" t="s">
        <v>862</v>
      </c>
      <c r="H455" s="54"/>
      <c r="I455" s="54"/>
      <c r="J455" s="54"/>
      <c r="K455" s="54"/>
      <c r="L455" s="54"/>
      <c r="M455" s="54"/>
      <c r="N455" s="54"/>
      <c r="O455" s="54"/>
      <c r="P455" s="54"/>
      <c r="Q455" s="54"/>
      <c r="R455" s="13"/>
    </row>
    <row r="456" spans="1:18" ht="15.75" thickTop="1" x14ac:dyDescent="0.25">
      <c r="A456" s="9" t="s">
        <v>21</v>
      </c>
      <c r="B456" s="28">
        <f>IF(ISBLANK(A456),0,INDEX(txtstylestab[],MATCH(A456,txtstylestab[style_Name],0),1))</f>
        <v>0</v>
      </c>
      <c r="C456" s="28">
        <f t="shared" si="29"/>
        <v>1</v>
      </c>
      <c r="D456" s="28">
        <f t="shared" si="30"/>
        <v>29</v>
      </c>
      <c r="E456" s="28">
        <f t="shared" si="31"/>
        <v>0</v>
      </c>
      <c r="F456" s="59" t="str">
        <f t="shared" si="32"/>
        <v/>
      </c>
      <c r="G456" s="42" t="s">
        <v>82</v>
      </c>
      <c r="H456" s="43" t="s">
        <v>863</v>
      </c>
      <c r="I456" s="44" t="s">
        <v>84</v>
      </c>
      <c r="J456" s="45" t="s">
        <v>85</v>
      </c>
      <c r="K456" s="46" t="s">
        <v>86</v>
      </c>
      <c r="L456" s="47" t="s">
        <v>2398</v>
      </c>
      <c r="M456" s="48" t="s">
        <v>2540</v>
      </c>
      <c r="N456" s="49"/>
      <c r="O456" s="50" t="s">
        <v>3468</v>
      </c>
      <c r="P456" s="50"/>
      <c r="Q456" s="59"/>
      <c r="R456" s="13"/>
    </row>
    <row r="457" spans="1:18" ht="45" x14ac:dyDescent="0.25">
      <c r="A457" s="9" t="s">
        <v>21</v>
      </c>
      <c r="B457" s="28">
        <f>IF(ISBLANK(A457),0,INDEX(txtstylestab[],MATCH(A457,txtstylestab[style_Name],0),1))</f>
        <v>0</v>
      </c>
      <c r="C457" s="28">
        <f t="shared" si="29"/>
        <v>1</v>
      </c>
      <c r="D457" s="28">
        <f t="shared" si="30"/>
        <v>29</v>
      </c>
      <c r="E457" s="28">
        <f t="shared" si="31"/>
        <v>0</v>
      </c>
      <c r="F457" s="59" t="str">
        <f t="shared" si="32"/>
        <v/>
      </c>
      <c r="G457" s="42" t="s">
        <v>1906</v>
      </c>
      <c r="H457" s="43" t="s">
        <v>1907</v>
      </c>
      <c r="I457" s="44" t="s">
        <v>1908</v>
      </c>
      <c r="J457" s="45" t="s">
        <v>867</v>
      </c>
      <c r="K457" s="46" t="s">
        <v>1909</v>
      </c>
      <c r="L457" s="47" t="s">
        <v>2771</v>
      </c>
      <c r="M457" s="48" t="s">
        <v>2782</v>
      </c>
      <c r="N457" s="49"/>
      <c r="O457" s="50" t="s">
        <v>3469</v>
      </c>
      <c r="P457" s="59"/>
      <c r="Q457" s="59"/>
      <c r="R457" s="13"/>
    </row>
    <row r="458" spans="1:18" x14ac:dyDescent="0.25">
      <c r="A458" s="9" t="s">
        <v>14</v>
      </c>
      <c r="B458" s="28">
        <f>IF(ISBLANK(A458),0,INDEX(txtstylestab[],MATCH(A458,txtstylestab[style_Name],0),1))</f>
        <v>6</v>
      </c>
      <c r="C458" s="28">
        <f t="shared" si="29"/>
        <v>1</v>
      </c>
      <c r="D458" s="28">
        <f t="shared" si="30"/>
        <v>29</v>
      </c>
      <c r="E458" s="28">
        <f t="shared" si="31"/>
        <v>0</v>
      </c>
      <c r="F458" s="59" t="str">
        <f t="shared" si="32"/>
        <v/>
      </c>
      <c r="G458" s="42" t="s">
        <v>1910</v>
      </c>
      <c r="H458" s="43" t="s">
        <v>1913</v>
      </c>
      <c r="I458" s="44" t="s">
        <v>1916</v>
      </c>
      <c r="J458" s="45" t="s">
        <v>864</v>
      </c>
      <c r="K458" s="46" t="s">
        <v>1919</v>
      </c>
      <c r="L458" s="47" t="s">
        <v>2772</v>
      </c>
      <c r="M458" s="48" t="s">
        <v>2773</v>
      </c>
      <c r="N458" s="49"/>
      <c r="O458" s="50" t="s">
        <v>3470</v>
      </c>
      <c r="P458" s="59"/>
      <c r="Q458" s="59"/>
      <c r="R458" s="13"/>
    </row>
    <row r="459" spans="1:18" x14ac:dyDescent="0.25">
      <c r="A459" s="9" t="s">
        <v>14</v>
      </c>
      <c r="B459" s="28">
        <f>IF(ISBLANK(A459),0,INDEX(txtstylestab[],MATCH(A459,txtstylestab[style_Name],0),1))</f>
        <v>6</v>
      </c>
      <c r="C459" s="28">
        <f t="shared" si="29"/>
        <v>1</v>
      </c>
      <c r="D459" s="28">
        <f t="shared" si="30"/>
        <v>29</v>
      </c>
      <c r="E459" s="28">
        <f t="shared" si="31"/>
        <v>0</v>
      </c>
      <c r="F459" s="59" t="str">
        <f t="shared" si="32"/>
        <v/>
      </c>
      <c r="G459" s="42" t="s">
        <v>1911</v>
      </c>
      <c r="H459" s="43" t="s">
        <v>1914</v>
      </c>
      <c r="I459" s="44" t="s">
        <v>1917</v>
      </c>
      <c r="J459" s="45" t="s">
        <v>865</v>
      </c>
      <c r="K459" s="46" t="s">
        <v>1920</v>
      </c>
      <c r="L459" s="47" t="s">
        <v>2774</v>
      </c>
      <c r="M459" s="48" t="s">
        <v>2775</v>
      </c>
      <c r="N459" s="49"/>
      <c r="O459" s="50" t="s">
        <v>3471</v>
      </c>
      <c r="P459" s="59"/>
      <c r="Q459" s="59"/>
      <c r="R459" s="13"/>
    </row>
    <row r="460" spans="1:18" ht="30" x14ac:dyDescent="0.25">
      <c r="A460" s="9" t="s">
        <v>14</v>
      </c>
      <c r="B460" s="28">
        <f>IF(ISBLANK(A460),0,INDEX(txtstylestab[],MATCH(A460,txtstylestab[style_Name],0),1))</f>
        <v>6</v>
      </c>
      <c r="C460" s="28">
        <f t="shared" si="29"/>
        <v>1</v>
      </c>
      <c r="D460" s="28">
        <f t="shared" si="30"/>
        <v>29</v>
      </c>
      <c r="E460" s="28">
        <f t="shared" si="31"/>
        <v>0</v>
      </c>
      <c r="F460" s="59" t="str">
        <f t="shared" si="32"/>
        <v/>
      </c>
      <c r="G460" s="42" t="s">
        <v>1912</v>
      </c>
      <c r="H460" s="43" t="s">
        <v>1915</v>
      </c>
      <c r="I460" s="44" t="s">
        <v>1918</v>
      </c>
      <c r="J460" s="45" t="s">
        <v>866</v>
      </c>
      <c r="K460" s="46" t="s">
        <v>1921</v>
      </c>
      <c r="L460" s="47" t="s">
        <v>2776</v>
      </c>
      <c r="M460" s="48" t="s">
        <v>2777</v>
      </c>
      <c r="N460" s="49"/>
      <c r="O460" s="50" t="s">
        <v>3472</v>
      </c>
      <c r="P460" s="59"/>
      <c r="Q460" s="59"/>
      <c r="R460" s="13"/>
    </row>
    <row r="461" spans="1:18" ht="30" x14ac:dyDescent="0.25">
      <c r="A461" s="9" t="s">
        <v>14</v>
      </c>
      <c r="B461" s="28">
        <f>IF(ISBLANK(A461),0,INDEX(txtstylestab[],MATCH(A461,txtstylestab[style_Name],0),1))</f>
        <v>6</v>
      </c>
      <c r="C461" s="28">
        <f t="shared" si="29"/>
        <v>1</v>
      </c>
      <c r="D461" s="28">
        <f t="shared" si="30"/>
        <v>29</v>
      </c>
      <c r="E461" s="28">
        <f t="shared" si="31"/>
        <v>0</v>
      </c>
      <c r="F461" s="59" t="str">
        <f t="shared" si="32"/>
        <v/>
      </c>
      <c r="G461" s="42" t="s">
        <v>1922</v>
      </c>
      <c r="H461" s="43" t="s">
        <v>1923</v>
      </c>
      <c r="I461" s="44" t="s">
        <v>1924</v>
      </c>
      <c r="J461" s="45" t="s">
        <v>1926</v>
      </c>
      <c r="K461" s="46" t="s">
        <v>1925</v>
      </c>
      <c r="L461" s="47" t="s">
        <v>2778</v>
      </c>
      <c r="M461" s="48" t="s">
        <v>2779</v>
      </c>
      <c r="N461" s="49"/>
      <c r="O461" s="50" t="s">
        <v>3473</v>
      </c>
      <c r="P461" s="59"/>
      <c r="Q461" s="59"/>
      <c r="R461" s="13"/>
    </row>
    <row r="462" spans="1:18" x14ac:dyDescent="0.25">
      <c r="A462" s="9" t="s">
        <v>21</v>
      </c>
      <c r="B462" s="28">
        <f>IF(ISBLANK(A462),0,INDEX(txtstylestab[],MATCH(A462,txtstylestab[style_Name],0),1))</f>
        <v>0</v>
      </c>
      <c r="C462" s="28">
        <f t="shared" si="29"/>
        <v>1</v>
      </c>
      <c r="D462" s="28">
        <f t="shared" si="30"/>
        <v>29</v>
      </c>
      <c r="E462" s="28">
        <f t="shared" si="31"/>
        <v>0</v>
      </c>
      <c r="F462" s="59" t="str">
        <f t="shared" si="32"/>
        <v/>
      </c>
      <c r="G462" s="42"/>
      <c r="H462" s="43"/>
      <c r="I462" s="44"/>
      <c r="J462" s="45"/>
      <c r="K462" s="46"/>
      <c r="L462" s="47"/>
      <c r="M462" s="48"/>
      <c r="N462" s="49"/>
      <c r="O462" s="50" t="s">
        <v>3474</v>
      </c>
      <c r="P462" s="59"/>
      <c r="Q462" s="59"/>
      <c r="R462" s="13"/>
    </row>
    <row r="463" spans="1:18" x14ac:dyDescent="0.25">
      <c r="A463" s="9" t="s">
        <v>21</v>
      </c>
      <c r="B463" s="28">
        <f>IF(ISBLANK(A463),0,INDEX(txtstylestab[],MATCH(A463,txtstylestab[style_Name],0),1))</f>
        <v>0</v>
      </c>
      <c r="C463" s="28">
        <f t="shared" si="29"/>
        <v>1</v>
      </c>
      <c r="D463" s="28">
        <f t="shared" si="30"/>
        <v>29</v>
      </c>
      <c r="E463" s="28">
        <f t="shared" si="31"/>
        <v>0</v>
      </c>
      <c r="F463" s="59" t="str">
        <f t="shared" si="32"/>
        <v/>
      </c>
      <c r="G463" s="42" t="s">
        <v>6</v>
      </c>
      <c r="H463" s="43" t="s">
        <v>26</v>
      </c>
      <c r="I463" s="44" t="s">
        <v>48</v>
      </c>
      <c r="J463" s="45" t="s">
        <v>54</v>
      </c>
      <c r="K463" s="46" t="s">
        <v>59</v>
      </c>
      <c r="L463" s="47" t="s">
        <v>2525</v>
      </c>
      <c r="M463" s="48" t="s">
        <v>2526</v>
      </c>
      <c r="N463" s="49"/>
      <c r="O463" s="50" t="s">
        <v>3456</v>
      </c>
      <c r="P463" s="50"/>
      <c r="Q463" s="59"/>
      <c r="R463" s="13"/>
    </row>
    <row r="464" spans="1:18" ht="15.75" thickBot="1" x14ac:dyDescent="0.3">
      <c r="A464" s="9" t="s">
        <v>12</v>
      </c>
      <c r="B464" s="28">
        <f>IF(ISBLANK(A464),0,INDEX(txtstylestab[],MATCH(A464,txtstylestab[style_Name],0),1))</f>
        <v>3</v>
      </c>
      <c r="C464" s="28">
        <f t="shared" si="29"/>
        <v>1</v>
      </c>
      <c r="D464" s="28">
        <f t="shared" si="30"/>
        <v>29</v>
      </c>
      <c r="E464" s="28">
        <f t="shared" si="31"/>
        <v>1</v>
      </c>
      <c r="F464" s="55" t="str">
        <f t="shared" si="32"/>
        <v>1.29.1.</v>
      </c>
      <c r="G464" s="55" t="s">
        <v>868</v>
      </c>
      <c r="H464" s="55"/>
      <c r="I464" s="55"/>
      <c r="J464" s="55"/>
      <c r="K464" s="55"/>
      <c r="L464" s="55"/>
      <c r="M464" s="55"/>
      <c r="N464" s="55"/>
      <c r="O464" s="55"/>
      <c r="P464" s="55"/>
      <c r="Q464" s="55"/>
      <c r="R464" s="13"/>
    </row>
    <row r="465" spans="1:18" x14ac:dyDescent="0.25">
      <c r="A465" s="9" t="s">
        <v>21</v>
      </c>
      <c r="B465" s="28">
        <f>IF(ISBLANK(A465),0,INDEX(txtstylestab[],MATCH(A465,txtstylestab[style_Name],0),1))</f>
        <v>0</v>
      </c>
      <c r="C465" s="28">
        <f t="shared" si="29"/>
        <v>1</v>
      </c>
      <c r="D465" s="28">
        <f t="shared" si="30"/>
        <v>29</v>
      </c>
      <c r="E465" s="28">
        <f t="shared" si="31"/>
        <v>1</v>
      </c>
      <c r="F465" s="59" t="str">
        <f t="shared" si="32"/>
        <v/>
      </c>
      <c r="G465" s="42" t="s">
        <v>344</v>
      </c>
      <c r="H465" s="43" t="s">
        <v>83</v>
      </c>
      <c r="I465" s="44" t="s">
        <v>84</v>
      </c>
      <c r="J465" s="45" t="s">
        <v>85</v>
      </c>
      <c r="K465" s="46" t="s">
        <v>86</v>
      </c>
      <c r="L465" s="47" t="s">
        <v>2398</v>
      </c>
      <c r="M465" s="48" t="s">
        <v>2540</v>
      </c>
      <c r="N465" s="49"/>
      <c r="O465" s="50" t="s">
        <v>3166</v>
      </c>
      <c r="P465" s="50"/>
      <c r="Q465" s="59"/>
      <c r="R465" s="13"/>
    </row>
    <row r="466" spans="1:18" ht="90" x14ac:dyDescent="0.25">
      <c r="A466" s="9" t="s">
        <v>21</v>
      </c>
      <c r="B466" s="28">
        <f>IF(ISBLANK(A466),0,INDEX(txtstylestab[],MATCH(A466,txtstylestab[style_Name],0),1))</f>
        <v>0</v>
      </c>
      <c r="C466" s="28">
        <f t="shared" si="29"/>
        <v>1</v>
      </c>
      <c r="D466" s="28">
        <f t="shared" si="30"/>
        <v>29</v>
      </c>
      <c r="E466" s="28">
        <f t="shared" si="31"/>
        <v>1</v>
      </c>
      <c r="F466" s="59" t="str">
        <f t="shared" si="32"/>
        <v/>
      </c>
      <c r="G466" s="42" t="s">
        <v>869</v>
      </c>
      <c r="H466" s="43" t="s">
        <v>870</v>
      </c>
      <c r="I466" s="44" t="s">
        <v>1641</v>
      </c>
      <c r="J466" s="45" t="s">
        <v>871</v>
      </c>
      <c r="K466" s="46" t="s">
        <v>872</v>
      </c>
      <c r="L466" s="47" t="s">
        <v>2781</v>
      </c>
      <c r="M466" s="48" t="s">
        <v>2780</v>
      </c>
      <c r="N466" s="49"/>
      <c r="O466" s="50" t="s">
        <v>3475</v>
      </c>
      <c r="P466" s="59"/>
      <c r="Q466" s="59"/>
      <c r="R466" s="13"/>
    </row>
    <row r="467" spans="1:18" x14ac:dyDescent="0.25">
      <c r="A467" s="9" t="s">
        <v>21</v>
      </c>
      <c r="B467" s="28">
        <f>IF(ISBLANK(A467),0,INDEX(txtstylestab[],MATCH(A467,txtstylestab[style_Name],0),1))</f>
        <v>0</v>
      </c>
      <c r="C467" s="28">
        <f t="shared" si="29"/>
        <v>1</v>
      </c>
      <c r="D467" s="28">
        <f t="shared" si="30"/>
        <v>29</v>
      </c>
      <c r="E467" s="28">
        <f t="shared" si="31"/>
        <v>1</v>
      </c>
      <c r="F467" s="59" t="str">
        <f t="shared" si="32"/>
        <v/>
      </c>
      <c r="G467" s="42" t="s">
        <v>6</v>
      </c>
      <c r="H467" s="43" t="s">
        <v>26</v>
      </c>
      <c r="I467" s="44" t="s">
        <v>48</v>
      </c>
      <c r="J467" s="45" t="s">
        <v>54</v>
      </c>
      <c r="K467" s="46" t="s">
        <v>59</v>
      </c>
      <c r="L467" s="47" t="s">
        <v>2525</v>
      </c>
      <c r="M467" s="48" t="s">
        <v>2526</v>
      </c>
      <c r="N467" s="49"/>
      <c r="O467" s="50" t="s">
        <v>3456</v>
      </c>
      <c r="P467" s="50"/>
      <c r="Q467" s="59"/>
      <c r="R467" s="13"/>
    </row>
    <row r="468" spans="1:18" x14ac:dyDescent="0.25">
      <c r="A468" s="9" t="s">
        <v>21</v>
      </c>
      <c r="B468" s="28">
        <f>IF(ISBLANK(A468),0,INDEX(txtstylestab[],MATCH(A468,txtstylestab[style_Name],0),1))</f>
        <v>0</v>
      </c>
      <c r="C468" s="28">
        <f t="shared" si="29"/>
        <v>1</v>
      </c>
      <c r="D468" s="28">
        <f t="shared" si="30"/>
        <v>29</v>
      </c>
      <c r="E468" s="28">
        <f t="shared" si="31"/>
        <v>1</v>
      </c>
      <c r="F468" s="59" t="str">
        <f t="shared" si="32"/>
        <v/>
      </c>
      <c r="G468" s="42"/>
      <c r="H468" s="43"/>
      <c r="I468" s="44"/>
      <c r="J468" s="45"/>
      <c r="K468" s="46"/>
      <c r="L468" s="47"/>
      <c r="M468" s="48"/>
      <c r="N468" s="49"/>
      <c r="O468" s="50"/>
      <c r="P468" s="59"/>
      <c r="Q468" s="59"/>
      <c r="R468" s="13"/>
    </row>
    <row r="469" spans="1:18" x14ac:dyDescent="0.25">
      <c r="A469" s="9" t="s">
        <v>21</v>
      </c>
      <c r="B469" s="28">
        <f>IF(ISBLANK(A469),0,INDEX(txtstylestab[],MATCH(A469,txtstylestab[style_Name],0),1))</f>
        <v>0</v>
      </c>
      <c r="C469" s="28">
        <f t="shared" si="29"/>
        <v>1</v>
      </c>
      <c r="D469" s="28">
        <f t="shared" si="30"/>
        <v>29</v>
      </c>
      <c r="E469" s="28">
        <f t="shared" si="31"/>
        <v>1</v>
      </c>
      <c r="F469" s="59" t="str">
        <f t="shared" si="32"/>
        <v/>
      </c>
      <c r="G469" s="42"/>
      <c r="H469" s="43"/>
      <c r="I469" s="44"/>
      <c r="J469" s="45"/>
      <c r="K469" s="46"/>
      <c r="L469" s="47"/>
      <c r="M469" s="48"/>
      <c r="N469" s="49"/>
      <c r="O469" s="50"/>
      <c r="P469" s="59"/>
      <c r="Q469" s="59"/>
      <c r="R469" s="13"/>
    </row>
    <row r="470" spans="1:18" s="20" customFormat="1" x14ac:dyDescent="0.25">
      <c r="A470" s="9" t="s">
        <v>21</v>
      </c>
      <c r="B470" s="28">
        <f>IF(ISBLANK(A470),0,INDEX(txtstylestab[],MATCH(A470,txtstylestab[style_Name],0),1))</f>
        <v>0</v>
      </c>
      <c r="C470" s="28">
        <f t="shared" si="29"/>
        <v>1</v>
      </c>
      <c r="D470" s="28">
        <f t="shared" si="30"/>
        <v>29</v>
      </c>
      <c r="E470" s="28">
        <f t="shared" si="31"/>
        <v>1</v>
      </c>
      <c r="F470" s="59" t="str">
        <f t="shared" si="32"/>
        <v/>
      </c>
      <c r="G470" s="42"/>
      <c r="H470" s="43"/>
      <c r="I470" s="44"/>
      <c r="J470" s="45"/>
      <c r="K470" s="46"/>
      <c r="L470" s="47"/>
      <c r="M470" s="47"/>
      <c r="N470" s="48"/>
      <c r="O470" s="48"/>
      <c r="P470" s="49"/>
      <c r="Q470" s="50"/>
      <c r="R470" s="13"/>
    </row>
    <row r="471" spans="1:18" s="20" customFormat="1" x14ac:dyDescent="0.25">
      <c r="A471" s="9"/>
      <c r="B471" s="28"/>
      <c r="C471" s="28"/>
      <c r="D471" s="28"/>
      <c r="E471" s="28"/>
      <c r="F471" s="31"/>
      <c r="G471" s="21"/>
      <c r="H471" s="22"/>
      <c r="I471" s="23"/>
      <c r="J471" s="24"/>
      <c r="K471" s="25"/>
      <c r="L471" s="23"/>
      <c r="M471" s="23"/>
      <c r="N471" s="24"/>
      <c r="O471" s="24"/>
      <c r="P471" s="25"/>
      <c r="Q471" s="25"/>
    </row>
    <row r="472" spans="1:18" s="20" customFormat="1" x14ac:dyDescent="0.25">
      <c r="A472" s="9"/>
      <c r="B472" s="28"/>
      <c r="C472" s="28"/>
      <c r="D472" s="28"/>
      <c r="E472" s="28"/>
      <c r="F472" s="31"/>
      <c r="G472" s="21"/>
      <c r="H472" s="22"/>
      <c r="I472" s="23"/>
      <c r="J472" s="24"/>
      <c r="K472" s="25"/>
      <c r="L472" s="23"/>
      <c r="M472" s="23"/>
      <c r="N472" s="24"/>
      <c r="O472" s="24"/>
      <c r="P472" s="25"/>
      <c r="Q472" s="25"/>
    </row>
    <row r="473" spans="1:18" s="20" customFormat="1" x14ac:dyDescent="0.25">
      <c r="A473" s="9"/>
      <c r="B473" s="28"/>
      <c r="C473" s="28"/>
      <c r="D473" s="28"/>
      <c r="E473" s="28"/>
      <c r="F473" s="31"/>
      <c r="G473" s="21"/>
      <c r="H473" s="22"/>
      <c r="I473" s="23"/>
      <c r="J473" s="24"/>
      <c r="K473" s="25"/>
      <c r="L473" s="23"/>
      <c r="M473" s="23"/>
      <c r="N473" s="24"/>
      <c r="O473" s="24"/>
      <c r="P473" s="25"/>
      <c r="Q473" s="25"/>
    </row>
    <row r="474" spans="1:18" s="20" customFormat="1" x14ac:dyDescent="0.25">
      <c r="A474" s="9"/>
      <c r="B474" s="28"/>
      <c r="C474" s="28"/>
      <c r="D474" s="28"/>
      <c r="E474" s="28"/>
      <c r="F474" s="31"/>
      <c r="G474" s="21"/>
      <c r="H474" s="22"/>
      <c r="I474" s="23"/>
      <c r="J474" s="24"/>
      <c r="K474" s="25"/>
      <c r="L474" s="23"/>
      <c r="M474" s="23"/>
      <c r="N474" s="24"/>
      <c r="O474" s="24"/>
      <c r="P474" s="25"/>
      <c r="Q474" s="25"/>
    </row>
    <row r="475" spans="1:18" s="20" customFormat="1" x14ac:dyDescent="0.25">
      <c r="A475" s="9"/>
      <c r="B475" s="28"/>
      <c r="C475" s="28"/>
      <c r="D475" s="28"/>
      <c r="E475" s="28"/>
      <c r="F475" s="31"/>
      <c r="G475" s="21"/>
      <c r="H475" s="22"/>
      <c r="I475" s="23"/>
      <c r="J475" s="24"/>
      <c r="K475" s="25"/>
      <c r="L475" s="23"/>
      <c r="M475" s="23"/>
      <c r="N475" s="24"/>
      <c r="O475" s="24"/>
      <c r="P475" s="25"/>
      <c r="Q475" s="25"/>
    </row>
    <row r="476" spans="1:18" s="20" customFormat="1" x14ac:dyDescent="0.25">
      <c r="A476" s="9"/>
      <c r="B476" s="28"/>
      <c r="C476" s="28"/>
      <c r="D476" s="28"/>
      <c r="E476" s="28"/>
      <c r="F476" s="31"/>
      <c r="G476" s="21"/>
      <c r="H476" s="22"/>
      <c r="I476" s="23"/>
      <c r="J476" s="24"/>
      <c r="K476" s="25"/>
      <c r="L476" s="23"/>
      <c r="M476" s="23"/>
      <c r="N476" s="24"/>
      <c r="O476" s="24"/>
      <c r="P476" s="25"/>
      <c r="Q476" s="25"/>
    </row>
    <row r="477" spans="1:18" s="20" customFormat="1" x14ac:dyDescent="0.25">
      <c r="A477" s="9"/>
      <c r="B477" s="28"/>
      <c r="C477" s="28"/>
      <c r="D477" s="28"/>
      <c r="E477" s="28"/>
      <c r="F477" s="31"/>
      <c r="G477" s="21"/>
      <c r="H477" s="22"/>
      <c r="I477" s="23"/>
      <c r="J477" s="24"/>
      <c r="K477" s="25"/>
      <c r="L477" s="23"/>
      <c r="M477" s="23"/>
      <c r="N477" s="24"/>
      <c r="O477" s="24"/>
      <c r="P477" s="25"/>
      <c r="Q477" s="25"/>
    </row>
    <row r="478" spans="1:18" s="20" customFormat="1" x14ac:dyDescent="0.25">
      <c r="A478" s="9"/>
      <c r="B478" s="28"/>
      <c r="C478" s="28"/>
      <c r="D478" s="28"/>
      <c r="E478" s="28"/>
      <c r="F478" s="31"/>
      <c r="G478" s="21"/>
      <c r="H478" s="22"/>
      <c r="I478" s="23"/>
      <c r="J478" s="24"/>
      <c r="K478" s="25"/>
      <c r="L478" s="23"/>
      <c r="M478" s="23"/>
      <c r="N478" s="24"/>
      <c r="O478" s="24"/>
      <c r="P478" s="25"/>
      <c r="Q478" s="25"/>
    </row>
    <row r="479" spans="1:18" s="20" customFormat="1" x14ac:dyDescent="0.25">
      <c r="A479" s="9"/>
      <c r="B479" s="28"/>
      <c r="C479" s="28"/>
      <c r="D479" s="28"/>
      <c r="E479" s="28"/>
      <c r="F479" s="31"/>
      <c r="G479" s="21"/>
      <c r="H479" s="22"/>
      <c r="I479" s="23"/>
      <c r="J479" s="24"/>
      <c r="K479" s="25"/>
      <c r="L479" s="23"/>
      <c r="M479" s="23"/>
      <c r="N479" s="24"/>
      <c r="O479" s="24"/>
      <c r="P479" s="25"/>
      <c r="Q479" s="25"/>
    </row>
    <row r="480" spans="1:18"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row r="2215" spans="1:17" s="20" customFormat="1" x14ac:dyDescent="0.25">
      <c r="A2215" s="9"/>
      <c r="B2215" s="28"/>
      <c r="C2215" s="28"/>
      <c r="D2215" s="28"/>
      <c r="E2215" s="28"/>
      <c r="F2215" s="31"/>
      <c r="G2215" s="21"/>
      <c r="H2215" s="22"/>
      <c r="I2215" s="23"/>
      <c r="J2215" s="24"/>
      <c r="K2215" s="25"/>
      <c r="L2215" s="23"/>
      <c r="M2215" s="23"/>
      <c r="N2215" s="24"/>
      <c r="O2215" s="24"/>
      <c r="P2215" s="25"/>
      <c r="Q2215" s="25"/>
    </row>
    <row r="2216" spans="1:17" s="20" customFormat="1" x14ac:dyDescent="0.25">
      <c r="A2216" s="9"/>
      <c r="B2216" s="28"/>
      <c r="C2216" s="28"/>
      <c r="D2216" s="28"/>
      <c r="E2216" s="28"/>
      <c r="F2216" s="31"/>
      <c r="G2216" s="21"/>
      <c r="H2216" s="22"/>
      <c r="I2216" s="23"/>
      <c r="J2216" s="24"/>
      <c r="K2216" s="25"/>
      <c r="L2216" s="23"/>
      <c r="M2216" s="23"/>
      <c r="N2216" s="24"/>
      <c r="O2216" s="24"/>
      <c r="P2216" s="25"/>
      <c r="Q2216" s="25"/>
    </row>
    <row r="2217" spans="1:17" s="20" customFormat="1" x14ac:dyDescent="0.25">
      <c r="A2217" s="9"/>
      <c r="B2217" s="28"/>
      <c r="C2217" s="28"/>
      <c r="D2217" s="28"/>
      <c r="E2217" s="28"/>
      <c r="F2217" s="31"/>
      <c r="G2217" s="21"/>
      <c r="H2217" s="22"/>
      <c r="I2217" s="23"/>
      <c r="J2217" s="24"/>
      <c r="K2217" s="25"/>
      <c r="L2217" s="23"/>
      <c r="M2217" s="23"/>
      <c r="N2217" s="24"/>
      <c r="O2217" s="24"/>
      <c r="P2217" s="25"/>
      <c r="Q2217" s="25"/>
    </row>
    <row r="2218" spans="1:17" s="20" customFormat="1" x14ac:dyDescent="0.25">
      <c r="A2218" s="9"/>
      <c r="B2218" s="28"/>
      <c r="C2218" s="28"/>
      <c r="D2218" s="28"/>
      <c r="E2218" s="28"/>
      <c r="F2218" s="31"/>
      <c r="G2218" s="21"/>
      <c r="H2218" s="22"/>
      <c r="I2218" s="23"/>
      <c r="J2218" s="24"/>
      <c r="K2218" s="25"/>
      <c r="L2218" s="23"/>
      <c r="M2218" s="23"/>
      <c r="N2218" s="24"/>
      <c r="O2218" s="24"/>
      <c r="P2218" s="25"/>
      <c r="Q2218" s="25"/>
    </row>
    <row r="2219" spans="1:17" s="20" customFormat="1" x14ac:dyDescent="0.25">
      <c r="A2219" s="9"/>
      <c r="B2219" s="28"/>
      <c r="C2219" s="28"/>
      <c r="D2219" s="28"/>
      <c r="E2219" s="28"/>
      <c r="F2219" s="31"/>
      <c r="G2219" s="21"/>
      <c r="H2219" s="22"/>
      <c r="I2219" s="23"/>
      <c r="J2219" s="24"/>
      <c r="K2219" s="25"/>
      <c r="L2219" s="23"/>
      <c r="M2219" s="23"/>
      <c r="N2219" s="24"/>
      <c r="O2219" s="24"/>
      <c r="P2219" s="25"/>
      <c r="Q2219" s="25"/>
    </row>
    <row r="2220" spans="1:17" s="20" customFormat="1" x14ac:dyDescent="0.25">
      <c r="A2220" s="9"/>
      <c r="B2220" s="28"/>
      <c r="C2220" s="28"/>
      <c r="D2220" s="28"/>
      <c r="E2220" s="28"/>
      <c r="F2220" s="31"/>
      <c r="G2220" s="21"/>
      <c r="H2220" s="22"/>
      <c r="I2220" s="23"/>
      <c r="J2220" s="24"/>
      <c r="K2220" s="25"/>
      <c r="L2220" s="23"/>
      <c r="M2220" s="23"/>
      <c r="N2220" s="24"/>
      <c r="O2220" s="24"/>
      <c r="P2220" s="25"/>
      <c r="Q2220" s="25"/>
    </row>
    <row r="2221" spans="1:17" s="20" customFormat="1" x14ac:dyDescent="0.25">
      <c r="A2221" s="9"/>
      <c r="B2221" s="28"/>
      <c r="C2221" s="28"/>
      <c r="D2221" s="28"/>
      <c r="E2221" s="28"/>
      <c r="F2221" s="31"/>
      <c r="G2221" s="21"/>
      <c r="H2221" s="22"/>
      <c r="I2221" s="23"/>
      <c r="J2221" s="24"/>
      <c r="K2221" s="25"/>
      <c r="L2221" s="23"/>
      <c r="M2221" s="23"/>
      <c r="N2221" s="24"/>
      <c r="O2221" s="24"/>
      <c r="P2221" s="25"/>
      <c r="Q2221" s="25"/>
    </row>
    <row r="2222" spans="1:17" s="20" customFormat="1" x14ac:dyDescent="0.25">
      <c r="A2222" s="9"/>
      <c r="B2222" s="28"/>
      <c r="C2222" s="28"/>
      <c r="D2222" s="28"/>
      <c r="E2222" s="28"/>
      <c r="F2222" s="31"/>
      <c r="G2222" s="21"/>
      <c r="H2222" s="22"/>
      <c r="I2222" s="23"/>
      <c r="J2222" s="24"/>
      <c r="K2222" s="25"/>
      <c r="L2222" s="23"/>
      <c r="M2222" s="23"/>
      <c r="N2222" s="24"/>
      <c r="O2222" s="24"/>
      <c r="P2222" s="25"/>
      <c r="Q2222" s="25"/>
    </row>
    <row r="2223" spans="1:17" s="20" customFormat="1" x14ac:dyDescent="0.25">
      <c r="A2223" s="9"/>
      <c r="B2223" s="28"/>
      <c r="C2223" s="28"/>
      <c r="D2223" s="28"/>
      <c r="E2223" s="28"/>
      <c r="F2223" s="31"/>
      <c r="G2223" s="21"/>
      <c r="H2223" s="22"/>
      <c r="I2223" s="23"/>
      <c r="J2223" s="24"/>
      <c r="K2223" s="25"/>
      <c r="L2223" s="23"/>
      <c r="M2223" s="23"/>
      <c r="N2223" s="24"/>
      <c r="O2223" s="24"/>
      <c r="P2223" s="25"/>
      <c r="Q2223" s="25"/>
    </row>
    <row r="2224" spans="1:17" s="20" customFormat="1" x14ac:dyDescent="0.25">
      <c r="A2224" s="9"/>
      <c r="B2224" s="28"/>
      <c r="C2224" s="28"/>
      <c r="D2224" s="28"/>
      <c r="E2224" s="28"/>
      <c r="F2224" s="31"/>
      <c r="G2224" s="21"/>
      <c r="H2224" s="22"/>
      <c r="I2224" s="23"/>
      <c r="J2224" s="24"/>
      <c r="K2224" s="25"/>
      <c r="L2224" s="23"/>
      <c r="M2224" s="23"/>
      <c r="N2224" s="24"/>
      <c r="O2224" s="24"/>
      <c r="P2224" s="25"/>
      <c r="Q2224" s="25"/>
    </row>
    <row r="2225" spans="1:17" s="20" customFormat="1" x14ac:dyDescent="0.25">
      <c r="A2225" s="9"/>
      <c r="B2225" s="28"/>
      <c r="C2225" s="28"/>
      <c r="D2225" s="28"/>
      <c r="E2225" s="28"/>
      <c r="F2225" s="31"/>
      <c r="G2225" s="21"/>
      <c r="H2225" s="22"/>
      <c r="I2225" s="23"/>
      <c r="J2225" s="24"/>
      <c r="K2225" s="25"/>
      <c r="L2225" s="23"/>
      <c r="M2225" s="23"/>
      <c r="N2225" s="24"/>
      <c r="O2225" s="24"/>
      <c r="P2225" s="25"/>
      <c r="Q2225" s="25"/>
    </row>
    <row r="2226" spans="1:17" s="20" customFormat="1" x14ac:dyDescent="0.25">
      <c r="A2226" s="9"/>
      <c r="B2226" s="28"/>
      <c r="C2226" s="28"/>
      <c r="D2226" s="28"/>
      <c r="E2226" s="28"/>
      <c r="F2226" s="31"/>
      <c r="G2226" s="21"/>
      <c r="H2226" s="22"/>
      <c r="I2226" s="23"/>
      <c r="J2226" s="24"/>
      <c r="K2226" s="25"/>
      <c r="L2226" s="23"/>
      <c r="M2226" s="23"/>
      <c r="N2226" s="24"/>
      <c r="O2226" s="24"/>
      <c r="P2226" s="25"/>
      <c r="Q2226" s="25"/>
    </row>
    <row r="2227" spans="1:17" s="20" customFormat="1" x14ac:dyDescent="0.25">
      <c r="A2227" s="9"/>
      <c r="B2227" s="28"/>
      <c r="C2227" s="28"/>
      <c r="D2227" s="28"/>
      <c r="E2227" s="28"/>
      <c r="F2227" s="31"/>
      <c r="G2227" s="21"/>
      <c r="H2227" s="22"/>
      <c r="I2227" s="23"/>
      <c r="J2227" s="24"/>
      <c r="K2227" s="25"/>
      <c r="L2227" s="23"/>
      <c r="M2227" s="23"/>
      <c r="N2227" s="24"/>
      <c r="O2227" s="24"/>
      <c r="P2227" s="25"/>
      <c r="Q2227" s="25"/>
    </row>
    <row r="2228" spans="1:17" s="20" customFormat="1" x14ac:dyDescent="0.25">
      <c r="A2228" s="9"/>
      <c r="B2228" s="28"/>
      <c r="C2228" s="28"/>
      <c r="D2228" s="28"/>
      <c r="E2228" s="28"/>
      <c r="F2228" s="31"/>
      <c r="G2228" s="21"/>
      <c r="H2228" s="22"/>
      <c r="I2228" s="23"/>
      <c r="J2228" s="24"/>
      <c r="K2228" s="25"/>
      <c r="L2228" s="23"/>
      <c r="M2228" s="23"/>
      <c r="N2228" s="24"/>
      <c r="O2228" s="24"/>
      <c r="P2228" s="25"/>
      <c r="Q2228" s="25"/>
    </row>
    <row r="2229" spans="1:17" s="20" customFormat="1" x14ac:dyDescent="0.25">
      <c r="A2229" s="9"/>
      <c r="B2229" s="28"/>
      <c r="C2229" s="28"/>
      <c r="D2229" s="28"/>
      <c r="E2229" s="28"/>
      <c r="F2229" s="31"/>
      <c r="G2229" s="21"/>
      <c r="H2229" s="22"/>
      <c r="I2229" s="23"/>
      <c r="J2229" s="24"/>
      <c r="K2229" s="25"/>
      <c r="L2229" s="23"/>
      <c r="M2229" s="23"/>
      <c r="N2229" s="24"/>
      <c r="O2229" s="24"/>
      <c r="P2229" s="25"/>
      <c r="Q2229" s="25"/>
    </row>
    <row r="2230" spans="1:17" s="20" customFormat="1" x14ac:dyDescent="0.25">
      <c r="A2230" s="9"/>
      <c r="B2230" s="28"/>
      <c r="C2230" s="28"/>
      <c r="D2230" s="28"/>
      <c r="E2230" s="28"/>
      <c r="F2230" s="31"/>
      <c r="G2230" s="21"/>
      <c r="H2230" s="22"/>
      <c r="I2230" s="23"/>
      <c r="J2230" s="24"/>
      <c r="K2230" s="25"/>
      <c r="L2230" s="23"/>
      <c r="M2230" s="23"/>
      <c r="N2230" s="24"/>
      <c r="O2230" s="24"/>
      <c r="P2230" s="25"/>
      <c r="Q2230" s="25"/>
    </row>
    <row r="2231" spans="1:17" s="20" customFormat="1" x14ac:dyDescent="0.25">
      <c r="A2231" s="9"/>
      <c r="B2231" s="28"/>
      <c r="C2231" s="28"/>
      <c r="D2231" s="28"/>
      <c r="E2231" s="28"/>
      <c r="F2231" s="31"/>
      <c r="G2231" s="21"/>
      <c r="H2231" s="22"/>
      <c r="I2231" s="23"/>
      <c r="J2231" s="24"/>
      <c r="K2231" s="25"/>
      <c r="L2231" s="23"/>
      <c r="M2231" s="23"/>
      <c r="N2231" s="24"/>
      <c r="O2231" s="24"/>
      <c r="P2231" s="25"/>
      <c r="Q2231" s="25"/>
    </row>
    <row r="2232" spans="1:17" s="20" customFormat="1" x14ac:dyDescent="0.25">
      <c r="A2232" s="9"/>
      <c r="B2232" s="28"/>
      <c r="C2232" s="28"/>
      <c r="D2232" s="28"/>
      <c r="E2232" s="28"/>
      <c r="F2232" s="31"/>
      <c r="G2232" s="21"/>
      <c r="H2232" s="22"/>
      <c r="I2232" s="23"/>
      <c r="J2232" s="24"/>
      <c r="K2232" s="25"/>
      <c r="L2232" s="23"/>
      <c r="M2232" s="23"/>
      <c r="N2232" s="24"/>
      <c r="O2232" s="24"/>
      <c r="P2232" s="25"/>
      <c r="Q2232" s="25"/>
    </row>
    <row r="2233" spans="1:17" s="20" customFormat="1" x14ac:dyDescent="0.25">
      <c r="A2233" s="9"/>
      <c r="B2233" s="28"/>
      <c r="C2233" s="28"/>
      <c r="D2233" s="28"/>
      <c r="E2233" s="28"/>
      <c r="F2233" s="31"/>
      <c r="G2233" s="21"/>
      <c r="H2233" s="22"/>
      <c r="I2233" s="23"/>
      <c r="J2233" s="24"/>
      <c r="K2233" s="25"/>
      <c r="L2233" s="23"/>
      <c r="M2233" s="23"/>
      <c r="N2233" s="24"/>
      <c r="O2233" s="24"/>
      <c r="P2233" s="25"/>
      <c r="Q2233" s="25"/>
    </row>
    <row r="2234" spans="1:17" s="20" customFormat="1" x14ac:dyDescent="0.25">
      <c r="A2234" s="9"/>
      <c r="B2234" s="28"/>
      <c r="C2234" s="28"/>
      <c r="D2234" s="28"/>
      <c r="E2234" s="28"/>
      <c r="F2234" s="31"/>
      <c r="G2234" s="21"/>
      <c r="H2234" s="22"/>
      <c r="I2234" s="23"/>
      <c r="J2234" s="24"/>
      <c r="K2234" s="25"/>
      <c r="L2234" s="23"/>
      <c r="M2234" s="23"/>
      <c r="N2234" s="24"/>
      <c r="O2234" s="24"/>
      <c r="P2234" s="25"/>
      <c r="Q2234" s="25"/>
    </row>
    <row r="2235" spans="1:17" s="20" customFormat="1" x14ac:dyDescent="0.25">
      <c r="A2235" s="9"/>
      <c r="B2235" s="28"/>
      <c r="C2235" s="28"/>
      <c r="D2235" s="28"/>
      <c r="E2235" s="28"/>
      <c r="F2235" s="31"/>
      <c r="G2235" s="21"/>
      <c r="H2235" s="22"/>
      <c r="I2235" s="23"/>
      <c r="J2235" s="24"/>
      <c r="K2235" s="25"/>
      <c r="L2235" s="23"/>
      <c r="M2235" s="23"/>
      <c r="N2235" s="24"/>
      <c r="O2235" s="24"/>
      <c r="P2235" s="25"/>
      <c r="Q2235" s="25"/>
    </row>
    <row r="2236" spans="1:17" s="20" customFormat="1" x14ac:dyDescent="0.25">
      <c r="A2236" s="9"/>
      <c r="B2236" s="28"/>
      <c r="C2236" s="28"/>
      <c r="D2236" s="28"/>
      <c r="E2236" s="28"/>
      <c r="F2236" s="31"/>
      <c r="G2236" s="21"/>
      <c r="H2236" s="22"/>
      <c r="I2236" s="23"/>
      <c r="J2236" s="24"/>
      <c r="K2236" s="25"/>
      <c r="L2236" s="23"/>
      <c r="M2236" s="23"/>
      <c r="N2236" s="24"/>
      <c r="O2236" s="24"/>
      <c r="P2236" s="25"/>
      <c r="Q2236" s="25"/>
    </row>
    <row r="2237" spans="1:17" s="20" customFormat="1" x14ac:dyDescent="0.25">
      <c r="A2237" s="9"/>
      <c r="B2237" s="28"/>
      <c r="C2237" s="28"/>
      <c r="D2237" s="28"/>
      <c r="E2237" s="28"/>
      <c r="F2237" s="31"/>
      <c r="G2237" s="21"/>
      <c r="H2237" s="22"/>
      <c r="I2237" s="23"/>
      <c r="J2237" s="24"/>
      <c r="K2237" s="25"/>
      <c r="L2237" s="23"/>
      <c r="M2237" s="23"/>
      <c r="N2237" s="24"/>
      <c r="O2237" s="24"/>
      <c r="P2237" s="25"/>
      <c r="Q2237" s="25"/>
    </row>
    <row r="2238" spans="1:17" s="20" customFormat="1" x14ac:dyDescent="0.25">
      <c r="A2238" s="9"/>
      <c r="B2238" s="28"/>
      <c r="C2238" s="28"/>
      <c r="D2238" s="28"/>
      <c r="E2238" s="28"/>
      <c r="F2238" s="31"/>
      <c r="G2238" s="21"/>
      <c r="H2238" s="22"/>
      <c r="I2238" s="23"/>
      <c r="J2238" s="24"/>
      <c r="K2238" s="25"/>
      <c r="L2238" s="23"/>
      <c r="M2238" s="23"/>
      <c r="N2238" s="24"/>
      <c r="O2238" s="24"/>
      <c r="P2238" s="25"/>
      <c r="Q2238" s="25"/>
    </row>
    <row r="2239" spans="1:17" s="20" customFormat="1" x14ac:dyDescent="0.25">
      <c r="A2239" s="9"/>
      <c r="B2239" s="28"/>
      <c r="C2239" s="28"/>
      <c r="D2239" s="28"/>
      <c r="E2239" s="28"/>
      <c r="F2239" s="31"/>
      <c r="G2239" s="21"/>
      <c r="H2239" s="22"/>
      <c r="I2239" s="23"/>
      <c r="J2239" s="24"/>
      <c r="K2239" s="25"/>
      <c r="L2239" s="23"/>
      <c r="M2239" s="23"/>
      <c r="N2239" s="24"/>
      <c r="O2239" s="24"/>
      <c r="P2239" s="25"/>
      <c r="Q2239" s="25"/>
    </row>
    <row r="2240" spans="1:17" s="20" customFormat="1" x14ac:dyDescent="0.25">
      <c r="A2240" s="9"/>
      <c r="B2240" s="28"/>
      <c r="C2240" s="28"/>
      <c r="D2240" s="28"/>
      <c r="E2240" s="28"/>
      <c r="F2240" s="31"/>
      <c r="G2240" s="21"/>
      <c r="H2240" s="22"/>
      <c r="I2240" s="23"/>
      <c r="J2240" s="24"/>
      <c r="K2240" s="25"/>
      <c r="L2240" s="23"/>
      <c r="M2240" s="23"/>
      <c r="N2240" s="24"/>
      <c r="O2240" s="24"/>
      <c r="P2240" s="25"/>
      <c r="Q2240" s="25"/>
    </row>
    <row r="2241" spans="1:17" s="20" customFormat="1" x14ac:dyDescent="0.25">
      <c r="A2241" s="9"/>
      <c r="B2241" s="28"/>
      <c r="C2241" s="28"/>
      <c r="D2241" s="28"/>
      <c r="E2241" s="28"/>
      <c r="F2241" s="31"/>
      <c r="G2241" s="21"/>
      <c r="H2241" s="22"/>
      <c r="I2241" s="23"/>
      <c r="J2241" s="24"/>
      <c r="K2241" s="25"/>
      <c r="L2241" s="23"/>
      <c r="M2241" s="23"/>
      <c r="N2241" s="24"/>
      <c r="O2241" s="24"/>
      <c r="P2241" s="25"/>
      <c r="Q2241" s="25"/>
    </row>
    <row r="2242" spans="1:17" s="20" customFormat="1" x14ac:dyDescent="0.25">
      <c r="A2242" s="9"/>
      <c r="B2242" s="28"/>
      <c r="C2242" s="28"/>
      <c r="D2242" s="28"/>
      <c r="E2242" s="28"/>
      <c r="F2242" s="31"/>
      <c r="G2242" s="21"/>
      <c r="H2242" s="22"/>
      <c r="I2242" s="23"/>
      <c r="J2242" s="24"/>
      <c r="K2242" s="25"/>
      <c r="L2242" s="23"/>
      <c r="M2242" s="23"/>
      <c r="N2242" s="24"/>
      <c r="O2242" s="24"/>
      <c r="P2242" s="25"/>
      <c r="Q2242" s="25"/>
    </row>
    <row r="2243" spans="1:17" s="20" customFormat="1" x14ac:dyDescent="0.25">
      <c r="A2243" s="9"/>
      <c r="B2243" s="28"/>
      <c r="C2243" s="28"/>
      <c r="D2243" s="28"/>
      <c r="E2243" s="28"/>
      <c r="F2243" s="31"/>
      <c r="G2243" s="21"/>
      <c r="H2243" s="22"/>
      <c r="I2243" s="23"/>
      <c r="J2243" s="24"/>
      <c r="K2243" s="25"/>
      <c r="L2243" s="23"/>
      <c r="M2243" s="23"/>
      <c r="N2243" s="24"/>
      <c r="O2243" s="24"/>
      <c r="P2243" s="25"/>
      <c r="Q2243" s="25"/>
    </row>
    <row r="2244" spans="1:17" s="20" customFormat="1" x14ac:dyDescent="0.25">
      <c r="A2244" s="9"/>
      <c r="B2244" s="28"/>
      <c r="C2244" s="28"/>
      <c r="D2244" s="28"/>
      <c r="E2244" s="28"/>
      <c r="F2244" s="31"/>
      <c r="G2244" s="21"/>
      <c r="H2244" s="22"/>
      <c r="I2244" s="23"/>
      <c r="J2244" s="24"/>
      <c r="K2244" s="25"/>
      <c r="L2244" s="23"/>
      <c r="M2244" s="23"/>
      <c r="N2244" s="24"/>
      <c r="O2244" s="24"/>
      <c r="P2244" s="25"/>
      <c r="Q2244" s="25"/>
    </row>
    <row r="2245" spans="1:17" s="20" customFormat="1" x14ac:dyDescent="0.25">
      <c r="A2245" s="9"/>
      <c r="B2245" s="28"/>
      <c r="C2245" s="28"/>
      <c r="D2245" s="28"/>
      <c r="E2245" s="28"/>
      <c r="F2245" s="31"/>
      <c r="G2245" s="21"/>
      <c r="H2245" s="22"/>
      <c r="I2245" s="23"/>
      <c r="J2245" s="24"/>
      <c r="K2245" s="25"/>
      <c r="L2245" s="23"/>
      <c r="M2245" s="23"/>
      <c r="N2245" s="24"/>
      <c r="O2245" s="24"/>
      <c r="P2245" s="25"/>
      <c r="Q2245" s="25"/>
    </row>
    <row r="2246" spans="1:17" s="20" customFormat="1" x14ac:dyDescent="0.25">
      <c r="A2246" s="9"/>
      <c r="B2246" s="28"/>
      <c r="C2246" s="28"/>
      <c r="D2246" s="28"/>
      <c r="E2246" s="28"/>
      <c r="F2246" s="31"/>
      <c r="G2246" s="21"/>
      <c r="H2246" s="22"/>
      <c r="I2246" s="23"/>
      <c r="J2246" s="24"/>
      <c r="K2246" s="25"/>
      <c r="L2246" s="23"/>
      <c r="M2246" s="23"/>
      <c r="N2246" s="24"/>
      <c r="O2246" s="24"/>
      <c r="P2246" s="25"/>
      <c r="Q2246" s="25"/>
    </row>
    <row r="2247" spans="1:17" s="20" customFormat="1" x14ac:dyDescent="0.25">
      <c r="A2247" s="9"/>
      <c r="B2247" s="28"/>
      <c r="C2247" s="28"/>
      <c r="D2247" s="28"/>
      <c r="E2247" s="28"/>
      <c r="F2247" s="31"/>
      <c r="G2247" s="21"/>
      <c r="H2247" s="22"/>
      <c r="I2247" s="23"/>
      <c r="J2247" s="24"/>
      <c r="K2247" s="25"/>
      <c r="L2247" s="23"/>
      <c r="M2247" s="23"/>
      <c r="N2247" s="24"/>
      <c r="O2247" s="24"/>
      <c r="P2247" s="25"/>
      <c r="Q2247" s="25"/>
    </row>
    <row r="2248" spans="1:17" s="20" customFormat="1" x14ac:dyDescent="0.25">
      <c r="A2248" s="9"/>
      <c r="B2248" s="28"/>
      <c r="C2248" s="28"/>
      <c r="D2248" s="28"/>
      <c r="E2248" s="28"/>
      <c r="F2248" s="31"/>
      <c r="G2248" s="21"/>
      <c r="H2248" s="22"/>
      <c r="I2248" s="23"/>
      <c r="J2248" s="24"/>
      <c r="K2248" s="25"/>
      <c r="L2248" s="23"/>
      <c r="M2248" s="23"/>
      <c r="N2248" s="24"/>
      <c r="O2248" s="24"/>
      <c r="P2248" s="25"/>
      <c r="Q2248" s="25"/>
    </row>
    <row r="2249" spans="1:17" s="20" customFormat="1" x14ac:dyDescent="0.25">
      <c r="A2249" s="9"/>
      <c r="B2249" s="28"/>
      <c r="C2249" s="28"/>
      <c r="D2249" s="28"/>
      <c r="E2249" s="28"/>
      <c r="F2249" s="31"/>
      <c r="G2249" s="21"/>
      <c r="H2249" s="22"/>
      <c r="I2249" s="23"/>
      <c r="J2249" s="24"/>
      <c r="K2249" s="25"/>
      <c r="L2249" s="23"/>
      <c r="M2249" s="23"/>
      <c r="N2249" s="24"/>
      <c r="O2249" s="24"/>
      <c r="P2249" s="25"/>
      <c r="Q2249" s="25"/>
    </row>
    <row r="2250" spans="1:17" s="20" customFormat="1" x14ac:dyDescent="0.25">
      <c r="A2250" s="9"/>
      <c r="B2250" s="28"/>
      <c r="C2250" s="28"/>
      <c r="D2250" s="28"/>
      <c r="E2250" s="28"/>
      <c r="F2250" s="31"/>
      <c r="G2250" s="21"/>
      <c r="H2250" s="22"/>
      <c r="I2250" s="23"/>
      <c r="J2250" s="24"/>
      <c r="K2250" s="25"/>
      <c r="L2250" s="23"/>
      <c r="M2250" s="23"/>
      <c r="N2250" s="24"/>
      <c r="O2250" s="24"/>
      <c r="P2250" s="25"/>
      <c r="Q2250" s="25"/>
    </row>
    <row r="2251" spans="1:17" s="20" customFormat="1" x14ac:dyDescent="0.25">
      <c r="A2251" s="9"/>
      <c r="B2251" s="28"/>
      <c r="C2251" s="28"/>
      <c r="D2251" s="28"/>
      <c r="E2251" s="28"/>
      <c r="F2251" s="31"/>
      <c r="G2251" s="21"/>
      <c r="H2251" s="22"/>
      <c r="I2251" s="23"/>
      <c r="J2251" s="24"/>
      <c r="K2251" s="25"/>
      <c r="L2251" s="23"/>
      <c r="M2251" s="23"/>
      <c r="N2251" s="24"/>
      <c r="O2251" s="24"/>
      <c r="P2251" s="25"/>
      <c r="Q2251" s="25"/>
    </row>
    <row r="2252" spans="1:17" s="20" customFormat="1" x14ac:dyDescent="0.25">
      <c r="A2252" s="9"/>
      <c r="B2252" s="28"/>
      <c r="C2252" s="28"/>
      <c r="D2252" s="28"/>
      <c r="E2252" s="28"/>
      <c r="F2252" s="31"/>
      <c r="G2252" s="21"/>
      <c r="H2252" s="22"/>
      <c r="I2252" s="23"/>
      <c r="J2252" s="24"/>
      <c r="K2252" s="25"/>
      <c r="L2252" s="23"/>
      <c r="M2252" s="23"/>
      <c r="N2252" s="24"/>
      <c r="O2252" s="24"/>
      <c r="P2252" s="25"/>
      <c r="Q2252" s="25"/>
    </row>
    <row r="2253" spans="1:17" s="20" customFormat="1" x14ac:dyDescent="0.25">
      <c r="A2253" s="9"/>
      <c r="B2253" s="28"/>
      <c r="C2253" s="28"/>
      <c r="D2253" s="28"/>
      <c r="E2253" s="28"/>
      <c r="F2253" s="31"/>
      <c r="G2253" s="21"/>
      <c r="H2253" s="22"/>
      <c r="I2253" s="23"/>
      <c r="J2253" s="24"/>
      <c r="K2253" s="25"/>
      <c r="L2253" s="23"/>
      <c r="M2253" s="23"/>
      <c r="N2253" s="24"/>
      <c r="O2253" s="24"/>
      <c r="P2253" s="25"/>
      <c r="Q2253" s="25"/>
    </row>
    <row r="2254" spans="1:17" s="20" customFormat="1" x14ac:dyDescent="0.25">
      <c r="A2254" s="9"/>
      <c r="B2254" s="28"/>
      <c r="C2254" s="28"/>
      <c r="D2254" s="28"/>
      <c r="E2254" s="28"/>
      <c r="F2254" s="31"/>
      <c r="G2254" s="21"/>
      <c r="H2254" s="22"/>
      <c r="I2254" s="23"/>
      <c r="J2254" s="24"/>
      <c r="K2254" s="25"/>
      <c r="L2254" s="23"/>
      <c r="M2254" s="23"/>
      <c r="N2254" s="24"/>
      <c r="O2254" s="24"/>
      <c r="P2254" s="25"/>
      <c r="Q2254" s="25"/>
    </row>
    <row r="2255" spans="1:17" s="20" customFormat="1" x14ac:dyDescent="0.25">
      <c r="A2255" s="9"/>
      <c r="B2255" s="28"/>
      <c r="C2255" s="28"/>
      <c r="D2255" s="28"/>
      <c r="E2255" s="28"/>
      <c r="F2255" s="31"/>
      <c r="G2255" s="21"/>
      <c r="H2255" s="22"/>
      <c r="I2255" s="23"/>
      <c r="J2255" s="24"/>
      <c r="K2255" s="25"/>
      <c r="L2255" s="23"/>
      <c r="M2255" s="23"/>
      <c r="N2255" s="24"/>
      <c r="O2255" s="24"/>
      <c r="P2255" s="25"/>
      <c r="Q2255" s="25"/>
    </row>
    <row r="2256" spans="1:17" s="20" customFormat="1" x14ac:dyDescent="0.25">
      <c r="A2256" s="9"/>
      <c r="B2256" s="28"/>
      <c r="C2256" s="28"/>
      <c r="D2256" s="28"/>
      <c r="E2256" s="28"/>
      <c r="F2256" s="31"/>
      <c r="G2256" s="21"/>
      <c r="H2256" s="22"/>
      <c r="I2256" s="23"/>
      <c r="J2256" s="24"/>
      <c r="K2256" s="25"/>
      <c r="L2256" s="23"/>
      <c r="M2256" s="23"/>
      <c r="N2256" s="24"/>
      <c r="O2256" s="24"/>
      <c r="P2256" s="25"/>
      <c r="Q2256" s="25"/>
    </row>
    <row r="2257" spans="1:17" s="20" customFormat="1" x14ac:dyDescent="0.25">
      <c r="A2257" s="9"/>
      <c r="B2257" s="28"/>
      <c r="C2257" s="28"/>
      <c r="D2257" s="28"/>
      <c r="E2257" s="28"/>
      <c r="F2257" s="31"/>
      <c r="G2257" s="21"/>
      <c r="H2257" s="22"/>
      <c r="I2257" s="23"/>
      <c r="J2257" s="24"/>
      <c r="K2257" s="25"/>
      <c r="L2257" s="23"/>
      <c r="M2257" s="23"/>
      <c r="N2257" s="24"/>
      <c r="O2257" s="24"/>
      <c r="P2257" s="25"/>
      <c r="Q2257" s="25"/>
    </row>
    <row r="2258" spans="1:17" s="20" customFormat="1" x14ac:dyDescent="0.25">
      <c r="A2258" s="9"/>
      <c r="B2258" s="28"/>
      <c r="C2258" s="28"/>
      <c r="D2258" s="28"/>
      <c r="E2258" s="28"/>
      <c r="F2258" s="31"/>
      <c r="G2258" s="21"/>
      <c r="H2258" s="22"/>
      <c r="I2258" s="23"/>
      <c r="J2258" s="24"/>
      <c r="K2258" s="25"/>
      <c r="L2258" s="23"/>
      <c r="M2258" s="23"/>
      <c r="N2258" s="24"/>
      <c r="O2258" s="24"/>
      <c r="P2258" s="25"/>
      <c r="Q2258" s="25"/>
    </row>
    <row r="2259" spans="1:17" s="20" customFormat="1" x14ac:dyDescent="0.25">
      <c r="A2259" s="9"/>
      <c r="B2259" s="28"/>
      <c r="C2259" s="28"/>
      <c r="D2259" s="28"/>
      <c r="E2259" s="28"/>
      <c r="F2259" s="31"/>
      <c r="G2259" s="21"/>
      <c r="H2259" s="22"/>
      <c r="I2259" s="23"/>
      <c r="J2259" s="24"/>
      <c r="K2259" s="25"/>
      <c r="L2259" s="23"/>
      <c r="M2259" s="23"/>
      <c r="N2259" s="24"/>
      <c r="O2259" s="24"/>
      <c r="P2259" s="25"/>
      <c r="Q2259" s="25"/>
    </row>
    <row r="2260" spans="1:17" s="20" customFormat="1" x14ac:dyDescent="0.25">
      <c r="A2260" s="9"/>
      <c r="B2260" s="28"/>
      <c r="C2260" s="28"/>
      <c r="D2260" s="28"/>
      <c r="E2260" s="28"/>
      <c r="F2260" s="31"/>
      <c r="G2260" s="21"/>
      <c r="H2260" s="22"/>
      <c r="I2260" s="23"/>
      <c r="J2260" s="24"/>
      <c r="K2260" s="25"/>
      <c r="L2260" s="23"/>
      <c r="M2260" s="23"/>
      <c r="N2260" s="24"/>
      <c r="O2260" s="24"/>
      <c r="P2260" s="25"/>
      <c r="Q2260" s="25"/>
    </row>
    <row r="2261" spans="1:17" s="20" customFormat="1" x14ac:dyDescent="0.25">
      <c r="A2261" s="9"/>
      <c r="B2261" s="28"/>
      <c r="C2261" s="28"/>
      <c r="D2261" s="28"/>
      <c r="E2261" s="28"/>
      <c r="F2261" s="31"/>
      <c r="G2261" s="21"/>
      <c r="H2261" s="22"/>
      <c r="I2261" s="23"/>
      <c r="J2261" s="24"/>
      <c r="K2261" s="25"/>
      <c r="L2261" s="23"/>
      <c r="M2261" s="23"/>
      <c r="N2261" s="24"/>
      <c r="O2261" s="24"/>
      <c r="P2261" s="25"/>
      <c r="Q2261" s="25"/>
    </row>
    <row r="2262" spans="1:17" s="20" customFormat="1" x14ac:dyDescent="0.25">
      <c r="A2262" s="9"/>
      <c r="B2262" s="28"/>
      <c r="C2262" s="28"/>
      <c r="D2262" s="28"/>
      <c r="E2262" s="28"/>
      <c r="F2262" s="31"/>
      <c r="G2262" s="21"/>
      <c r="H2262" s="22"/>
      <c r="I2262" s="23"/>
      <c r="J2262" s="24"/>
      <c r="K2262" s="25"/>
      <c r="L2262" s="23"/>
      <c r="M2262" s="23"/>
      <c r="N2262" s="24"/>
      <c r="O2262" s="24"/>
      <c r="P2262" s="25"/>
      <c r="Q2262" s="25"/>
    </row>
    <row r="2263" spans="1:17" s="20" customFormat="1" x14ac:dyDescent="0.25">
      <c r="A2263" s="9"/>
      <c r="B2263" s="28"/>
      <c r="C2263" s="28"/>
      <c r="D2263" s="28"/>
      <c r="E2263" s="28"/>
      <c r="F2263" s="31"/>
      <c r="G2263" s="21"/>
      <c r="H2263" s="22"/>
      <c r="I2263" s="23"/>
      <c r="J2263" s="24"/>
      <c r="K2263" s="25"/>
      <c r="L2263" s="23"/>
      <c r="M2263" s="23"/>
      <c r="N2263" s="24"/>
      <c r="O2263" s="24"/>
      <c r="P2263" s="25"/>
      <c r="Q2263" s="25"/>
    </row>
    <row r="2264" spans="1:17" s="20" customFormat="1" x14ac:dyDescent="0.25">
      <c r="A2264" s="9"/>
      <c r="B2264" s="28"/>
      <c r="C2264" s="28"/>
      <c r="D2264" s="28"/>
      <c r="E2264" s="28"/>
      <c r="F2264" s="31"/>
      <c r="G2264" s="21"/>
      <c r="H2264" s="22"/>
      <c r="I2264" s="23"/>
      <c r="J2264" s="24"/>
      <c r="K2264" s="25"/>
      <c r="L2264" s="23"/>
      <c r="M2264" s="23"/>
      <c r="N2264" s="24"/>
      <c r="O2264" s="24"/>
      <c r="P2264" s="25"/>
      <c r="Q2264" s="25"/>
    </row>
    <row r="2265" spans="1:17" s="20" customFormat="1" x14ac:dyDescent="0.25">
      <c r="A2265" s="9"/>
      <c r="B2265" s="28"/>
      <c r="C2265" s="28"/>
      <c r="D2265" s="28"/>
      <c r="E2265" s="28"/>
      <c r="F2265" s="31"/>
      <c r="G2265" s="21"/>
      <c r="H2265" s="22"/>
      <c r="I2265" s="23"/>
      <c r="J2265" s="24"/>
      <c r="K2265" s="25"/>
      <c r="L2265" s="23"/>
      <c r="M2265" s="23"/>
      <c r="N2265" s="24"/>
      <c r="O2265" s="24"/>
      <c r="P2265" s="25"/>
      <c r="Q2265" s="25"/>
    </row>
    <row r="2266" spans="1:17" s="20" customFormat="1" x14ac:dyDescent="0.25">
      <c r="A2266" s="9"/>
      <c r="B2266" s="28"/>
      <c r="C2266" s="28"/>
      <c r="D2266" s="28"/>
      <c r="E2266" s="28"/>
      <c r="F2266" s="31"/>
      <c r="G2266" s="21"/>
      <c r="H2266" s="22"/>
      <c r="I2266" s="23"/>
      <c r="J2266" s="24"/>
      <c r="K2266" s="25"/>
      <c r="L2266" s="23"/>
      <c r="M2266" s="23"/>
      <c r="N2266" s="24"/>
      <c r="O2266" s="24"/>
      <c r="P2266" s="25"/>
      <c r="Q2266" s="25"/>
    </row>
    <row r="2267" spans="1:17" s="20" customFormat="1" x14ac:dyDescent="0.25">
      <c r="A2267" s="9"/>
      <c r="B2267" s="28"/>
      <c r="C2267" s="28"/>
      <c r="D2267" s="28"/>
      <c r="E2267" s="28"/>
      <c r="F2267" s="31"/>
      <c r="G2267" s="21"/>
      <c r="H2267" s="22"/>
      <c r="I2267" s="23"/>
      <c r="J2267" s="24"/>
      <c r="K2267" s="25"/>
      <c r="L2267" s="23"/>
      <c r="M2267" s="23"/>
      <c r="N2267" s="24"/>
      <c r="O2267" s="24"/>
      <c r="P2267" s="25"/>
      <c r="Q2267" s="25"/>
    </row>
    <row r="2268" spans="1:17" s="20" customFormat="1" x14ac:dyDescent="0.25">
      <c r="A2268" s="9"/>
      <c r="B2268" s="28"/>
      <c r="C2268" s="28"/>
      <c r="D2268" s="28"/>
      <c r="E2268" s="28"/>
      <c r="F2268" s="31"/>
      <c r="G2268" s="21"/>
      <c r="H2268" s="22"/>
      <c r="I2268" s="23"/>
      <c r="J2268" s="24"/>
      <c r="K2268" s="25"/>
      <c r="L2268" s="23"/>
      <c r="M2268" s="23"/>
      <c r="N2268" s="24"/>
      <c r="O2268" s="24"/>
      <c r="P2268" s="25"/>
      <c r="Q2268" s="25"/>
    </row>
    <row r="2269" spans="1:17" s="20" customFormat="1" x14ac:dyDescent="0.25">
      <c r="A2269" s="9"/>
      <c r="B2269" s="28"/>
      <c r="C2269" s="28"/>
      <c r="D2269" s="28"/>
      <c r="E2269" s="28"/>
      <c r="F2269" s="31"/>
      <c r="G2269" s="21"/>
      <c r="H2269" s="22"/>
      <c r="I2269" s="23"/>
      <c r="J2269" s="24"/>
      <c r="K2269" s="25"/>
      <c r="L2269" s="23"/>
      <c r="M2269" s="23"/>
      <c r="N2269" s="24"/>
      <c r="O2269" s="24"/>
      <c r="P2269" s="25"/>
      <c r="Q2269" s="25"/>
    </row>
    <row r="2270" spans="1:17" s="20" customFormat="1" x14ac:dyDescent="0.25">
      <c r="A2270" s="9"/>
      <c r="B2270" s="28"/>
      <c r="C2270" s="28"/>
      <c r="D2270" s="28"/>
      <c r="E2270" s="28"/>
      <c r="F2270" s="31"/>
      <c r="G2270" s="21"/>
      <c r="H2270" s="22"/>
      <c r="I2270" s="23"/>
      <c r="J2270" s="24"/>
      <c r="K2270" s="25"/>
      <c r="L2270" s="23"/>
      <c r="M2270" s="23"/>
      <c r="N2270" s="24"/>
      <c r="O2270" s="24"/>
      <c r="P2270" s="25"/>
      <c r="Q2270" s="25"/>
    </row>
    <row r="2271" spans="1:17" s="20" customFormat="1" x14ac:dyDescent="0.25">
      <c r="A2271" s="9"/>
      <c r="B2271" s="28"/>
      <c r="C2271" s="28"/>
      <c r="D2271" s="28"/>
      <c r="E2271" s="28"/>
      <c r="F2271" s="31"/>
      <c r="G2271" s="21"/>
      <c r="H2271" s="22"/>
      <c r="I2271" s="23"/>
      <c r="J2271" s="24"/>
      <c r="K2271" s="25"/>
      <c r="L2271" s="23"/>
      <c r="M2271" s="23"/>
      <c r="N2271" s="24"/>
      <c r="O2271" s="24"/>
      <c r="P2271" s="25"/>
      <c r="Q2271" s="25"/>
    </row>
    <row r="2272" spans="1:17" s="20" customFormat="1" x14ac:dyDescent="0.25">
      <c r="A2272" s="9"/>
      <c r="B2272" s="28"/>
      <c r="C2272" s="28"/>
      <c r="D2272" s="28"/>
      <c r="E2272" s="28"/>
      <c r="F2272" s="31"/>
      <c r="G2272" s="21"/>
      <c r="H2272" s="22"/>
      <c r="I2272" s="23"/>
      <c r="J2272" s="24"/>
      <c r="K2272" s="25"/>
      <c r="L2272" s="23"/>
      <c r="M2272" s="23"/>
      <c r="N2272" s="24"/>
      <c r="O2272" s="24"/>
      <c r="P2272" s="25"/>
      <c r="Q2272" s="25"/>
    </row>
    <row r="2273" spans="1:17" s="20" customFormat="1" x14ac:dyDescent="0.25">
      <c r="A2273" s="9"/>
      <c r="B2273" s="28"/>
      <c r="C2273" s="28"/>
      <c r="D2273" s="28"/>
      <c r="E2273" s="28"/>
      <c r="F2273" s="31"/>
      <c r="G2273" s="21"/>
      <c r="H2273" s="22"/>
      <c r="I2273" s="23"/>
      <c r="J2273" s="24"/>
      <c r="K2273" s="25"/>
      <c r="L2273" s="23"/>
      <c r="M2273" s="23"/>
      <c r="N2273" s="24"/>
      <c r="O2273" s="24"/>
      <c r="P2273" s="25"/>
      <c r="Q2273" s="25"/>
    </row>
    <row r="2274" spans="1:17" s="20" customFormat="1" x14ac:dyDescent="0.25">
      <c r="A2274" s="9"/>
      <c r="B2274" s="28"/>
      <c r="C2274" s="28"/>
      <c r="D2274" s="28"/>
      <c r="E2274" s="28"/>
      <c r="F2274" s="31"/>
      <c r="G2274" s="21"/>
      <c r="H2274" s="22"/>
      <c r="I2274" s="23"/>
      <c r="J2274" s="24"/>
      <c r="K2274" s="25"/>
      <c r="L2274" s="23"/>
      <c r="M2274" s="23"/>
      <c r="N2274" s="24"/>
      <c r="O2274" s="24"/>
      <c r="P2274" s="25"/>
      <c r="Q2274" s="25"/>
    </row>
    <row r="2275" spans="1:17" s="20" customFormat="1" x14ac:dyDescent="0.25">
      <c r="A2275" s="9"/>
      <c r="B2275" s="28"/>
      <c r="C2275" s="28"/>
      <c r="D2275" s="28"/>
      <c r="E2275" s="28"/>
      <c r="F2275" s="31"/>
      <c r="G2275" s="21"/>
      <c r="H2275" s="22"/>
      <c r="I2275" s="23"/>
      <c r="J2275" s="24"/>
      <c r="K2275" s="25"/>
      <c r="L2275" s="23"/>
      <c r="M2275" s="23"/>
      <c r="N2275" s="24"/>
      <c r="O2275" s="24"/>
      <c r="P2275" s="25"/>
      <c r="Q2275" s="25"/>
    </row>
    <row r="2276" spans="1:17" s="20" customFormat="1" x14ac:dyDescent="0.25">
      <c r="A2276" s="9"/>
      <c r="B2276" s="28"/>
      <c r="C2276" s="28"/>
      <c r="D2276" s="28"/>
      <c r="E2276" s="28"/>
      <c r="F2276" s="31"/>
      <c r="G2276" s="21"/>
      <c r="H2276" s="22"/>
      <c r="I2276" s="23"/>
      <c r="J2276" s="24"/>
      <c r="K2276" s="25"/>
      <c r="L2276" s="23"/>
      <c r="M2276" s="23"/>
      <c r="N2276" s="24"/>
      <c r="O2276" s="24"/>
      <c r="P2276" s="25"/>
      <c r="Q2276" s="25"/>
    </row>
    <row r="2277" spans="1:17" s="20" customFormat="1" x14ac:dyDescent="0.25">
      <c r="A2277" s="9"/>
      <c r="B2277" s="28"/>
      <c r="C2277" s="28"/>
      <c r="D2277" s="28"/>
      <c r="E2277" s="28"/>
      <c r="F2277" s="31"/>
      <c r="G2277" s="21"/>
      <c r="H2277" s="22"/>
      <c r="I2277" s="23"/>
      <c r="J2277" s="24"/>
      <c r="K2277" s="25"/>
      <c r="L2277" s="23"/>
      <c r="M2277" s="23"/>
      <c r="N2277" s="24"/>
      <c r="O2277" s="24"/>
      <c r="P2277" s="25"/>
      <c r="Q2277" s="25"/>
    </row>
    <row r="2278" spans="1:17" s="20" customFormat="1" x14ac:dyDescent="0.25">
      <c r="A2278" s="9"/>
      <c r="B2278" s="28"/>
      <c r="C2278" s="28"/>
      <c r="D2278" s="28"/>
      <c r="E2278" s="28"/>
      <c r="F2278" s="31"/>
      <c r="G2278" s="21"/>
      <c r="H2278" s="22"/>
      <c r="I2278" s="23"/>
      <c r="J2278" s="24"/>
      <c r="K2278" s="25"/>
      <c r="L2278" s="23"/>
      <c r="M2278" s="23"/>
      <c r="N2278" s="24"/>
      <c r="O2278" s="24"/>
      <c r="P2278" s="25"/>
      <c r="Q2278" s="25"/>
    </row>
    <row r="2279" spans="1:17" s="20" customFormat="1" x14ac:dyDescent="0.25">
      <c r="A2279" s="9"/>
      <c r="B2279" s="28"/>
      <c r="C2279" s="28"/>
      <c r="D2279" s="28"/>
      <c r="E2279" s="28"/>
      <c r="F2279" s="31"/>
      <c r="G2279" s="21"/>
      <c r="H2279" s="22"/>
      <c r="I2279" s="23"/>
      <c r="J2279" s="24"/>
      <c r="K2279" s="25"/>
      <c r="L2279" s="23"/>
      <c r="M2279" s="23"/>
      <c r="N2279" s="24"/>
      <c r="O2279" s="24"/>
      <c r="P2279" s="25"/>
      <c r="Q2279" s="25"/>
    </row>
    <row r="2280" spans="1:17" s="20" customFormat="1" x14ac:dyDescent="0.25">
      <c r="A2280" s="9"/>
      <c r="B2280" s="28"/>
      <c r="C2280" s="28"/>
      <c r="D2280" s="28"/>
      <c r="E2280" s="28"/>
      <c r="F2280" s="31"/>
      <c r="G2280" s="21"/>
      <c r="H2280" s="22"/>
      <c r="I2280" s="23"/>
      <c r="J2280" s="24"/>
      <c r="K2280" s="25"/>
      <c r="L2280" s="23"/>
      <c r="M2280" s="23"/>
      <c r="N2280" s="24"/>
      <c r="O2280" s="24"/>
      <c r="P2280" s="25"/>
      <c r="Q2280" s="25"/>
    </row>
    <row r="2281" spans="1:17" s="20" customFormat="1" x14ac:dyDescent="0.25">
      <c r="A2281" s="9"/>
      <c r="B2281" s="28"/>
      <c r="C2281" s="28"/>
      <c r="D2281" s="28"/>
      <c r="E2281" s="28"/>
      <c r="F2281" s="31"/>
      <c r="G2281" s="21"/>
      <c r="H2281" s="22"/>
      <c r="I2281" s="23"/>
      <c r="J2281" s="24"/>
      <c r="K2281" s="25"/>
      <c r="L2281" s="23"/>
      <c r="M2281" s="23"/>
      <c r="N2281" s="24"/>
      <c r="O2281" s="24"/>
      <c r="P2281" s="25"/>
      <c r="Q2281" s="25"/>
    </row>
    <row r="2282" spans="1:17" s="20" customFormat="1" x14ac:dyDescent="0.25">
      <c r="A2282" s="9"/>
      <c r="B2282" s="28"/>
      <c r="C2282" s="28"/>
      <c r="D2282" s="28"/>
      <c r="E2282" s="28"/>
      <c r="F2282" s="31"/>
      <c r="G2282" s="21"/>
      <c r="H2282" s="22"/>
      <c r="I2282" s="23"/>
      <c r="J2282" s="24"/>
      <c r="K2282" s="25"/>
      <c r="L2282" s="23"/>
      <c r="M2282" s="23"/>
      <c r="N2282" s="24"/>
      <c r="O2282" s="24"/>
      <c r="P2282" s="25"/>
      <c r="Q2282" s="25"/>
    </row>
    <row r="2283" spans="1:17" s="20" customFormat="1" x14ac:dyDescent="0.25">
      <c r="A2283" s="9"/>
      <c r="B2283" s="28"/>
      <c r="C2283" s="28"/>
      <c r="D2283" s="28"/>
      <c r="E2283" s="28"/>
      <c r="F2283" s="31"/>
      <c r="G2283" s="21"/>
      <c r="H2283" s="22"/>
      <c r="I2283" s="23"/>
      <c r="J2283" s="24"/>
      <c r="K2283" s="25"/>
      <c r="L2283" s="23"/>
      <c r="M2283" s="23"/>
      <c r="N2283" s="24"/>
      <c r="O2283" s="24"/>
      <c r="P2283" s="25"/>
      <c r="Q2283" s="25"/>
    </row>
    <row r="2284" spans="1:17" s="20" customFormat="1" x14ac:dyDescent="0.25">
      <c r="A2284" s="9"/>
      <c r="B2284" s="28"/>
      <c r="C2284" s="28"/>
      <c r="D2284" s="28"/>
      <c r="E2284" s="28"/>
      <c r="F2284" s="31"/>
      <c r="G2284" s="21"/>
      <c r="H2284" s="22"/>
      <c r="I2284" s="23"/>
      <c r="J2284" s="24"/>
      <c r="K2284" s="25"/>
      <c r="L2284" s="23"/>
      <c r="M2284" s="23"/>
      <c r="N2284" s="24"/>
      <c r="O2284" s="24"/>
      <c r="P2284" s="25"/>
      <c r="Q2284" s="25"/>
    </row>
    <row r="2285" spans="1:17" s="20" customFormat="1" x14ac:dyDescent="0.25">
      <c r="A2285" s="9"/>
      <c r="B2285" s="28"/>
      <c r="C2285" s="28"/>
      <c r="D2285" s="28"/>
      <c r="E2285" s="28"/>
      <c r="F2285" s="31"/>
      <c r="G2285" s="21"/>
      <c r="H2285" s="22"/>
      <c r="I2285" s="23"/>
      <c r="J2285" s="24"/>
      <c r="K2285" s="25"/>
      <c r="L2285" s="23"/>
      <c r="M2285" s="23"/>
      <c r="N2285" s="24"/>
      <c r="O2285" s="24"/>
      <c r="P2285" s="25"/>
      <c r="Q2285" s="25"/>
    </row>
    <row r="2286" spans="1:17" s="20" customFormat="1" x14ac:dyDescent="0.25">
      <c r="A2286" s="9"/>
      <c r="B2286" s="28"/>
      <c r="C2286" s="28"/>
      <c r="D2286" s="28"/>
      <c r="E2286" s="28"/>
      <c r="F2286" s="31"/>
      <c r="G2286" s="21"/>
      <c r="H2286" s="22"/>
      <c r="I2286" s="23"/>
      <c r="J2286" s="24"/>
      <c r="K2286" s="25"/>
      <c r="L2286" s="23"/>
      <c r="M2286" s="23"/>
      <c r="N2286" s="24"/>
      <c r="O2286" s="24"/>
      <c r="P2286" s="25"/>
      <c r="Q2286" s="25"/>
    </row>
    <row r="2287" spans="1:17" s="20" customFormat="1" x14ac:dyDescent="0.25">
      <c r="A2287" s="9"/>
      <c r="B2287" s="28"/>
      <c r="C2287" s="28"/>
      <c r="D2287" s="28"/>
      <c r="E2287" s="28"/>
      <c r="F2287" s="31"/>
      <c r="G2287" s="21"/>
      <c r="H2287" s="22"/>
      <c r="I2287" s="23"/>
      <c r="J2287" s="24"/>
      <c r="K2287" s="25"/>
      <c r="L2287" s="23"/>
      <c r="M2287" s="23"/>
      <c r="N2287" s="24"/>
      <c r="O2287" s="24"/>
      <c r="P2287" s="25"/>
      <c r="Q2287" s="25"/>
    </row>
    <row r="2288" spans="1:17" s="20" customFormat="1" x14ac:dyDescent="0.25">
      <c r="A2288" s="9"/>
      <c r="B2288" s="28"/>
      <c r="C2288" s="28"/>
      <c r="D2288" s="28"/>
      <c r="E2288" s="28"/>
      <c r="F2288" s="31"/>
      <c r="G2288" s="21"/>
      <c r="H2288" s="22"/>
      <c r="I2288" s="23"/>
      <c r="J2288" s="24"/>
      <c r="K2288" s="25"/>
      <c r="L2288" s="23"/>
      <c r="M2288" s="23"/>
      <c r="N2288" s="24"/>
      <c r="O2288" s="24"/>
      <c r="P2288" s="25"/>
      <c r="Q2288" s="25"/>
    </row>
    <row r="2289" spans="1:17" s="20" customFormat="1" x14ac:dyDescent="0.25">
      <c r="A2289" s="9"/>
      <c r="B2289" s="28"/>
      <c r="C2289" s="28"/>
      <c r="D2289" s="28"/>
      <c r="E2289" s="28"/>
      <c r="F2289" s="31"/>
      <c r="G2289" s="21"/>
      <c r="H2289" s="22"/>
      <c r="I2289" s="23"/>
      <c r="J2289" s="24"/>
      <c r="K2289" s="25"/>
      <c r="L2289" s="23"/>
      <c r="M2289" s="23"/>
      <c r="N2289" s="24"/>
      <c r="O2289" s="24"/>
      <c r="P2289" s="25"/>
      <c r="Q2289" s="25"/>
    </row>
    <row r="2290" spans="1:17" s="20" customFormat="1" x14ac:dyDescent="0.25">
      <c r="A2290" s="9"/>
      <c r="B2290" s="28"/>
      <c r="C2290" s="28"/>
      <c r="D2290" s="28"/>
      <c r="E2290" s="28"/>
      <c r="F2290" s="31"/>
      <c r="G2290" s="21"/>
      <c r="H2290" s="22"/>
      <c r="I2290" s="23"/>
      <c r="J2290" s="24"/>
      <c r="K2290" s="25"/>
      <c r="L2290" s="23"/>
      <c r="M2290" s="23"/>
      <c r="N2290" s="24"/>
      <c r="O2290" s="24"/>
      <c r="P2290" s="25"/>
      <c r="Q2290" s="25"/>
    </row>
    <row r="2291" spans="1:17" s="20" customFormat="1" x14ac:dyDescent="0.25">
      <c r="A2291" s="9"/>
      <c r="B2291" s="28"/>
      <c r="C2291" s="28"/>
      <c r="D2291" s="28"/>
      <c r="E2291" s="28"/>
      <c r="F2291" s="31"/>
      <c r="G2291" s="21"/>
      <c r="H2291" s="22"/>
      <c r="I2291" s="23"/>
      <c r="J2291" s="24"/>
      <c r="K2291" s="25"/>
      <c r="L2291" s="23"/>
      <c r="M2291" s="23"/>
      <c r="N2291" s="24"/>
      <c r="O2291" s="24"/>
      <c r="P2291" s="25"/>
      <c r="Q2291" s="25"/>
    </row>
    <row r="2292" spans="1:17" s="20" customFormat="1" x14ac:dyDescent="0.25">
      <c r="A2292" s="9"/>
      <c r="B2292" s="28"/>
      <c r="C2292" s="28"/>
      <c r="D2292" s="28"/>
      <c r="E2292" s="28"/>
      <c r="F2292" s="31"/>
      <c r="G2292" s="21"/>
      <c r="H2292" s="22"/>
      <c r="I2292" s="23"/>
      <c r="J2292" s="24"/>
      <c r="K2292" s="25"/>
      <c r="L2292" s="23"/>
      <c r="M2292" s="23"/>
      <c r="N2292" s="24"/>
      <c r="O2292" s="24"/>
      <c r="P2292" s="25"/>
      <c r="Q2292" s="25"/>
    </row>
    <row r="2293" spans="1:17" s="20" customFormat="1" x14ac:dyDescent="0.25">
      <c r="A2293" s="9"/>
      <c r="B2293" s="28"/>
      <c r="C2293" s="28"/>
      <c r="D2293" s="28"/>
      <c r="E2293" s="28"/>
      <c r="F2293" s="31"/>
      <c r="G2293" s="21"/>
      <c r="H2293" s="22"/>
      <c r="I2293" s="23"/>
      <c r="J2293" s="24"/>
      <c r="K2293" s="25"/>
      <c r="L2293" s="23"/>
      <c r="M2293" s="23"/>
      <c r="N2293" s="24"/>
      <c r="O2293" s="24"/>
      <c r="P2293" s="25"/>
      <c r="Q2293" s="25"/>
    </row>
    <row r="2294" spans="1:17" s="20" customFormat="1" x14ac:dyDescent="0.25">
      <c r="A2294" s="9"/>
      <c r="B2294" s="28"/>
      <c r="C2294" s="28"/>
      <c r="D2294" s="28"/>
      <c r="E2294" s="28"/>
      <c r="F2294" s="31"/>
      <c r="G2294" s="21"/>
      <c r="H2294" s="22"/>
      <c r="I2294" s="23"/>
      <c r="J2294" s="24"/>
      <c r="K2294" s="25"/>
      <c r="L2294" s="23"/>
      <c r="M2294" s="23"/>
      <c r="N2294" s="24"/>
      <c r="O2294" s="24"/>
      <c r="P2294" s="25"/>
      <c r="Q2294" s="25"/>
    </row>
    <row r="2295" spans="1:17" s="20" customFormat="1" x14ac:dyDescent="0.25">
      <c r="A2295" s="9"/>
      <c r="B2295" s="28"/>
      <c r="C2295" s="28"/>
      <c r="D2295" s="28"/>
      <c r="E2295" s="28"/>
      <c r="F2295" s="31"/>
      <c r="G2295" s="21"/>
      <c r="H2295" s="22"/>
      <c r="I2295" s="23"/>
      <c r="J2295" s="24"/>
      <c r="K2295" s="25"/>
      <c r="L2295" s="23"/>
      <c r="M2295" s="23"/>
      <c r="N2295" s="24"/>
      <c r="O2295" s="24"/>
      <c r="P2295" s="25"/>
      <c r="Q2295" s="25"/>
    </row>
    <row r="2296" spans="1:17" s="20" customFormat="1" x14ac:dyDescent="0.25">
      <c r="A2296" s="9"/>
      <c r="B2296" s="28"/>
      <c r="C2296" s="28"/>
      <c r="D2296" s="28"/>
      <c r="E2296" s="28"/>
      <c r="F2296" s="31"/>
      <c r="G2296" s="21"/>
      <c r="H2296" s="22"/>
      <c r="I2296" s="23"/>
      <c r="J2296" s="24"/>
      <c r="K2296" s="25"/>
      <c r="L2296" s="23"/>
      <c r="M2296" s="23"/>
      <c r="N2296" s="24"/>
      <c r="O2296" s="24"/>
      <c r="P2296" s="25"/>
      <c r="Q2296" s="25"/>
    </row>
    <row r="2297" spans="1:17" s="20" customFormat="1" x14ac:dyDescent="0.25">
      <c r="A2297" s="9"/>
      <c r="B2297" s="28"/>
      <c r="C2297" s="28"/>
      <c r="D2297" s="28"/>
      <c r="E2297" s="28"/>
      <c r="F2297" s="31"/>
      <c r="G2297" s="21"/>
      <c r="H2297" s="22"/>
      <c r="I2297" s="23"/>
      <c r="J2297" s="24"/>
      <c r="K2297" s="25"/>
      <c r="L2297" s="23"/>
      <c r="M2297" s="23"/>
      <c r="N2297" s="24"/>
      <c r="O2297" s="24"/>
      <c r="P2297" s="25"/>
      <c r="Q2297" s="25"/>
    </row>
    <row r="2298" spans="1:17" s="20" customFormat="1" x14ac:dyDescent="0.25">
      <c r="A2298" s="9"/>
      <c r="B2298" s="28"/>
      <c r="C2298" s="28"/>
      <c r="D2298" s="28"/>
      <c r="E2298" s="28"/>
      <c r="F2298" s="31"/>
      <c r="G2298" s="21"/>
      <c r="H2298" s="22"/>
      <c r="I2298" s="23"/>
      <c r="J2298" s="24"/>
      <c r="K2298" s="25"/>
      <c r="L2298" s="23"/>
      <c r="M2298" s="23"/>
      <c r="N2298" s="24"/>
      <c r="O2298" s="24"/>
      <c r="P2298" s="25"/>
      <c r="Q2298" s="25"/>
    </row>
    <row r="2299" spans="1:17" s="20" customFormat="1" x14ac:dyDescent="0.25">
      <c r="A2299" s="9"/>
      <c r="B2299" s="28"/>
      <c r="C2299" s="28"/>
      <c r="D2299" s="28"/>
      <c r="E2299" s="28"/>
      <c r="F2299" s="31"/>
      <c r="G2299" s="21"/>
      <c r="H2299" s="22"/>
      <c r="I2299" s="23"/>
      <c r="J2299" s="24"/>
      <c r="K2299" s="25"/>
      <c r="L2299" s="23"/>
      <c r="M2299" s="23"/>
      <c r="N2299" s="24"/>
      <c r="O2299" s="24"/>
      <c r="P2299" s="25"/>
      <c r="Q2299" s="25"/>
    </row>
    <row r="2300" spans="1:17" s="20" customFormat="1" x14ac:dyDescent="0.25">
      <c r="A2300" s="9"/>
      <c r="B2300" s="28"/>
      <c r="C2300" s="28"/>
      <c r="D2300" s="28"/>
      <c r="E2300" s="28"/>
      <c r="F2300" s="31"/>
      <c r="G2300" s="21"/>
      <c r="H2300" s="22"/>
      <c r="I2300" s="23"/>
      <c r="J2300" s="24"/>
      <c r="K2300" s="25"/>
      <c r="L2300" s="23"/>
      <c r="M2300" s="23"/>
      <c r="N2300" s="24"/>
      <c r="O2300" s="24"/>
      <c r="P2300" s="25"/>
      <c r="Q2300" s="25"/>
    </row>
    <row r="2301" spans="1:17" s="20" customFormat="1" x14ac:dyDescent="0.25">
      <c r="A2301" s="9"/>
      <c r="B2301" s="28"/>
      <c r="C2301" s="28"/>
      <c r="D2301" s="28"/>
      <c r="E2301" s="28"/>
      <c r="F2301" s="31"/>
      <c r="G2301" s="21"/>
      <c r="H2301" s="22"/>
      <c r="I2301" s="23"/>
      <c r="J2301" s="24"/>
      <c r="K2301" s="25"/>
      <c r="L2301" s="23"/>
      <c r="M2301" s="23"/>
      <c r="N2301" s="24"/>
      <c r="O2301" s="24"/>
      <c r="P2301" s="25"/>
      <c r="Q2301" s="25"/>
    </row>
    <row r="2302" spans="1:17" s="20" customFormat="1" x14ac:dyDescent="0.25">
      <c r="A2302" s="9"/>
      <c r="B2302" s="28"/>
      <c r="C2302" s="28"/>
      <c r="D2302" s="28"/>
      <c r="E2302" s="28"/>
      <c r="F2302" s="31"/>
      <c r="G2302" s="21"/>
      <c r="H2302" s="22"/>
      <c r="I2302" s="23"/>
      <c r="J2302" s="24"/>
      <c r="K2302" s="25"/>
      <c r="L2302" s="23"/>
      <c r="M2302" s="23"/>
      <c r="N2302" s="24"/>
      <c r="O2302" s="24"/>
      <c r="P2302" s="25"/>
      <c r="Q2302" s="25"/>
    </row>
    <row r="2303" spans="1:17" s="20" customFormat="1" x14ac:dyDescent="0.25">
      <c r="A2303" s="9"/>
      <c r="B2303" s="28"/>
      <c r="C2303" s="28"/>
      <c r="D2303" s="28"/>
      <c r="E2303" s="28"/>
      <c r="F2303" s="31"/>
      <c r="G2303" s="21"/>
      <c r="H2303" s="22"/>
      <c r="I2303" s="23"/>
      <c r="J2303" s="24"/>
      <c r="K2303" s="25"/>
      <c r="L2303" s="23"/>
      <c r="M2303" s="23"/>
      <c r="N2303" s="24"/>
      <c r="O2303" s="24"/>
      <c r="P2303" s="25"/>
      <c r="Q2303" s="25"/>
    </row>
    <row r="2304" spans="1:17" s="20" customFormat="1" x14ac:dyDescent="0.25">
      <c r="A2304" s="9"/>
      <c r="B2304" s="28"/>
      <c r="C2304" s="28"/>
      <c r="D2304" s="28"/>
      <c r="E2304" s="28"/>
      <c r="F2304" s="31"/>
      <c r="G2304" s="21"/>
      <c r="H2304" s="22"/>
      <c r="I2304" s="23"/>
      <c r="J2304" s="24"/>
      <c r="K2304" s="25"/>
      <c r="L2304" s="23"/>
      <c r="M2304" s="23"/>
      <c r="N2304" s="24"/>
      <c r="O2304" s="24"/>
      <c r="P2304" s="25"/>
      <c r="Q2304" s="25"/>
    </row>
    <row r="2305" spans="1:17" s="20" customFormat="1" x14ac:dyDescent="0.25">
      <c r="A2305" s="9"/>
      <c r="B2305" s="28"/>
      <c r="C2305" s="28"/>
      <c r="D2305" s="28"/>
      <c r="E2305" s="28"/>
      <c r="F2305" s="31"/>
      <c r="G2305" s="21"/>
      <c r="H2305" s="22"/>
      <c r="I2305" s="23"/>
      <c r="J2305" s="24"/>
      <c r="K2305" s="25"/>
      <c r="L2305" s="23"/>
      <c r="M2305" s="23"/>
      <c r="N2305" s="24"/>
      <c r="O2305" s="24"/>
      <c r="P2305" s="25"/>
      <c r="Q2305" s="25"/>
    </row>
    <row r="2306" spans="1:17" s="20" customFormat="1" x14ac:dyDescent="0.25">
      <c r="A2306" s="9"/>
      <c r="B2306" s="28"/>
      <c r="C2306" s="28"/>
      <c r="D2306" s="28"/>
      <c r="E2306" s="28"/>
      <c r="F2306" s="31"/>
      <c r="G2306" s="21"/>
      <c r="H2306" s="22"/>
      <c r="I2306" s="23"/>
      <c r="J2306" s="24"/>
      <c r="K2306" s="25"/>
      <c r="L2306" s="23"/>
      <c r="M2306" s="23"/>
      <c r="N2306" s="24"/>
      <c r="O2306" s="24"/>
      <c r="P2306" s="25"/>
      <c r="Q2306" s="25"/>
    </row>
    <row r="2307" spans="1:17" s="20" customFormat="1" x14ac:dyDescent="0.25">
      <c r="A2307" s="9"/>
      <c r="B2307" s="28"/>
      <c r="C2307" s="28"/>
      <c r="D2307" s="28"/>
      <c r="E2307" s="28"/>
      <c r="F2307" s="31"/>
      <c r="G2307" s="21"/>
      <c r="H2307" s="22"/>
      <c r="I2307" s="23"/>
      <c r="J2307" s="24"/>
      <c r="K2307" s="25"/>
      <c r="L2307" s="23"/>
      <c r="M2307" s="23"/>
      <c r="N2307" s="24"/>
      <c r="O2307" s="24"/>
      <c r="P2307" s="25"/>
      <c r="Q2307" s="25"/>
    </row>
    <row r="2308" spans="1:17" s="20" customFormat="1" x14ac:dyDescent="0.25">
      <c r="A2308" s="9"/>
      <c r="B2308" s="28"/>
      <c r="C2308" s="28"/>
      <c r="D2308" s="28"/>
      <c r="E2308" s="28"/>
      <c r="F2308" s="31"/>
      <c r="G2308" s="21"/>
      <c r="H2308" s="22"/>
      <c r="I2308" s="23"/>
      <c r="J2308" s="24"/>
      <c r="K2308" s="25"/>
      <c r="L2308" s="23"/>
      <c r="M2308" s="23"/>
      <c r="N2308" s="24"/>
      <c r="O2308" s="24"/>
      <c r="P2308" s="25"/>
      <c r="Q2308" s="25"/>
    </row>
    <row r="2309" spans="1:17" s="20" customFormat="1" x14ac:dyDescent="0.25">
      <c r="A2309" s="9"/>
      <c r="B2309" s="28"/>
      <c r="C2309" s="28"/>
      <c r="D2309" s="28"/>
      <c r="E2309" s="28"/>
      <c r="F2309" s="31"/>
      <c r="G2309" s="21"/>
      <c r="H2309" s="22"/>
      <c r="I2309" s="23"/>
      <c r="J2309" s="24"/>
      <c r="K2309" s="25"/>
      <c r="L2309" s="23"/>
      <c r="M2309" s="23"/>
      <c r="N2309" s="24"/>
      <c r="O2309" s="24"/>
      <c r="P2309" s="25"/>
      <c r="Q2309" s="25"/>
    </row>
    <row r="2310" spans="1:17" s="20" customFormat="1" x14ac:dyDescent="0.25">
      <c r="A2310" s="9"/>
      <c r="B2310" s="28"/>
      <c r="C2310" s="28"/>
      <c r="D2310" s="28"/>
      <c r="E2310" s="28"/>
      <c r="F2310" s="31"/>
      <c r="G2310" s="21"/>
      <c r="H2310" s="22"/>
      <c r="I2310" s="23"/>
      <c r="J2310" s="24"/>
      <c r="K2310" s="25"/>
      <c r="L2310" s="23"/>
      <c r="M2310" s="23"/>
      <c r="N2310" s="24"/>
      <c r="O2310" s="24"/>
      <c r="P2310" s="25"/>
      <c r="Q2310" s="25"/>
    </row>
    <row r="2311" spans="1:17" s="20" customFormat="1" x14ac:dyDescent="0.25">
      <c r="A2311" s="9"/>
      <c r="B2311" s="28"/>
      <c r="C2311" s="28"/>
      <c r="D2311" s="28"/>
      <c r="E2311" s="28"/>
      <c r="F2311" s="31"/>
      <c r="G2311" s="21"/>
      <c r="H2311" s="22"/>
      <c r="I2311" s="23"/>
      <c r="J2311" s="24"/>
      <c r="K2311" s="25"/>
      <c r="L2311" s="23"/>
      <c r="M2311" s="23"/>
      <c r="N2311" s="24"/>
      <c r="O2311" s="24"/>
      <c r="P2311" s="25"/>
      <c r="Q2311" s="25"/>
    </row>
    <row r="2312" spans="1:17" s="20" customFormat="1" x14ac:dyDescent="0.25">
      <c r="A2312" s="9"/>
      <c r="B2312" s="28"/>
      <c r="C2312" s="28"/>
      <c r="D2312" s="28"/>
      <c r="E2312" s="28"/>
      <c r="F2312" s="31"/>
      <c r="G2312" s="21"/>
      <c r="H2312" s="22"/>
      <c r="I2312" s="23"/>
      <c r="J2312" s="24"/>
      <c r="K2312" s="25"/>
      <c r="L2312" s="23"/>
      <c r="M2312" s="23"/>
      <c r="N2312" s="24"/>
      <c r="O2312" s="24"/>
      <c r="P2312" s="25"/>
      <c r="Q2312" s="25"/>
    </row>
    <row r="2313" spans="1:17" s="20" customFormat="1" x14ac:dyDescent="0.25">
      <c r="A2313" s="9"/>
      <c r="B2313" s="28"/>
      <c r="C2313" s="28"/>
      <c r="D2313" s="28"/>
      <c r="E2313" s="28"/>
      <c r="F2313" s="31"/>
      <c r="G2313" s="21"/>
      <c r="H2313" s="22"/>
      <c r="I2313" s="23"/>
      <c r="J2313" s="24"/>
      <c r="K2313" s="25"/>
      <c r="L2313" s="23"/>
      <c r="M2313" s="23"/>
      <c r="N2313" s="24"/>
      <c r="O2313" s="24"/>
      <c r="P2313" s="25"/>
      <c r="Q2313" s="25"/>
    </row>
    <row r="2314" spans="1:17" s="20" customFormat="1" x14ac:dyDescent="0.25">
      <c r="A2314" s="9"/>
      <c r="B2314" s="28"/>
      <c r="C2314" s="28"/>
      <c r="D2314" s="28"/>
      <c r="E2314" s="28"/>
      <c r="F2314" s="31"/>
      <c r="G2314" s="21"/>
      <c r="H2314" s="22"/>
      <c r="I2314" s="23"/>
      <c r="J2314" s="24"/>
      <c r="K2314" s="25"/>
      <c r="L2314" s="23"/>
      <c r="M2314" s="23"/>
      <c r="N2314" s="24"/>
      <c r="O2314" s="24"/>
      <c r="P2314" s="25"/>
      <c r="Q2314" s="25"/>
    </row>
    <row r="2315" spans="1:17" s="20" customFormat="1" x14ac:dyDescent="0.25">
      <c r="A2315" s="9"/>
      <c r="B2315" s="28"/>
      <c r="C2315" s="28"/>
      <c r="D2315" s="28"/>
      <c r="E2315" s="28"/>
      <c r="F2315" s="31"/>
      <c r="G2315" s="21"/>
      <c r="H2315" s="22"/>
      <c r="I2315" s="23"/>
      <c r="J2315" s="24"/>
      <c r="K2315" s="25"/>
      <c r="L2315" s="23"/>
      <c r="M2315" s="23"/>
      <c r="N2315" s="24"/>
      <c r="O2315" s="24"/>
      <c r="P2315" s="25"/>
      <c r="Q2315" s="25"/>
    </row>
    <row r="2316" spans="1:17" s="20" customFormat="1" x14ac:dyDescent="0.25">
      <c r="A2316" s="9"/>
      <c r="B2316" s="28"/>
      <c r="C2316" s="28"/>
      <c r="D2316" s="28"/>
      <c r="E2316" s="28"/>
      <c r="F2316" s="31"/>
      <c r="G2316" s="21"/>
      <c r="H2316" s="22"/>
      <c r="I2316" s="23"/>
      <c r="J2316" s="24"/>
      <c r="K2316" s="25"/>
      <c r="L2316" s="23"/>
      <c r="M2316" s="23"/>
      <c r="N2316" s="24"/>
      <c r="O2316" s="24"/>
      <c r="P2316" s="25"/>
      <c r="Q2316" s="25"/>
    </row>
    <row r="2317" spans="1:17" s="20" customFormat="1" x14ac:dyDescent="0.25">
      <c r="A2317" s="9"/>
      <c r="B2317" s="28"/>
      <c r="C2317" s="28"/>
      <c r="D2317" s="28"/>
      <c r="E2317" s="28"/>
      <c r="F2317" s="31"/>
      <c r="G2317" s="21"/>
      <c r="H2317" s="22"/>
      <c r="I2317" s="23"/>
      <c r="J2317" s="24"/>
      <c r="K2317" s="25"/>
      <c r="L2317" s="23"/>
      <c r="M2317" s="23"/>
      <c r="N2317" s="24"/>
      <c r="O2317" s="24"/>
      <c r="P2317" s="25"/>
      <c r="Q2317" s="25"/>
    </row>
    <row r="2318" spans="1:17" s="20" customFormat="1" x14ac:dyDescent="0.25">
      <c r="A2318" s="9"/>
      <c r="B2318" s="28"/>
      <c r="C2318" s="28"/>
      <c r="D2318" s="28"/>
      <c r="E2318" s="28"/>
      <c r="F2318" s="31"/>
      <c r="G2318" s="21"/>
      <c r="H2318" s="22"/>
      <c r="I2318" s="23"/>
      <c r="J2318" s="24"/>
      <c r="K2318" s="25"/>
      <c r="L2318" s="23"/>
      <c r="M2318" s="23"/>
      <c r="N2318" s="24"/>
      <c r="O2318" s="24"/>
      <c r="P2318" s="25"/>
      <c r="Q2318" s="25"/>
    </row>
    <row r="2319" spans="1:17" s="20" customFormat="1" x14ac:dyDescent="0.25">
      <c r="A2319" s="9"/>
      <c r="B2319" s="28"/>
      <c r="C2319" s="28"/>
      <c r="D2319" s="28"/>
      <c r="E2319" s="28"/>
      <c r="F2319" s="31"/>
      <c r="G2319" s="21"/>
      <c r="H2319" s="22"/>
      <c r="I2319" s="23"/>
      <c r="J2319" s="24"/>
      <c r="K2319" s="25"/>
      <c r="L2319" s="23"/>
      <c r="M2319" s="23"/>
      <c r="N2319" s="24"/>
      <c r="O2319" s="24"/>
      <c r="P2319" s="25"/>
      <c r="Q2319" s="25"/>
    </row>
    <row r="2320" spans="1:17" s="20" customFormat="1" x14ac:dyDescent="0.25">
      <c r="A2320" s="9"/>
      <c r="B2320" s="28"/>
      <c r="C2320" s="28"/>
      <c r="D2320" s="28"/>
      <c r="E2320" s="28"/>
      <c r="F2320" s="31"/>
      <c r="G2320" s="21"/>
      <c r="H2320" s="22"/>
      <c r="I2320" s="23"/>
      <c r="J2320" s="24"/>
      <c r="K2320" s="25"/>
      <c r="L2320" s="23"/>
      <c r="M2320" s="23"/>
      <c r="N2320" s="24"/>
      <c r="O2320" s="24"/>
      <c r="P2320" s="25"/>
      <c r="Q2320" s="25"/>
    </row>
    <row r="2321" spans="1:17" s="20" customFormat="1" x14ac:dyDescent="0.25">
      <c r="A2321" s="9"/>
      <c r="B2321" s="28"/>
      <c r="C2321" s="28"/>
      <c r="D2321" s="28"/>
      <c r="E2321" s="28"/>
      <c r="F2321" s="31"/>
      <c r="G2321" s="21"/>
      <c r="H2321" s="22"/>
      <c r="I2321" s="23"/>
      <c r="J2321" s="24"/>
      <c r="K2321" s="25"/>
      <c r="L2321" s="23"/>
      <c r="M2321" s="23"/>
      <c r="N2321" s="24"/>
      <c r="O2321" s="24"/>
      <c r="P2321" s="25"/>
      <c r="Q2321" s="25"/>
    </row>
    <row r="2322" spans="1:17" s="20" customFormat="1" x14ac:dyDescent="0.25">
      <c r="A2322" s="9"/>
      <c r="B2322" s="28"/>
      <c r="C2322" s="28"/>
      <c r="D2322" s="28"/>
      <c r="E2322" s="28"/>
      <c r="F2322" s="31"/>
      <c r="G2322" s="21"/>
      <c r="H2322" s="22"/>
      <c r="I2322" s="23"/>
      <c r="J2322" s="24"/>
      <c r="K2322" s="25"/>
      <c r="L2322" s="23"/>
      <c r="M2322" s="23"/>
      <c r="N2322" s="24"/>
      <c r="O2322" s="24"/>
      <c r="P2322" s="25"/>
      <c r="Q2322" s="25"/>
    </row>
    <row r="2323" spans="1:17" s="20" customFormat="1" x14ac:dyDescent="0.25">
      <c r="A2323" s="9"/>
      <c r="B2323" s="28"/>
      <c r="C2323" s="28"/>
      <c r="D2323" s="28"/>
      <c r="E2323" s="28"/>
      <c r="F2323" s="31"/>
      <c r="G2323" s="21"/>
      <c r="H2323" s="22"/>
      <c r="I2323" s="23"/>
      <c r="J2323" s="24"/>
      <c r="K2323" s="25"/>
      <c r="L2323" s="23"/>
      <c r="M2323" s="23"/>
      <c r="N2323" s="24"/>
      <c r="O2323" s="24"/>
      <c r="P2323" s="25"/>
      <c r="Q2323" s="25"/>
    </row>
    <row r="2324" spans="1:17" s="20" customFormat="1" x14ac:dyDescent="0.25">
      <c r="A2324" s="9"/>
      <c r="B2324" s="28"/>
      <c r="C2324" s="28"/>
      <c r="D2324" s="28"/>
      <c r="E2324" s="28"/>
      <c r="F2324" s="31"/>
      <c r="G2324" s="21"/>
      <c r="H2324" s="22"/>
      <c r="I2324" s="23"/>
      <c r="J2324" s="24"/>
      <c r="K2324" s="25"/>
      <c r="L2324" s="23"/>
      <c r="M2324" s="23"/>
      <c r="N2324" s="24"/>
      <c r="O2324" s="24"/>
      <c r="P2324" s="25"/>
      <c r="Q2324" s="25"/>
    </row>
    <row r="2325" spans="1:17" s="20" customFormat="1" x14ac:dyDescent="0.25">
      <c r="A2325" s="9"/>
      <c r="B2325" s="28"/>
      <c r="C2325" s="28"/>
      <c r="D2325" s="28"/>
      <c r="E2325" s="28"/>
      <c r="F2325" s="31"/>
      <c r="G2325" s="21"/>
      <c r="H2325" s="22"/>
      <c r="I2325" s="23"/>
      <c r="J2325" s="24"/>
      <c r="K2325" s="25"/>
      <c r="L2325" s="23"/>
      <c r="M2325" s="23"/>
      <c r="N2325" s="24"/>
      <c r="O2325" s="24"/>
      <c r="P2325" s="25"/>
      <c r="Q2325" s="25"/>
    </row>
    <row r="2326" spans="1:17" s="20" customFormat="1" x14ac:dyDescent="0.25">
      <c r="A2326" s="9"/>
      <c r="B2326" s="28"/>
      <c r="C2326" s="28"/>
      <c r="D2326" s="28"/>
      <c r="E2326" s="28"/>
      <c r="F2326" s="31"/>
      <c r="G2326" s="21"/>
      <c r="H2326" s="22"/>
      <c r="I2326" s="23"/>
      <c r="J2326" s="24"/>
      <c r="K2326" s="25"/>
      <c r="L2326" s="23"/>
      <c r="M2326" s="23"/>
      <c r="N2326" s="24"/>
      <c r="O2326" s="24"/>
      <c r="P2326" s="25"/>
      <c r="Q2326" s="25"/>
    </row>
    <row r="2327" spans="1:17" s="20" customFormat="1" x14ac:dyDescent="0.25">
      <c r="A2327" s="9"/>
      <c r="B2327" s="28"/>
      <c r="C2327" s="28"/>
      <c r="D2327" s="28"/>
      <c r="E2327" s="28"/>
      <c r="F2327" s="31"/>
      <c r="G2327" s="21"/>
      <c r="H2327" s="22"/>
      <c r="I2327" s="23"/>
      <c r="J2327" s="24"/>
      <c r="K2327" s="25"/>
      <c r="L2327" s="23"/>
      <c r="M2327" s="23"/>
      <c r="N2327" s="24"/>
      <c r="O2327" s="24"/>
      <c r="P2327" s="25"/>
      <c r="Q2327" s="25"/>
    </row>
    <row r="2328" spans="1:17" s="20" customFormat="1" x14ac:dyDescent="0.25">
      <c r="A2328" s="9"/>
      <c r="B2328" s="28"/>
      <c r="C2328" s="28"/>
      <c r="D2328" s="28"/>
      <c r="E2328" s="28"/>
      <c r="F2328" s="31"/>
      <c r="G2328" s="21"/>
      <c r="H2328" s="22"/>
      <c r="I2328" s="23"/>
      <c r="J2328" s="24"/>
      <c r="K2328" s="25"/>
      <c r="L2328" s="23"/>
      <c r="M2328" s="23"/>
      <c r="N2328" s="24"/>
      <c r="O2328" s="24"/>
      <c r="P2328" s="25"/>
      <c r="Q2328" s="25"/>
    </row>
    <row r="2329" spans="1:17" s="20" customFormat="1" x14ac:dyDescent="0.25">
      <c r="A2329" s="9"/>
      <c r="B2329" s="28"/>
      <c r="C2329" s="28"/>
      <c r="D2329" s="28"/>
      <c r="E2329" s="28"/>
      <c r="F2329" s="31"/>
      <c r="G2329" s="21"/>
      <c r="H2329" s="22"/>
      <c r="I2329" s="23"/>
      <c r="J2329" s="24"/>
      <c r="K2329" s="25"/>
      <c r="L2329" s="23"/>
      <c r="M2329" s="23"/>
      <c r="N2329" s="24"/>
      <c r="O2329" s="24"/>
      <c r="P2329" s="25"/>
      <c r="Q2329" s="25"/>
    </row>
    <row r="2330" spans="1:17" s="20" customFormat="1" x14ac:dyDescent="0.25">
      <c r="A2330" s="9"/>
      <c r="B2330" s="28"/>
      <c r="C2330" s="28"/>
      <c r="D2330" s="28"/>
      <c r="E2330" s="28"/>
      <c r="F2330" s="31"/>
      <c r="G2330" s="21"/>
      <c r="H2330" s="22"/>
      <c r="I2330" s="23"/>
      <c r="J2330" s="24"/>
      <c r="K2330" s="25"/>
      <c r="L2330" s="23"/>
      <c r="M2330" s="23"/>
      <c r="N2330" s="24"/>
      <c r="O2330" s="24"/>
      <c r="P2330" s="25"/>
      <c r="Q2330" s="25"/>
    </row>
    <row r="2331" spans="1:17" s="20" customFormat="1" x14ac:dyDescent="0.25">
      <c r="A2331" s="9"/>
      <c r="B2331" s="28"/>
      <c r="C2331" s="28"/>
      <c r="D2331" s="28"/>
      <c r="E2331" s="28"/>
      <c r="F2331" s="31"/>
      <c r="G2331" s="21"/>
      <c r="H2331" s="22"/>
      <c r="I2331" s="23"/>
      <c r="J2331" s="24"/>
      <c r="K2331" s="25"/>
      <c r="L2331" s="23"/>
      <c r="M2331" s="23"/>
      <c r="N2331" s="24"/>
      <c r="O2331" s="24"/>
      <c r="P2331" s="25"/>
      <c r="Q2331" s="25"/>
    </row>
    <row r="2332" spans="1:17" s="20" customFormat="1" x14ac:dyDescent="0.25">
      <c r="A2332" s="9"/>
      <c r="B2332" s="28"/>
      <c r="C2332" s="28"/>
      <c r="D2332" s="28"/>
      <c r="E2332" s="28"/>
      <c r="F2332" s="31"/>
      <c r="G2332" s="21"/>
      <c r="H2332" s="22"/>
      <c r="I2332" s="23"/>
      <c r="J2332" s="24"/>
      <c r="K2332" s="25"/>
      <c r="L2332" s="23"/>
      <c r="M2332" s="23"/>
      <c r="N2332" s="24"/>
      <c r="O2332" s="24"/>
      <c r="P2332" s="25"/>
      <c r="Q2332" s="25"/>
    </row>
    <row r="2333" spans="1:17" s="20" customFormat="1" x14ac:dyDescent="0.25">
      <c r="A2333" s="9"/>
      <c r="B2333" s="28"/>
      <c r="C2333" s="28"/>
      <c r="D2333" s="28"/>
      <c r="E2333" s="28"/>
      <c r="F2333" s="31"/>
      <c r="G2333" s="21"/>
      <c r="H2333" s="22"/>
      <c r="I2333" s="23"/>
      <c r="J2333" s="24"/>
      <c r="K2333" s="25"/>
      <c r="L2333" s="23"/>
      <c r="M2333" s="23"/>
      <c r="N2333" s="24"/>
      <c r="O2333" s="24"/>
      <c r="P2333" s="25"/>
      <c r="Q2333" s="25"/>
    </row>
    <row r="2334" spans="1:17" s="20" customFormat="1" x14ac:dyDescent="0.25">
      <c r="A2334" s="9"/>
      <c r="B2334" s="28"/>
      <c r="C2334" s="28"/>
      <c r="D2334" s="28"/>
      <c r="E2334" s="28"/>
      <c r="F2334" s="31"/>
      <c r="G2334" s="21"/>
      <c r="H2334" s="22"/>
      <c r="I2334" s="23"/>
      <c r="J2334" s="24"/>
      <c r="K2334" s="25"/>
      <c r="L2334" s="23"/>
      <c r="M2334" s="23"/>
      <c r="N2334" s="24"/>
      <c r="O2334" s="24"/>
      <c r="P2334" s="25"/>
      <c r="Q2334" s="25"/>
    </row>
    <row r="2335" spans="1:17" s="20" customFormat="1" x14ac:dyDescent="0.25">
      <c r="A2335" s="9"/>
      <c r="B2335" s="28"/>
      <c r="C2335" s="28"/>
      <c r="D2335" s="28"/>
      <c r="E2335" s="28"/>
      <c r="F2335" s="31"/>
      <c r="G2335" s="21"/>
      <c r="H2335" s="22"/>
      <c r="I2335" s="23"/>
      <c r="J2335" s="24"/>
      <c r="K2335" s="25"/>
      <c r="L2335" s="23"/>
      <c r="M2335" s="23"/>
      <c r="N2335" s="24"/>
      <c r="O2335" s="24"/>
      <c r="P2335" s="25"/>
      <c r="Q2335" s="25"/>
    </row>
    <row r="2336" spans="1:17" s="20" customFormat="1" x14ac:dyDescent="0.25">
      <c r="A2336" s="9"/>
      <c r="B2336" s="28"/>
      <c r="C2336" s="28"/>
      <c r="D2336" s="28"/>
      <c r="E2336" s="28"/>
      <c r="F2336" s="31"/>
      <c r="G2336" s="21"/>
      <c r="H2336" s="22"/>
      <c r="I2336" s="23"/>
      <c r="J2336" s="24"/>
      <c r="K2336" s="25"/>
      <c r="L2336" s="23"/>
      <c r="M2336" s="23"/>
      <c r="N2336" s="24"/>
      <c r="O2336" s="24"/>
      <c r="P2336" s="25"/>
      <c r="Q2336" s="25"/>
    </row>
    <row r="2337" spans="1:17" s="20" customFormat="1" x14ac:dyDescent="0.25">
      <c r="A2337" s="9"/>
      <c r="B2337" s="28"/>
      <c r="C2337" s="28"/>
      <c r="D2337" s="28"/>
      <c r="E2337" s="28"/>
      <c r="F2337" s="31"/>
      <c r="G2337" s="21"/>
      <c r="H2337" s="22"/>
      <c r="I2337" s="23"/>
      <c r="J2337" s="24"/>
      <c r="K2337" s="25"/>
      <c r="L2337" s="23"/>
      <c r="M2337" s="23"/>
      <c r="N2337" s="24"/>
      <c r="O2337" s="24"/>
      <c r="P2337" s="25"/>
      <c r="Q2337" s="25"/>
    </row>
    <row r="2338" spans="1:17" s="20" customFormat="1" x14ac:dyDescent="0.25">
      <c r="A2338" s="9"/>
      <c r="B2338" s="28"/>
      <c r="C2338" s="28"/>
      <c r="D2338" s="28"/>
      <c r="E2338" s="28"/>
      <c r="F2338" s="31"/>
      <c r="G2338" s="21"/>
      <c r="H2338" s="22"/>
      <c r="I2338" s="23"/>
      <c r="J2338" s="24"/>
      <c r="K2338" s="25"/>
      <c r="L2338" s="23"/>
      <c r="M2338" s="23"/>
      <c r="N2338" s="24"/>
      <c r="O2338" s="24"/>
      <c r="P2338" s="25"/>
      <c r="Q2338" s="25"/>
    </row>
    <row r="2339" spans="1:17" s="20" customFormat="1" x14ac:dyDescent="0.25">
      <c r="A2339" s="9"/>
      <c r="B2339" s="28"/>
      <c r="C2339" s="28"/>
      <c r="D2339" s="28"/>
      <c r="E2339" s="28"/>
      <c r="F2339" s="31"/>
      <c r="G2339" s="21"/>
      <c r="H2339" s="22"/>
      <c r="I2339" s="23"/>
      <c r="J2339" s="24"/>
      <c r="K2339" s="25"/>
      <c r="L2339" s="23"/>
      <c r="M2339" s="23"/>
      <c r="N2339" s="24"/>
      <c r="O2339" s="24"/>
      <c r="P2339" s="25"/>
      <c r="Q2339" s="25"/>
    </row>
    <row r="2340" spans="1:17" s="20" customFormat="1" x14ac:dyDescent="0.25">
      <c r="A2340" s="9"/>
      <c r="B2340" s="28"/>
      <c r="C2340" s="28"/>
      <c r="D2340" s="28"/>
      <c r="E2340" s="28"/>
      <c r="F2340" s="31"/>
      <c r="G2340" s="21"/>
      <c r="H2340" s="22"/>
      <c r="I2340" s="23"/>
      <c r="J2340" s="24"/>
      <c r="K2340" s="25"/>
      <c r="L2340" s="23"/>
      <c r="M2340" s="23"/>
      <c r="N2340" s="24"/>
      <c r="O2340" s="24"/>
      <c r="P2340" s="25"/>
      <c r="Q2340" s="25"/>
    </row>
    <row r="2341" spans="1:17" s="20" customFormat="1" x14ac:dyDescent="0.25">
      <c r="A2341" s="9"/>
      <c r="B2341" s="28"/>
      <c r="C2341" s="28"/>
      <c r="D2341" s="28"/>
      <c r="E2341" s="28"/>
      <c r="F2341" s="31"/>
      <c r="G2341" s="21"/>
      <c r="H2341" s="22"/>
      <c r="I2341" s="23"/>
      <c r="J2341" s="24"/>
      <c r="K2341" s="25"/>
      <c r="L2341" s="23"/>
      <c r="M2341" s="23"/>
      <c r="N2341" s="24"/>
      <c r="O2341" s="24"/>
      <c r="P2341" s="25"/>
      <c r="Q2341" s="25"/>
    </row>
    <row r="2342" spans="1:17" s="20" customFormat="1" x14ac:dyDescent="0.25">
      <c r="A2342" s="9"/>
      <c r="B2342" s="28"/>
      <c r="C2342" s="28"/>
      <c r="D2342" s="28"/>
      <c r="E2342" s="28"/>
      <c r="F2342" s="31"/>
      <c r="G2342" s="21"/>
      <c r="H2342" s="22"/>
      <c r="I2342" s="23"/>
      <c r="J2342" s="24"/>
      <c r="K2342" s="25"/>
      <c r="L2342" s="23"/>
      <c r="M2342" s="23"/>
      <c r="N2342" s="24"/>
      <c r="O2342" s="24"/>
      <c r="P2342" s="25"/>
      <c r="Q2342" s="25"/>
    </row>
    <row r="2343" spans="1:17" s="20" customFormat="1" x14ac:dyDescent="0.25">
      <c r="A2343" s="9"/>
      <c r="B2343" s="28"/>
      <c r="C2343" s="28"/>
      <c r="D2343" s="28"/>
      <c r="E2343" s="28"/>
      <c r="F2343" s="31"/>
      <c r="G2343" s="21"/>
      <c r="H2343" s="22"/>
      <c r="I2343" s="23"/>
      <c r="J2343" s="24"/>
      <c r="K2343" s="25"/>
      <c r="L2343" s="23"/>
      <c r="M2343" s="23"/>
      <c r="N2343" s="24"/>
      <c r="O2343" s="24"/>
      <c r="P2343" s="25"/>
      <c r="Q2343" s="25"/>
    </row>
    <row r="2344" spans="1:17" s="20" customFormat="1" x14ac:dyDescent="0.25">
      <c r="A2344" s="9"/>
      <c r="B2344" s="28"/>
      <c r="C2344" s="28"/>
      <c r="D2344" s="28"/>
      <c r="E2344" s="28"/>
      <c r="F2344" s="31"/>
      <c r="G2344" s="21"/>
      <c r="H2344" s="22"/>
      <c r="I2344" s="23"/>
      <c r="J2344" s="24"/>
      <c r="K2344" s="25"/>
      <c r="L2344" s="23"/>
      <c r="M2344" s="23"/>
      <c r="N2344" s="24"/>
      <c r="O2344" s="24"/>
      <c r="P2344" s="25"/>
      <c r="Q2344" s="25"/>
    </row>
    <row r="2345" spans="1:17" s="20" customFormat="1" x14ac:dyDescent="0.25">
      <c r="A2345" s="9"/>
      <c r="B2345" s="28"/>
      <c r="C2345" s="28"/>
      <c r="D2345" s="28"/>
      <c r="E2345" s="28"/>
      <c r="F2345" s="31"/>
      <c r="G2345" s="21"/>
      <c r="H2345" s="22"/>
      <c r="I2345" s="23"/>
      <c r="J2345" s="24"/>
      <c r="K2345" s="25"/>
      <c r="L2345" s="23"/>
      <c r="M2345" s="23"/>
      <c r="N2345" s="24"/>
      <c r="O2345" s="24"/>
      <c r="P2345" s="25"/>
      <c r="Q2345" s="25"/>
    </row>
    <row r="2346" spans="1:17" s="20" customFormat="1" x14ac:dyDescent="0.25">
      <c r="A2346" s="9"/>
      <c r="B2346" s="28"/>
      <c r="C2346" s="28"/>
      <c r="D2346" s="28"/>
      <c r="E2346" s="28"/>
      <c r="F2346" s="31"/>
      <c r="G2346" s="21"/>
      <c r="H2346" s="22"/>
      <c r="I2346" s="23"/>
      <c r="J2346" s="24"/>
      <c r="K2346" s="25"/>
      <c r="L2346" s="23"/>
      <c r="M2346" s="23"/>
      <c r="N2346" s="24"/>
      <c r="O2346" s="24"/>
      <c r="P2346" s="25"/>
      <c r="Q2346" s="25"/>
    </row>
    <row r="2347" spans="1:17" s="20" customFormat="1" x14ac:dyDescent="0.25">
      <c r="A2347" s="9"/>
      <c r="B2347" s="28"/>
      <c r="C2347" s="28"/>
      <c r="D2347" s="28"/>
      <c r="E2347" s="28"/>
      <c r="F2347" s="31"/>
      <c r="G2347" s="21"/>
      <c r="H2347" s="22"/>
      <c r="I2347" s="23"/>
      <c r="J2347" s="24"/>
      <c r="K2347" s="25"/>
      <c r="L2347" s="23"/>
      <c r="M2347" s="23"/>
      <c r="N2347" s="24"/>
      <c r="O2347" s="24"/>
      <c r="P2347" s="25"/>
      <c r="Q2347" s="25"/>
    </row>
    <row r="2348" spans="1:17" s="20" customFormat="1" x14ac:dyDescent="0.25">
      <c r="A2348" s="9"/>
      <c r="B2348" s="28"/>
      <c r="C2348" s="28"/>
      <c r="D2348" s="28"/>
      <c r="E2348" s="28"/>
      <c r="F2348" s="31"/>
      <c r="G2348" s="21"/>
      <c r="H2348" s="22"/>
      <c r="I2348" s="23"/>
      <c r="J2348" s="24"/>
      <c r="K2348" s="25"/>
      <c r="L2348" s="23"/>
      <c r="M2348" s="23"/>
      <c r="N2348" s="24"/>
      <c r="O2348" s="24"/>
      <c r="P2348" s="25"/>
      <c r="Q2348" s="25"/>
    </row>
    <row r="2349" spans="1:17" s="20" customFormat="1" x14ac:dyDescent="0.25">
      <c r="A2349" s="9"/>
      <c r="B2349" s="28"/>
      <c r="C2349" s="28"/>
      <c r="D2349" s="28"/>
      <c r="E2349" s="28"/>
      <c r="F2349" s="31"/>
      <c r="G2349" s="21"/>
      <c r="H2349" s="22"/>
      <c r="I2349" s="23"/>
      <c r="J2349" s="24"/>
      <c r="K2349" s="25"/>
      <c r="L2349" s="23"/>
      <c r="M2349" s="23"/>
      <c r="N2349" s="24"/>
      <c r="O2349" s="24"/>
      <c r="P2349" s="25"/>
      <c r="Q2349" s="25"/>
    </row>
    <row r="2350" spans="1:17" s="20" customFormat="1" x14ac:dyDescent="0.25">
      <c r="A2350" s="9"/>
      <c r="B2350" s="28"/>
      <c r="C2350" s="28"/>
      <c r="D2350" s="28"/>
      <c r="E2350" s="28"/>
      <c r="F2350" s="31"/>
      <c r="G2350" s="21"/>
      <c r="H2350" s="22"/>
      <c r="I2350" s="23"/>
      <c r="J2350" s="24"/>
      <c r="K2350" s="25"/>
      <c r="L2350" s="23"/>
      <c r="M2350" s="23"/>
      <c r="N2350" s="24"/>
      <c r="O2350" s="24"/>
      <c r="P2350" s="25"/>
      <c r="Q2350" s="25"/>
    </row>
    <row r="2351" spans="1:17" s="20" customFormat="1" x14ac:dyDescent="0.25">
      <c r="A2351" s="9"/>
      <c r="B2351" s="28"/>
      <c r="C2351" s="28"/>
      <c r="D2351" s="28"/>
      <c r="E2351" s="28"/>
      <c r="F2351" s="31"/>
      <c r="G2351" s="21"/>
      <c r="H2351" s="22"/>
      <c r="I2351" s="23"/>
      <c r="J2351" s="24"/>
      <c r="K2351" s="25"/>
      <c r="L2351" s="23"/>
      <c r="M2351" s="23"/>
      <c r="N2351" s="24"/>
      <c r="O2351" s="24"/>
      <c r="P2351" s="25"/>
      <c r="Q2351" s="25"/>
    </row>
    <row r="2352" spans="1:17" s="20" customFormat="1" x14ac:dyDescent="0.25">
      <c r="A2352" s="9"/>
      <c r="B2352" s="28"/>
      <c r="C2352" s="28"/>
      <c r="D2352" s="28"/>
      <c r="E2352" s="28"/>
      <c r="F2352" s="31"/>
      <c r="G2352" s="21"/>
      <c r="H2352" s="22"/>
      <c r="I2352" s="23"/>
      <c r="J2352" s="24"/>
      <c r="K2352" s="25"/>
      <c r="L2352" s="23"/>
      <c r="M2352" s="23"/>
      <c r="N2352" s="24"/>
      <c r="O2352" s="24"/>
      <c r="P2352" s="25"/>
      <c r="Q2352" s="25"/>
    </row>
    <row r="2353" spans="1:17" s="20" customFormat="1" x14ac:dyDescent="0.25">
      <c r="A2353" s="9"/>
      <c r="B2353" s="28"/>
      <c r="C2353" s="28"/>
      <c r="D2353" s="28"/>
      <c r="E2353" s="28"/>
      <c r="F2353" s="31"/>
      <c r="G2353" s="21"/>
      <c r="H2353" s="22"/>
      <c r="I2353" s="23"/>
      <c r="J2353" s="24"/>
      <c r="K2353" s="25"/>
      <c r="L2353" s="23"/>
      <c r="M2353" s="23"/>
      <c r="N2353" s="24"/>
      <c r="O2353" s="24"/>
      <c r="P2353" s="25"/>
      <c r="Q2353" s="25"/>
    </row>
    <row r="2354" spans="1:17" s="20" customFormat="1" x14ac:dyDescent="0.25">
      <c r="A2354" s="9"/>
      <c r="B2354" s="28"/>
      <c r="C2354" s="28"/>
      <c r="D2354" s="28"/>
      <c r="E2354" s="28"/>
      <c r="F2354" s="31"/>
      <c r="G2354" s="21"/>
      <c r="H2354" s="22"/>
      <c r="I2354" s="23"/>
      <c r="J2354" s="24"/>
      <c r="K2354" s="25"/>
      <c r="L2354" s="23"/>
      <c r="M2354" s="23"/>
      <c r="N2354" s="24"/>
      <c r="O2354" s="24"/>
      <c r="P2354" s="25"/>
      <c r="Q2354" s="25"/>
    </row>
    <row r="2355" spans="1:17" s="20" customFormat="1" x14ac:dyDescent="0.25">
      <c r="A2355" s="9"/>
      <c r="B2355" s="28"/>
      <c r="C2355" s="28"/>
      <c r="D2355" s="28"/>
      <c r="E2355" s="28"/>
      <c r="F2355" s="31"/>
      <c r="G2355" s="21"/>
      <c r="H2355" s="22"/>
      <c r="I2355" s="23"/>
      <c r="J2355" s="24"/>
      <c r="K2355" s="25"/>
      <c r="L2355" s="23"/>
      <c r="M2355" s="23"/>
      <c r="N2355" s="24"/>
      <c r="O2355" s="24"/>
      <c r="P2355" s="25"/>
      <c r="Q2355" s="25"/>
    </row>
    <row r="2356" spans="1:17" s="20" customFormat="1" x14ac:dyDescent="0.25">
      <c r="A2356" s="9"/>
      <c r="B2356" s="28"/>
      <c r="C2356" s="28"/>
      <c r="D2356" s="28"/>
      <c r="E2356" s="28"/>
      <c r="F2356" s="31"/>
      <c r="G2356" s="21"/>
      <c r="H2356" s="22"/>
      <c r="I2356" s="23"/>
      <c r="J2356" s="24"/>
      <c r="K2356" s="25"/>
      <c r="L2356" s="23"/>
      <c r="M2356" s="23"/>
      <c r="N2356" s="24"/>
      <c r="O2356" s="24"/>
      <c r="P2356" s="25"/>
      <c r="Q2356" s="25"/>
    </row>
    <row r="2357" spans="1:17" s="20" customFormat="1" x14ac:dyDescent="0.25">
      <c r="A2357" s="9"/>
      <c r="B2357" s="28"/>
      <c r="C2357" s="28"/>
      <c r="D2357" s="28"/>
      <c r="E2357" s="28"/>
      <c r="F2357" s="31"/>
      <c r="G2357" s="21"/>
      <c r="H2357" s="22"/>
      <c r="I2357" s="23"/>
      <c r="J2357" s="24"/>
      <c r="K2357" s="25"/>
      <c r="L2357" s="23"/>
      <c r="M2357" s="23"/>
      <c r="N2357" s="24"/>
      <c r="O2357" s="24"/>
      <c r="P2357" s="25"/>
      <c r="Q2357" s="25"/>
    </row>
    <row r="2358" spans="1:17" s="20" customFormat="1" x14ac:dyDescent="0.25">
      <c r="A2358" s="9"/>
      <c r="B2358" s="28"/>
      <c r="C2358" s="28"/>
      <c r="D2358" s="28"/>
      <c r="E2358" s="28"/>
      <c r="F2358" s="31"/>
      <c r="G2358" s="21"/>
      <c r="H2358" s="22"/>
      <c r="I2358" s="23"/>
      <c r="J2358" s="24"/>
      <c r="K2358" s="25"/>
      <c r="L2358" s="23"/>
      <c r="M2358" s="23"/>
      <c r="N2358" s="24"/>
      <c r="O2358" s="24"/>
      <c r="P2358" s="25"/>
      <c r="Q2358" s="25"/>
    </row>
    <row r="2359" spans="1:17" s="20" customFormat="1" x14ac:dyDescent="0.25">
      <c r="A2359" s="9"/>
      <c r="B2359" s="28"/>
      <c r="C2359" s="28"/>
      <c r="D2359" s="28"/>
      <c r="E2359" s="28"/>
      <c r="F2359" s="31"/>
      <c r="G2359" s="21"/>
      <c r="H2359" s="22"/>
      <c r="I2359" s="23"/>
      <c r="J2359" s="24"/>
      <c r="K2359" s="25"/>
      <c r="L2359" s="23"/>
      <c r="M2359" s="23"/>
      <c r="N2359" s="24"/>
      <c r="O2359" s="24"/>
      <c r="P2359" s="25"/>
      <c r="Q2359" s="25"/>
    </row>
    <row r="2360" spans="1:17" s="20" customFormat="1" x14ac:dyDescent="0.25">
      <c r="A2360" s="9"/>
      <c r="B2360" s="28"/>
      <c r="C2360" s="28"/>
      <c r="D2360" s="28"/>
      <c r="E2360" s="28"/>
      <c r="F2360" s="31"/>
      <c r="G2360" s="21"/>
      <c r="H2360" s="22"/>
      <c r="I2360" s="23"/>
      <c r="J2360" s="24"/>
      <c r="K2360" s="25"/>
      <c r="L2360" s="23"/>
      <c r="M2360" s="23"/>
      <c r="N2360" s="24"/>
      <c r="O2360" s="24"/>
      <c r="P2360" s="25"/>
      <c r="Q2360" s="25"/>
    </row>
    <row r="2361" spans="1:17" s="20" customFormat="1" x14ac:dyDescent="0.25">
      <c r="A2361" s="9"/>
      <c r="B2361" s="28"/>
      <c r="C2361" s="28"/>
      <c r="D2361" s="28"/>
      <c r="E2361" s="28"/>
      <c r="F2361" s="31"/>
      <c r="G2361" s="21"/>
      <c r="H2361" s="22"/>
      <c r="I2361" s="23"/>
      <c r="J2361" s="24"/>
      <c r="K2361" s="25"/>
      <c r="L2361" s="23"/>
      <c r="M2361" s="23"/>
      <c r="N2361" s="24"/>
      <c r="O2361" s="24"/>
      <c r="P2361" s="25"/>
      <c r="Q2361" s="25"/>
    </row>
    <row r="2362" spans="1:17" s="20" customFormat="1" x14ac:dyDescent="0.25">
      <c r="A2362" s="9"/>
      <c r="B2362" s="28"/>
      <c r="C2362" s="28"/>
      <c r="D2362" s="28"/>
      <c r="E2362" s="28"/>
      <c r="F2362" s="31"/>
      <c r="G2362" s="21"/>
      <c r="H2362" s="22"/>
      <c r="I2362" s="23"/>
      <c r="J2362" s="24"/>
      <c r="K2362" s="25"/>
      <c r="L2362" s="23"/>
      <c r="M2362" s="23"/>
      <c r="N2362" s="24"/>
      <c r="O2362" s="24"/>
      <c r="P2362" s="25"/>
      <c r="Q2362" s="25"/>
    </row>
    <row r="2363" spans="1:17" s="20" customFormat="1" x14ac:dyDescent="0.25">
      <c r="A2363" s="9"/>
      <c r="B2363" s="28"/>
      <c r="C2363" s="28"/>
      <c r="D2363" s="28"/>
      <c r="E2363" s="28"/>
      <c r="F2363" s="31"/>
      <c r="G2363" s="21"/>
      <c r="H2363" s="22"/>
      <c r="I2363" s="23"/>
      <c r="J2363" s="24"/>
      <c r="K2363" s="25"/>
      <c r="L2363" s="23"/>
      <c r="M2363" s="23"/>
      <c r="N2363" s="24"/>
      <c r="O2363" s="24"/>
      <c r="P2363" s="25"/>
      <c r="Q2363" s="25"/>
    </row>
    <row r="2364" spans="1:17" s="20" customFormat="1" x14ac:dyDescent="0.25">
      <c r="A2364" s="9"/>
      <c r="B2364" s="28"/>
      <c r="C2364" s="28"/>
      <c r="D2364" s="28"/>
      <c r="E2364" s="28"/>
      <c r="F2364" s="31"/>
      <c r="G2364" s="21"/>
      <c r="H2364" s="22"/>
      <c r="I2364" s="23"/>
      <c r="J2364" s="24"/>
      <c r="K2364" s="25"/>
      <c r="L2364" s="23"/>
      <c r="M2364" s="23"/>
      <c r="N2364" s="24"/>
      <c r="O2364" s="24"/>
      <c r="P2364" s="25"/>
      <c r="Q2364" s="25"/>
    </row>
    <row r="2365" spans="1:17" s="20" customFormat="1" x14ac:dyDescent="0.25">
      <c r="A2365" s="9"/>
      <c r="B2365" s="28"/>
      <c r="C2365" s="28"/>
      <c r="D2365" s="28"/>
      <c r="E2365" s="28"/>
      <c r="F2365" s="31"/>
      <c r="G2365" s="21"/>
      <c r="H2365" s="22"/>
      <c r="I2365" s="23"/>
      <c r="J2365" s="24"/>
      <c r="K2365" s="25"/>
      <c r="L2365" s="23"/>
      <c r="M2365" s="23"/>
      <c r="N2365" s="24"/>
      <c r="O2365" s="24"/>
      <c r="P2365" s="25"/>
      <c r="Q2365" s="25"/>
    </row>
    <row r="2366" spans="1:17" s="20" customFormat="1" x14ac:dyDescent="0.25">
      <c r="A2366" s="9"/>
      <c r="B2366" s="28"/>
      <c r="C2366" s="28"/>
      <c r="D2366" s="28"/>
      <c r="E2366" s="28"/>
      <c r="F2366" s="31"/>
      <c r="G2366" s="21"/>
      <c r="H2366" s="22"/>
      <c r="I2366" s="23"/>
      <c r="J2366" s="24"/>
      <c r="K2366" s="25"/>
      <c r="L2366" s="23"/>
      <c r="M2366" s="23"/>
      <c r="N2366" s="24"/>
      <c r="O2366" s="24"/>
      <c r="P2366" s="25"/>
      <c r="Q2366" s="25"/>
    </row>
    <row r="2367" spans="1:17" s="20" customFormat="1" x14ac:dyDescent="0.25">
      <c r="A2367" s="9"/>
      <c r="B2367" s="28"/>
      <c r="C2367" s="28"/>
      <c r="D2367" s="28"/>
      <c r="E2367" s="28"/>
      <c r="F2367" s="31"/>
      <c r="G2367" s="21"/>
      <c r="H2367" s="22"/>
      <c r="I2367" s="23"/>
      <c r="J2367" s="24"/>
      <c r="K2367" s="25"/>
      <c r="L2367" s="23"/>
      <c r="M2367" s="23"/>
      <c r="N2367" s="24"/>
      <c r="O2367" s="24"/>
      <c r="P2367" s="25"/>
      <c r="Q2367" s="25"/>
    </row>
    <row r="2368" spans="1:17" s="20" customFormat="1" x14ac:dyDescent="0.25">
      <c r="A2368" s="9"/>
      <c r="B2368" s="28"/>
      <c r="C2368" s="28"/>
      <c r="D2368" s="28"/>
      <c r="E2368" s="28"/>
      <c r="F2368" s="31"/>
      <c r="G2368" s="21"/>
      <c r="H2368" s="22"/>
      <c r="I2368" s="23"/>
      <c r="J2368" s="24"/>
      <c r="K2368" s="25"/>
      <c r="L2368" s="23"/>
      <c r="M2368" s="23"/>
      <c r="N2368" s="24"/>
      <c r="O2368" s="24"/>
      <c r="P2368" s="25"/>
      <c r="Q2368" s="25"/>
    </row>
    <row r="2369" spans="1:17" s="20" customFormat="1" x14ac:dyDescent="0.25">
      <c r="A2369" s="9"/>
      <c r="B2369" s="28"/>
      <c r="C2369" s="28"/>
      <c r="D2369" s="28"/>
      <c r="E2369" s="28"/>
      <c r="F2369" s="31"/>
      <c r="G2369" s="21"/>
      <c r="H2369" s="22"/>
      <c r="I2369" s="23"/>
      <c r="J2369" s="24"/>
      <c r="K2369" s="25"/>
      <c r="L2369" s="23"/>
      <c r="M2369" s="23"/>
      <c r="N2369" s="24"/>
      <c r="O2369" s="24"/>
      <c r="P2369" s="25"/>
      <c r="Q2369" s="25"/>
    </row>
    <row r="2370" spans="1:17" s="20" customFormat="1" x14ac:dyDescent="0.25">
      <c r="A2370" s="9"/>
      <c r="B2370" s="28"/>
      <c r="C2370" s="28"/>
      <c r="D2370" s="28"/>
      <c r="E2370" s="28"/>
      <c r="F2370" s="31"/>
      <c r="G2370" s="21"/>
      <c r="H2370" s="22"/>
      <c r="I2370" s="23"/>
      <c r="J2370" s="24"/>
      <c r="K2370" s="25"/>
      <c r="L2370" s="23"/>
      <c r="M2370" s="23"/>
      <c r="N2370" s="24"/>
      <c r="O2370" s="24"/>
      <c r="P2370" s="25"/>
      <c r="Q2370" s="25"/>
    </row>
    <row r="2371" spans="1:17" s="20" customFormat="1" x14ac:dyDescent="0.25">
      <c r="A2371" s="9"/>
      <c r="B2371" s="28"/>
      <c r="C2371" s="28"/>
      <c r="D2371" s="28"/>
      <c r="E2371" s="28"/>
      <c r="F2371" s="31"/>
      <c r="G2371" s="21"/>
      <c r="H2371" s="22"/>
      <c r="I2371" s="23"/>
      <c r="J2371" s="24"/>
      <c r="K2371" s="25"/>
      <c r="L2371" s="23"/>
      <c r="M2371" s="23"/>
      <c r="N2371" s="24"/>
      <c r="O2371" s="24"/>
      <c r="P2371" s="25"/>
      <c r="Q2371" s="25"/>
    </row>
    <row r="2372" spans="1:17" s="20" customFormat="1" x14ac:dyDescent="0.25">
      <c r="A2372" s="9"/>
      <c r="B2372" s="28"/>
      <c r="C2372" s="28"/>
      <c r="D2372" s="28"/>
      <c r="E2372" s="28"/>
      <c r="F2372" s="31"/>
      <c r="G2372" s="21"/>
      <c r="H2372" s="22"/>
      <c r="I2372" s="23"/>
      <c r="J2372" s="24"/>
      <c r="K2372" s="25"/>
      <c r="L2372" s="23"/>
      <c r="M2372" s="23"/>
      <c r="N2372" s="24"/>
      <c r="O2372" s="24"/>
      <c r="P2372" s="25"/>
      <c r="Q2372" s="25"/>
    </row>
    <row r="2373" spans="1:17" s="20" customFormat="1" x14ac:dyDescent="0.25">
      <c r="A2373" s="9"/>
      <c r="B2373" s="28"/>
      <c r="C2373" s="28"/>
      <c r="D2373" s="28"/>
      <c r="E2373" s="28"/>
      <c r="F2373" s="31"/>
      <c r="G2373" s="21"/>
      <c r="H2373" s="22"/>
      <c r="I2373" s="23"/>
      <c r="J2373" s="24"/>
      <c r="K2373" s="25"/>
      <c r="L2373" s="23"/>
      <c r="M2373" s="23"/>
      <c r="N2373" s="24"/>
      <c r="O2373" s="24"/>
      <c r="P2373" s="25"/>
      <c r="Q2373" s="25"/>
    </row>
    <row r="2374" spans="1:17" s="20" customFormat="1" x14ac:dyDescent="0.25">
      <c r="A2374" s="9"/>
      <c r="B2374" s="28"/>
      <c r="C2374" s="28"/>
      <c r="D2374" s="28"/>
      <c r="E2374" s="28"/>
      <c r="F2374" s="31"/>
      <c r="G2374" s="21"/>
      <c r="H2374" s="22"/>
      <c r="I2374" s="23"/>
      <c r="J2374" s="24"/>
      <c r="K2374" s="25"/>
      <c r="L2374" s="23"/>
      <c r="M2374" s="23"/>
      <c r="N2374" s="24"/>
      <c r="O2374" s="24"/>
      <c r="P2374" s="25"/>
      <c r="Q2374" s="25"/>
    </row>
    <row r="2375" spans="1:17" s="20" customFormat="1" x14ac:dyDescent="0.25">
      <c r="A2375" s="9"/>
      <c r="B2375" s="28"/>
      <c r="C2375" s="28"/>
      <c r="D2375" s="28"/>
      <c r="E2375" s="28"/>
      <c r="F2375" s="31"/>
      <c r="G2375" s="21"/>
      <c r="H2375" s="22"/>
      <c r="I2375" s="23"/>
      <c r="J2375" s="24"/>
      <c r="K2375" s="25"/>
      <c r="L2375" s="23"/>
      <c r="M2375" s="23"/>
      <c r="N2375" s="24"/>
      <c r="O2375" s="24"/>
      <c r="P2375" s="25"/>
      <c r="Q2375" s="25"/>
    </row>
    <row r="2376" spans="1:17" s="20" customFormat="1" x14ac:dyDescent="0.25">
      <c r="A2376" s="9"/>
      <c r="B2376" s="28"/>
      <c r="C2376" s="28"/>
      <c r="D2376" s="28"/>
      <c r="E2376" s="28"/>
      <c r="F2376" s="31"/>
      <c r="G2376" s="21"/>
      <c r="H2376" s="22"/>
      <c r="I2376" s="23"/>
      <c r="J2376" s="24"/>
      <c r="K2376" s="25"/>
      <c r="L2376" s="23"/>
      <c r="M2376" s="23"/>
      <c r="N2376" s="24"/>
      <c r="O2376" s="24"/>
      <c r="P2376" s="25"/>
      <c r="Q2376" s="25"/>
    </row>
    <row r="2377" spans="1:17" s="20" customFormat="1" x14ac:dyDescent="0.25">
      <c r="A2377" s="9"/>
      <c r="B2377" s="28"/>
      <c r="C2377" s="28"/>
      <c r="D2377" s="28"/>
      <c r="E2377" s="28"/>
      <c r="F2377" s="31"/>
      <c r="G2377" s="21"/>
      <c r="H2377" s="22"/>
      <c r="I2377" s="23"/>
      <c r="J2377" s="24"/>
      <c r="K2377" s="25"/>
      <c r="L2377" s="23"/>
      <c r="M2377" s="23"/>
      <c r="N2377" s="24"/>
      <c r="O2377" s="24"/>
      <c r="P2377" s="25"/>
      <c r="Q2377" s="25"/>
    </row>
    <row r="2378" spans="1:17" s="20" customFormat="1" x14ac:dyDescent="0.25">
      <c r="A2378" s="9"/>
      <c r="B2378" s="28"/>
      <c r="C2378" s="28"/>
      <c r="D2378" s="28"/>
      <c r="E2378" s="28"/>
      <c r="F2378" s="31"/>
      <c r="G2378" s="21"/>
      <c r="H2378" s="22"/>
      <c r="I2378" s="23"/>
      <c r="J2378" s="24"/>
      <c r="K2378" s="25"/>
      <c r="L2378" s="23"/>
      <c r="M2378" s="23"/>
      <c r="N2378" s="24"/>
      <c r="O2378" s="24"/>
      <c r="P2378" s="25"/>
      <c r="Q2378" s="25"/>
    </row>
    <row r="2379" spans="1:17" s="20" customFormat="1" x14ac:dyDescent="0.25">
      <c r="A2379" s="9"/>
      <c r="B2379" s="28"/>
      <c r="C2379" s="28"/>
      <c r="D2379" s="28"/>
      <c r="E2379" s="28"/>
      <c r="F2379" s="31"/>
      <c r="G2379" s="21"/>
      <c r="H2379" s="22"/>
      <c r="I2379" s="23"/>
      <c r="J2379" s="24"/>
      <c r="K2379" s="25"/>
      <c r="L2379" s="23"/>
      <c r="M2379" s="23"/>
      <c r="N2379" s="24"/>
      <c r="O2379" s="24"/>
      <c r="P2379" s="25"/>
      <c r="Q2379" s="25"/>
    </row>
    <row r="2380" spans="1:17" s="20" customFormat="1" x14ac:dyDescent="0.25">
      <c r="A2380" s="9"/>
      <c r="B2380" s="28"/>
      <c r="C2380" s="28"/>
      <c r="D2380" s="28"/>
      <c r="E2380" s="28"/>
      <c r="F2380" s="31"/>
      <c r="G2380" s="21"/>
      <c r="H2380" s="22"/>
      <c r="I2380" s="23"/>
      <c r="J2380" s="24"/>
      <c r="K2380" s="25"/>
      <c r="L2380" s="23"/>
      <c r="M2380" s="23"/>
      <c r="N2380" s="24"/>
      <c r="O2380" s="24"/>
      <c r="P2380" s="25"/>
      <c r="Q2380" s="25"/>
    </row>
    <row r="2381" spans="1:17" s="20" customFormat="1" x14ac:dyDescent="0.25">
      <c r="A2381" s="9"/>
      <c r="B2381" s="28"/>
      <c r="C2381" s="28"/>
      <c r="D2381" s="28"/>
      <c r="E2381" s="28"/>
      <c r="F2381" s="31"/>
      <c r="G2381" s="21"/>
      <c r="H2381" s="22"/>
      <c r="I2381" s="23"/>
      <c r="J2381" s="24"/>
      <c r="K2381" s="25"/>
      <c r="L2381" s="23"/>
      <c r="M2381" s="23"/>
      <c r="N2381" s="24"/>
      <c r="O2381" s="24"/>
      <c r="P2381" s="25"/>
      <c r="Q2381" s="25"/>
    </row>
    <row r="2382" spans="1:17" s="20" customFormat="1" x14ac:dyDescent="0.25">
      <c r="A2382" s="9"/>
      <c r="B2382" s="28"/>
      <c r="C2382" s="28"/>
      <c r="D2382" s="28"/>
      <c r="E2382" s="28"/>
      <c r="F2382" s="31"/>
      <c r="G2382" s="21"/>
      <c r="H2382" s="22"/>
      <c r="I2382" s="23"/>
      <c r="J2382" s="24"/>
      <c r="K2382" s="25"/>
      <c r="L2382" s="23"/>
      <c r="M2382" s="23"/>
      <c r="N2382" s="24"/>
      <c r="O2382" s="24"/>
      <c r="P2382" s="25"/>
      <c r="Q2382" s="25"/>
    </row>
    <row r="2383" spans="1:17" s="20" customFormat="1" x14ac:dyDescent="0.25">
      <c r="A2383" s="9"/>
      <c r="B2383" s="28"/>
      <c r="C2383" s="28"/>
      <c r="D2383" s="28"/>
      <c r="E2383" s="28"/>
      <c r="F2383" s="31"/>
      <c r="G2383" s="21"/>
      <c r="H2383" s="22"/>
      <c r="I2383" s="23"/>
      <c r="J2383" s="24"/>
      <c r="K2383" s="25"/>
      <c r="L2383" s="23"/>
      <c r="M2383" s="23"/>
      <c r="N2383" s="24"/>
      <c r="O2383" s="24"/>
      <c r="P2383" s="25"/>
      <c r="Q2383" s="25"/>
    </row>
    <row r="2384" spans="1:17" s="20" customFormat="1" x14ac:dyDescent="0.25">
      <c r="A2384" s="9"/>
      <c r="B2384" s="28"/>
      <c r="C2384" s="28"/>
      <c r="D2384" s="28"/>
      <c r="E2384" s="28"/>
      <c r="F2384" s="31"/>
      <c r="G2384" s="21"/>
      <c r="H2384" s="22"/>
      <c r="I2384" s="23"/>
      <c r="J2384" s="24"/>
      <c r="K2384" s="25"/>
      <c r="L2384" s="23"/>
      <c r="M2384" s="23"/>
      <c r="N2384" s="24"/>
      <c r="O2384" s="24"/>
      <c r="P2384" s="25"/>
      <c r="Q2384" s="25"/>
    </row>
    <row r="2385" spans="1:17" s="20" customFormat="1" x14ac:dyDescent="0.25">
      <c r="A2385" s="9"/>
      <c r="B2385" s="28"/>
      <c r="C2385" s="28"/>
      <c r="D2385" s="28"/>
      <c r="E2385" s="28"/>
      <c r="F2385" s="31"/>
      <c r="G2385" s="21"/>
      <c r="H2385" s="22"/>
      <c r="I2385" s="23"/>
      <c r="J2385" s="24"/>
      <c r="K2385" s="25"/>
      <c r="L2385" s="23"/>
      <c r="M2385" s="23"/>
      <c r="N2385" s="24"/>
      <c r="O2385" s="24"/>
      <c r="P2385" s="25"/>
      <c r="Q2385" s="25"/>
    </row>
    <row r="2386" spans="1:17" s="20" customFormat="1" x14ac:dyDescent="0.25">
      <c r="A2386" s="9"/>
      <c r="B2386" s="28"/>
      <c r="C2386" s="28"/>
      <c r="D2386" s="28"/>
      <c r="E2386" s="28"/>
      <c r="F2386" s="31"/>
      <c r="G2386" s="21"/>
      <c r="H2386" s="22"/>
      <c r="I2386" s="23"/>
      <c r="J2386" s="24"/>
      <c r="K2386" s="25"/>
      <c r="L2386" s="23"/>
      <c r="M2386" s="23"/>
      <c r="N2386" s="24"/>
      <c r="O2386" s="24"/>
      <c r="P2386" s="25"/>
      <c r="Q2386" s="25"/>
    </row>
    <row r="2387" spans="1:17" s="20" customFormat="1" x14ac:dyDescent="0.25">
      <c r="A2387" s="9"/>
      <c r="B2387" s="28"/>
      <c r="C2387" s="28"/>
      <c r="D2387" s="28"/>
      <c r="E2387" s="28"/>
      <c r="F2387" s="31"/>
      <c r="G2387" s="21"/>
      <c r="H2387" s="22"/>
      <c r="I2387" s="23"/>
      <c r="J2387" s="24"/>
      <c r="K2387" s="25"/>
      <c r="L2387" s="23"/>
      <c r="M2387" s="23"/>
      <c r="N2387" s="24"/>
      <c r="O2387" s="24"/>
      <c r="P2387" s="25"/>
      <c r="Q2387" s="25"/>
    </row>
    <row r="2388" spans="1:17" s="20" customFormat="1" x14ac:dyDescent="0.25">
      <c r="A2388" s="9"/>
      <c r="B2388" s="28"/>
      <c r="C2388" s="28"/>
      <c r="D2388" s="28"/>
      <c r="E2388" s="28"/>
      <c r="F2388" s="31"/>
      <c r="G2388" s="21"/>
      <c r="H2388" s="22"/>
      <c r="I2388" s="23"/>
      <c r="J2388" s="24"/>
      <c r="K2388" s="25"/>
      <c r="L2388" s="23"/>
      <c r="M2388" s="23"/>
      <c r="N2388" s="24"/>
      <c r="O2388" s="24"/>
      <c r="P2388" s="25"/>
      <c r="Q2388" s="25"/>
    </row>
    <row r="2389" spans="1:17" s="20" customFormat="1" x14ac:dyDescent="0.25">
      <c r="A2389" s="9"/>
      <c r="B2389" s="28"/>
      <c r="C2389" s="28"/>
      <c r="D2389" s="28"/>
      <c r="E2389" s="28"/>
      <c r="F2389" s="31"/>
      <c r="G2389" s="21"/>
      <c r="H2389" s="22"/>
      <c r="I2389" s="23"/>
      <c r="J2389" s="24"/>
      <c r="K2389" s="25"/>
      <c r="L2389" s="23"/>
      <c r="M2389" s="23"/>
      <c r="N2389" s="24"/>
      <c r="O2389" s="24"/>
      <c r="P2389" s="25"/>
      <c r="Q2389" s="25"/>
    </row>
    <row r="2390" spans="1:17" s="20" customFormat="1" x14ac:dyDescent="0.25">
      <c r="A2390" s="9"/>
      <c r="B2390" s="28"/>
      <c r="C2390" s="28"/>
      <c r="D2390" s="28"/>
      <c r="E2390" s="28"/>
      <c r="F2390" s="31"/>
      <c r="G2390" s="21"/>
      <c r="H2390" s="22"/>
      <c r="I2390" s="23"/>
      <c r="J2390" s="24"/>
      <c r="K2390" s="25"/>
      <c r="L2390" s="23"/>
      <c r="M2390" s="23"/>
      <c r="N2390" s="24"/>
      <c r="O2390" s="24"/>
      <c r="P2390" s="25"/>
      <c r="Q2390" s="25"/>
    </row>
    <row r="2391" spans="1:17" s="20" customFormat="1" x14ac:dyDescent="0.25">
      <c r="A2391" s="9"/>
      <c r="B2391" s="28"/>
      <c r="C2391" s="28"/>
      <c r="D2391" s="28"/>
      <c r="E2391" s="28"/>
      <c r="F2391" s="31"/>
      <c r="G2391" s="21"/>
      <c r="H2391" s="22"/>
      <c r="I2391" s="23"/>
      <c r="J2391" s="24"/>
      <c r="K2391" s="25"/>
      <c r="L2391" s="23"/>
      <c r="M2391" s="23"/>
      <c r="N2391" s="24"/>
      <c r="O2391" s="24"/>
      <c r="P2391" s="25"/>
      <c r="Q2391" s="25"/>
    </row>
    <row r="2392" spans="1:17" s="20" customFormat="1" x14ac:dyDescent="0.25">
      <c r="A2392" s="9"/>
      <c r="B2392" s="28"/>
      <c r="C2392" s="28"/>
      <c r="D2392" s="28"/>
      <c r="E2392" s="28"/>
      <c r="F2392" s="31"/>
      <c r="G2392" s="21"/>
      <c r="H2392" s="22"/>
      <c r="I2392" s="23"/>
      <c r="J2392" s="24"/>
      <c r="K2392" s="25"/>
      <c r="L2392" s="23"/>
      <c r="M2392" s="23"/>
      <c r="N2392" s="24"/>
      <c r="O2392" s="24"/>
      <c r="P2392" s="25"/>
      <c r="Q2392" s="25"/>
    </row>
    <row r="2393" spans="1:17" s="20" customFormat="1" x14ac:dyDescent="0.25">
      <c r="A2393" s="9"/>
      <c r="B2393" s="28"/>
      <c r="C2393" s="28"/>
      <c r="D2393" s="28"/>
      <c r="E2393" s="28"/>
      <c r="F2393" s="31"/>
      <c r="G2393" s="21"/>
      <c r="H2393" s="22"/>
      <c r="I2393" s="23"/>
      <c r="J2393" s="24"/>
      <c r="K2393" s="25"/>
      <c r="L2393" s="23"/>
      <c r="M2393" s="23"/>
      <c r="N2393" s="24"/>
      <c r="O2393" s="24"/>
      <c r="P2393" s="25"/>
      <c r="Q2393" s="25"/>
    </row>
    <row r="2394" spans="1:17" s="20" customFormat="1" x14ac:dyDescent="0.25">
      <c r="A2394" s="9"/>
      <c r="B2394" s="28"/>
      <c r="C2394" s="28"/>
      <c r="D2394" s="28"/>
      <c r="E2394" s="28"/>
      <c r="F2394" s="31"/>
      <c r="G2394" s="21"/>
      <c r="H2394" s="22"/>
      <c r="I2394" s="23"/>
      <c r="J2394" s="24"/>
      <c r="K2394" s="25"/>
      <c r="L2394" s="23"/>
      <c r="M2394" s="23"/>
      <c r="N2394" s="24"/>
      <c r="O2394" s="24"/>
      <c r="P2394" s="25"/>
      <c r="Q2394" s="25"/>
    </row>
    <row r="2395" spans="1:17" s="20" customFormat="1" x14ac:dyDescent="0.25">
      <c r="A2395" s="9"/>
      <c r="B2395" s="28"/>
      <c r="C2395" s="28"/>
      <c r="D2395" s="28"/>
      <c r="E2395" s="28"/>
      <c r="F2395" s="31"/>
      <c r="G2395" s="21"/>
      <c r="H2395" s="22"/>
      <c r="I2395" s="23"/>
      <c r="J2395" s="24"/>
      <c r="K2395" s="25"/>
      <c r="L2395" s="23"/>
      <c r="M2395" s="23"/>
      <c r="N2395" s="24"/>
      <c r="O2395" s="24"/>
      <c r="P2395" s="25"/>
      <c r="Q2395" s="25"/>
    </row>
    <row r="2396" spans="1:17" s="20" customFormat="1" x14ac:dyDescent="0.25">
      <c r="A2396" s="9"/>
      <c r="B2396" s="28"/>
      <c r="C2396" s="28"/>
      <c r="D2396" s="28"/>
      <c r="E2396" s="28"/>
      <c r="F2396" s="31"/>
      <c r="G2396" s="21"/>
      <c r="H2396" s="22"/>
      <c r="I2396" s="23"/>
      <c r="J2396" s="24"/>
      <c r="K2396" s="25"/>
      <c r="L2396" s="23"/>
      <c r="M2396" s="23"/>
      <c r="N2396" s="24"/>
      <c r="O2396" s="24"/>
      <c r="P2396" s="25"/>
      <c r="Q2396" s="25"/>
    </row>
    <row r="2397" spans="1:17" s="20" customFormat="1" x14ac:dyDescent="0.25">
      <c r="A2397" s="9"/>
      <c r="B2397" s="28"/>
      <c r="C2397" s="28"/>
      <c r="D2397" s="28"/>
      <c r="E2397" s="28"/>
      <c r="F2397" s="31"/>
      <c r="G2397" s="21"/>
      <c r="H2397" s="22"/>
      <c r="I2397" s="23"/>
      <c r="J2397" s="24"/>
      <c r="K2397" s="25"/>
      <c r="L2397" s="23"/>
      <c r="M2397" s="23"/>
      <c r="N2397" s="24"/>
      <c r="O2397" s="24"/>
      <c r="P2397" s="25"/>
      <c r="Q2397" s="25"/>
    </row>
    <row r="2398" spans="1:17" s="20" customFormat="1" x14ac:dyDescent="0.25">
      <c r="A2398" s="9"/>
      <c r="B2398" s="28"/>
      <c r="C2398" s="28"/>
      <c r="D2398" s="28"/>
      <c r="E2398" s="28"/>
      <c r="F2398" s="31"/>
      <c r="G2398" s="21"/>
      <c r="H2398" s="22"/>
      <c r="I2398" s="23"/>
      <c r="J2398" s="24"/>
      <c r="K2398" s="25"/>
      <c r="L2398" s="23"/>
      <c r="M2398" s="23"/>
      <c r="N2398" s="24"/>
      <c r="O2398" s="24"/>
      <c r="P2398" s="25"/>
      <c r="Q2398" s="25"/>
    </row>
    <row r="2399" spans="1:17" s="20" customFormat="1" x14ac:dyDescent="0.25">
      <c r="A2399" s="9"/>
      <c r="B2399" s="28"/>
      <c r="C2399" s="28"/>
      <c r="D2399" s="28"/>
      <c r="E2399" s="28"/>
      <c r="F2399" s="31"/>
      <c r="G2399" s="21"/>
      <c r="H2399" s="22"/>
      <c r="I2399" s="23"/>
      <c r="J2399" s="24"/>
      <c r="K2399" s="25"/>
      <c r="L2399" s="23"/>
      <c r="M2399" s="23"/>
      <c r="N2399" s="24"/>
      <c r="O2399" s="24"/>
      <c r="P2399" s="25"/>
      <c r="Q2399" s="25"/>
    </row>
    <row r="2400" spans="1:17" s="20" customFormat="1" x14ac:dyDescent="0.25">
      <c r="A2400" s="9"/>
      <c r="B2400" s="28"/>
      <c r="C2400" s="28"/>
      <c r="D2400" s="28"/>
      <c r="E2400" s="28"/>
      <c r="F2400" s="31"/>
      <c r="G2400" s="21"/>
      <c r="H2400" s="22"/>
      <c r="I2400" s="23"/>
      <c r="J2400" s="24"/>
      <c r="K2400" s="25"/>
      <c r="L2400" s="23"/>
      <c r="M2400" s="23"/>
      <c r="N2400" s="24"/>
      <c r="O2400" s="24"/>
      <c r="P2400" s="25"/>
      <c r="Q2400" s="25"/>
    </row>
    <row r="2401" spans="1:17" s="20" customFormat="1" x14ac:dyDescent="0.25">
      <c r="A2401" s="9"/>
      <c r="B2401" s="28"/>
      <c r="C2401" s="28"/>
      <c r="D2401" s="28"/>
      <c r="E2401" s="28"/>
      <c r="F2401" s="31"/>
      <c r="G2401" s="21"/>
      <c r="H2401" s="22"/>
      <c r="I2401" s="23"/>
      <c r="J2401" s="24"/>
      <c r="K2401" s="25"/>
      <c r="L2401" s="23"/>
      <c r="M2401" s="23"/>
      <c r="N2401" s="24"/>
      <c r="O2401" s="24"/>
      <c r="P2401" s="25"/>
      <c r="Q2401" s="25"/>
    </row>
    <row r="2402" spans="1:17" s="20" customFormat="1" x14ac:dyDescent="0.25">
      <c r="A2402" s="9"/>
      <c r="B2402" s="28"/>
      <c r="C2402" s="28"/>
      <c r="D2402" s="28"/>
      <c r="E2402" s="28"/>
      <c r="F2402" s="31"/>
      <c r="G2402" s="21"/>
      <c r="H2402" s="22"/>
      <c r="I2402" s="23"/>
      <c r="J2402" s="24"/>
      <c r="K2402" s="25"/>
      <c r="L2402" s="23"/>
      <c r="M2402" s="23"/>
      <c r="N2402" s="24"/>
      <c r="O2402" s="24"/>
      <c r="P2402" s="25"/>
      <c r="Q2402" s="25"/>
    </row>
    <row r="2403" spans="1:17" s="20" customFormat="1" x14ac:dyDescent="0.25">
      <c r="A2403" s="9"/>
      <c r="B2403" s="28"/>
      <c r="C2403" s="28"/>
      <c r="D2403" s="28"/>
      <c r="E2403" s="28"/>
      <c r="F2403" s="31"/>
      <c r="G2403" s="21"/>
      <c r="H2403" s="22"/>
      <c r="I2403" s="23"/>
      <c r="J2403" s="24"/>
      <c r="K2403" s="25"/>
      <c r="L2403" s="23"/>
      <c r="M2403" s="23"/>
      <c r="N2403" s="24"/>
      <c r="O2403" s="24"/>
      <c r="P2403" s="25"/>
      <c r="Q2403" s="25"/>
    </row>
    <row r="2404" spans="1:17" s="20" customFormat="1" x14ac:dyDescent="0.25">
      <c r="A2404" s="9"/>
      <c r="B2404" s="28"/>
      <c r="C2404" s="28"/>
      <c r="D2404" s="28"/>
      <c r="E2404" s="28"/>
      <c r="F2404" s="31"/>
      <c r="G2404" s="21"/>
      <c r="H2404" s="22"/>
      <c r="I2404" s="23"/>
      <c r="J2404" s="24"/>
      <c r="K2404" s="25"/>
      <c r="L2404" s="23"/>
      <c r="M2404" s="23"/>
      <c r="N2404" s="24"/>
      <c r="O2404" s="24"/>
      <c r="P2404" s="25"/>
      <c r="Q2404" s="25"/>
    </row>
    <row r="2405" spans="1:17" s="20" customFormat="1" x14ac:dyDescent="0.25">
      <c r="A2405" s="9"/>
      <c r="B2405" s="28"/>
      <c r="C2405" s="28"/>
      <c r="D2405" s="28"/>
      <c r="E2405" s="28"/>
      <c r="F2405" s="31"/>
      <c r="G2405" s="21"/>
      <c r="H2405" s="22"/>
      <c r="I2405" s="23"/>
      <c r="J2405" s="24"/>
      <c r="K2405" s="25"/>
      <c r="L2405" s="23"/>
      <c r="M2405" s="23"/>
      <c r="N2405" s="24"/>
      <c r="O2405" s="24"/>
      <c r="P2405" s="25"/>
      <c r="Q2405" s="25"/>
    </row>
    <row r="2406" spans="1:17" s="20" customFormat="1" x14ac:dyDescent="0.25">
      <c r="A2406" s="9"/>
      <c r="B2406" s="28"/>
      <c r="C2406" s="28"/>
      <c r="D2406" s="28"/>
      <c r="E2406" s="28"/>
      <c r="F2406" s="31"/>
      <c r="G2406" s="21"/>
      <c r="H2406" s="22"/>
      <c r="I2406" s="23"/>
      <c r="J2406" s="24"/>
      <c r="K2406" s="25"/>
      <c r="L2406" s="23"/>
      <c r="M2406" s="23"/>
      <c r="N2406" s="24"/>
      <c r="O2406" s="24"/>
      <c r="P2406" s="25"/>
      <c r="Q2406" s="25"/>
    </row>
    <row r="2407" spans="1:17" s="20" customFormat="1" x14ac:dyDescent="0.25">
      <c r="A2407" s="9"/>
      <c r="B2407" s="28"/>
      <c r="C2407" s="28"/>
      <c r="D2407" s="28"/>
      <c r="E2407" s="28"/>
      <c r="F2407" s="31"/>
      <c r="G2407" s="21"/>
      <c r="H2407" s="22"/>
      <c r="I2407" s="23"/>
      <c r="J2407" s="24"/>
      <c r="K2407" s="25"/>
      <c r="L2407" s="23"/>
      <c r="M2407" s="23"/>
      <c r="N2407" s="24"/>
      <c r="O2407" s="24"/>
      <c r="P2407" s="25"/>
      <c r="Q2407" s="25"/>
    </row>
    <row r="2408" spans="1:17" s="20" customFormat="1" x14ac:dyDescent="0.25">
      <c r="A2408" s="9"/>
      <c r="B2408" s="28"/>
      <c r="C2408" s="28"/>
      <c r="D2408" s="28"/>
      <c r="E2408" s="28"/>
      <c r="F2408" s="31"/>
      <c r="G2408" s="21"/>
      <c r="H2408" s="22"/>
      <c r="I2408" s="23"/>
      <c r="J2408" s="24"/>
      <c r="K2408" s="25"/>
      <c r="L2408" s="23"/>
      <c r="M2408" s="23"/>
      <c r="N2408" s="24"/>
      <c r="O2408" s="24"/>
      <c r="P2408" s="25"/>
      <c r="Q2408" s="25"/>
    </row>
    <row r="2409" spans="1:17" s="20" customFormat="1" x14ac:dyDescent="0.25">
      <c r="A2409" s="9"/>
      <c r="B2409" s="28"/>
      <c r="C2409" s="28"/>
      <c r="D2409" s="28"/>
      <c r="E2409" s="28"/>
      <c r="F2409" s="31"/>
      <c r="G2409" s="21"/>
      <c r="H2409" s="22"/>
      <c r="I2409" s="23"/>
      <c r="J2409" s="24"/>
      <c r="K2409" s="25"/>
      <c r="L2409" s="23"/>
      <c r="M2409" s="23"/>
      <c r="N2409" s="24"/>
      <c r="O2409" s="24"/>
      <c r="P2409" s="25"/>
      <c r="Q2409" s="25"/>
    </row>
    <row r="2410" spans="1:17" s="20" customFormat="1" x14ac:dyDescent="0.25">
      <c r="A2410" s="9"/>
      <c r="B2410" s="28"/>
      <c r="C2410" s="28"/>
      <c r="D2410" s="28"/>
      <c r="E2410" s="28"/>
      <c r="F2410" s="31"/>
      <c r="G2410" s="21"/>
      <c r="H2410" s="22"/>
      <c r="I2410" s="23"/>
      <c r="J2410" s="24"/>
      <c r="K2410" s="25"/>
      <c r="L2410" s="23"/>
      <c r="M2410" s="23"/>
      <c r="N2410" s="24"/>
      <c r="O2410" s="24"/>
      <c r="P2410" s="25"/>
      <c r="Q2410" s="25"/>
    </row>
    <row r="2411" spans="1:17" s="20" customFormat="1" x14ac:dyDescent="0.25">
      <c r="A2411" s="9"/>
      <c r="B2411" s="28"/>
      <c r="C2411" s="28"/>
      <c r="D2411" s="28"/>
      <c r="E2411" s="28"/>
      <c r="F2411" s="31"/>
      <c r="G2411" s="21"/>
      <c r="H2411" s="22"/>
      <c r="I2411" s="23"/>
      <c r="J2411" s="24"/>
      <c r="K2411" s="25"/>
      <c r="L2411" s="23"/>
      <c r="M2411" s="23"/>
      <c r="N2411" s="24"/>
      <c r="O2411" s="24"/>
      <c r="P2411" s="25"/>
      <c r="Q2411" s="25"/>
    </row>
    <row r="2412" spans="1:17" s="20" customFormat="1" x14ac:dyDescent="0.25">
      <c r="A2412" s="9"/>
      <c r="B2412" s="28"/>
      <c r="C2412" s="28"/>
      <c r="D2412" s="28"/>
      <c r="E2412" s="28"/>
      <c r="F2412" s="31"/>
      <c r="G2412" s="21"/>
      <c r="H2412" s="22"/>
      <c r="I2412" s="23"/>
      <c r="J2412" s="24"/>
      <c r="K2412" s="25"/>
      <c r="L2412" s="23"/>
      <c r="M2412" s="23"/>
      <c r="N2412" s="24"/>
      <c r="O2412" s="24"/>
      <c r="P2412" s="25"/>
      <c r="Q2412" s="25"/>
    </row>
    <row r="2413" spans="1:17" s="20" customFormat="1" x14ac:dyDescent="0.25">
      <c r="A2413" s="9"/>
      <c r="B2413" s="28"/>
      <c r="C2413" s="28"/>
      <c r="D2413" s="28"/>
      <c r="E2413" s="28"/>
      <c r="F2413" s="31"/>
      <c r="G2413" s="21"/>
      <c r="H2413" s="22"/>
      <c r="I2413" s="23"/>
      <c r="J2413" s="24"/>
      <c r="K2413" s="25"/>
      <c r="L2413" s="23"/>
      <c r="M2413" s="23"/>
      <c r="N2413" s="24"/>
      <c r="O2413" s="24"/>
      <c r="P2413" s="25"/>
      <c r="Q2413" s="25"/>
    </row>
    <row r="2414" spans="1:17" s="20" customFormat="1" x14ac:dyDescent="0.25">
      <c r="A2414" s="9"/>
      <c r="B2414" s="28"/>
      <c r="C2414" s="28"/>
      <c r="D2414" s="28"/>
      <c r="E2414" s="28"/>
      <c r="F2414" s="31"/>
      <c r="G2414" s="21"/>
      <c r="H2414" s="22"/>
      <c r="I2414" s="23"/>
      <c r="J2414" s="24"/>
      <c r="K2414" s="25"/>
      <c r="L2414" s="23"/>
      <c r="M2414" s="23"/>
      <c r="N2414" s="24"/>
      <c r="O2414" s="24"/>
      <c r="P2414" s="25"/>
      <c r="Q2414" s="25"/>
    </row>
    <row r="2415" spans="1:17" s="20" customFormat="1" x14ac:dyDescent="0.25">
      <c r="A2415" s="9"/>
      <c r="B2415" s="28"/>
      <c r="C2415" s="28"/>
      <c r="D2415" s="28"/>
      <c r="E2415" s="28"/>
      <c r="F2415" s="31"/>
      <c r="G2415" s="21"/>
      <c r="H2415" s="22"/>
      <c r="I2415" s="23"/>
      <c r="J2415" s="24"/>
      <c r="K2415" s="25"/>
      <c r="L2415" s="23"/>
      <c r="M2415" s="23"/>
      <c r="N2415" s="24"/>
      <c r="O2415" s="24"/>
      <c r="P2415" s="25"/>
      <c r="Q2415" s="25"/>
    </row>
    <row r="2416" spans="1:17" s="20" customFormat="1" x14ac:dyDescent="0.25">
      <c r="A2416" s="9"/>
      <c r="B2416" s="28"/>
      <c r="C2416" s="28"/>
      <c r="D2416" s="28"/>
      <c r="E2416" s="28"/>
      <c r="F2416" s="31"/>
      <c r="G2416" s="21"/>
      <c r="H2416" s="22"/>
      <c r="I2416" s="23"/>
      <c r="J2416" s="24"/>
      <c r="K2416" s="25"/>
      <c r="L2416" s="23"/>
      <c r="M2416" s="23"/>
      <c r="N2416" s="24"/>
      <c r="O2416" s="24"/>
      <c r="P2416" s="25"/>
      <c r="Q2416" s="25"/>
    </row>
    <row r="2417" spans="1:17" s="20" customFormat="1" x14ac:dyDescent="0.25">
      <c r="A2417" s="9"/>
      <c r="B2417" s="28"/>
      <c r="C2417" s="28"/>
      <c r="D2417" s="28"/>
      <c r="E2417" s="28"/>
      <c r="F2417" s="31"/>
      <c r="G2417" s="21"/>
      <c r="H2417" s="22"/>
      <c r="I2417" s="23"/>
      <c r="J2417" s="24"/>
      <c r="K2417" s="25"/>
      <c r="L2417" s="23"/>
      <c r="M2417" s="23"/>
      <c r="N2417" s="24"/>
      <c r="O2417" s="24"/>
      <c r="P2417" s="25"/>
      <c r="Q2417" s="25"/>
    </row>
    <row r="2418" spans="1:17" s="20" customFormat="1" x14ac:dyDescent="0.25">
      <c r="A2418" s="9"/>
      <c r="B2418" s="28"/>
      <c r="C2418" s="28"/>
      <c r="D2418" s="28"/>
      <c r="E2418" s="28"/>
      <c r="F2418" s="31"/>
      <c r="G2418" s="21"/>
      <c r="H2418" s="22"/>
      <c r="I2418" s="23"/>
      <c r="J2418" s="24"/>
      <c r="K2418" s="25"/>
      <c r="L2418" s="23"/>
      <c r="M2418" s="23"/>
      <c r="N2418" s="24"/>
      <c r="O2418" s="24"/>
      <c r="P2418" s="25"/>
      <c r="Q2418" s="25"/>
    </row>
    <row r="2419" spans="1:17" s="20" customFormat="1" x14ac:dyDescent="0.25">
      <c r="A2419" s="9"/>
      <c r="B2419" s="28"/>
      <c r="C2419" s="28"/>
      <c r="D2419" s="28"/>
      <c r="E2419" s="28"/>
      <c r="F2419" s="31"/>
      <c r="G2419" s="21"/>
      <c r="H2419" s="22"/>
      <c r="I2419" s="23"/>
      <c r="J2419" s="24"/>
      <c r="K2419" s="25"/>
      <c r="L2419" s="23"/>
      <c r="M2419" s="23"/>
      <c r="N2419" s="24"/>
      <c r="O2419" s="24"/>
      <c r="P2419" s="25"/>
      <c r="Q2419" s="25"/>
    </row>
    <row r="2420" spans="1:17" s="20" customFormat="1" x14ac:dyDescent="0.25">
      <c r="A2420" s="9"/>
      <c r="B2420" s="28"/>
      <c r="C2420" s="28"/>
      <c r="D2420" s="28"/>
      <c r="E2420" s="28"/>
      <c r="F2420" s="31"/>
      <c r="G2420" s="21"/>
      <c r="H2420" s="22"/>
      <c r="I2420" s="23"/>
      <c r="J2420" s="24"/>
      <c r="K2420" s="25"/>
      <c r="L2420" s="23"/>
      <c r="M2420" s="23"/>
      <c r="N2420" s="24"/>
      <c r="O2420" s="24"/>
      <c r="P2420" s="25"/>
      <c r="Q2420" s="25"/>
    </row>
    <row r="2421" spans="1:17" s="20" customFormat="1" x14ac:dyDescent="0.25">
      <c r="A2421" s="9"/>
      <c r="B2421" s="28"/>
      <c r="C2421" s="28"/>
      <c r="D2421" s="28"/>
      <c r="E2421" s="28"/>
      <c r="F2421" s="31"/>
      <c r="G2421" s="21"/>
      <c r="H2421" s="22"/>
      <c r="I2421" s="23"/>
      <c r="J2421" s="24"/>
      <c r="K2421" s="25"/>
      <c r="L2421" s="23"/>
      <c r="M2421" s="23"/>
      <c r="N2421" s="24"/>
      <c r="O2421" s="24"/>
      <c r="P2421" s="25"/>
      <c r="Q2421" s="25"/>
    </row>
    <row r="2422" spans="1:17" s="20" customFormat="1" x14ac:dyDescent="0.25">
      <c r="A2422" s="9"/>
      <c r="B2422" s="28"/>
      <c r="C2422" s="28"/>
      <c r="D2422" s="28"/>
      <c r="E2422" s="28"/>
      <c r="F2422" s="31"/>
      <c r="G2422" s="21"/>
      <c r="H2422" s="22"/>
      <c r="I2422" s="23"/>
      <c r="J2422" s="24"/>
      <c r="K2422" s="25"/>
      <c r="L2422" s="23"/>
      <c r="M2422" s="23"/>
      <c r="N2422" s="24"/>
      <c r="O2422" s="24"/>
      <c r="P2422" s="25"/>
      <c r="Q2422" s="25"/>
    </row>
    <row r="2423" spans="1:17" s="20" customFormat="1" x14ac:dyDescent="0.25">
      <c r="A2423" s="9"/>
      <c r="B2423" s="28"/>
      <c r="C2423" s="28"/>
      <c r="D2423" s="28"/>
      <c r="E2423" s="28"/>
      <c r="F2423" s="31"/>
      <c r="G2423" s="21"/>
      <c r="H2423" s="22"/>
      <c r="I2423" s="23"/>
      <c r="J2423" s="24"/>
      <c r="K2423" s="25"/>
      <c r="L2423" s="23"/>
      <c r="M2423" s="23"/>
      <c r="N2423" s="24"/>
      <c r="O2423" s="24"/>
      <c r="P2423" s="25"/>
      <c r="Q2423" s="25"/>
    </row>
    <row r="2424" spans="1:17" s="20" customFormat="1" x14ac:dyDescent="0.25">
      <c r="A2424" s="9"/>
      <c r="B2424" s="28"/>
      <c r="C2424" s="28"/>
      <c r="D2424" s="28"/>
      <c r="E2424" s="28"/>
      <c r="F2424" s="31"/>
      <c r="G2424" s="21"/>
      <c r="H2424" s="22"/>
      <c r="I2424" s="23"/>
      <c r="J2424" s="24"/>
      <c r="K2424" s="25"/>
      <c r="L2424" s="23"/>
      <c r="M2424" s="23"/>
      <c r="N2424" s="24"/>
      <c r="O2424" s="24"/>
      <c r="P2424" s="25"/>
      <c r="Q2424" s="25"/>
    </row>
    <row r="2425" spans="1:17" s="20" customFormat="1" x14ac:dyDescent="0.25">
      <c r="A2425" s="9"/>
      <c r="B2425" s="28"/>
      <c r="C2425" s="28"/>
      <c r="D2425" s="28"/>
      <c r="E2425" s="28"/>
      <c r="F2425" s="31"/>
      <c r="G2425" s="21"/>
      <c r="H2425" s="22"/>
      <c r="I2425" s="23"/>
      <c r="J2425" s="24"/>
      <c r="K2425" s="25"/>
      <c r="L2425" s="23"/>
      <c r="M2425" s="23"/>
      <c r="N2425" s="24"/>
      <c r="O2425" s="24"/>
      <c r="P2425" s="25"/>
      <c r="Q2425" s="25"/>
    </row>
    <row r="2426" spans="1:17" s="20" customFormat="1" x14ac:dyDescent="0.25">
      <c r="A2426" s="9"/>
      <c r="B2426" s="28"/>
      <c r="C2426" s="28"/>
      <c r="D2426" s="28"/>
      <c r="E2426" s="28"/>
      <c r="F2426" s="31"/>
      <c r="G2426" s="21"/>
      <c r="H2426" s="22"/>
      <c r="I2426" s="23"/>
      <c r="J2426" s="24"/>
      <c r="K2426" s="25"/>
      <c r="L2426" s="23"/>
      <c r="M2426" s="23"/>
      <c r="N2426" s="24"/>
      <c r="O2426" s="24"/>
      <c r="P2426" s="25"/>
      <c r="Q2426" s="25"/>
    </row>
    <row r="2427" spans="1:17" s="20" customFormat="1" x14ac:dyDescent="0.25">
      <c r="A2427" s="9"/>
      <c r="B2427" s="28"/>
      <c r="C2427" s="28"/>
      <c r="D2427" s="28"/>
      <c r="E2427" s="28"/>
      <c r="F2427" s="31"/>
      <c r="G2427" s="21"/>
      <c r="H2427" s="22"/>
      <c r="I2427" s="23"/>
      <c r="J2427" s="24"/>
      <c r="K2427" s="25"/>
      <c r="L2427" s="23"/>
      <c r="M2427" s="23"/>
      <c r="N2427" s="24"/>
      <c r="O2427" s="24"/>
      <c r="P2427" s="25"/>
      <c r="Q2427" s="25"/>
    </row>
    <row r="2428" spans="1:17" s="20" customFormat="1" x14ac:dyDescent="0.25">
      <c r="A2428" s="9"/>
      <c r="B2428" s="28"/>
      <c r="C2428" s="28"/>
      <c r="D2428" s="28"/>
      <c r="E2428" s="28"/>
      <c r="F2428" s="31"/>
      <c r="G2428" s="21"/>
      <c r="H2428" s="22"/>
      <c r="I2428" s="23"/>
      <c r="J2428" s="24"/>
      <c r="K2428" s="25"/>
      <c r="L2428" s="23"/>
      <c r="M2428" s="23"/>
      <c r="N2428" s="24"/>
      <c r="O2428" s="24"/>
      <c r="P2428" s="25"/>
      <c r="Q2428" s="25"/>
    </row>
    <row r="2429" spans="1:17" s="20" customFormat="1" x14ac:dyDescent="0.25">
      <c r="A2429" s="9"/>
      <c r="B2429" s="28"/>
      <c r="C2429" s="28"/>
      <c r="D2429" s="28"/>
      <c r="E2429" s="28"/>
      <c r="F2429" s="31"/>
      <c r="G2429" s="21"/>
      <c r="H2429" s="22"/>
      <c r="I2429" s="23"/>
      <c r="J2429" s="24"/>
      <c r="K2429" s="25"/>
      <c r="L2429" s="23"/>
      <c r="M2429" s="23"/>
      <c r="N2429" s="24"/>
      <c r="O2429" s="24"/>
      <c r="P2429" s="25"/>
      <c r="Q2429" s="25"/>
    </row>
    <row r="2430" spans="1:17" s="20" customFormat="1" x14ac:dyDescent="0.25">
      <c r="A2430" s="9"/>
      <c r="B2430" s="28"/>
      <c r="C2430" s="28"/>
      <c r="D2430" s="28"/>
      <c r="E2430" s="28"/>
      <c r="F2430" s="31"/>
      <c r="G2430" s="21"/>
      <c r="H2430" s="22"/>
      <c r="I2430" s="23"/>
      <c r="J2430" s="24"/>
      <c r="K2430" s="25"/>
      <c r="L2430" s="23"/>
      <c r="M2430" s="23"/>
      <c r="N2430" s="24"/>
      <c r="O2430" s="24"/>
      <c r="P2430" s="25"/>
      <c r="Q2430" s="25"/>
    </row>
    <row r="2431" spans="1:17" s="20" customFormat="1" x14ac:dyDescent="0.25">
      <c r="A2431" s="9"/>
      <c r="B2431" s="28"/>
      <c r="C2431" s="28"/>
      <c r="D2431" s="28"/>
      <c r="E2431" s="28"/>
      <c r="F2431" s="31"/>
      <c r="G2431" s="21"/>
      <c r="H2431" s="22"/>
      <c r="I2431" s="23"/>
      <c r="J2431" s="24"/>
      <c r="K2431" s="25"/>
      <c r="L2431" s="23"/>
      <c r="M2431" s="23"/>
      <c r="N2431" s="24"/>
      <c r="O2431" s="24"/>
      <c r="P2431" s="25"/>
      <c r="Q2431" s="25"/>
    </row>
    <row r="2432" spans="1:17" s="20" customFormat="1" x14ac:dyDescent="0.25">
      <c r="A2432" s="9"/>
      <c r="B2432" s="28"/>
      <c r="C2432" s="28"/>
      <c r="D2432" s="28"/>
      <c r="E2432" s="28"/>
      <c r="F2432" s="31"/>
      <c r="G2432" s="21"/>
      <c r="H2432" s="22"/>
      <c r="I2432" s="23"/>
      <c r="J2432" s="24"/>
      <c r="K2432" s="25"/>
      <c r="L2432" s="23"/>
      <c r="M2432" s="23"/>
      <c r="N2432" s="24"/>
      <c r="O2432" s="24"/>
      <c r="P2432" s="25"/>
      <c r="Q2432" s="25"/>
    </row>
    <row r="2433" spans="1:18" s="20" customFormat="1" x14ac:dyDescent="0.25">
      <c r="A2433" s="9"/>
      <c r="B2433" s="28"/>
      <c r="C2433" s="28"/>
      <c r="D2433" s="28"/>
      <c r="E2433" s="28"/>
      <c r="F2433" s="31"/>
      <c r="G2433" s="21"/>
      <c r="H2433" s="22"/>
      <c r="I2433" s="23"/>
      <c r="J2433" s="24"/>
      <c r="K2433" s="25"/>
      <c r="L2433" s="23"/>
      <c r="M2433" s="23"/>
      <c r="N2433" s="24"/>
      <c r="O2433" s="24"/>
      <c r="P2433" s="25"/>
      <c r="Q2433" s="25"/>
    </row>
    <row r="2434" spans="1:18" s="20" customFormat="1" x14ac:dyDescent="0.25">
      <c r="A2434" s="9"/>
      <c r="B2434" s="28"/>
      <c r="C2434" s="28"/>
      <c r="D2434" s="28"/>
      <c r="E2434" s="28"/>
      <c r="F2434" s="31"/>
      <c r="G2434" s="21"/>
      <c r="H2434" s="22"/>
      <c r="I2434" s="23"/>
      <c r="J2434" s="24"/>
      <c r="K2434" s="25"/>
      <c r="L2434" s="23"/>
      <c r="M2434" s="23"/>
      <c r="N2434" s="24"/>
      <c r="O2434" s="24"/>
      <c r="P2434" s="25"/>
      <c r="Q2434" s="25"/>
    </row>
    <row r="2435" spans="1:18" s="20" customFormat="1" x14ac:dyDescent="0.25">
      <c r="A2435" s="9"/>
      <c r="B2435" s="28"/>
      <c r="C2435" s="28"/>
      <c r="D2435" s="28"/>
      <c r="E2435" s="28"/>
      <c r="F2435" s="31"/>
      <c r="G2435" s="21"/>
      <c r="H2435" s="22"/>
      <c r="I2435" s="23"/>
      <c r="J2435" s="24"/>
      <c r="K2435" s="25"/>
      <c r="L2435" s="23"/>
      <c r="M2435" s="23"/>
      <c r="N2435" s="24"/>
      <c r="O2435" s="24"/>
      <c r="P2435" s="25"/>
      <c r="Q2435" s="25"/>
    </row>
    <row r="2436" spans="1:18" s="20" customFormat="1" x14ac:dyDescent="0.25">
      <c r="A2436" s="9"/>
      <c r="B2436" s="28"/>
      <c r="C2436" s="28"/>
      <c r="D2436" s="28"/>
      <c r="E2436" s="28"/>
      <c r="F2436" s="31"/>
      <c r="G2436" s="21"/>
      <c r="H2436" s="22"/>
      <c r="I2436" s="23"/>
      <c r="J2436" s="24"/>
      <c r="K2436" s="25"/>
      <c r="L2436" s="23"/>
      <c r="M2436" s="23"/>
      <c r="N2436" s="24"/>
      <c r="O2436" s="24"/>
      <c r="P2436" s="25"/>
      <c r="Q2436" s="25"/>
    </row>
    <row r="2437" spans="1:18" s="20" customFormat="1" x14ac:dyDescent="0.25">
      <c r="A2437" s="9"/>
      <c r="B2437" s="28"/>
      <c r="C2437" s="28"/>
      <c r="D2437" s="28"/>
      <c r="E2437" s="28"/>
      <c r="F2437" s="31"/>
      <c r="G2437" s="21"/>
      <c r="H2437" s="22"/>
      <c r="I2437" s="23"/>
      <c r="J2437" s="24"/>
      <c r="K2437" s="25"/>
      <c r="L2437" s="23"/>
      <c r="M2437" s="23"/>
      <c r="N2437" s="24"/>
      <c r="O2437" s="24"/>
      <c r="P2437" s="25"/>
      <c r="Q2437" s="25"/>
    </row>
    <row r="2438" spans="1:18" x14ac:dyDescent="0.25">
      <c r="A2438" s="9"/>
      <c r="B2438" s="28"/>
      <c r="C2438" s="28"/>
      <c r="D2438" s="28"/>
      <c r="E2438" s="28"/>
      <c r="F2438" s="31"/>
      <c r="G2438" s="21"/>
      <c r="H2438" s="22"/>
      <c r="I2438" s="23"/>
      <c r="J2438" s="24"/>
      <c r="K2438" s="25"/>
      <c r="L2438" s="23"/>
      <c r="M2438" s="23"/>
      <c r="N2438" s="24"/>
      <c r="O2438" s="24"/>
      <c r="P2438" s="25"/>
      <c r="Q2438" s="25"/>
      <c r="R2438" s="20"/>
    </row>
  </sheetData>
  <sheetProtection formatCells="0" insertRows="0"/>
  <conditionalFormatting sqref="G1:Q1 L187:Q187 G186:G213 G315:Q315 L2:Q5 G2:G30 G219:Q221 L51:Q54 G350:Q351 G285:Q286 G277:H277 L37:Q39 G33:G49 G428:Q428 L18:Q18 N19:Q30 N40:Q49 N6:Q17 N55:Q56 L111:Q111 N110:Q110 L113:Q113 N112:Q112 L135:Q135 N134:Q134 L140:Q140 N136:Q139 L145:Q146 N141:Q144 L148:Q148 N147:Q147 L156:Q156 N149:Q155 L159:Q159 N157:Q158 L174:Q174 L179:Q179 N175:Q178 N186:Q186 L196:Q198 L208:Q208 N199:Q207 G215:K218 N215:N218 G224:Q224 G222:K223 N222:Q223 G227:Q229 G225:K226 G231:Q231 G230:K230 N230:Q230 G237:Q237 G232:K236 N232:Q236 G245:Q245 G238:K244 N238:Q244 G249:Q249 G246:K248 N246:Q248 G250:K253 N250:Q253 G270:Q270 G266:K269 G274:Q274 G271:K273 G275:K276 G278:K284 G292:Q293 G287:K291 G307:Q307 G294:K306 G308:K309 N308:Q309 G311:K314 N311:Q314 G318:Q319 G316:K317 G327:Q327 G320:K326 G328:K335 N329:Q335 G338:K349 N338:Q342 G357:Q357 G352:K356 N352:Q355 G362:Q362 G358:K361 N358:Q360 G367:Q367 G363:K366 N364:Q365 G373:Q373 G368:K372 N369:Q372 G375:Q375 G374:K374 N374:Q374 G377:Q377 G376:K376 N376:Q376 G388:Q388 G378:K387 N378:Q387 G390:Q390 G389:K389 N389:Q389 G393:Q393 G391:K392 N391:Q392 G402:Q403 G394:K401 G413:Q413 G404:K412 N404:Q412 G415:Q415 G414:K414 N414:Q414 G417:Q417 G416:K416 N416:Q416 G420:Q420 G418:K419 N418:Q419 G425:Q425 G421:K424 N421:Q424 G427:K427 N427:Q427 G434:Q434 G429:K433 G440:Q441 G435:K439 G446:Q446 G442:K445 G450:Q450 G447:K449 G455:Q455 G451:K454 G464:Q464 G456:K463 G465:K468 G260:K263 N260:Q263 G264:Q265 N114:Q116 N180:Q184 N188:Q195 P225:Q226 N225:N226 G254:Q259 N266:Q269 N271:Q273 N275:Q284 N287:Q291 N294:Q306 N316:Q317 N344:Q345 N343 P343:Q343 P326:Q326 N326 N328 P328:Q328 N321:Q325 P320:Q320 N320 N347:Q348 N346 P346:Q346 N349 P349:Q349 N356 P356:Q356 N361 P361:Q361 N363 P363:Q363 N368 P368:Q368 N366 P366:Q366 N394:Q401 N429:Q433 N435:Q439 N442:Q445 N447:Q449 N451:Q454 N456:Q463 N465:Q468 L36:N36 N33:Q33 N34:N35 P34:Q36 N117 P117:Q117 H61:I66 K61:K66 L57:Q109 N118:Q122 L114:M122 L123:Q133 G51:G184 H67:K184 N160:Q173 N209:Q213 P215:Q218 G469:Q1048576">
    <cfRule type="expression" dxfId="313" priority="156">
      <formula>($B1=6)</formula>
    </cfRule>
  </conditionalFormatting>
  <conditionalFormatting sqref="H33:K35 H51:K60 H186:K213 H2:K30 H37:K49 H36 J36:K36">
    <cfRule type="expression" dxfId="312" priority="151">
      <formula>($B2=6)</formula>
    </cfRule>
  </conditionalFormatting>
  <conditionalFormatting sqref="J61 J63:J65 O225">
    <cfRule type="expression" dxfId="311" priority="152">
      <formula>($B62=6)</formula>
    </cfRule>
  </conditionalFormatting>
  <conditionalFormatting sqref="J66">
    <cfRule type="expression" dxfId="310" priority="150">
      <formula>($B66=6)</formula>
    </cfRule>
  </conditionalFormatting>
  <conditionalFormatting sqref="G31 N31:Q31">
    <cfRule type="expression" dxfId="309" priority="149">
      <formula>($B31=6)</formula>
    </cfRule>
  </conditionalFormatting>
  <conditionalFormatting sqref="H31:K31">
    <cfRule type="expression" dxfId="308" priority="148">
      <formula>($B31=6)</formula>
    </cfRule>
  </conditionalFormatting>
  <conditionalFormatting sqref="G32 N32:Q32">
    <cfRule type="expression" dxfId="307" priority="147">
      <formula>($B32=6)</formula>
    </cfRule>
  </conditionalFormatting>
  <conditionalFormatting sqref="H32:K32">
    <cfRule type="expression" dxfId="306" priority="146">
      <formula>($B32=6)</formula>
    </cfRule>
  </conditionalFormatting>
  <conditionalFormatting sqref="L50:Q50 G50">
    <cfRule type="expression" dxfId="305" priority="145">
      <formula>($B50=6)</formula>
    </cfRule>
  </conditionalFormatting>
  <conditionalFormatting sqref="H50:K50">
    <cfRule type="expression" dxfId="304" priority="144">
      <formula>($B50=6)</formula>
    </cfRule>
  </conditionalFormatting>
  <conditionalFormatting sqref="N185:Q185">
    <cfRule type="expression" dxfId="303" priority="143">
      <formula>($B185=6)</formula>
    </cfRule>
  </conditionalFormatting>
  <conditionalFormatting sqref="H185:K185">
    <cfRule type="expression" dxfId="302" priority="140">
      <formula>($B185=6)</formula>
    </cfRule>
  </conditionalFormatting>
  <conditionalFormatting sqref="G185">
    <cfRule type="expression" dxfId="301" priority="141">
      <formula>($B185=6)</formula>
    </cfRule>
  </conditionalFormatting>
  <conditionalFormatting sqref="N214 G214 P214:Q214">
    <cfRule type="expression" dxfId="300" priority="139">
      <formula>($B214=6)</formula>
    </cfRule>
  </conditionalFormatting>
  <conditionalFormatting sqref="H214:K214">
    <cfRule type="expression" dxfId="299" priority="138">
      <formula>($B214=6)</formula>
    </cfRule>
  </conditionalFormatting>
  <conditionalFormatting sqref="N310:Q310 G310">
    <cfRule type="expression" dxfId="298" priority="137">
      <formula>($B310=6)</formula>
    </cfRule>
  </conditionalFormatting>
  <conditionalFormatting sqref="H310:K310">
    <cfRule type="expression" dxfId="297" priority="136">
      <formula>($B310=6)</formula>
    </cfRule>
  </conditionalFormatting>
  <conditionalFormatting sqref="G336:Q336">
    <cfRule type="expression" dxfId="296" priority="135">
      <formula>($B336=6)</formula>
    </cfRule>
  </conditionalFormatting>
  <conditionalFormatting sqref="G337:K337 N337:Q337">
    <cfRule type="expression" dxfId="295" priority="134">
      <formula>($B337=6)</formula>
    </cfRule>
  </conditionalFormatting>
  <conditionalFormatting sqref="L426:Q426 G426">
    <cfRule type="expression" dxfId="294" priority="133">
      <formula>($B426=6)</formula>
    </cfRule>
  </conditionalFormatting>
  <conditionalFormatting sqref="H426:K426">
    <cfRule type="expression" dxfId="293" priority="132">
      <formula>($B426=6)</formula>
    </cfRule>
  </conditionalFormatting>
  <conditionalFormatting sqref="I277:K277">
    <cfRule type="expression" dxfId="292" priority="109">
      <formula>($B277=6)</formula>
    </cfRule>
  </conditionalFormatting>
  <conditionalFormatting sqref="I36">
    <cfRule type="expression" dxfId="291" priority="108">
      <formula>($B36=6)</formula>
    </cfRule>
  </conditionalFormatting>
  <conditionalFormatting sqref="L7:M16">
    <cfRule type="expression" dxfId="290" priority="107">
      <formula>($B7=6)</formula>
    </cfRule>
  </conditionalFormatting>
  <conditionalFormatting sqref="L19:M30 M31 L33:M35">
    <cfRule type="expression" dxfId="289" priority="106">
      <formula>($B19=6)</formula>
    </cfRule>
  </conditionalFormatting>
  <conditionalFormatting sqref="L31">
    <cfRule type="expression" dxfId="288" priority="105">
      <formula>($B31=6)</formula>
    </cfRule>
  </conditionalFormatting>
  <conditionalFormatting sqref="L32">
    <cfRule type="expression" dxfId="287" priority="104">
      <formula>($B32=6)</formula>
    </cfRule>
  </conditionalFormatting>
  <conditionalFormatting sqref="M32">
    <cfRule type="expression" dxfId="286" priority="103">
      <formula>($B32=6)</formula>
    </cfRule>
  </conditionalFormatting>
  <conditionalFormatting sqref="L40:M41 L49:M49">
    <cfRule type="expression" dxfId="285" priority="102">
      <formula>($B40=6)</formula>
    </cfRule>
  </conditionalFormatting>
  <conditionalFormatting sqref="L42:M48">
    <cfRule type="expression" dxfId="284" priority="101">
      <formula>($B42=6)</formula>
    </cfRule>
  </conditionalFormatting>
  <conditionalFormatting sqref="L17:M17">
    <cfRule type="expression" dxfId="283" priority="100">
      <formula>($B17=6)</formula>
    </cfRule>
  </conditionalFormatting>
  <conditionalFormatting sqref="L55:M56">
    <cfRule type="expression" dxfId="282" priority="99">
      <formula>($B55=6)</formula>
    </cfRule>
  </conditionalFormatting>
  <conditionalFormatting sqref="L110:M110">
    <cfRule type="expression" dxfId="281" priority="93">
      <formula>($B110=6)</formula>
    </cfRule>
  </conditionalFormatting>
  <conditionalFormatting sqref="L112:M112">
    <cfRule type="expression" dxfId="280" priority="92">
      <formula>($B112=6)</formula>
    </cfRule>
  </conditionalFormatting>
  <conditionalFormatting sqref="L134:M134">
    <cfRule type="expression" dxfId="279" priority="89">
      <formula>($B134=6)</formula>
    </cfRule>
  </conditionalFormatting>
  <conditionalFormatting sqref="L136:M139">
    <cfRule type="expression" dxfId="278" priority="88">
      <formula>($B136=6)</formula>
    </cfRule>
  </conditionalFormatting>
  <conditionalFormatting sqref="L141:M144">
    <cfRule type="expression" dxfId="277" priority="87">
      <formula>($B141=6)</formula>
    </cfRule>
  </conditionalFormatting>
  <conditionalFormatting sqref="L147:M147">
    <cfRule type="expression" dxfId="276" priority="86">
      <formula>($B147=6)</formula>
    </cfRule>
  </conditionalFormatting>
  <conditionalFormatting sqref="L149:M155">
    <cfRule type="expression" dxfId="275" priority="85">
      <formula>($B149=6)</formula>
    </cfRule>
  </conditionalFormatting>
  <conditionalFormatting sqref="L157:M157">
    <cfRule type="expression" dxfId="274" priority="84">
      <formula>($B157=6)</formula>
    </cfRule>
  </conditionalFormatting>
  <conditionalFormatting sqref="L158:M158">
    <cfRule type="expression" dxfId="273" priority="83">
      <formula>($B158=6)</formula>
    </cfRule>
  </conditionalFormatting>
  <conditionalFormatting sqref="L160:M173">
    <cfRule type="expression" dxfId="272" priority="82">
      <formula>($B160=6)</formula>
    </cfRule>
  </conditionalFormatting>
  <conditionalFormatting sqref="L175:M178">
    <cfRule type="expression" dxfId="271" priority="81">
      <formula>($B175=6)</formula>
    </cfRule>
  </conditionalFormatting>
  <conditionalFormatting sqref="L180:M186">
    <cfRule type="expression" dxfId="270" priority="80">
      <formula>($B180=6)</formula>
    </cfRule>
  </conditionalFormatting>
  <conditionalFormatting sqref="L188:M195">
    <cfRule type="expression" dxfId="269" priority="79">
      <formula>($B188=6)</formula>
    </cfRule>
  </conditionalFormatting>
  <conditionalFormatting sqref="L199:M207">
    <cfRule type="expression" dxfId="268" priority="78">
      <formula>($B199=6)</formula>
    </cfRule>
  </conditionalFormatting>
  <conditionalFormatting sqref="L209:M209">
    <cfRule type="expression" dxfId="267" priority="77">
      <formula>($B209=6)</formula>
    </cfRule>
  </conditionalFormatting>
  <conditionalFormatting sqref="L210:M212">
    <cfRule type="expression" dxfId="266" priority="76">
      <formula>($B210=6)</formula>
    </cfRule>
  </conditionalFormatting>
  <conditionalFormatting sqref="L215:M218">
    <cfRule type="expression" dxfId="265" priority="75">
      <formula>($B215=6)</formula>
    </cfRule>
  </conditionalFormatting>
  <conditionalFormatting sqref="L213:M213">
    <cfRule type="expression" dxfId="264" priority="74">
      <formula>($B213=6)</formula>
    </cfRule>
  </conditionalFormatting>
  <conditionalFormatting sqref="L214:M214">
    <cfRule type="expression" dxfId="263" priority="73">
      <formula>($B214=6)</formula>
    </cfRule>
  </conditionalFormatting>
  <conditionalFormatting sqref="L222:M223">
    <cfRule type="expression" dxfId="262" priority="72">
      <formula>($B222=6)</formula>
    </cfRule>
  </conditionalFormatting>
  <conditionalFormatting sqref="L225:M226">
    <cfRule type="expression" dxfId="261" priority="71">
      <formula>($B225=6)</formula>
    </cfRule>
  </conditionalFormatting>
  <conditionalFormatting sqref="L230:M230">
    <cfRule type="expression" dxfId="260" priority="70">
      <formula>($B230=6)</formula>
    </cfRule>
  </conditionalFormatting>
  <conditionalFormatting sqref="L232:M236">
    <cfRule type="expression" dxfId="259" priority="69">
      <formula>($B232=6)</formula>
    </cfRule>
  </conditionalFormatting>
  <conditionalFormatting sqref="L238:M238">
    <cfRule type="expression" dxfId="258" priority="66">
      <formula>($B238=6)</formula>
    </cfRule>
  </conditionalFormatting>
  <conditionalFormatting sqref="M242 L239:M241 L243:M244">
    <cfRule type="expression" dxfId="257" priority="65">
      <formula>($B239=6)</formula>
    </cfRule>
  </conditionalFormatting>
  <conditionalFormatting sqref="L242">
    <cfRule type="expression" dxfId="256" priority="64">
      <formula>($B242=6)</formula>
    </cfRule>
  </conditionalFormatting>
  <conditionalFormatting sqref="L247:M248">
    <cfRule type="expression" dxfId="255" priority="63">
      <formula>($B247=6)</formula>
    </cfRule>
  </conditionalFormatting>
  <conditionalFormatting sqref="L246:M246">
    <cfRule type="expression" dxfId="254" priority="62">
      <formula>($B246=6)</formula>
    </cfRule>
  </conditionalFormatting>
  <conditionalFormatting sqref="L250:M252">
    <cfRule type="expression" dxfId="253" priority="61">
      <formula>($B250=6)</formula>
    </cfRule>
  </conditionalFormatting>
  <conditionalFormatting sqref="L253:M253">
    <cfRule type="expression" dxfId="252" priority="60">
      <formula>($B253=6)</formula>
    </cfRule>
  </conditionalFormatting>
  <conditionalFormatting sqref="L260:M263">
    <cfRule type="expression" dxfId="251" priority="58">
      <formula>($B260=6)</formula>
    </cfRule>
  </conditionalFormatting>
  <conditionalFormatting sqref="L266:M269">
    <cfRule type="expression" dxfId="250" priority="56">
      <formula>($B266=6)</formula>
    </cfRule>
  </conditionalFormatting>
  <conditionalFormatting sqref="L271:M273">
    <cfRule type="expression" dxfId="249" priority="55">
      <formula>($B271=6)</formula>
    </cfRule>
  </conditionalFormatting>
  <conditionalFormatting sqref="L275:M284">
    <cfRule type="expression" dxfId="248" priority="54">
      <formula>($B275=6)</formula>
    </cfRule>
  </conditionalFormatting>
  <conditionalFormatting sqref="L287:M291">
    <cfRule type="expression" dxfId="247" priority="53">
      <formula>($B287=6)</formula>
    </cfRule>
  </conditionalFormatting>
  <conditionalFormatting sqref="L294:M306">
    <cfRule type="expression" dxfId="246" priority="52">
      <formula>($B294=6)</formula>
    </cfRule>
  </conditionalFormatting>
  <conditionalFormatting sqref="L308:M309">
    <cfRule type="expression" dxfId="245" priority="51">
      <formula>($B308=6)</formula>
    </cfRule>
  </conditionalFormatting>
  <conditionalFormatting sqref="L310:M310">
    <cfRule type="expression" dxfId="244" priority="50">
      <formula>($B310=6)</formula>
    </cfRule>
  </conditionalFormatting>
  <conditionalFormatting sqref="L311:M314">
    <cfRule type="expression" dxfId="243" priority="49">
      <formula>($B311=6)</formula>
    </cfRule>
  </conditionalFormatting>
  <conditionalFormatting sqref="L316:M317">
    <cfRule type="expression" dxfId="242" priority="48">
      <formula>($B316=6)</formula>
    </cfRule>
  </conditionalFormatting>
  <conditionalFormatting sqref="L320:M326">
    <cfRule type="expression" dxfId="241" priority="47">
      <formula>($B320=6)</formula>
    </cfRule>
  </conditionalFormatting>
  <conditionalFormatting sqref="L328:M335">
    <cfRule type="expression" dxfId="240" priority="46">
      <formula>($B328=6)</formula>
    </cfRule>
  </conditionalFormatting>
  <conditionalFormatting sqref="L338:M338 L344:M345">
    <cfRule type="expression" dxfId="239" priority="45">
      <formula>($B338=6)</formula>
    </cfRule>
  </conditionalFormatting>
  <conditionalFormatting sqref="L337:M337">
    <cfRule type="expression" dxfId="238" priority="44">
      <formula>($B337=6)</formula>
    </cfRule>
  </conditionalFormatting>
  <conditionalFormatting sqref="L339:M339">
    <cfRule type="expression" dxfId="237" priority="43">
      <formula>($B339=6)</formula>
    </cfRule>
  </conditionalFormatting>
  <conditionalFormatting sqref="L340:M340">
    <cfRule type="expression" dxfId="236" priority="42">
      <formula>($B340=6)</formula>
    </cfRule>
  </conditionalFormatting>
  <conditionalFormatting sqref="L341:M341">
    <cfRule type="expression" dxfId="235" priority="41">
      <formula>($B341=6)</formula>
    </cfRule>
  </conditionalFormatting>
  <conditionalFormatting sqref="L342:M343">
    <cfRule type="expression" dxfId="234" priority="40">
      <formula>($B342=6)</formula>
    </cfRule>
  </conditionalFormatting>
  <conditionalFormatting sqref="L346:M349">
    <cfRule type="expression" dxfId="233" priority="39">
      <formula>($B346=6)</formula>
    </cfRule>
  </conditionalFormatting>
  <conditionalFormatting sqref="L352:M353 L356:M356">
    <cfRule type="expression" dxfId="232" priority="38">
      <formula>($B352=6)</formula>
    </cfRule>
  </conditionalFormatting>
  <conditionalFormatting sqref="L354:M354">
    <cfRule type="expression" dxfId="231" priority="37">
      <formula>($B354=6)</formula>
    </cfRule>
  </conditionalFormatting>
  <conditionalFormatting sqref="L355:M355">
    <cfRule type="expression" dxfId="230" priority="36">
      <formula>($B355=6)</formula>
    </cfRule>
  </conditionalFormatting>
  <conditionalFormatting sqref="L358:M361">
    <cfRule type="expression" dxfId="229" priority="35">
      <formula>($B358=6)</formula>
    </cfRule>
  </conditionalFormatting>
  <conditionalFormatting sqref="L363:M366">
    <cfRule type="expression" dxfId="228" priority="34">
      <formula>($B363=6)</formula>
    </cfRule>
  </conditionalFormatting>
  <conditionalFormatting sqref="L368:M372">
    <cfRule type="expression" dxfId="227" priority="33">
      <formula>($B368=6)</formula>
    </cfRule>
  </conditionalFormatting>
  <conditionalFormatting sqref="L374:M374">
    <cfRule type="expression" dxfId="226" priority="32">
      <formula>($B374=6)</formula>
    </cfRule>
  </conditionalFormatting>
  <conditionalFormatting sqref="L376:M376">
    <cfRule type="expression" dxfId="225" priority="31">
      <formula>($B376=6)</formula>
    </cfRule>
  </conditionalFormatting>
  <conditionalFormatting sqref="L378:M387">
    <cfRule type="expression" dxfId="224" priority="30">
      <formula>($B378=6)</formula>
    </cfRule>
  </conditionalFormatting>
  <conditionalFormatting sqref="L389:M389">
    <cfRule type="expression" dxfId="223" priority="29">
      <formula>($B389=6)</formula>
    </cfRule>
  </conditionalFormatting>
  <conditionalFormatting sqref="L391:M391">
    <cfRule type="expression" dxfId="222" priority="28">
      <formula>($B391=6)</formula>
    </cfRule>
  </conditionalFormatting>
  <conditionalFormatting sqref="L392:M392">
    <cfRule type="expression" dxfId="221" priority="27">
      <formula>($B392=6)</formula>
    </cfRule>
  </conditionalFormatting>
  <conditionalFormatting sqref="L394:M401">
    <cfRule type="expression" dxfId="220" priority="26">
      <formula>($B394=6)</formula>
    </cfRule>
  </conditionalFormatting>
  <conditionalFormatting sqref="L404:M412">
    <cfRule type="expression" dxfId="219" priority="25">
      <formula>($B404=6)</formula>
    </cfRule>
  </conditionalFormatting>
  <conditionalFormatting sqref="L414:M414">
    <cfRule type="expression" dxfId="218" priority="24">
      <formula>($B414=6)</formula>
    </cfRule>
  </conditionalFormatting>
  <conditionalFormatting sqref="L416:M416">
    <cfRule type="expression" dxfId="217" priority="23">
      <formula>($B416=6)</formula>
    </cfRule>
  </conditionalFormatting>
  <conditionalFormatting sqref="L418:M418">
    <cfRule type="expression" dxfId="216" priority="22">
      <formula>($B418=6)</formula>
    </cfRule>
  </conditionalFormatting>
  <conditionalFormatting sqref="L419:M419">
    <cfRule type="expression" dxfId="215" priority="21">
      <formula>($B419=6)</formula>
    </cfRule>
  </conditionalFormatting>
  <conditionalFormatting sqref="L421:M424">
    <cfRule type="expression" dxfId="214" priority="20">
      <formula>($B421=6)</formula>
    </cfRule>
  </conditionalFormatting>
  <conditionalFormatting sqref="L427:M427">
    <cfRule type="expression" dxfId="213" priority="19">
      <formula>($B427=6)</formula>
    </cfRule>
  </conditionalFormatting>
  <conditionalFormatting sqref="L429:M433">
    <cfRule type="expression" dxfId="212" priority="18">
      <formula>($B429=6)</formula>
    </cfRule>
  </conditionalFormatting>
  <conditionalFormatting sqref="L435:M439">
    <cfRule type="expression" dxfId="211" priority="17">
      <formula>($B435=6)</formula>
    </cfRule>
  </conditionalFormatting>
  <conditionalFormatting sqref="L442:M444">
    <cfRule type="expression" dxfId="210" priority="16">
      <formula>($B442=6)</formula>
    </cfRule>
  </conditionalFormatting>
  <conditionalFormatting sqref="L445:M445">
    <cfRule type="expression" dxfId="209" priority="15">
      <formula>($B445=6)</formula>
    </cfRule>
  </conditionalFormatting>
  <conditionalFormatting sqref="L447:M449">
    <cfRule type="expression" dxfId="208" priority="14">
      <formula>($B447=6)</formula>
    </cfRule>
  </conditionalFormatting>
  <conditionalFormatting sqref="L451:M454">
    <cfRule type="expression" dxfId="207" priority="13">
      <formula>($B451=6)</formula>
    </cfRule>
  </conditionalFormatting>
  <conditionalFormatting sqref="L456:M463">
    <cfRule type="expression" dxfId="206" priority="12">
      <formula>($B456=6)</formula>
    </cfRule>
  </conditionalFormatting>
  <conditionalFormatting sqref="L465:M468">
    <cfRule type="expression" dxfId="205" priority="11">
      <formula>($B465=6)</formula>
    </cfRule>
  </conditionalFormatting>
  <conditionalFormatting sqref="J62">
    <cfRule type="expression" dxfId="204" priority="160">
      <formula>($B63=6)</formula>
    </cfRule>
  </conditionalFormatting>
  <conditionalFormatting sqref="O343">
    <cfRule type="expression" dxfId="203" priority="163">
      <formula>($B326=6)</formula>
    </cfRule>
  </conditionalFormatting>
  <conditionalFormatting sqref="O328">
    <cfRule type="expression" dxfId="202" priority="166">
      <formula>($B320=6)</formula>
    </cfRule>
  </conditionalFormatting>
  <conditionalFormatting sqref="O346">
    <cfRule type="expression" dxfId="201" priority="10">
      <formula>($B338=6)</formula>
    </cfRule>
  </conditionalFormatting>
  <conditionalFormatting sqref="O349">
    <cfRule type="expression" dxfId="200" priority="9">
      <formula>($B332=6)</formula>
    </cfRule>
  </conditionalFormatting>
  <conditionalFormatting sqref="O356">
    <cfRule type="expression" dxfId="199" priority="8">
      <formula>($B339=6)</formula>
    </cfRule>
  </conditionalFormatting>
  <conditionalFormatting sqref="O361">
    <cfRule type="expression" dxfId="198" priority="7">
      <formula>($B344=6)</formula>
    </cfRule>
  </conditionalFormatting>
  <conditionalFormatting sqref="O363">
    <cfRule type="expression" dxfId="197" priority="6">
      <formula>($B355=6)</formula>
    </cfRule>
  </conditionalFormatting>
  <conditionalFormatting sqref="O368">
    <cfRule type="expression" dxfId="196" priority="5">
      <formula>($B360=6)</formula>
    </cfRule>
  </conditionalFormatting>
  <conditionalFormatting sqref="O366">
    <cfRule type="expression" dxfId="195" priority="4">
      <formula>($B349=6)</formula>
    </cfRule>
  </conditionalFormatting>
  <conditionalFormatting sqref="O35">
    <cfRule type="expression" dxfId="194" priority="168">
      <formula>($B35=6)</formula>
    </cfRule>
  </conditionalFormatting>
  <conditionalFormatting sqref="O34">
    <cfRule type="expression" dxfId="193" priority="3">
      <formula>($B34=6)</formula>
    </cfRule>
  </conditionalFormatting>
  <conditionalFormatting sqref="O117">
    <cfRule type="expression" dxfId="192" priority="2">
      <formula>($B117=6)</formula>
    </cfRule>
  </conditionalFormatting>
  <conditionalFormatting sqref="O214:O218">
    <cfRule type="expression" dxfId="191" priority="1">
      <formula>($B214=6)</formula>
    </cfRule>
  </conditionalFormatting>
  <dataValidations count="1">
    <dataValidation type="list" showInputMessage="1" showErrorMessage="1" sqref="A2:A470">
      <formula1>INDIRECT("txtstylestab[style_Name]")</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R2214"/>
  <sheetViews>
    <sheetView topLeftCell="F1" zoomScale="90" zoomScaleNormal="90" workbookViewId="0">
      <pane ySplit="1" topLeftCell="A2" activePane="bottomLeft" state="frozen"/>
      <selection pane="bottomLeft" activeCell="J10" sqref="J10"/>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3165</v>
      </c>
      <c r="P1" s="7" t="s">
        <v>71</v>
      </c>
      <c r="Q1" s="7" t="s">
        <v>72</v>
      </c>
      <c r="R1" s="2" t="s">
        <v>0</v>
      </c>
    </row>
    <row r="2" spans="1:18" s="10" customFormat="1" ht="20.25" thickBot="1" x14ac:dyDescent="0.35">
      <c r="A2" s="9" t="s">
        <v>10</v>
      </c>
      <c r="B2" s="28">
        <f>IF(ISBLANK(A2),0,INDEX(txtstylestab[],MATCH(A2,txtstylestab[style_Name],0),1))</f>
        <v>1</v>
      </c>
      <c r="C2" s="28">
        <v>2</v>
      </c>
      <c r="D2" s="28">
        <v>0</v>
      </c>
      <c r="E2" s="28">
        <v>0</v>
      </c>
      <c r="F2" s="29" t="str">
        <f>IF(OR(B2=1,B2=2,B2=3),TEXT(C2,"#")&amp;".","")&amp;IF(OR(B2=2,B2=3),TEXT(D2,"#")&amp;".","")&amp;IF(B2=3,TEXT(E2,"#")&amp;".","")</f>
        <v>2.</v>
      </c>
      <c r="G2" s="11" t="s">
        <v>73</v>
      </c>
      <c r="H2" s="11"/>
      <c r="I2" s="11"/>
      <c r="J2" s="11"/>
      <c r="K2" s="11"/>
      <c r="L2" s="11"/>
      <c r="M2" s="11"/>
      <c r="N2" s="11"/>
      <c r="O2" s="11"/>
      <c r="P2" s="11"/>
      <c r="Q2" s="11"/>
      <c r="R2" s="12"/>
    </row>
    <row r="3" spans="1:18" ht="15.75" thickTop="1" x14ac:dyDescent="0.25">
      <c r="A3" s="9" t="s">
        <v>13</v>
      </c>
      <c r="B3" s="28">
        <f>IF(ISBLANK(A3),0,INDEX(txtstylestab[],MATCH(A3,txtstylestab[style_Name],0),1))</f>
        <v>7</v>
      </c>
      <c r="C3" s="28">
        <f>IF(B3=1,C2+1,C2)</f>
        <v>2</v>
      </c>
      <c r="D3" s="28">
        <f>IF(B3=1,0,IF(B3=2,D2+1,IF(AND(B3=3,D2=0),1,D2)))</f>
        <v>0</v>
      </c>
      <c r="E3" s="28">
        <f>IF(OR(B3=1,B3=2),0,IF(B3=3,E2+1,E2))</f>
        <v>0</v>
      </c>
      <c r="F3" s="78" t="str">
        <f t="shared" ref="F3" si="0">IF(OR(B3=1,B3=2,B3=3),TEXT(C3,"#")&amp;".","")&amp;IF(OR(B3=2,B3=3),TEXT(D3,"#")&amp;".","")&amp;IF(B3=3,TEXT(E3,"#")&amp;".","")</f>
        <v/>
      </c>
      <c r="G3" s="78" t="s">
        <v>873</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1">IF(B4=1,C3+1,C3)</f>
        <v>2</v>
      </c>
      <c r="D4" s="28">
        <f t="shared" ref="D4:D67" si="2">IF(B4=1,0,IF(B4=2,D3+1,IF(AND(B4=3,D3=0),1,D3)))</f>
        <v>1</v>
      </c>
      <c r="E4" s="28">
        <f t="shared" ref="E4:E67" si="3">IF(OR(B4=1,B4=2),0,IF(B4=3,E3+1,E3))</f>
        <v>0</v>
      </c>
      <c r="F4" s="51" t="str">
        <f t="shared" ref="F4:F67" si="4">IF(OR(B4=1,B4=2,B4=3),TEXT(C4,"#")&amp;".","")&amp;IF(OR(B4=2,B4=3),TEXT(D4,"#")&amp;".","")&amp;IF(B4=3,TEXT(E4,"#")&amp;".","")</f>
        <v>2.1.</v>
      </c>
      <c r="G4" s="57" t="s">
        <v>1927</v>
      </c>
      <c r="H4" s="57"/>
      <c r="I4" s="57"/>
      <c r="J4" s="57"/>
      <c r="K4" s="57"/>
      <c r="L4" s="57"/>
      <c r="M4" s="57"/>
      <c r="N4" s="57"/>
      <c r="O4" s="57"/>
      <c r="P4" s="57"/>
      <c r="Q4" s="57"/>
      <c r="R4" s="13"/>
    </row>
    <row r="5" spans="1:18" ht="15.75" thickTop="1" x14ac:dyDescent="0.25">
      <c r="A5" s="9" t="s">
        <v>21</v>
      </c>
      <c r="B5" s="28">
        <f>IF(ISBLANK(A5),0,INDEX(txtstylestab[],MATCH(A5,txtstylestab[style_Name],0),1))</f>
        <v>0</v>
      </c>
      <c r="C5" s="28">
        <f t="shared" si="1"/>
        <v>2</v>
      </c>
      <c r="D5" s="28">
        <f t="shared" si="2"/>
        <v>1</v>
      </c>
      <c r="E5" s="28">
        <f t="shared" si="3"/>
        <v>0</v>
      </c>
      <c r="F5" s="59" t="str">
        <f t="shared" si="4"/>
        <v/>
      </c>
      <c r="G5" s="42" t="s">
        <v>82</v>
      </c>
      <c r="H5" s="43" t="s">
        <v>83</v>
      </c>
      <c r="I5" s="44" t="s">
        <v>84</v>
      </c>
      <c r="J5" s="45" t="s">
        <v>85</v>
      </c>
      <c r="K5" s="46" t="s">
        <v>86</v>
      </c>
      <c r="L5" s="47" t="s">
        <v>2398</v>
      </c>
      <c r="M5" s="48" t="s">
        <v>2333</v>
      </c>
      <c r="N5" s="49"/>
      <c r="O5" s="50" t="s">
        <v>3166</v>
      </c>
      <c r="P5" s="59"/>
      <c r="Q5" s="59"/>
      <c r="R5" s="13"/>
    </row>
    <row r="6" spans="1:18" ht="45" x14ac:dyDescent="0.25">
      <c r="A6" s="9" t="s">
        <v>21</v>
      </c>
      <c r="B6" s="28">
        <f>IF(ISBLANK(A6),0,INDEX(txtstylestab[],MATCH(A6,txtstylestab[style_Name],0),1))</f>
        <v>0</v>
      </c>
      <c r="C6" s="28">
        <f t="shared" si="1"/>
        <v>2</v>
      </c>
      <c r="D6" s="28">
        <f t="shared" si="2"/>
        <v>1</v>
      </c>
      <c r="E6" s="28">
        <f t="shared" si="3"/>
        <v>0</v>
      </c>
      <c r="F6" s="59" t="str">
        <f t="shared" si="4"/>
        <v/>
      </c>
      <c r="G6" s="42" t="s">
        <v>874</v>
      </c>
      <c r="H6" s="43" t="s">
        <v>875</v>
      </c>
      <c r="I6" s="44" t="s">
        <v>2279</v>
      </c>
      <c r="J6" s="45" t="s">
        <v>2281</v>
      </c>
      <c r="K6" s="46" t="s">
        <v>2280</v>
      </c>
      <c r="L6" s="47" t="s">
        <v>2783</v>
      </c>
      <c r="M6" s="48" t="s">
        <v>2864</v>
      </c>
      <c r="N6" s="49"/>
      <c r="O6" s="50" t="s">
        <v>3261</v>
      </c>
      <c r="P6" s="59"/>
      <c r="Q6" s="59"/>
      <c r="R6" s="13"/>
    </row>
    <row r="7" spans="1:18" ht="30" x14ac:dyDescent="0.25">
      <c r="A7" s="9" t="s">
        <v>21</v>
      </c>
      <c r="B7" s="28">
        <f>IF(ISBLANK(A7),0,INDEX(txtstylestab[],MATCH(A7,txtstylestab[style_Name],0),1))</f>
        <v>0</v>
      </c>
      <c r="C7" s="28">
        <f t="shared" si="1"/>
        <v>2</v>
      </c>
      <c r="D7" s="28">
        <f t="shared" si="2"/>
        <v>1</v>
      </c>
      <c r="E7" s="28">
        <f t="shared" si="3"/>
        <v>0</v>
      </c>
      <c r="F7" s="59" t="str">
        <f t="shared" si="4"/>
        <v/>
      </c>
      <c r="G7" s="42"/>
      <c r="H7" s="43"/>
      <c r="I7" s="44" t="s">
        <v>2276</v>
      </c>
      <c r="J7" s="45" t="s">
        <v>2277</v>
      </c>
      <c r="K7" s="46" t="s">
        <v>2278</v>
      </c>
      <c r="L7" s="47"/>
      <c r="M7" s="48"/>
      <c r="N7" s="49"/>
      <c r="O7" s="50"/>
      <c r="P7" s="59"/>
      <c r="Q7" s="59"/>
      <c r="R7" s="13"/>
    </row>
    <row r="8" spans="1:18" ht="60" x14ac:dyDescent="0.25">
      <c r="A8" s="9" t="s">
        <v>21</v>
      </c>
      <c r="B8" s="28">
        <f>IF(ISBLANK(A8),0,INDEX(txtstylestab[],MATCH(A8,txtstylestab[style_Name],0),1))</f>
        <v>0</v>
      </c>
      <c r="C8" s="28">
        <f t="shared" si="1"/>
        <v>2</v>
      </c>
      <c r="D8" s="28">
        <f t="shared" si="2"/>
        <v>1</v>
      </c>
      <c r="E8" s="28">
        <f t="shared" si="3"/>
        <v>0</v>
      </c>
      <c r="F8" s="59" t="str">
        <f t="shared" si="4"/>
        <v/>
      </c>
      <c r="G8" s="42" t="s">
        <v>1928</v>
      </c>
      <c r="H8" s="43" t="s">
        <v>1929</v>
      </c>
      <c r="I8" s="44" t="s">
        <v>1930</v>
      </c>
      <c r="J8" s="45" t="s">
        <v>1931</v>
      </c>
      <c r="K8" s="46" t="s">
        <v>1932</v>
      </c>
      <c r="L8" s="47" t="s">
        <v>2784</v>
      </c>
      <c r="M8" s="48" t="s">
        <v>2785</v>
      </c>
      <c r="N8" s="49"/>
      <c r="O8" s="50" t="s">
        <v>3264</v>
      </c>
      <c r="P8" s="59"/>
      <c r="Q8" s="59"/>
      <c r="R8" s="13"/>
    </row>
    <row r="9" spans="1:18" ht="45" x14ac:dyDescent="0.25">
      <c r="A9" s="9" t="s">
        <v>14</v>
      </c>
      <c r="B9" s="28">
        <f>IF(ISBLANK(A9),0,INDEX(txtstylestab[],MATCH(A9,txtstylestab[style_Name],0),1))</f>
        <v>6</v>
      </c>
      <c r="C9" s="28">
        <f t="shared" si="1"/>
        <v>2</v>
      </c>
      <c r="D9" s="28">
        <f t="shared" si="2"/>
        <v>1</v>
      </c>
      <c r="E9" s="28">
        <f t="shared" si="3"/>
        <v>0</v>
      </c>
      <c r="F9" s="59" t="str">
        <f t="shared" si="4"/>
        <v/>
      </c>
      <c r="G9" s="42" t="s">
        <v>1933</v>
      </c>
      <c r="H9" s="43" t="s">
        <v>879</v>
      </c>
      <c r="I9" s="44" t="s">
        <v>1939</v>
      </c>
      <c r="J9" s="45" t="s">
        <v>1944</v>
      </c>
      <c r="K9" s="46" t="s">
        <v>1949</v>
      </c>
      <c r="L9" s="47" t="s">
        <v>2786</v>
      </c>
      <c r="M9" s="48" t="s">
        <v>2799</v>
      </c>
      <c r="N9" s="49"/>
      <c r="O9" s="50" t="s">
        <v>3265</v>
      </c>
      <c r="P9" s="59"/>
      <c r="Q9" s="59"/>
      <c r="R9" s="13"/>
    </row>
    <row r="10" spans="1:18" ht="45" x14ac:dyDescent="0.25">
      <c r="A10" s="9" t="s">
        <v>14</v>
      </c>
      <c r="B10" s="28">
        <f>IF(ISBLANK(A10),0,INDEX(txtstylestab[],MATCH(A10,txtstylestab[style_Name],0),1))</f>
        <v>6</v>
      </c>
      <c r="C10" s="28">
        <f t="shared" si="1"/>
        <v>2</v>
      </c>
      <c r="D10" s="28">
        <f t="shared" si="2"/>
        <v>1</v>
      </c>
      <c r="E10" s="28">
        <f t="shared" si="3"/>
        <v>0</v>
      </c>
      <c r="F10" s="59" t="str">
        <f t="shared" si="4"/>
        <v/>
      </c>
      <c r="G10" s="42" t="s">
        <v>1953</v>
      </c>
      <c r="H10" s="43" t="s">
        <v>1954</v>
      </c>
      <c r="I10" s="44" t="s">
        <v>2203</v>
      </c>
      <c r="J10" s="45" t="s">
        <v>2204</v>
      </c>
      <c r="K10" s="46" t="s">
        <v>2202</v>
      </c>
      <c r="L10" s="47" t="s">
        <v>2787</v>
      </c>
      <c r="M10" s="48" t="s">
        <v>2788</v>
      </c>
      <c r="N10" s="49"/>
      <c r="O10" s="50" t="s">
        <v>3266</v>
      </c>
      <c r="P10" s="59"/>
      <c r="Q10" s="59"/>
      <c r="R10" s="13"/>
    </row>
    <row r="11" spans="1:18" ht="30" x14ac:dyDescent="0.25">
      <c r="A11" s="9" t="s">
        <v>14</v>
      </c>
      <c r="B11" s="28">
        <f>IF(ISBLANK(A11),0,INDEX(txtstylestab[],MATCH(A11,txtstylestab[style_Name],0),1))</f>
        <v>6</v>
      </c>
      <c r="C11" s="28">
        <f t="shared" si="1"/>
        <v>2</v>
      </c>
      <c r="D11" s="28">
        <f t="shared" si="2"/>
        <v>1</v>
      </c>
      <c r="E11" s="28">
        <f t="shared" si="3"/>
        <v>0</v>
      </c>
      <c r="F11" s="59" t="str">
        <f t="shared" si="4"/>
        <v/>
      </c>
      <c r="G11" s="42" t="s">
        <v>37</v>
      </c>
      <c r="H11" s="43" t="s">
        <v>1772</v>
      </c>
      <c r="I11" s="44" t="s">
        <v>1940</v>
      </c>
      <c r="J11" s="45" t="s">
        <v>1945</v>
      </c>
      <c r="K11" s="46" t="s">
        <v>1950</v>
      </c>
      <c r="L11" s="47" t="s">
        <v>2789</v>
      </c>
      <c r="M11" s="48" t="s">
        <v>2790</v>
      </c>
      <c r="N11" s="49"/>
      <c r="O11" s="50" t="s">
        <v>3267</v>
      </c>
      <c r="P11" s="59"/>
      <c r="Q11" s="59"/>
      <c r="R11" s="13"/>
    </row>
    <row r="12" spans="1:18" ht="45" x14ac:dyDescent="0.25">
      <c r="A12" s="9" t="s">
        <v>14</v>
      </c>
      <c r="B12" s="28">
        <f>IF(ISBLANK(A12),0,INDEX(txtstylestab[],MATCH(A12,txtstylestab[style_Name],0),1))</f>
        <v>6</v>
      </c>
      <c r="C12" s="28">
        <f t="shared" si="1"/>
        <v>2</v>
      </c>
      <c r="D12" s="28">
        <f t="shared" si="2"/>
        <v>1</v>
      </c>
      <c r="E12" s="28">
        <f t="shared" si="3"/>
        <v>0</v>
      </c>
      <c r="F12" s="59" t="str">
        <f t="shared" si="4"/>
        <v/>
      </c>
      <c r="G12" s="42" t="s">
        <v>1934</v>
      </c>
      <c r="H12" s="43" t="s">
        <v>1936</v>
      </c>
      <c r="I12" s="44" t="s">
        <v>1941</v>
      </c>
      <c r="J12" s="45" t="s">
        <v>1946</v>
      </c>
      <c r="K12" s="46" t="s">
        <v>1951</v>
      </c>
      <c r="L12" s="47" t="s">
        <v>2791</v>
      </c>
      <c r="M12" s="48" t="s">
        <v>2792</v>
      </c>
      <c r="N12" s="49"/>
      <c r="O12" s="50" t="s">
        <v>3268</v>
      </c>
      <c r="P12" s="59"/>
      <c r="Q12" s="59"/>
      <c r="R12" s="13"/>
    </row>
    <row r="13" spans="1:18" ht="30" x14ac:dyDescent="0.25">
      <c r="A13" s="9" t="s">
        <v>14</v>
      </c>
      <c r="B13" s="28">
        <f>IF(ISBLANK(A13),0,INDEX(txtstylestab[],MATCH(A13,txtstylestab[style_Name],0),1))</f>
        <v>6</v>
      </c>
      <c r="C13" s="28">
        <f t="shared" si="1"/>
        <v>2</v>
      </c>
      <c r="D13" s="28">
        <f t="shared" si="2"/>
        <v>1</v>
      </c>
      <c r="E13" s="28">
        <f t="shared" si="3"/>
        <v>0</v>
      </c>
      <c r="F13" s="59" t="str">
        <f t="shared" si="4"/>
        <v/>
      </c>
      <c r="G13" s="42" t="s">
        <v>39</v>
      </c>
      <c r="H13" s="43" t="s">
        <v>1937</v>
      </c>
      <c r="I13" s="44" t="s">
        <v>1942</v>
      </c>
      <c r="J13" s="45" t="s">
        <v>1947</v>
      </c>
      <c r="K13" s="46" t="s">
        <v>1795</v>
      </c>
      <c r="L13" s="47" t="s">
        <v>2793</v>
      </c>
      <c r="M13" s="48" t="s">
        <v>2794</v>
      </c>
      <c r="N13" s="49"/>
      <c r="O13" s="50" t="s">
        <v>3269</v>
      </c>
      <c r="P13" s="59"/>
      <c r="Q13" s="59"/>
      <c r="R13" s="13"/>
    </row>
    <row r="14" spans="1:18" ht="30" x14ac:dyDescent="0.25">
      <c r="A14" s="9" t="s">
        <v>14</v>
      </c>
      <c r="B14" s="28">
        <f>IF(ISBLANK(A14),0,INDEX(txtstylestab[],MATCH(A14,txtstylestab[style_Name],0),1))</f>
        <v>6</v>
      </c>
      <c r="C14" s="28">
        <f t="shared" si="1"/>
        <v>2</v>
      </c>
      <c r="D14" s="28">
        <f t="shared" si="2"/>
        <v>1</v>
      </c>
      <c r="E14" s="28">
        <f t="shared" si="3"/>
        <v>0</v>
      </c>
      <c r="F14" s="59" t="str">
        <f t="shared" si="4"/>
        <v/>
      </c>
      <c r="G14" s="42" t="s">
        <v>1935</v>
      </c>
      <c r="H14" s="43" t="s">
        <v>1938</v>
      </c>
      <c r="I14" s="44" t="s">
        <v>1943</v>
      </c>
      <c r="J14" s="45" t="s">
        <v>1948</v>
      </c>
      <c r="K14" s="46" t="s">
        <v>1952</v>
      </c>
      <c r="L14" s="47" t="s">
        <v>2795</v>
      </c>
      <c r="M14" s="48" t="s">
        <v>2796</v>
      </c>
      <c r="N14" s="49"/>
      <c r="O14" s="50" t="s">
        <v>3270</v>
      </c>
      <c r="P14" s="59"/>
      <c r="Q14" s="59"/>
      <c r="R14" s="13"/>
    </row>
    <row r="15" spans="1:18" ht="75" x14ac:dyDescent="0.25">
      <c r="A15" s="9" t="s">
        <v>14</v>
      </c>
      <c r="B15" s="28">
        <f>IF(ISBLANK(A15),0,INDEX(txtstylestab[],MATCH(A15,txtstylestab[style_Name],0),1))</f>
        <v>6</v>
      </c>
      <c r="C15" s="28">
        <f t="shared" si="1"/>
        <v>2</v>
      </c>
      <c r="D15" s="28">
        <f t="shared" si="2"/>
        <v>1</v>
      </c>
      <c r="E15" s="28">
        <f t="shared" si="3"/>
        <v>0</v>
      </c>
      <c r="F15" s="59" t="str">
        <f t="shared" si="4"/>
        <v/>
      </c>
      <c r="G15" s="42" t="s">
        <v>1956</v>
      </c>
      <c r="H15" s="43" t="s">
        <v>1957</v>
      </c>
      <c r="I15" s="44" t="s">
        <v>2206</v>
      </c>
      <c r="J15" s="45" t="s">
        <v>2207</v>
      </c>
      <c r="K15" s="46" t="s">
        <v>2205</v>
      </c>
      <c r="L15" s="47" t="s">
        <v>2797</v>
      </c>
      <c r="M15" s="48" t="s">
        <v>2798</v>
      </c>
      <c r="N15" s="49"/>
      <c r="O15" s="50" t="s">
        <v>3271</v>
      </c>
      <c r="P15" s="59"/>
      <c r="Q15" s="59"/>
      <c r="R15" s="13"/>
    </row>
    <row r="16" spans="1:18" ht="45" x14ac:dyDescent="0.25">
      <c r="A16" s="9" t="s">
        <v>14</v>
      </c>
      <c r="B16" s="28">
        <f>IF(ISBLANK(A16),0,INDEX(txtstylestab[],MATCH(A16,txtstylestab[style_Name],0),1))</f>
        <v>6</v>
      </c>
      <c r="C16" s="28">
        <f t="shared" si="1"/>
        <v>2</v>
      </c>
      <c r="D16" s="28">
        <f t="shared" si="2"/>
        <v>1</v>
      </c>
      <c r="E16" s="28">
        <f t="shared" si="3"/>
        <v>0</v>
      </c>
      <c r="F16" s="59" t="str">
        <f t="shared" si="4"/>
        <v/>
      </c>
      <c r="G16" s="42" t="s">
        <v>1777</v>
      </c>
      <c r="H16" s="43" t="s">
        <v>1955</v>
      </c>
      <c r="I16" s="44" t="s">
        <v>2299</v>
      </c>
      <c r="J16" s="45" t="s">
        <v>2209</v>
      </c>
      <c r="K16" s="46" t="s">
        <v>2208</v>
      </c>
      <c r="L16" s="47"/>
      <c r="M16" s="48"/>
      <c r="N16" s="49"/>
      <c r="O16" s="50" t="s">
        <v>3272</v>
      </c>
      <c r="P16" s="59"/>
      <c r="Q16" s="59"/>
      <c r="R16" s="13"/>
    </row>
    <row r="17" spans="1:18" ht="60" x14ac:dyDescent="0.25">
      <c r="A17" s="9" t="s">
        <v>14</v>
      </c>
      <c r="B17" s="28">
        <f>IF(ISBLANK(A17),0,INDEX(txtstylestab[],MATCH(A17,txtstylestab[style_Name],0),1))</f>
        <v>6</v>
      </c>
      <c r="C17" s="28">
        <f t="shared" si="1"/>
        <v>2</v>
      </c>
      <c r="D17" s="28">
        <f t="shared" si="2"/>
        <v>1</v>
      </c>
      <c r="E17" s="28">
        <f t="shared" si="3"/>
        <v>0</v>
      </c>
      <c r="F17" s="59" t="str">
        <f t="shared" si="4"/>
        <v/>
      </c>
      <c r="G17" s="42" t="s">
        <v>1958</v>
      </c>
      <c r="H17" s="43" t="s">
        <v>1959</v>
      </c>
      <c r="I17" s="44" t="s">
        <v>1960</v>
      </c>
      <c r="J17" s="45" t="s">
        <v>1961</v>
      </c>
      <c r="K17" s="46" t="s">
        <v>1962</v>
      </c>
      <c r="L17" s="47" t="s">
        <v>2368</v>
      </c>
      <c r="M17" s="48" t="s">
        <v>2369</v>
      </c>
      <c r="N17" s="49"/>
      <c r="O17" s="50" t="s">
        <v>3262</v>
      </c>
      <c r="P17" s="59"/>
      <c r="Q17" s="59"/>
      <c r="R17" s="13"/>
    </row>
    <row r="18" spans="1:18" ht="30" x14ac:dyDescent="0.25">
      <c r="A18" s="9" t="s">
        <v>21</v>
      </c>
      <c r="B18" s="28">
        <f>IF(ISBLANK(A18),0,INDEX(txtstylestab[],MATCH(A18,txtstylestab[style_Name],0),1))</f>
        <v>0</v>
      </c>
      <c r="C18" s="28">
        <f t="shared" si="1"/>
        <v>2</v>
      </c>
      <c r="D18" s="28">
        <f t="shared" si="2"/>
        <v>1</v>
      </c>
      <c r="E18" s="28">
        <f t="shared" si="3"/>
        <v>0</v>
      </c>
      <c r="F18" s="59" t="str">
        <f t="shared" si="4"/>
        <v/>
      </c>
      <c r="G18" s="42"/>
      <c r="H18" s="43"/>
      <c r="I18" s="44"/>
      <c r="J18" s="45"/>
      <c r="K18" s="46"/>
      <c r="L18" s="47"/>
      <c r="M18" s="48"/>
      <c r="N18" s="49"/>
      <c r="O18" s="50" t="s">
        <v>3263</v>
      </c>
      <c r="P18" s="59"/>
      <c r="Q18" s="59"/>
      <c r="R18" s="13"/>
    </row>
    <row r="19" spans="1:18" ht="30" x14ac:dyDescent="0.25">
      <c r="A19" s="9" t="s">
        <v>21</v>
      </c>
      <c r="B19" s="28">
        <f>IF(ISBLANK(A19),0,INDEX(txtstylestab[],MATCH(A19,txtstylestab[style_Name],0),1))</f>
        <v>0</v>
      </c>
      <c r="C19" s="28">
        <f t="shared" si="1"/>
        <v>2</v>
      </c>
      <c r="D19" s="28">
        <f t="shared" si="2"/>
        <v>1</v>
      </c>
      <c r="E19" s="28">
        <f t="shared" si="3"/>
        <v>0</v>
      </c>
      <c r="F19" s="59" t="str">
        <f t="shared" si="4"/>
        <v/>
      </c>
      <c r="G19" s="42" t="s">
        <v>1963</v>
      </c>
      <c r="H19" s="43" t="s">
        <v>1964</v>
      </c>
      <c r="I19" s="44" t="s">
        <v>1965</v>
      </c>
      <c r="J19" s="45" t="s">
        <v>1966</v>
      </c>
      <c r="K19" s="46" t="s">
        <v>1967</v>
      </c>
      <c r="L19" s="47" t="s">
        <v>2801</v>
      </c>
      <c r="M19" s="48" t="s">
        <v>2863</v>
      </c>
      <c r="N19" s="49"/>
      <c r="O19" s="50" t="s">
        <v>3277</v>
      </c>
      <c r="P19" s="59"/>
      <c r="Q19" s="59"/>
      <c r="R19" s="13"/>
    </row>
    <row r="20" spans="1:18" ht="45" x14ac:dyDescent="0.25">
      <c r="A20" s="9" t="s">
        <v>14</v>
      </c>
      <c r="B20" s="28">
        <f>IF(ISBLANK(A20),0,INDEX(txtstylestab[],MATCH(A20,txtstylestab[style_Name],0),1))</f>
        <v>6</v>
      </c>
      <c r="C20" s="28">
        <f t="shared" si="1"/>
        <v>2</v>
      </c>
      <c r="D20" s="28">
        <f t="shared" si="2"/>
        <v>1</v>
      </c>
      <c r="E20" s="28">
        <f t="shared" si="3"/>
        <v>0</v>
      </c>
      <c r="F20" s="59" t="str">
        <f t="shared" si="4"/>
        <v/>
      </c>
      <c r="G20" s="42" t="s">
        <v>1968</v>
      </c>
      <c r="H20" s="43" t="s">
        <v>1970</v>
      </c>
      <c r="I20" s="44" t="s">
        <v>1972</v>
      </c>
      <c r="J20" s="45" t="s">
        <v>1974</v>
      </c>
      <c r="K20" s="46" t="s">
        <v>1976</v>
      </c>
      <c r="L20" s="47" t="s">
        <v>2802</v>
      </c>
      <c r="M20" s="48" t="s">
        <v>2803</v>
      </c>
      <c r="N20" s="49"/>
      <c r="O20" s="50" t="s">
        <v>3273</v>
      </c>
      <c r="P20" s="59"/>
      <c r="Q20" s="59"/>
      <c r="R20" s="13"/>
    </row>
    <row r="21" spans="1:18" ht="45" x14ac:dyDescent="0.25">
      <c r="A21" s="9" t="s">
        <v>14</v>
      </c>
      <c r="B21" s="28">
        <f>IF(ISBLANK(A21),0,INDEX(txtstylestab[],MATCH(A21,txtstylestab[style_Name],0),1))</f>
        <v>6</v>
      </c>
      <c r="C21" s="28">
        <f t="shared" si="1"/>
        <v>2</v>
      </c>
      <c r="D21" s="28">
        <f t="shared" si="2"/>
        <v>1</v>
      </c>
      <c r="E21" s="28">
        <f t="shared" si="3"/>
        <v>0</v>
      </c>
      <c r="F21" s="59" t="str">
        <f t="shared" si="4"/>
        <v/>
      </c>
      <c r="G21" s="42" t="s">
        <v>1969</v>
      </c>
      <c r="H21" s="43" t="s">
        <v>1971</v>
      </c>
      <c r="I21" s="44" t="s">
        <v>1973</v>
      </c>
      <c r="J21" s="45" t="s">
        <v>1975</v>
      </c>
      <c r="K21" s="46" t="s">
        <v>1977</v>
      </c>
      <c r="L21" s="47" t="s">
        <v>2804</v>
      </c>
      <c r="M21" s="48" t="s">
        <v>2805</v>
      </c>
      <c r="N21" s="49"/>
      <c r="O21" s="50" t="s">
        <v>3274</v>
      </c>
      <c r="P21" s="59"/>
      <c r="Q21" s="59"/>
      <c r="R21" s="13"/>
    </row>
    <row r="22" spans="1:18" ht="90" x14ac:dyDescent="0.25">
      <c r="A22" s="9" t="s">
        <v>14</v>
      </c>
      <c r="B22" s="28">
        <f>IF(ISBLANK(A22),0,INDEX(txtstylestab[],MATCH(A22,txtstylestab[style_Name],0),1))</f>
        <v>6</v>
      </c>
      <c r="C22" s="28">
        <f t="shared" si="1"/>
        <v>2</v>
      </c>
      <c r="D22" s="28">
        <f t="shared" si="2"/>
        <v>1</v>
      </c>
      <c r="E22" s="28">
        <f t="shared" si="3"/>
        <v>0</v>
      </c>
      <c r="F22" s="59" t="str">
        <f t="shared" si="4"/>
        <v/>
      </c>
      <c r="G22" s="42" t="s">
        <v>1978</v>
      </c>
      <c r="H22" s="43" t="s">
        <v>1979</v>
      </c>
      <c r="I22" s="44" t="s">
        <v>1980</v>
      </c>
      <c r="J22" s="45" t="s">
        <v>1981</v>
      </c>
      <c r="K22" s="46" t="s">
        <v>1982</v>
      </c>
      <c r="L22" s="47" t="s">
        <v>2806</v>
      </c>
      <c r="M22" s="48" t="s">
        <v>2807</v>
      </c>
      <c r="N22" s="49"/>
      <c r="O22" s="50" t="s">
        <v>3275</v>
      </c>
      <c r="P22" s="59"/>
      <c r="Q22" s="59"/>
      <c r="R22" s="13"/>
    </row>
    <row r="23" spans="1:18" ht="45" x14ac:dyDescent="0.25">
      <c r="A23" s="9" t="s">
        <v>21</v>
      </c>
      <c r="B23" s="28">
        <f>IF(ISBLANK(A23),0,INDEX(txtstylestab[],MATCH(A23,txtstylestab[style_Name],0),1))</f>
        <v>0</v>
      </c>
      <c r="C23" s="28">
        <f t="shared" si="1"/>
        <v>2</v>
      </c>
      <c r="D23" s="28">
        <f t="shared" si="2"/>
        <v>1</v>
      </c>
      <c r="E23" s="28">
        <f t="shared" si="3"/>
        <v>0</v>
      </c>
      <c r="F23" s="59" t="str">
        <f t="shared" si="4"/>
        <v/>
      </c>
      <c r="G23" s="42" t="s">
        <v>876</v>
      </c>
      <c r="H23" s="43" t="s">
        <v>537</v>
      </c>
      <c r="I23" s="44" t="s">
        <v>503</v>
      </c>
      <c r="J23" s="45" t="s">
        <v>504</v>
      </c>
      <c r="K23" s="46" t="s">
        <v>538</v>
      </c>
      <c r="L23" s="47" t="s">
        <v>2808</v>
      </c>
      <c r="M23" s="48" t="s">
        <v>2809</v>
      </c>
      <c r="N23" s="49"/>
      <c r="O23" s="50" t="s">
        <v>3244</v>
      </c>
      <c r="P23" s="59"/>
      <c r="Q23" s="59"/>
      <c r="R23" s="13"/>
    </row>
    <row r="24" spans="1:18" ht="90" x14ac:dyDescent="0.25">
      <c r="A24" s="9" t="s">
        <v>21</v>
      </c>
      <c r="B24" s="28">
        <f>IF(ISBLANK(A24),0,INDEX(txtstylestab[],MATCH(A24,txtstylestab[style_Name],0),1))</f>
        <v>0</v>
      </c>
      <c r="C24" s="28">
        <f t="shared" si="1"/>
        <v>2</v>
      </c>
      <c r="D24" s="28">
        <f t="shared" si="2"/>
        <v>1</v>
      </c>
      <c r="E24" s="28">
        <f t="shared" si="3"/>
        <v>0</v>
      </c>
      <c r="F24" s="59" t="str">
        <f t="shared" si="4"/>
        <v/>
      </c>
      <c r="G24" s="42" t="s">
        <v>880</v>
      </c>
      <c r="H24" s="43" t="s">
        <v>881</v>
      </c>
      <c r="I24" s="44" t="s">
        <v>882</v>
      </c>
      <c r="J24" s="45" t="s">
        <v>883</v>
      </c>
      <c r="K24" s="46" t="s">
        <v>884</v>
      </c>
      <c r="L24" s="47"/>
      <c r="M24" s="48"/>
      <c r="N24" s="49"/>
      <c r="O24" s="50" t="s">
        <v>3276</v>
      </c>
      <c r="P24" s="59"/>
      <c r="Q24" s="59"/>
      <c r="R24" s="13"/>
    </row>
    <row r="25" spans="1:18" ht="30" x14ac:dyDescent="0.25">
      <c r="A25" s="9" t="s">
        <v>21</v>
      </c>
      <c r="B25" s="28">
        <f>IF(ISBLANK(A25),0,INDEX(txtstylestab[],MATCH(A25,txtstylestab[style_Name],0),1))</f>
        <v>0</v>
      </c>
      <c r="C25" s="28">
        <f t="shared" si="1"/>
        <v>2</v>
      </c>
      <c r="D25" s="28">
        <f t="shared" si="2"/>
        <v>1</v>
      </c>
      <c r="E25" s="28">
        <f t="shared" si="3"/>
        <v>0</v>
      </c>
      <c r="F25" s="59" t="str">
        <f t="shared" si="4"/>
        <v/>
      </c>
      <c r="G25" s="42" t="s">
        <v>877</v>
      </c>
      <c r="H25" s="43" t="s">
        <v>26</v>
      </c>
      <c r="I25" s="44" t="s">
        <v>48</v>
      </c>
      <c r="J25" s="45" t="s">
        <v>54</v>
      </c>
      <c r="K25" s="46" t="s">
        <v>878</v>
      </c>
      <c r="L25" s="47" t="s">
        <v>2818</v>
      </c>
      <c r="M25" s="48" t="s">
        <v>2819</v>
      </c>
      <c r="N25" s="49"/>
      <c r="O25" s="50" t="s">
        <v>3173</v>
      </c>
      <c r="P25" s="59"/>
      <c r="Q25" s="59"/>
      <c r="R25" s="13"/>
    </row>
    <row r="26" spans="1:18" ht="18" thickBot="1" x14ac:dyDescent="0.35">
      <c r="A26" s="9" t="s">
        <v>11</v>
      </c>
      <c r="B26" s="28">
        <f>IF(ISBLANK(A26),0,INDEX(txtstylestab[],MATCH(A26,txtstylestab[style_Name],0),1))</f>
        <v>2</v>
      </c>
      <c r="C26" s="28">
        <f t="shared" si="1"/>
        <v>2</v>
      </c>
      <c r="D26" s="28">
        <f t="shared" si="2"/>
        <v>2</v>
      </c>
      <c r="E26" s="28">
        <f t="shared" si="3"/>
        <v>0</v>
      </c>
      <c r="F26" s="51" t="str">
        <f t="shared" si="4"/>
        <v>2.2.</v>
      </c>
      <c r="G26" s="52" t="s">
        <v>885</v>
      </c>
      <c r="H26" s="52"/>
      <c r="I26" s="52"/>
      <c r="J26" s="52"/>
      <c r="K26" s="52"/>
      <c r="L26" s="52"/>
      <c r="M26" s="52"/>
      <c r="N26" s="52"/>
      <c r="O26" s="52"/>
      <c r="P26" s="52"/>
      <c r="Q26" s="52"/>
      <c r="R26" s="13"/>
    </row>
    <row r="27" spans="1:18" ht="15.75" thickTop="1" x14ac:dyDescent="0.25">
      <c r="A27" s="9" t="s">
        <v>21</v>
      </c>
      <c r="B27" s="28">
        <f>IF(ISBLANK(A27),0,INDEX(txtstylestab[],MATCH(A27,txtstylestab[style_Name],0),1))</f>
        <v>0</v>
      </c>
      <c r="C27" s="28">
        <f t="shared" si="1"/>
        <v>2</v>
      </c>
      <c r="D27" s="28">
        <f t="shared" si="2"/>
        <v>2</v>
      </c>
      <c r="E27" s="28">
        <f t="shared" si="3"/>
        <v>0</v>
      </c>
      <c r="F27" s="59" t="str">
        <f t="shared" si="4"/>
        <v/>
      </c>
      <c r="G27" s="42" t="s">
        <v>82</v>
      </c>
      <c r="H27" s="43" t="s">
        <v>83</v>
      </c>
      <c r="I27" s="44" t="s">
        <v>84</v>
      </c>
      <c r="J27" s="45" t="s">
        <v>85</v>
      </c>
      <c r="K27" s="46" t="s">
        <v>86</v>
      </c>
      <c r="L27" s="47" t="s">
        <v>2398</v>
      </c>
      <c r="M27" s="48" t="s">
        <v>2333</v>
      </c>
      <c r="N27" s="49"/>
      <c r="O27" s="50" t="s">
        <v>3166</v>
      </c>
      <c r="P27" s="50"/>
      <c r="Q27" s="59"/>
      <c r="R27" s="13"/>
    </row>
    <row r="28" spans="1:18" ht="61.5" customHeight="1" x14ac:dyDescent="0.25">
      <c r="A28" s="9" t="s">
        <v>21</v>
      </c>
      <c r="B28" s="28">
        <f>IF(ISBLANK(A28),0,INDEX(txtstylestab[],MATCH(A28,txtstylestab[style_Name],0),1))</f>
        <v>0</v>
      </c>
      <c r="C28" s="28">
        <f t="shared" si="1"/>
        <v>2</v>
      </c>
      <c r="D28" s="28">
        <f t="shared" si="2"/>
        <v>2</v>
      </c>
      <c r="E28" s="28">
        <f t="shared" si="3"/>
        <v>0</v>
      </c>
      <c r="F28" s="59" t="str">
        <f t="shared" si="4"/>
        <v/>
      </c>
      <c r="G28" s="42" t="s">
        <v>2033</v>
      </c>
      <c r="H28" s="43" t="s">
        <v>2034</v>
      </c>
      <c r="I28" s="44" t="s">
        <v>2035</v>
      </c>
      <c r="J28" s="45" t="s">
        <v>2129</v>
      </c>
      <c r="K28" s="46" t="s">
        <v>2037</v>
      </c>
      <c r="L28" s="47" t="s">
        <v>2862</v>
      </c>
      <c r="M28" s="48" t="s">
        <v>2820</v>
      </c>
      <c r="N28" s="49"/>
      <c r="O28" s="50" t="s">
        <v>3257</v>
      </c>
      <c r="P28" s="59"/>
      <c r="Q28" s="59"/>
      <c r="R28" s="13"/>
    </row>
    <row r="29" spans="1:18" ht="45" x14ac:dyDescent="0.25">
      <c r="A29" s="9" t="s">
        <v>14</v>
      </c>
      <c r="B29" s="28">
        <f>IF(ISBLANK(A29),0,INDEX(txtstylestab[],MATCH(A29,txtstylestab[style_Name],0),1))</f>
        <v>6</v>
      </c>
      <c r="C29" s="28">
        <f t="shared" si="1"/>
        <v>2</v>
      </c>
      <c r="D29" s="28">
        <f t="shared" si="2"/>
        <v>2</v>
      </c>
      <c r="E29" s="28">
        <f t="shared" si="3"/>
        <v>0</v>
      </c>
      <c r="F29" s="59" t="str">
        <f t="shared" si="4"/>
        <v/>
      </c>
      <c r="G29" s="42" t="s">
        <v>2038</v>
      </c>
      <c r="H29" s="43" t="s">
        <v>2040</v>
      </c>
      <c r="I29" s="44" t="s">
        <v>2042</v>
      </c>
      <c r="J29" s="45" t="s">
        <v>2044</v>
      </c>
      <c r="K29" s="46" t="s">
        <v>2046</v>
      </c>
      <c r="L29" s="47" t="s">
        <v>2861</v>
      </c>
      <c r="M29" s="48" t="s">
        <v>2860</v>
      </c>
      <c r="N29" s="49"/>
      <c r="O29" s="50" t="s">
        <v>3256</v>
      </c>
      <c r="P29" s="59"/>
      <c r="Q29" s="59"/>
      <c r="R29" s="13"/>
    </row>
    <row r="30" spans="1:18" ht="30" x14ac:dyDescent="0.25">
      <c r="A30" s="9" t="s">
        <v>14</v>
      </c>
      <c r="B30" s="28">
        <f>IF(ISBLANK(A30),0,INDEX(txtstylestab[],MATCH(A30,txtstylestab[style_Name],0),1))</f>
        <v>6</v>
      </c>
      <c r="C30" s="28">
        <f t="shared" si="1"/>
        <v>2</v>
      </c>
      <c r="D30" s="28">
        <f t="shared" si="2"/>
        <v>2</v>
      </c>
      <c r="E30" s="28">
        <f t="shared" si="3"/>
        <v>0</v>
      </c>
      <c r="F30" s="59" t="str">
        <f t="shared" si="4"/>
        <v/>
      </c>
      <c r="G30" s="42" t="s">
        <v>897</v>
      </c>
      <c r="H30" s="43" t="s">
        <v>898</v>
      </c>
      <c r="I30" s="44" t="s">
        <v>899</v>
      </c>
      <c r="J30" s="45" t="s">
        <v>900</v>
      </c>
      <c r="K30" s="46" t="s">
        <v>901</v>
      </c>
      <c r="L30" s="47" t="s">
        <v>2811</v>
      </c>
      <c r="M30" s="48" t="s">
        <v>2812</v>
      </c>
      <c r="N30" s="49"/>
      <c r="O30" s="50" t="s">
        <v>3178</v>
      </c>
      <c r="P30" s="59"/>
      <c r="Q30" s="59"/>
      <c r="R30" s="13"/>
    </row>
    <row r="31" spans="1:18" ht="30" x14ac:dyDescent="0.25">
      <c r="A31" s="9" t="s">
        <v>21</v>
      </c>
      <c r="B31" s="28">
        <f>IF(ISBLANK(A31),0,INDEX(txtstylestab[],MATCH(A31,txtstylestab[style_Name],0),1))</f>
        <v>0</v>
      </c>
      <c r="C31" s="28">
        <f t="shared" si="1"/>
        <v>2</v>
      </c>
      <c r="D31" s="28">
        <f t="shared" si="2"/>
        <v>2</v>
      </c>
      <c r="E31" s="28">
        <f t="shared" si="3"/>
        <v>0</v>
      </c>
      <c r="F31" s="59" t="str">
        <f t="shared" si="4"/>
        <v/>
      </c>
      <c r="G31" s="42" t="s">
        <v>886</v>
      </c>
      <c r="H31" s="43" t="s">
        <v>887</v>
      </c>
      <c r="I31" s="44" t="s">
        <v>888</v>
      </c>
      <c r="J31" s="45" t="s">
        <v>889</v>
      </c>
      <c r="K31" s="46" t="s">
        <v>890</v>
      </c>
      <c r="L31" s="47" t="s">
        <v>2813</v>
      </c>
      <c r="M31" s="48" t="s">
        <v>2814</v>
      </c>
      <c r="N31" s="49"/>
      <c r="O31" s="50" t="s">
        <v>3258</v>
      </c>
      <c r="P31" s="59"/>
      <c r="Q31" s="59"/>
      <c r="R31" s="13"/>
    </row>
    <row r="32" spans="1:18" ht="45" x14ac:dyDescent="0.25">
      <c r="A32" s="9" t="s">
        <v>21</v>
      </c>
      <c r="B32" s="28">
        <f>IF(ISBLANK(A32),0,INDEX(txtstylestab[],MATCH(A32,txtstylestab[style_Name],0),1))</f>
        <v>0</v>
      </c>
      <c r="C32" s="28">
        <f t="shared" si="1"/>
        <v>2</v>
      </c>
      <c r="D32" s="28">
        <f t="shared" si="2"/>
        <v>2</v>
      </c>
      <c r="E32" s="28">
        <f t="shared" si="3"/>
        <v>0</v>
      </c>
      <c r="F32" s="59" t="str">
        <f t="shared" si="4"/>
        <v/>
      </c>
      <c r="G32" s="42" t="s">
        <v>891</v>
      </c>
      <c r="H32" s="43" t="s">
        <v>892</v>
      </c>
      <c r="I32" s="44" t="s">
        <v>417</v>
      </c>
      <c r="J32" s="45" t="s">
        <v>395</v>
      </c>
      <c r="K32" s="46" t="s">
        <v>1730</v>
      </c>
      <c r="L32" s="47" t="s">
        <v>2815</v>
      </c>
      <c r="M32" s="48" t="s">
        <v>2803</v>
      </c>
      <c r="N32" s="49"/>
      <c r="O32" s="50" t="s">
        <v>3259</v>
      </c>
      <c r="P32" s="59"/>
      <c r="Q32" s="59"/>
      <c r="R32" s="13"/>
    </row>
    <row r="33" spans="1:18" ht="45" x14ac:dyDescent="0.25">
      <c r="A33" s="9" t="s">
        <v>21</v>
      </c>
      <c r="B33" s="28">
        <f>IF(ISBLANK(A33),0,INDEX(txtstylestab[],MATCH(A33,txtstylestab[style_Name],0),1))</f>
        <v>0</v>
      </c>
      <c r="C33" s="28">
        <f t="shared" si="1"/>
        <v>2</v>
      </c>
      <c r="D33" s="28">
        <f t="shared" si="2"/>
        <v>2</v>
      </c>
      <c r="E33" s="28">
        <f t="shared" si="3"/>
        <v>0</v>
      </c>
      <c r="F33" s="59" t="str">
        <f t="shared" si="4"/>
        <v/>
      </c>
      <c r="G33" s="42" t="s">
        <v>893</v>
      </c>
      <c r="H33" s="43" t="s">
        <v>894</v>
      </c>
      <c r="I33" s="44" t="s">
        <v>1710</v>
      </c>
      <c r="J33" s="45" t="s">
        <v>895</v>
      </c>
      <c r="K33" s="46" t="s">
        <v>896</v>
      </c>
      <c r="L33" s="47" t="s">
        <v>2816</v>
      </c>
      <c r="M33" s="48" t="s">
        <v>2817</v>
      </c>
      <c r="N33" s="49"/>
      <c r="O33" s="50" t="s">
        <v>3260</v>
      </c>
      <c r="P33" s="59"/>
      <c r="Q33" s="59"/>
      <c r="R33" s="13"/>
    </row>
    <row r="34" spans="1:18" ht="45" x14ac:dyDescent="0.25">
      <c r="A34" s="9" t="s">
        <v>21</v>
      </c>
      <c r="B34" s="28">
        <f>IF(ISBLANK(A34),0,INDEX(txtstylestab[],MATCH(A34,txtstylestab[style_Name],0),1))</f>
        <v>0</v>
      </c>
      <c r="C34" s="28">
        <f t="shared" si="1"/>
        <v>2</v>
      </c>
      <c r="D34" s="28">
        <f t="shared" si="2"/>
        <v>2</v>
      </c>
      <c r="E34" s="28">
        <f t="shared" si="3"/>
        <v>0</v>
      </c>
      <c r="F34" s="59" t="str">
        <f t="shared" si="4"/>
        <v/>
      </c>
      <c r="G34" s="42" t="s">
        <v>536</v>
      </c>
      <c r="H34" s="43" t="s">
        <v>537</v>
      </c>
      <c r="I34" s="44" t="s">
        <v>503</v>
      </c>
      <c r="J34" s="45" t="s">
        <v>504</v>
      </c>
      <c r="K34" s="46" t="s">
        <v>538</v>
      </c>
      <c r="L34" s="47" t="s">
        <v>2808</v>
      </c>
      <c r="M34" s="48" t="s">
        <v>2809</v>
      </c>
      <c r="N34" s="49"/>
      <c r="O34" s="50" t="s">
        <v>3244</v>
      </c>
      <c r="P34" s="59"/>
      <c r="Q34" s="59"/>
      <c r="R34" s="13"/>
    </row>
    <row r="35" spans="1:18" ht="30" x14ac:dyDescent="0.25">
      <c r="A35" s="9" t="s">
        <v>21</v>
      </c>
      <c r="B35" s="28">
        <f>IF(ISBLANK(A35),0,INDEX(txtstylestab[],MATCH(A35,txtstylestab[style_Name],0),1))</f>
        <v>0</v>
      </c>
      <c r="C35" s="28">
        <f t="shared" si="1"/>
        <v>2</v>
      </c>
      <c r="D35" s="28">
        <f t="shared" si="2"/>
        <v>2</v>
      </c>
      <c r="E35" s="28">
        <f t="shared" si="3"/>
        <v>0</v>
      </c>
      <c r="F35" s="59" t="str">
        <f t="shared" si="4"/>
        <v/>
      </c>
      <c r="G35" s="42" t="s">
        <v>562</v>
      </c>
      <c r="H35" s="43" t="s">
        <v>26</v>
      </c>
      <c r="I35" s="44" t="s">
        <v>48</v>
      </c>
      <c r="J35" s="45" t="s">
        <v>54</v>
      </c>
      <c r="K35" s="46" t="s">
        <v>59</v>
      </c>
      <c r="L35" s="47" t="s">
        <v>2818</v>
      </c>
      <c r="M35" s="48" t="s">
        <v>2819</v>
      </c>
      <c r="N35" s="49"/>
      <c r="O35" s="50" t="s">
        <v>3173</v>
      </c>
      <c r="P35" s="59"/>
      <c r="Q35" s="59"/>
      <c r="R35" s="13"/>
    </row>
    <row r="36" spans="1:18" ht="18" thickBot="1" x14ac:dyDescent="0.35">
      <c r="A36" s="9" t="s">
        <v>11</v>
      </c>
      <c r="B36" s="28">
        <f>IF(ISBLANK(A36),0,INDEX(txtstylestab[],MATCH(A36,txtstylestab[style_Name],0),1))</f>
        <v>2</v>
      </c>
      <c r="C36" s="28">
        <f t="shared" si="1"/>
        <v>2</v>
      </c>
      <c r="D36" s="28">
        <f t="shared" si="2"/>
        <v>3</v>
      </c>
      <c r="E36" s="28">
        <f t="shared" si="3"/>
        <v>0</v>
      </c>
      <c r="F36" s="54" t="str">
        <f t="shared" si="4"/>
        <v>2.3.</v>
      </c>
      <c r="G36" s="54" t="s">
        <v>902</v>
      </c>
      <c r="H36" s="54"/>
      <c r="I36" s="54"/>
      <c r="J36" s="54"/>
      <c r="K36" s="54"/>
      <c r="L36" s="54"/>
      <c r="M36" s="54"/>
      <c r="N36" s="54"/>
      <c r="O36" s="54"/>
      <c r="P36" s="54"/>
      <c r="Q36" s="54"/>
      <c r="R36" s="13"/>
    </row>
    <row r="37" spans="1:18" ht="15.75" thickTop="1" x14ac:dyDescent="0.25">
      <c r="A37" s="9" t="s">
        <v>21</v>
      </c>
      <c r="B37" s="28">
        <f>IF(ISBLANK(A37),0,INDEX(txtstylestab[],MATCH(A37,txtstylestab[style_Name],0),1))</f>
        <v>0</v>
      </c>
      <c r="C37" s="28">
        <f t="shared" si="1"/>
        <v>2</v>
      </c>
      <c r="D37" s="28">
        <f t="shared" si="2"/>
        <v>3</v>
      </c>
      <c r="E37" s="28">
        <f t="shared" si="3"/>
        <v>0</v>
      </c>
      <c r="F37" s="59" t="str">
        <f t="shared" si="4"/>
        <v/>
      </c>
      <c r="G37" s="42" t="s">
        <v>82</v>
      </c>
      <c r="H37" s="43" t="s">
        <v>83</v>
      </c>
      <c r="I37" s="44" t="s">
        <v>84</v>
      </c>
      <c r="J37" s="45" t="s">
        <v>85</v>
      </c>
      <c r="K37" s="46" t="s">
        <v>86</v>
      </c>
      <c r="L37" s="47" t="s">
        <v>2398</v>
      </c>
      <c r="M37" s="48" t="s">
        <v>2333</v>
      </c>
      <c r="N37" s="49"/>
      <c r="O37" s="50" t="s">
        <v>3166</v>
      </c>
      <c r="P37" s="50"/>
      <c r="Q37" s="59"/>
      <c r="R37" s="13"/>
    </row>
    <row r="38" spans="1:18" ht="30" x14ac:dyDescent="0.25">
      <c r="A38" s="9" t="s">
        <v>21</v>
      </c>
      <c r="B38" s="28">
        <f>IF(ISBLANK(A38),0,INDEX(txtstylestab[],MATCH(A38,txtstylestab[style_Name],0),1))</f>
        <v>0</v>
      </c>
      <c r="C38" s="28">
        <f t="shared" si="1"/>
        <v>2</v>
      </c>
      <c r="D38" s="28">
        <f t="shared" si="2"/>
        <v>3</v>
      </c>
      <c r="E38" s="28">
        <f t="shared" si="3"/>
        <v>0</v>
      </c>
      <c r="F38" s="59" t="str">
        <f t="shared" si="4"/>
        <v/>
      </c>
      <c r="G38" s="42" t="s">
        <v>903</v>
      </c>
      <c r="H38" s="43" t="s">
        <v>904</v>
      </c>
      <c r="I38" s="44" t="s">
        <v>905</v>
      </c>
      <c r="J38" s="45" t="s">
        <v>906</v>
      </c>
      <c r="K38" s="46" t="s">
        <v>907</v>
      </c>
      <c r="L38" s="47" t="s">
        <v>2821</v>
      </c>
      <c r="M38" s="48" t="s">
        <v>2822</v>
      </c>
      <c r="N38" s="49"/>
      <c r="O38" s="50" t="s">
        <v>3252</v>
      </c>
      <c r="P38" s="59"/>
      <c r="Q38" s="59"/>
      <c r="R38" s="13"/>
    </row>
    <row r="39" spans="1:18" ht="45" x14ac:dyDescent="0.25">
      <c r="A39" s="9" t="s">
        <v>21</v>
      </c>
      <c r="B39" s="28">
        <f>IF(ISBLANK(A39),0,INDEX(txtstylestab[],MATCH(A39,txtstylestab[style_Name],0),1))</f>
        <v>0</v>
      </c>
      <c r="C39" s="28">
        <f t="shared" si="1"/>
        <v>2</v>
      </c>
      <c r="D39" s="28">
        <f t="shared" si="2"/>
        <v>3</v>
      </c>
      <c r="E39" s="28">
        <f t="shared" si="3"/>
        <v>0</v>
      </c>
      <c r="F39" s="59" t="str">
        <f t="shared" si="4"/>
        <v/>
      </c>
      <c r="G39" s="42" t="s">
        <v>908</v>
      </c>
      <c r="H39" s="43" t="s">
        <v>909</v>
      </c>
      <c r="I39" s="44" t="s">
        <v>1642</v>
      </c>
      <c r="J39" s="45" t="s">
        <v>910</v>
      </c>
      <c r="K39" s="46" t="s">
        <v>911</v>
      </c>
      <c r="L39" s="47" t="s">
        <v>2823</v>
      </c>
      <c r="M39" s="48" t="s">
        <v>2824</v>
      </c>
      <c r="N39" s="49"/>
      <c r="O39" s="50" t="s">
        <v>3253</v>
      </c>
      <c r="P39" s="59"/>
      <c r="Q39" s="59"/>
      <c r="R39" s="13"/>
    </row>
    <row r="40" spans="1:18" ht="60" x14ac:dyDescent="0.25">
      <c r="A40" s="9" t="s">
        <v>21</v>
      </c>
      <c r="B40" s="28">
        <f>IF(ISBLANK(A40),0,INDEX(txtstylestab[],MATCH(A40,txtstylestab[style_Name],0),1))</f>
        <v>0</v>
      </c>
      <c r="C40" s="28">
        <f t="shared" si="1"/>
        <v>2</v>
      </c>
      <c r="D40" s="28">
        <f t="shared" si="2"/>
        <v>3</v>
      </c>
      <c r="E40" s="28">
        <f t="shared" si="3"/>
        <v>0</v>
      </c>
      <c r="F40" s="59" t="str">
        <f t="shared" si="4"/>
        <v/>
      </c>
      <c r="G40" s="42" t="s">
        <v>912</v>
      </c>
      <c r="H40" s="43" t="s">
        <v>913</v>
      </c>
      <c r="I40" s="44" t="s">
        <v>1643</v>
      </c>
      <c r="J40" s="45" t="s">
        <v>914</v>
      </c>
      <c r="K40" s="46" t="s">
        <v>915</v>
      </c>
      <c r="L40" s="47" t="s">
        <v>2825</v>
      </c>
      <c r="M40" s="48" t="s">
        <v>2826</v>
      </c>
      <c r="N40" s="49"/>
      <c r="O40" s="50" t="s">
        <v>3254</v>
      </c>
      <c r="P40" s="59"/>
      <c r="Q40" s="59"/>
      <c r="R40" s="13"/>
    </row>
    <row r="41" spans="1:18" ht="30" x14ac:dyDescent="0.25">
      <c r="A41" s="9" t="s">
        <v>21</v>
      </c>
      <c r="B41" s="28">
        <f>IF(ISBLANK(A41),0,INDEX(txtstylestab[],MATCH(A41,txtstylestab[style_Name],0),1))</f>
        <v>0</v>
      </c>
      <c r="C41" s="28">
        <f t="shared" si="1"/>
        <v>2</v>
      </c>
      <c r="D41" s="28">
        <f t="shared" si="2"/>
        <v>3</v>
      </c>
      <c r="E41" s="28">
        <f t="shared" si="3"/>
        <v>0</v>
      </c>
      <c r="F41" s="59" t="str">
        <f t="shared" si="4"/>
        <v/>
      </c>
      <c r="G41" s="42" t="s">
        <v>916</v>
      </c>
      <c r="H41" s="43" t="s">
        <v>917</v>
      </c>
      <c r="I41" s="44" t="s">
        <v>918</v>
      </c>
      <c r="J41" s="45" t="s">
        <v>919</v>
      </c>
      <c r="K41" s="46" t="s">
        <v>920</v>
      </c>
      <c r="L41" s="47" t="s">
        <v>2827</v>
      </c>
      <c r="M41" s="48" t="s">
        <v>2828</v>
      </c>
      <c r="N41" s="49"/>
      <c r="O41" s="50" t="s">
        <v>3255</v>
      </c>
      <c r="P41" s="59"/>
      <c r="Q41" s="59"/>
      <c r="R41" s="13"/>
    </row>
    <row r="42" spans="1:18" x14ac:dyDescent="0.25">
      <c r="A42" s="9" t="s">
        <v>21</v>
      </c>
      <c r="B42" s="28">
        <f>IF(ISBLANK(A42),0,INDEX(txtstylestab[],MATCH(A42,txtstylestab[style_Name],0),1))</f>
        <v>0</v>
      </c>
      <c r="C42" s="28">
        <f t="shared" si="1"/>
        <v>2</v>
      </c>
      <c r="D42" s="28">
        <f t="shared" si="2"/>
        <v>3</v>
      </c>
      <c r="E42" s="28">
        <f t="shared" si="3"/>
        <v>0</v>
      </c>
      <c r="F42" s="59" t="str">
        <f t="shared" si="4"/>
        <v/>
      </c>
      <c r="G42" s="42" t="s">
        <v>6</v>
      </c>
      <c r="H42" s="43" t="s">
        <v>26</v>
      </c>
      <c r="I42" s="44" t="s">
        <v>48</v>
      </c>
      <c r="J42" s="45" t="s">
        <v>54</v>
      </c>
      <c r="K42" s="46" t="s">
        <v>59</v>
      </c>
      <c r="L42" s="47" t="s">
        <v>2525</v>
      </c>
      <c r="M42" s="48" t="s">
        <v>2526</v>
      </c>
      <c r="N42" s="49"/>
      <c r="O42" s="50" t="s">
        <v>3173</v>
      </c>
      <c r="P42" s="50"/>
      <c r="Q42" s="59"/>
      <c r="R42" s="13"/>
    </row>
    <row r="43" spans="1:18" ht="15.75" thickBot="1" x14ac:dyDescent="0.3">
      <c r="A43" s="9" t="s">
        <v>12</v>
      </c>
      <c r="B43" s="28">
        <f>IF(ISBLANK(A43),0,INDEX(txtstylestab[],MATCH(A43,txtstylestab[style_Name],0),1))</f>
        <v>3</v>
      </c>
      <c r="C43" s="28">
        <f t="shared" si="1"/>
        <v>2</v>
      </c>
      <c r="D43" s="28">
        <f t="shared" si="2"/>
        <v>3</v>
      </c>
      <c r="E43" s="28">
        <f t="shared" si="3"/>
        <v>1</v>
      </c>
      <c r="F43" s="55" t="str">
        <f t="shared" si="4"/>
        <v>2.3.1.</v>
      </c>
      <c r="G43" s="55" t="s">
        <v>921</v>
      </c>
      <c r="H43" s="55"/>
      <c r="I43" s="55"/>
      <c r="J43" s="55"/>
      <c r="K43" s="55"/>
      <c r="L43" s="55"/>
      <c r="M43" s="55"/>
      <c r="N43" s="55"/>
      <c r="O43" s="55"/>
      <c r="P43" s="55"/>
      <c r="Q43" s="55"/>
      <c r="R43" s="13"/>
    </row>
    <row r="44" spans="1:18" x14ac:dyDescent="0.25">
      <c r="A44" s="9" t="s">
        <v>21</v>
      </c>
      <c r="B44" s="28">
        <f>IF(ISBLANK(A44),0,INDEX(txtstylestab[],MATCH(A44,txtstylestab[style_Name],0),1))</f>
        <v>0</v>
      </c>
      <c r="C44" s="28">
        <f t="shared" si="1"/>
        <v>2</v>
      </c>
      <c r="D44" s="28">
        <f t="shared" si="2"/>
        <v>3</v>
      </c>
      <c r="E44" s="28">
        <f t="shared" si="3"/>
        <v>1</v>
      </c>
      <c r="F44" s="59" t="str">
        <f t="shared" si="4"/>
        <v/>
      </c>
      <c r="G44" s="42" t="s">
        <v>82</v>
      </c>
      <c r="H44" s="43" t="s">
        <v>83</v>
      </c>
      <c r="I44" s="44" t="s">
        <v>84</v>
      </c>
      <c r="J44" s="45" t="s">
        <v>85</v>
      </c>
      <c r="K44" s="46" t="s">
        <v>86</v>
      </c>
      <c r="L44" s="47"/>
      <c r="M44" s="47"/>
      <c r="N44" s="48"/>
      <c r="O44" s="50" t="s">
        <v>3166</v>
      </c>
      <c r="P44" s="49"/>
      <c r="Q44" s="50"/>
      <c r="R44" s="13"/>
    </row>
    <row r="45" spans="1:18" x14ac:dyDescent="0.25">
      <c r="A45" s="9" t="s">
        <v>21</v>
      </c>
      <c r="B45" s="28">
        <f>IF(ISBLANK(A45),0,INDEX(txtstylestab[],MATCH(A45,txtstylestab[style_Name],0),1))</f>
        <v>0</v>
      </c>
      <c r="C45" s="28">
        <f t="shared" si="1"/>
        <v>2</v>
      </c>
      <c r="D45" s="28">
        <f t="shared" si="2"/>
        <v>3</v>
      </c>
      <c r="E45" s="28">
        <f t="shared" si="3"/>
        <v>1</v>
      </c>
      <c r="F45" s="59" t="str">
        <f t="shared" si="4"/>
        <v/>
      </c>
      <c r="G45" s="42" t="s">
        <v>922</v>
      </c>
      <c r="H45" s="43" t="s">
        <v>923</v>
      </c>
      <c r="I45" s="44" t="s">
        <v>924</v>
      </c>
      <c r="J45" s="45" t="s">
        <v>925</v>
      </c>
      <c r="K45" s="46" t="s">
        <v>926</v>
      </c>
      <c r="L45" s="47"/>
      <c r="M45" s="48"/>
      <c r="N45" s="49"/>
      <c r="O45" s="50" t="s">
        <v>3250</v>
      </c>
      <c r="P45" s="59"/>
      <c r="Q45" s="59"/>
      <c r="R45" s="13"/>
    </row>
    <row r="46" spans="1:18" ht="30" x14ac:dyDescent="0.25">
      <c r="A46" s="9" t="s">
        <v>21</v>
      </c>
      <c r="B46" s="28">
        <f>IF(ISBLANK(A46),0,INDEX(txtstylestab[],MATCH(A46,txtstylestab[style_Name],0),1))</f>
        <v>0</v>
      </c>
      <c r="C46" s="28">
        <f t="shared" si="1"/>
        <v>2</v>
      </c>
      <c r="D46" s="28">
        <f t="shared" si="2"/>
        <v>3</v>
      </c>
      <c r="E46" s="28">
        <f t="shared" si="3"/>
        <v>1</v>
      </c>
      <c r="F46" s="59" t="str">
        <f t="shared" si="4"/>
        <v/>
      </c>
      <c r="G46" s="42" t="s">
        <v>929</v>
      </c>
      <c r="H46" s="43" t="s">
        <v>930</v>
      </c>
      <c r="I46" s="44" t="s">
        <v>927</v>
      </c>
      <c r="J46" s="45" t="s">
        <v>931</v>
      </c>
      <c r="K46" s="46" t="s">
        <v>928</v>
      </c>
      <c r="L46" s="47"/>
      <c r="M46" s="48"/>
      <c r="N46" s="49"/>
      <c r="O46" s="50" t="s">
        <v>3251</v>
      </c>
      <c r="P46" s="59"/>
      <c r="Q46" s="59"/>
      <c r="R46" s="13"/>
    </row>
    <row r="47" spans="1:18" x14ac:dyDescent="0.25">
      <c r="A47" s="9" t="s">
        <v>21</v>
      </c>
      <c r="B47" s="28">
        <f>IF(ISBLANK(A47),0,INDEX(txtstylestab[],MATCH(A47,txtstylestab[style_Name],0),1))</f>
        <v>0</v>
      </c>
      <c r="C47" s="28">
        <f t="shared" si="1"/>
        <v>2</v>
      </c>
      <c r="D47" s="28">
        <f t="shared" si="2"/>
        <v>3</v>
      </c>
      <c r="E47" s="28">
        <f t="shared" si="3"/>
        <v>1</v>
      </c>
      <c r="F47" s="59" t="str">
        <f t="shared" si="4"/>
        <v/>
      </c>
      <c r="G47" s="42" t="s">
        <v>6</v>
      </c>
      <c r="H47" s="43" t="s">
        <v>26</v>
      </c>
      <c r="I47" s="44" t="s">
        <v>48</v>
      </c>
      <c r="J47" s="45" t="s">
        <v>384</v>
      </c>
      <c r="K47" s="46" t="s">
        <v>59</v>
      </c>
      <c r="L47" s="47"/>
      <c r="M47" s="47"/>
      <c r="N47" s="48"/>
      <c r="O47" s="50" t="s">
        <v>3173</v>
      </c>
      <c r="P47" s="49"/>
      <c r="Q47" s="50"/>
      <c r="R47" s="13"/>
    </row>
    <row r="48" spans="1:18" ht="18" thickBot="1" x14ac:dyDescent="0.35">
      <c r="A48" s="9" t="s">
        <v>11</v>
      </c>
      <c r="B48" s="28">
        <f>IF(ISBLANK(A48),0,INDEX(txtstylestab[],MATCH(A48,txtstylestab[style_Name],0),1))</f>
        <v>2</v>
      </c>
      <c r="C48" s="28">
        <f t="shared" si="1"/>
        <v>2</v>
      </c>
      <c r="D48" s="28">
        <f t="shared" si="2"/>
        <v>4</v>
      </c>
      <c r="E48" s="28">
        <f t="shared" si="3"/>
        <v>0</v>
      </c>
      <c r="F48" s="54" t="str">
        <f t="shared" si="4"/>
        <v>2.4.</v>
      </c>
      <c r="G48" s="54" t="s">
        <v>932</v>
      </c>
      <c r="H48" s="54"/>
      <c r="I48" s="54"/>
      <c r="J48" s="54"/>
      <c r="K48" s="54"/>
      <c r="L48" s="54"/>
      <c r="M48" s="54"/>
      <c r="N48" s="54"/>
      <c r="O48" s="54"/>
      <c r="P48" s="54"/>
      <c r="Q48" s="54"/>
      <c r="R48" s="13"/>
    </row>
    <row r="49" spans="1:18" ht="15.75" thickTop="1" x14ac:dyDescent="0.25">
      <c r="A49" s="9" t="s">
        <v>21</v>
      </c>
      <c r="B49" s="28">
        <f>IF(ISBLANK(A49),0,INDEX(txtstylestab[],MATCH(A49,txtstylestab[style_Name],0),1))</f>
        <v>0</v>
      </c>
      <c r="C49" s="28">
        <f t="shared" si="1"/>
        <v>2</v>
      </c>
      <c r="D49" s="28">
        <f t="shared" si="2"/>
        <v>4</v>
      </c>
      <c r="E49" s="28">
        <f t="shared" si="3"/>
        <v>0</v>
      </c>
      <c r="F49" s="59" t="str">
        <f t="shared" si="4"/>
        <v/>
      </c>
      <c r="G49" s="42" t="s">
        <v>82</v>
      </c>
      <c r="H49" s="43" t="s">
        <v>83</v>
      </c>
      <c r="I49" s="44" t="s">
        <v>84</v>
      </c>
      <c r="J49" s="45" t="s">
        <v>85</v>
      </c>
      <c r="K49" s="46" t="s">
        <v>86</v>
      </c>
      <c r="L49" s="47" t="s">
        <v>2398</v>
      </c>
      <c r="M49" s="48" t="s">
        <v>2333</v>
      </c>
      <c r="N49" s="49"/>
      <c r="O49" s="50" t="s">
        <v>3166</v>
      </c>
      <c r="P49" s="50"/>
      <c r="Q49" s="59"/>
      <c r="R49" s="13"/>
    </row>
    <row r="50" spans="1:18" ht="75" x14ac:dyDescent="0.25">
      <c r="A50" s="9" t="s">
        <v>21</v>
      </c>
      <c r="B50" s="28">
        <f>IF(ISBLANK(A50),0,INDEX(txtstylestab[],MATCH(A50,txtstylestab[style_Name],0),1))</f>
        <v>0</v>
      </c>
      <c r="C50" s="28">
        <f t="shared" si="1"/>
        <v>2</v>
      </c>
      <c r="D50" s="28">
        <f t="shared" si="2"/>
        <v>4</v>
      </c>
      <c r="E50" s="28">
        <f t="shared" si="3"/>
        <v>0</v>
      </c>
      <c r="F50" s="59" t="str">
        <f t="shared" si="4"/>
        <v/>
      </c>
      <c r="G50" s="42" t="s">
        <v>1983</v>
      </c>
      <c r="H50" s="43" t="s">
        <v>1984</v>
      </c>
      <c r="I50" s="44" t="s">
        <v>1985</v>
      </c>
      <c r="J50" s="45" t="s">
        <v>1986</v>
      </c>
      <c r="K50" s="46" t="s">
        <v>1987</v>
      </c>
      <c r="L50" s="47" t="s">
        <v>2829</v>
      </c>
      <c r="M50" s="48" t="s">
        <v>2859</v>
      </c>
      <c r="N50" s="49"/>
      <c r="O50" s="50" t="s">
        <v>3248</v>
      </c>
      <c r="P50" s="59"/>
      <c r="Q50" s="59"/>
      <c r="R50" s="13"/>
    </row>
    <row r="51" spans="1:18" ht="90" x14ac:dyDescent="0.25">
      <c r="A51" s="9" t="s">
        <v>14</v>
      </c>
      <c r="B51" s="28">
        <f>IF(ISBLANK(A51),0,INDEX(txtstylestab[],MATCH(A51,txtstylestab[style_Name],0),1))</f>
        <v>6</v>
      </c>
      <c r="C51" s="28">
        <f t="shared" si="1"/>
        <v>2</v>
      </c>
      <c r="D51" s="28">
        <f t="shared" si="2"/>
        <v>4</v>
      </c>
      <c r="E51" s="28">
        <f t="shared" si="3"/>
        <v>0</v>
      </c>
      <c r="F51" s="59" t="str">
        <f t="shared" si="4"/>
        <v/>
      </c>
      <c r="G51" s="42" t="s">
        <v>1988</v>
      </c>
      <c r="H51" s="43" t="s">
        <v>1989</v>
      </c>
      <c r="I51" s="44" t="s">
        <v>1990</v>
      </c>
      <c r="J51" s="45" t="s">
        <v>1991</v>
      </c>
      <c r="K51" s="46" t="s">
        <v>1992</v>
      </c>
      <c r="L51" s="47" t="s">
        <v>2830</v>
      </c>
      <c r="M51" s="48" t="s">
        <v>2831</v>
      </c>
      <c r="N51" s="49"/>
      <c r="O51" s="50" t="s">
        <v>3245</v>
      </c>
      <c r="P51" s="59"/>
      <c r="Q51" s="59"/>
      <c r="R51" s="13"/>
    </row>
    <row r="52" spans="1:18" ht="90" x14ac:dyDescent="0.25">
      <c r="A52" s="9" t="s">
        <v>14</v>
      </c>
      <c r="B52" s="28">
        <f>IF(ISBLANK(A52),0,INDEX(txtstylestab[],MATCH(A52,txtstylestab[style_Name],0),1))</f>
        <v>6</v>
      </c>
      <c r="C52" s="28">
        <f t="shared" si="1"/>
        <v>2</v>
      </c>
      <c r="D52" s="28">
        <f t="shared" si="2"/>
        <v>4</v>
      </c>
      <c r="E52" s="28">
        <f t="shared" si="3"/>
        <v>0</v>
      </c>
      <c r="F52" s="59" t="str">
        <f t="shared" si="4"/>
        <v/>
      </c>
      <c r="G52" s="42" t="s">
        <v>1993</v>
      </c>
      <c r="H52" s="43" t="s">
        <v>1994</v>
      </c>
      <c r="I52" s="44" t="s">
        <v>1995</v>
      </c>
      <c r="J52" s="45" t="s">
        <v>1996</v>
      </c>
      <c r="K52" s="46" t="s">
        <v>1997</v>
      </c>
      <c r="L52" s="47" t="s">
        <v>2832</v>
      </c>
      <c r="M52" s="48" t="s">
        <v>2858</v>
      </c>
      <c r="N52" s="49"/>
      <c r="O52" s="50" t="s">
        <v>3246</v>
      </c>
      <c r="P52" s="59"/>
      <c r="Q52" s="59"/>
      <c r="R52" s="13"/>
    </row>
    <row r="53" spans="1:18" ht="45" x14ac:dyDescent="0.25">
      <c r="A53" s="9" t="s">
        <v>21</v>
      </c>
      <c r="B53" s="28">
        <f>IF(ISBLANK(A53),0,INDEX(txtstylestab[],MATCH(A53,txtstylestab[style_Name],0),1))</f>
        <v>0</v>
      </c>
      <c r="C53" s="28">
        <f t="shared" si="1"/>
        <v>2</v>
      </c>
      <c r="D53" s="28">
        <f t="shared" si="2"/>
        <v>4</v>
      </c>
      <c r="E53" s="28">
        <f t="shared" si="3"/>
        <v>0</v>
      </c>
      <c r="F53" s="59" t="str">
        <f t="shared" si="4"/>
        <v/>
      </c>
      <c r="G53" s="42"/>
      <c r="H53" s="43"/>
      <c r="I53" s="44"/>
      <c r="J53" s="45"/>
      <c r="K53" s="46"/>
      <c r="L53" s="47"/>
      <c r="M53" s="48"/>
      <c r="N53" s="49"/>
      <c r="O53" s="50" t="s">
        <v>3247</v>
      </c>
      <c r="P53" s="59"/>
      <c r="Q53" s="59"/>
      <c r="R53" s="13"/>
    </row>
    <row r="54" spans="1:18" ht="45" x14ac:dyDescent="0.25">
      <c r="A54" s="9" t="s">
        <v>21</v>
      </c>
      <c r="B54" s="28">
        <f>IF(ISBLANK(A54),0,INDEX(txtstylestab[],MATCH(A54,txtstylestab[style_Name],0),1))</f>
        <v>0</v>
      </c>
      <c r="C54" s="28">
        <f t="shared" si="1"/>
        <v>2</v>
      </c>
      <c r="D54" s="28">
        <f t="shared" si="2"/>
        <v>4</v>
      </c>
      <c r="E54" s="28">
        <f t="shared" si="3"/>
        <v>0</v>
      </c>
      <c r="F54" s="59" t="str">
        <f t="shared" si="4"/>
        <v/>
      </c>
      <c r="G54" s="42" t="s">
        <v>392</v>
      </c>
      <c r="H54" s="43" t="s">
        <v>892</v>
      </c>
      <c r="I54" s="44" t="s">
        <v>1644</v>
      </c>
      <c r="J54" s="45" t="s">
        <v>395</v>
      </c>
      <c r="K54" s="46" t="s">
        <v>933</v>
      </c>
      <c r="L54" s="47" t="s">
        <v>2523</v>
      </c>
      <c r="M54" s="48" t="s">
        <v>2524</v>
      </c>
      <c r="N54" s="49"/>
      <c r="O54" s="50" t="s">
        <v>3249</v>
      </c>
      <c r="P54" s="59"/>
      <c r="Q54" s="59"/>
      <c r="R54" s="13"/>
    </row>
    <row r="55" spans="1:18" ht="45" x14ac:dyDescent="0.25">
      <c r="A55" s="9" t="s">
        <v>21</v>
      </c>
      <c r="B55" s="28">
        <f>IF(ISBLANK(A55),0,INDEX(txtstylestab[],MATCH(A55,txtstylestab[style_Name],0),1))</f>
        <v>0</v>
      </c>
      <c r="C55" s="28">
        <f t="shared" si="1"/>
        <v>2</v>
      </c>
      <c r="D55" s="28">
        <f t="shared" si="2"/>
        <v>4</v>
      </c>
      <c r="E55" s="28">
        <f t="shared" si="3"/>
        <v>0</v>
      </c>
      <c r="F55" s="59" t="str">
        <f t="shared" si="4"/>
        <v/>
      </c>
      <c r="G55" s="42" t="s">
        <v>536</v>
      </c>
      <c r="H55" s="43" t="s">
        <v>537</v>
      </c>
      <c r="I55" s="44" t="s">
        <v>2210</v>
      </c>
      <c r="J55" s="45" t="s">
        <v>504</v>
      </c>
      <c r="K55" s="46" t="s">
        <v>538</v>
      </c>
      <c r="L55" s="47" t="s">
        <v>2833</v>
      </c>
      <c r="M55" s="48" t="s">
        <v>2803</v>
      </c>
      <c r="N55" s="49"/>
      <c r="O55" s="50" t="s">
        <v>3244</v>
      </c>
      <c r="P55" s="59"/>
      <c r="Q55" s="59"/>
      <c r="R55" s="13"/>
    </row>
    <row r="56" spans="1:18" x14ac:dyDescent="0.25">
      <c r="A56" s="9" t="s">
        <v>21</v>
      </c>
      <c r="B56" s="28">
        <f>IF(ISBLANK(A56),0,INDEX(txtstylestab[],MATCH(A56,txtstylestab[style_Name],0),1))</f>
        <v>0</v>
      </c>
      <c r="C56" s="28">
        <f t="shared" si="1"/>
        <v>2</v>
      </c>
      <c r="D56" s="28">
        <f t="shared" si="2"/>
        <v>4</v>
      </c>
      <c r="E56" s="28">
        <f t="shared" si="3"/>
        <v>0</v>
      </c>
      <c r="F56" s="59" t="str">
        <f t="shared" si="4"/>
        <v/>
      </c>
      <c r="G56" s="42" t="s">
        <v>6</v>
      </c>
      <c r="H56" s="43" t="s">
        <v>26</v>
      </c>
      <c r="I56" s="44" t="s">
        <v>48</v>
      </c>
      <c r="J56" s="45" t="s">
        <v>384</v>
      </c>
      <c r="K56" s="46" t="s">
        <v>59</v>
      </c>
      <c r="L56" s="47" t="s">
        <v>2525</v>
      </c>
      <c r="M56" s="48" t="s">
        <v>2526</v>
      </c>
      <c r="N56" s="49"/>
      <c r="O56" s="50" t="s">
        <v>3173</v>
      </c>
      <c r="P56" s="50"/>
      <c r="Q56" s="59"/>
      <c r="R56" s="13"/>
    </row>
    <row r="57" spans="1:18" ht="18" thickBot="1" x14ac:dyDescent="0.35">
      <c r="A57" s="9" t="s">
        <v>11</v>
      </c>
      <c r="B57" s="28">
        <f>IF(ISBLANK(A57),0,INDEX(txtstylestab[],MATCH(A57,txtstylestab[style_Name],0),1))</f>
        <v>2</v>
      </c>
      <c r="C57" s="28">
        <f t="shared" si="1"/>
        <v>2</v>
      </c>
      <c r="D57" s="28">
        <f t="shared" si="2"/>
        <v>5</v>
      </c>
      <c r="E57" s="28">
        <f t="shared" si="3"/>
        <v>0</v>
      </c>
      <c r="F57" s="54" t="str">
        <f t="shared" si="4"/>
        <v>2.5.</v>
      </c>
      <c r="G57" s="54" t="s">
        <v>934</v>
      </c>
      <c r="H57" s="54"/>
      <c r="I57" s="54"/>
      <c r="J57" s="54"/>
      <c r="K57" s="54"/>
      <c r="L57" s="54"/>
      <c r="M57" s="54"/>
      <c r="N57" s="54"/>
      <c r="O57" s="54"/>
      <c r="P57" s="54"/>
      <c r="Q57" s="54"/>
      <c r="R57" s="13"/>
    </row>
    <row r="58" spans="1:18" ht="15.75" thickTop="1" x14ac:dyDescent="0.25">
      <c r="A58" s="9" t="s">
        <v>21</v>
      </c>
      <c r="B58" s="28">
        <f>IF(ISBLANK(A58),0,INDEX(txtstylestab[],MATCH(A58,txtstylestab[style_Name],0),1))</f>
        <v>0</v>
      </c>
      <c r="C58" s="28">
        <f t="shared" si="1"/>
        <v>2</v>
      </c>
      <c r="D58" s="28">
        <f t="shared" si="2"/>
        <v>5</v>
      </c>
      <c r="E58" s="28">
        <f t="shared" si="3"/>
        <v>0</v>
      </c>
      <c r="F58" s="59" t="str">
        <f t="shared" si="4"/>
        <v/>
      </c>
      <c r="G58" s="42" t="s">
        <v>82</v>
      </c>
      <c r="H58" s="43" t="s">
        <v>83</v>
      </c>
      <c r="I58" s="44" t="s">
        <v>84</v>
      </c>
      <c r="J58" s="45" t="s">
        <v>85</v>
      </c>
      <c r="K58" s="46" t="s">
        <v>86</v>
      </c>
      <c r="L58" s="47" t="s">
        <v>2398</v>
      </c>
      <c r="M58" s="48" t="s">
        <v>2333</v>
      </c>
      <c r="N58" s="49"/>
      <c r="O58" s="50" t="s">
        <v>3166</v>
      </c>
      <c r="P58" s="50"/>
      <c r="Q58" s="59"/>
      <c r="R58" s="13"/>
    </row>
    <row r="59" spans="1:18" x14ac:dyDescent="0.25">
      <c r="A59" s="9" t="s">
        <v>21</v>
      </c>
      <c r="B59" s="28">
        <f>IF(ISBLANK(A59),0,INDEX(txtstylestab[],MATCH(A59,txtstylestab[style_Name],0),1))</f>
        <v>0</v>
      </c>
      <c r="C59" s="28">
        <f t="shared" si="1"/>
        <v>2</v>
      </c>
      <c r="D59" s="28">
        <f t="shared" si="2"/>
        <v>5</v>
      </c>
      <c r="E59" s="28">
        <f t="shared" si="3"/>
        <v>0</v>
      </c>
      <c r="F59" s="59" t="str">
        <f t="shared" si="4"/>
        <v/>
      </c>
      <c r="G59" s="42" t="s">
        <v>408</v>
      </c>
      <c r="H59" s="43" t="s">
        <v>409</v>
      </c>
      <c r="I59" s="44" t="s">
        <v>410</v>
      </c>
      <c r="J59" s="45" t="s">
        <v>411</v>
      </c>
      <c r="K59" s="46" t="s">
        <v>412</v>
      </c>
      <c r="L59" s="47" t="s">
        <v>2519</v>
      </c>
      <c r="M59" s="48" t="s">
        <v>2520</v>
      </c>
      <c r="N59" s="49"/>
      <c r="O59" s="50"/>
      <c r="P59" s="59"/>
      <c r="Q59" s="59"/>
      <c r="R59" s="13"/>
    </row>
    <row r="60" spans="1:18" ht="30" x14ac:dyDescent="0.25">
      <c r="A60" s="9" t="s">
        <v>21</v>
      </c>
      <c r="B60" s="28">
        <f>IF(ISBLANK(A60),0,INDEX(txtstylestab[],MATCH(A60,txtstylestab[style_Name],0),1))</f>
        <v>0</v>
      </c>
      <c r="C60" s="28">
        <f t="shared" si="1"/>
        <v>2</v>
      </c>
      <c r="D60" s="28">
        <f t="shared" si="2"/>
        <v>5</v>
      </c>
      <c r="E60" s="28">
        <f t="shared" si="3"/>
        <v>0</v>
      </c>
      <c r="F60" s="59" t="str">
        <f t="shared" si="4"/>
        <v/>
      </c>
      <c r="G60" s="42"/>
      <c r="H60" s="43"/>
      <c r="I60" s="44" t="s">
        <v>938</v>
      </c>
      <c r="J60" s="45" t="s">
        <v>936</v>
      </c>
      <c r="K60" s="46" t="s">
        <v>937</v>
      </c>
      <c r="L60" s="47"/>
      <c r="M60" s="48"/>
      <c r="N60" s="49"/>
      <c r="O60" s="50"/>
      <c r="P60" s="59"/>
      <c r="Q60" s="59"/>
      <c r="R60" s="13"/>
    </row>
    <row r="61" spans="1:18" ht="60" x14ac:dyDescent="0.25">
      <c r="A61" s="9" t="s">
        <v>21</v>
      </c>
      <c r="B61" s="28">
        <f>IF(ISBLANK(A61),0,INDEX(txtstylestab[],MATCH(A61,txtstylestab[style_Name],0),1))</f>
        <v>0</v>
      </c>
      <c r="C61" s="28">
        <f t="shared" si="1"/>
        <v>2</v>
      </c>
      <c r="D61" s="28">
        <f t="shared" si="2"/>
        <v>5</v>
      </c>
      <c r="E61" s="28">
        <f t="shared" si="3"/>
        <v>0</v>
      </c>
      <c r="F61" s="59" t="str">
        <f t="shared" si="4"/>
        <v/>
      </c>
      <c r="G61" s="42" t="s">
        <v>1998</v>
      </c>
      <c r="H61" s="43" t="s">
        <v>1999</v>
      </c>
      <c r="I61" s="44" t="s">
        <v>2212</v>
      </c>
      <c r="J61" s="45" t="s">
        <v>2213</v>
      </c>
      <c r="K61" s="46" t="s">
        <v>2211</v>
      </c>
      <c r="L61" s="47" t="s">
        <v>2834</v>
      </c>
      <c r="M61" s="48" t="s">
        <v>2835</v>
      </c>
      <c r="N61" s="49"/>
      <c r="O61" s="50" t="s">
        <v>3242</v>
      </c>
      <c r="P61" s="59"/>
      <c r="Q61" s="59"/>
      <c r="R61" s="13"/>
    </row>
    <row r="62" spans="1:18" ht="45" x14ac:dyDescent="0.25">
      <c r="A62" s="9" t="s">
        <v>21</v>
      </c>
      <c r="B62" s="28">
        <f>IF(ISBLANK(A62),0,INDEX(txtstylestab[],MATCH(A62,txtstylestab[style_Name],0),1))</f>
        <v>0</v>
      </c>
      <c r="C62" s="28">
        <f t="shared" si="1"/>
        <v>2</v>
      </c>
      <c r="D62" s="28">
        <f t="shared" si="2"/>
        <v>5</v>
      </c>
      <c r="E62" s="28">
        <f t="shared" si="3"/>
        <v>0</v>
      </c>
      <c r="F62" s="59" t="str">
        <f t="shared" si="4"/>
        <v/>
      </c>
      <c r="G62" s="42" t="s">
        <v>416</v>
      </c>
      <c r="H62" s="43" t="s">
        <v>892</v>
      </c>
      <c r="I62" s="44" t="s">
        <v>1644</v>
      </c>
      <c r="J62" s="45" t="s">
        <v>395</v>
      </c>
      <c r="K62" s="46" t="s">
        <v>933</v>
      </c>
      <c r="L62" s="47" t="s">
        <v>2836</v>
      </c>
      <c r="M62" s="48" t="s">
        <v>2803</v>
      </c>
      <c r="N62" s="49"/>
      <c r="O62" s="50" t="s">
        <v>3243</v>
      </c>
      <c r="P62" s="59"/>
      <c r="Q62" s="59"/>
      <c r="R62" s="13"/>
    </row>
    <row r="63" spans="1:18" ht="45" x14ac:dyDescent="0.25">
      <c r="A63" s="9" t="s">
        <v>21</v>
      </c>
      <c r="B63" s="28">
        <f>IF(ISBLANK(A63),0,INDEX(txtstylestab[],MATCH(A63,txtstylestab[style_Name],0),1))</f>
        <v>0</v>
      </c>
      <c r="C63" s="28">
        <f t="shared" si="1"/>
        <v>2</v>
      </c>
      <c r="D63" s="28">
        <f t="shared" si="2"/>
        <v>5</v>
      </c>
      <c r="E63" s="28">
        <f t="shared" si="3"/>
        <v>0</v>
      </c>
      <c r="F63" s="59" t="str">
        <f t="shared" si="4"/>
        <v/>
      </c>
      <c r="G63" s="42" t="s">
        <v>536</v>
      </c>
      <c r="H63" s="43" t="s">
        <v>537</v>
      </c>
      <c r="I63" s="44" t="s">
        <v>2200</v>
      </c>
      <c r="J63" s="45" t="s">
        <v>504</v>
      </c>
      <c r="K63" s="46" t="s">
        <v>538</v>
      </c>
      <c r="L63" s="47" t="s">
        <v>2523</v>
      </c>
      <c r="M63" s="48" t="s">
        <v>2524</v>
      </c>
      <c r="N63" s="49"/>
      <c r="O63" s="50" t="s">
        <v>3244</v>
      </c>
      <c r="P63" s="59"/>
      <c r="Q63" s="59"/>
      <c r="R63" s="13"/>
    </row>
    <row r="64" spans="1:18" x14ac:dyDescent="0.25">
      <c r="A64" s="9" t="s">
        <v>21</v>
      </c>
      <c r="B64" s="28">
        <f>IF(ISBLANK(A64),0,INDEX(txtstylestab[],MATCH(A64,txtstylestab[style_Name],0),1))</f>
        <v>0</v>
      </c>
      <c r="C64" s="28">
        <f t="shared" si="1"/>
        <v>2</v>
      </c>
      <c r="D64" s="28">
        <f t="shared" si="2"/>
        <v>5</v>
      </c>
      <c r="E64" s="28">
        <f t="shared" si="3"/>
        <v>0</v>
      </c>
      <c r="F64" s="59" t="str">
        <f t="shared" si="4"/>
        <v/>
      </c>
      <c r="G64" s="42" t="s">
        <v>935</v>
      </c>
      <c r="H64" s="43" t="s">
        <v>26</v>
      </c>
      <c r="I64" s="44" t="s">
        <v>48</v>
      </c>
      <c r="J64" s="45" t="s">
        <v>54</v>
      </c>
      <c r="K64" s="46" t="s">
        <v>59</v>
      </c>
      <c r="L64" s="47" t="s">
        <v>2525</v>
      </c>
      <c r="M64" s="48" t="s">
        <v>2526</v>
      </c>
      <c r="N64" s="49"/>
      <c r="O64" s="50" t="s">
        <v>3173</v>
      </c>
      <c r="P64" s="59"/>
      <c r="Q64" s="59"/>
      <c r="R64" s="13"/>
    </row>
    <row r="65" spans="1:18" ht="18" thickBot="1" x14ac:dyDescent="0.35">
      <c r="A65" s="9" t="s">
        <v>11</v>
      </c>
      <c r="B65" s="28">
        <f>IF(ISBLANK(A65),0,INDEX(txtstylestab[],MATCH(A65,txtstylestab[style_Name],0),1))</f>
        <v>2</v>
      </c>
      <c r="C65" s="28">
        <f t="shared" si="1"/>
        <v>2</v>
      </c>
      <c r="D65" s="28">
        <f t="shared" si="2"/>
        <v>6</v>
      </c>
      <c r="E65" s="28">
        <f t="shared" si="3"/>
        <v>0</v>
      </c>
      <c r="F65" s="54" t="str">
        <f t="shared" si="4"/>
        <v>2.6.</v>
      </c>
      <c r="G65" s="54" t="s">
        <v>939</v>
      </c>
      <c r="H65" s="54"/>
      <c r="I65" s="54"/>
      <c r="J65" s="54"/>
      <c r="K65" s="54"/>
      <c r="L65" s="54"/>
      <c r="M65" s="54"/>
      <c r="N65" s="54"/>
      <c r="O65" s="54"/>
      <c r="P65" s="54"/>
      <c r="Q65" s="54"/>
      <c r="R65" s="13"/>
    </row>
    <row r="66" spans="1:18" ht="15.75" thickTop="1" x14ac:dyDescent="0.25">
      <c r="A66" s="9" t="s">
        <v>21</v>
      </c>
      <c r="B66" s="28">
        <f>IF(ISBLANK(A66),0,INDEX(txtstylestab[],MATCH(A66,txtstylestab[style_Name],0),1))</f>
        <v>0</v>
      </c>
      <c r="C66" s="28">
        <f t="shared" si="1"/>
        <v>2</v>
      </c>
      <c r="D66" s="28">
        <f t="shared" si="2"/>
        <v>6</v>
      </c>
      <c r="E66" s="28">
        <f t="shared" si="3"/>
        <v>0</v>
      </c>
      <c r="F66" s="59" t="str">
        <f t="shared" si="4"/>
        <v/>
      </c>
      <c r="G66" s="42" t="s">
        <v>82</v>
      </c>
      <c r="H66" s="43" t="s">
        <v>83</v>
      </c>
      <c r="I66" s="44" t="s">
        <v>84</v>
      </c>
      <c r="J66" s="45" t="s">
        <v>809</v>
      </c>
      <c r="K66" s="46" t="s">
        <v>86</v>
      </c>
      <c r="L66" s="47" t="s">
        <v>2398</v>
      </c>
      <c r="M66" s="48" t="s">
        <v>2333</v>
      </c>
      <c r="N66" s="49"/>
      <c r="O66" s="50" t="s">
        <v>3166</v>
      </c>
      <c r="P66" s="59"/>
      <c r="Q66" s="59"/>
      <c r="R66" s="13"/>
    </row>
    <row r="67" spans="1:18" ht="75" x14ac:dyDescent="0.25">
      <c r="A67" s="9" t="s">
        <v>21</v>
      </c>
      <c r="B67" s="28">
        <f>IF(ISBLANK(A67),0,INDEX(txtstylestab[],MATCH(A67,txtstylestab[style_Name],0),1))</f>
        <v>0</v>
      </c>
      <c r="C67" s="28">
        <f t="shared" si="1"/>
        <v>2</v>
      </c>
      <c r="D67" s="28">
        <f t="shared" si="2"/>
        <v>6</v>
      </c>
      <c r="E67" s="28">
        <f t="shared" si="3"/>
        <v>0</v>
      </c>
      <c r="F67" s="59" t="str">
        <f t="shared" si="4"/>
        <v/>
      </c>
      <c r="G67" s="42" t="s">
        <v>940</v>
      </c>
      <c r="H67" s="43" t="s">
        <v>941</v>
      </c>
      <c r="I67" s="44" t="s">
        <v>942</v>
      </c>
      <c r="J67" s="45" t="s">
        <v>943</v>
      </c>
      <c r="K67" s="46" t="s">
        <v>944</v>
      </c>
      <c r="L67" s="47" t="s">
        <v>2837</v>
      </c>
      <c r="M67" s="48" t="s">
        <v>2838</v>
      </c>
      <c r="N67" s="49"/>
      <c r="O67" s="50" t="s">
        <v>3240</v>
      </c>
      <c r="P67" s="59"/>
      <c r="Q67" s="59"/>
      <c r="R67" s="13"/>
    </row>
    <row r="68" spans="1:18" ht="30" x14ac:dyDescent="0.25">
      <c r="A68" s="9" t="s">
        <v>21</v>
      </c>
      <c r="B68" s="28">
        <f>IF(ISBLANK(A68),0,INDEX(txtstylestab[],MATCH(A68,txtstylestab[style_Name],0),1))</f>
        <v>0</v>
      </c>
      <c r="C68" s="28">
        <f t="shared" ref="C68:C131" si="5">IF(B68=1,C67+1,C67)</f>
        <v>2</v>
      </c>
      <c r="D68" s="28">
        <f t="shared" ref="D68:D131" si="6">IF(B68=1,0,IF(B68=2,D67+1,IF(AND(B68=3,D67=0),1,D67)))</f>
        <v>6</v>
      </c>
      <c r="E68" s="28">
        <f t="shared" ref="E68:E131" si="7">IF(OR(B68=1,B68=2),0,IF(B68=3,E67+1,E67))</f>
        <v>0</v>
      </c>
      <c r="F68" s="59" t="str">
        <f t="shared" ref="F68:F131" si="8">IF(OR(B68=1,B68=2,B68=3),TEXT(C68,"#")&amp;".","")&amp;IF(OR(B68=2,B68=3),TEXT(D68,"#")&amp;".","")&amp;IF(B68=3,TEXT(E68,"#")&amp;".","")</f>
        <v/>
      </c>
      <c r="G68" s="42" t="s">
        <v>816</v>
      </c>
      <c r="H68" s="43" t="s">
        <v>945</v>
      </c>
      <c r="I68" s="44" t="s">
        <v>946</v>
      </c>
      <c r="J68" s="45" t="s">
        <v>947</v>
      </c>
      <c r="K68" s="46" t="s">
        <v>948</v>
      </c>
      <c r="L68" s="47" t="s">
        <v>2753</v>
      </c>
      <c r="M68" s="48" t="s">
        <v>2754</v>
      </c>
      <c r="N68" s="49"/>
      <c r="O68" s="50" t="s">
        <v>3241</v>
      </c>
      <c r="P68" s="59"/>
      <c r="Q68" s="59"/>
      <c r="R68" s="13"/>
    </row>
    <row r="69" spans="1:18" x14ac:dyDescent="0.25">
      <c r="A69" s="9" t="s">
        <v>21</v>
      </c>
      <c r="B69" s="28">
        <f>IF(ISBLANK(A69),0,INDEX(txtstylestab[],MATCH(A69,txtstylestab[style_Name],0),1))</f>
        <v>0</v>
      </c>
      <c r="C69" s="28">
        <f t="shared" si="5"/>
        <v>2</v>
      </c>
      <c r="D69" s="28">
        <f t="shared" si="6"/>
        <v>6</v>
      </c>
      <c r="E69" s="28">
        <f t="shared" si="7"/>
        <v>0</v>
      </c>
      <c r="F69" s="59" t="str">
        <f t="shared" si="8"/>
        <v/>
      </c>
      <c r="G69" s="42" t="s">
        <v>685</v>
      </c>
      <c r="H69" s="43" t="s">
        <v>96</v>
      </c>
      <c r="I69" s="44" t="s">
        <v>48</v>
      </c>
      <c r="J69" s="45" t="s">
        <v>54</v>
      </c>
      <c r="K69" s="46" t="s">
        <v>59</v>
      </c>
      <c r="L69" s="47" t="s">
        <v>2525</v>
      </c>
      <c r="M69" s="48" t="s">
        <v>2526</v>
      </c>
      <c r="N69" s="49"/>
      <c r="O69" s="50" t="s">
        <v>3173</v>
      </c>
      <c r="P69" s="59"/>
      <c r="Q69" s="59"/>
      <c r="R69" s="13"/>
    </row>
    <row r="70" spans="1:18" x14ac:dyDescent="0.25">
      <c r="A70" s="9" t="s">
        <v>13</v>
      </c>
      <c r="B70" s="28">
        <f>IF(ISBLANK(A70),0,INDEX(txtstylestab[],MATCH(A70,txtstylestab[style_Name],0),1))</f>
        <v>7</v>
      </c>
      <c r="C70" s="28">
        <f t="shared" si="5"/>
        <v>2</v>
      </c>
      <c r="D70" s="28">
        <f t="shared" si="6"/>
        <v>6</v>
      </c>
      <c r="E70" s="28">
        <f t="shared" si="7"/>
        <v>0</v>
      </c>
      <c r="F70" s="78" t="str">
        <f t="shared" si="8"/>
        <v/>
      </c>
      <c r="G70" s="78" t="s">
        <v>18</v>
      </c>
      <c r="H70" s="78"/>
      <c r="I70" s="78"/>
      <c r="J70" s="78"/>
      <c r="K70" s="78"/>
      <c r="L70" s="78"/>
      <c r="M70" s="78"/>
      <c r="N70" s="78"/>
      <c r="O70" s="78"/>
      <c r="P70" s="78"/>
      <c r="Q70" s="78"/>
      <c r="R70" s="13"/>
    </row>
    <row r="71" spans="1:18" ht="18" thickBot="1" x14ac:dyDescent="0.35">
      <c r="A71" s="9" t="s">
        <v>11</v>
      </c>
      <c r="B71" s="28">
        <f>IF(ISBLANK(A71),0,INDEX(txtstylestab[],MATCH(A71,txtstylestab[style_Name],0),1))</f>
        <v>2</v>
      </c>
      <c r="C71" s="28">
        <f t="shared" si="5"/>
        <v>2</v>
      </c>
      <c r="D71" s="28">
        <f t="shared" si="6"/>
        <v>7</v>
      </c>
      <c r="E71" s="28">
        <f t="shared" si="7"/>
        <v>0</v>
      </c>
      <c r="F71" s="54" t="str">
        <f t="shared" si="8"/>
        <v>2.7.</v>
      </c>
      <c r="G71" s="54" t="s">
        <v>949</v>
      </c>
      <c r="H71" s="54"/>
      <c r="I71" s="54"/>
      <c r="J71" s="54"/>
      <c r="K71" s="54"/>
      <c r="L71" s="54"/>
      <c r="M71" s="54"/>
      <c r="N71" s="54"/>
      <c r="O71" s="54"/>
      <c r="P71" s="54"/>
      <c r="Q71" s="54"/>
      <c r="R71" s="13"/>
    </row>
    <row r="72" spans="1:18" ht="60.75" thickTop="1" x14ac:dyDescent="0.25">
      <c r="A72" s="9" t="s">
        <v>21</v>
      </c>
      <c r="B72" s="28">
        <f>IF(ISBLANK(A72),0,INDEX(txtstylestab[],MATCH(A72,txtstylestab[style_Name],0),1))</f>
        <v>0</v>
      </c>
      <c r="C72" s="28">
        <f t="shared" si="5"/>
        <v>2</v>
      </c>
      <c r="D72" s="28">
        <f t="shared" si="6"/>
        <v>7</v>
      </c>
      <c r="E72" s="28">
        <f t="shared" si="7"/>
        <v>0</v>
      </c>
      <c r="F72" s="59" t="str">
        <f t="shared" si="8"/>
        <v/>
      </c>
      <c r="G72" s="42" t="s">
        <v>2000</v>
      </c>
      <c r="H72" s="43" t="s">
        <v>617</v>
      </c>
      <c r="I72" s="44" t="s">
        <v>619</v>
      </c>
      <c r="J72" s="45" t="s">
        <v>620</v>
      </c>
      <c r="K72" s="46" t="s">
        <v>60</v>
      </c>
      <c r="L72" s="47" t="s">
        <v>2352</v>
      </c>
      <c r="M72" s="48" t="s">
        <v>2852</v>
      </c>
      <c r="N72" s="49"/>
      <c r="O72" s="50" t="s">
        <v>3166</v>
      </c>
      <c r="P72" s="59"/>
      <c r="Q72" s="59"/>
      <c r="R72" s="13"/>
    </row>
    <row r="73" spans="1:18" ht="105" x14ac:dyDescent="0.25">
      <c r="A73" s="9" t="s">
        <v>21</v>
      </c>
      <c r="B73" s="28">
        <f>IF(ISBLANK(A73),0,INDEX(txtstylestab[],MATCH(A73,txtstylestab[style_Name],0),1))</f>
        <v>0</v>
      </c>
      <c r="C73" s="28">
        <f t="shared" si="5"/>
        <v>2</v>
      </c>
      <c r="D73" s="28">
        <f t="shared" si="6"/>
        <v>7</v>
      </c>
      <c r="E73" s="28">
        <f t="shared" si="7"/>
        <v>0</v>
      </c>
      <c r="F73" s="59" t="str">
        <f t="shared" si="8"/>
        <v/>
      </c>
      <c r="G73" s="42" t="s">
        <v>75</v>
      </c>
      <c r="H73" s="43" t="s">
        <v>2262</v>
      </c>
      <c r="I73" s="44" t="s">
        <v>1744</v>
      </c>
      <c r="J73" s="45" t="s">
        <v>950</v>
      </c>
      <c r="K73" s="46" t="s">
        <v>951</v>
      </c>
      <c r="L73" s="47" t="s">
        <v>2839</v>
      </c>
      <c r="M73" s="48" t="s">
        <v>2857</v>
      </c>
      <c r="N73" s="49"/>
      <c r="O73" s="50" t="s">
        <v>3237</v>
      </c>
      <c r="P73" s="59"/>
      <c r="Q73" s="59"/>
      <c r="R73" s="13"/>
    </row>
    <row r="74" spans="1:18" ht="90" x14ac:dyDescent="0.25">
      <c r="A74" s="9" t="s">
        <v>21</v>
      </c>
      <c r="B74" s="28">
        <f>IF(ISBLANK(A74),0,INDEX(txtstylestab[],MATCH(A74,txtstylestab[style_Name],0),1))</f>
        <v>0</v>
      </c>
      <c r="C74" s="28">
        <f t="shared" si="5"/>
        <v>2</v>
      </c>
      <c r="D74" s="28">
        <f t="shared" si="6"/>
        <v>7</v>
      </c>
      <c r="E74" s="28">
        <f t="shared" si="7"/>
        <v>0</v>
      </c>
      <c r="F74" s="59" t="str">
        <f t="shared" si="8"/>
        <v/>
      </c>
      <c r="G74" s="42"/>
      <c r="H74" s="43"/>
      <c r="I74" s="44" t="s">
        <v>2269</v>
      </c>
      <c r="J74" s="45" t="s">
        <v>2270</v>
      </c>
      <c r="K74" s="46" t="s">
        <v>2271</v>
      </c>
      <c r="L74" s="47"/>
      <c r="M74" s="48"/>
      <c r="N74" s="49"/>
      <c r="O74" s="50"/>
      <c r="P74" s="59"/>
      <c r="Q74" s="59"/>
      <c r="R74" s="13"/>
    </row>
    <row r="75" spans="1:18" ht="120" x14ac:dyDescent="0.25">
      <c r="A75" s="9" t="s">
        <v>21</v>
      </c>
      <c r="B75" s="28">
        <f>IF(ISBLANK(A75),0,INDEX(txtstylestab[],MATCH(A75,txtstylestab[style_Name],0),1))</f>
        <v>0</v>
      </c>
      <c r="C75" s="28">
        <f t="shared" si="5"/>
        <v>2</v>
      </c>
      <c r="D75" s="28">
        <f t="shared" si="6"/>
        <v>7</v>
      </c>
      <c r="E75" s="28">
        <f t="shared" si="7"/>
        <v>0</v>
      </c>
      <c r="F75" s="59" t="str">
        <f t="shared" si="8"/>
        <v/>
      </c>
      <c r="G75" s="42" t="s">
        <v>952</v>
      </c>
      <c r="H75" s="43" t="s">
        <v>954</v>
      </c>
      <c r="I75" s="44" t="s">
        <v>953</v>
      </c>
      <c r="J75" s="45" t="s">
        <v>955</v>
      </c>
      <c r="K75" s="46" t="s">
        <v>956</v>
      </c>
      <c r="L75" s="47" t="s">
        <v>2840</v>
      </c>
      <c r="M75" s="48" t="s">
        <v>2856</v>
      </c>
      <c r="N75" s="49"/>
      <c r="O75" s="50" t="s">
        <v>3238</v>
      </c>
      <c r="P75" s="59"/>
      <c r="Q75" s="59"/>
      <c r="R75" s="13"/>
    </row>
    <row r="76" spans="1:18" ht="45" x14ac:dyDescent="0.25">
      <c r="A76" s="9" t="s">
        <v>21</v>
      </c>
      <c r="B76" s="28">
        <f>IF(ISBLANK(A76),0,INDEX(txtstylestab[],MATCH(A76,txtstylestab[style_Name],0),1))</f>
        <v>0</v>
      </c>
      <c r="C76" s="28">
        <f t="shared" si="5"/>
        <v>2</v>
      </c>
      <c r="D76" s="28">
        <f t="shared" si="6"/>
        <v>7</v>
      </c>
      <c r="E76" s="28">
        <f t="shared" si="7"/>
        <v>0</v>
      </c>
      <c r="F76" s="59" t="str">
        <f t="shared" si="8"/>
        <v/>
      </c>
      <c r="G76" s="42" t="s">
        <v>957</v>
      </c>
      <c r="H76" s="43" t="s">
        <v>958</v>
      </c>
      <c r="I76" s="44" t="s">
        <v>959</v>
      </c>
      <c r="J76" s="45" t="s">
        <v>960</v>
      </c>
      <c r="K76" s="46" t="s">
        <v>961</v>
      </c>
      <c r="L76" s="47" t="s">
        <v>2854</v>
      </c>
      <c r="M76" s="48" t="s">
        <v>2855</v>
      </c>
      <c r="N76" s="49"/>
      <c r="O76" s="50" t="s">
        <v>3239</v>
      </c>
      <c r="P76" s="59"/>
      <c r="Q76" s="59"/>
      <c r="R76" s="13"/>
    </row>
    <row r="77" spans="1:18" x14ac:dyDescent="0.25">
      <c r="A77" s="9" t="s">
        <v>22</v>
      </c>
      <c r="B77" s="28">
        <f>IF(ISBLANK(A77),0,INDEX(txtstylestab[],MATCH(A77,txtstylestab[style_Name],0),1))</f>
        <v>4</v>
      </c>
      <c r="C77" s="28">
        <f t="shared" si="5"/>
        <v>2</v>
      </c>
      <c r="D77" s="28">
        <f t="shared" si="6"/>
        <v>7</v>
      </c>
      <c r="E77" s="28">
        <f t="shared" si="7"/>
        <v>0</v>
      </c>
      <c r="F77" s="56" t="str">
        <f t="shared" si="8"/>
        <v/>
      </c>
      <c r="G77" s="53" t="s">
        <v>1733</v>
      </c>
      <c r="H77" s="53"/>
      <c r="I77" s="53"/>
      <c r="J77" s="53"/>
      <c r="K77" s="53"/>
      <c r="L77" s="53"/>
      <c r="M77" s="53"/>
      <c r="N77" s="53"/>
      <c r="O77" s="53"/>
      <c r="P77" s="53"/>
      <c r="Q77" s="53"/>
      <c r="R77" s="13"/>
    </row>
    <row r="78" spans="1:18" ht="30" x14ac:dyDescent="0.25">
      <c r="A78" s="9" t="s">
        <v>21</v>
      </c>
      <c r="B78" s="28">
        <f>IF(ISBLANK(A78),0,INDEX(txtstylestab[],MATCH(A78,txtstylestab[style_Name],0),1))</f>
        <v>0</v>
      </c>
      <c r="C78" s="28">
        <f t="shared" si="5"/>
        <v>2</v>
      </c>
      <c r="D78" s="28">
        <f t="shared" si="6"/>
        <v>7</v>
      </c>
      <c r="E78" s="28">
        <f t="shared" si="7"/>
        <v>0</v>
      </c>
      <c r="F78" s="59" t="str">
        <f t="shared" si="8"/>
        <v/>
      </c>
      <c r="G78" s="42" t="s">
        <v>20</v>
      </c>
      <c r="H78" s="43" t="s">
        <v>45</v>
      </c>
      <c r="I78" s="44" t="s">
        <v>2284</v>
      </c>
      <c r="J78" s="45" t="s">
        <v>529</v>
      </c>
      <c r="K78" s="46" t="s">
        <v>63</v>
      </c>
      <c r="L78" s="47" t="s">
        <v>2371</v>
      </c>
      <c r="M78" s="48" t="s">
        <v>2372</v>
      </c>
      <c r="N78" s="49"/>
      <c r="O78" s="50" t="s">
        <v>3236</v>
      </c>
      <c r="P78" s="59"/>
      <c r="Q78" s="59"/>
      <c r="R78" s="13"/>
    </row>
    <row r="79" spans="1:18" ht="30" x14ac:dyDescent="0.25">
      <c r="A79" s="9" t="s">
        <v>21</v>
      </c>
      <c r="B79" s="28">
        <f>IF(ISBLANK(A79),0,INDEX(txtstylestab[],MATCH(A79,txtstylestab[style_Name],0),1))</f>
        <v>0</v>
      </c>
      <c r="C79" s="28">
        <f t="shared" si="5"/>
        <v>2</v>
      </c>
      <c r="D79" s="28">
        <f t="shared" si="6"/>
        <v>7</v>
      </c>
      <c r="E79" s="28">
        <f t="shared" si="7"/>
        <v>0</v>
      </c>
      <c r="F79" s="59" t="str">
        <f t="shared" si="8"/>
        <v/>
      </c>
      <c r="G79" s="42"/>
      <c r="H79" s="43"/>
      <c r="I79" s="44" t="s">
        <v>2286</v>
      </c>
      <c r="J79" s="45" t="s">
        <v>1601</v>
      </c>
      <c r="K79" s="46" t="s">
        <v>78</v>
      </c>
      <c r="L79" s="47"/>
      <c r="M79" s="47"/>
      <c r="N79" s="48"/>
      <c r="O79" s="48"/>
      <c r="P79" s="49"/>
      <c r="Q79" s="50"/>
      <c r="R79" s="13"/>
    </row>
    <row r="80" spans="1:18" ht="18" thickBot="1" x14ac:dyDescent="0.35">
      <c r="A80" s="9" t="s">
        <v>11</v>
      </c>
      <c r="B80" s="28">
        <f>IF(ISBLANK(A80),0,INDEX(txtstylestab[],MATCH(A80,txtstylestab[style_Name],0),1))</f>
        <v>2</v>
      </c>
      <c r="C80" s="28">
        <f t="shared" si="5"/>
        <v>2</v>
      </c>
      <c r="D80" s="28">
        <f t="shared" si="6"/>
        <v>8</v>
      </c>
      <c r="E80" s="28">
        <f t="shared" si="7"/>
        <v>0</v>
      </c>
      <c r="F80" s="54" t="str">
        <f t="shared" si="8"/>
        <v>2.8.</v>
      </c>
      <c r="G80" s="54" t="s">
        <v>962</v>
      </c>
      <c r="H80" s="54"/>
      <c r="I80" s="54"/>
      <c r="J80" s="54"/>
      <c r="K80" s="54"/>
      <c r="L80" s="54"/>
      <c r="M80" s="54"/>
      <c r="N80" s="54"/>
      <c r="O80" s="54"/>
      <c r="P80" s="54"/>
      <c r="Q80" s="54"/>
      <c r="R80" s="13"/>
    </row>
    <row r="81" spans="1:18" ht="15.75" thickTop="1" x14ac:dyDescent="0.25">
      <c r="A81" s="9" t="s">
        <v>22</v>
      </c>
      <c r="B81" s="28">
        <f>IF(ISBLANK(A81),0,INDEX(txtstylestab[],MATCH(A81,txtstylestab[style_Name],0),1))</f>
        <v>4</v>
      </c>
      <c r="C81" s="28">
        <f t="shared" si="5"/>
        <v>2</v>
      </c>
      <c r="D81" s="28">
        <f t="shared" si="6"/>
        <v>8</v>
      </c>
      <c r="E81" s="28">
        <f t="shared" si="7"/>
        <v>0</v>
      </c>
      <c r="F81" s="56" t="str">
        <f t="shared" si="8"/>
        <v/>
      </c>
      <c r="G81" s="53" t="s">
        <v>963</v>
      </c>
      <c r="H81" s="53"/>
      <c r="I81" s="53"/>
      <c r="J81" s="53"/>
      <c r="K81" s="53"/>
      <c r="L81" s="53"/>
      <c r="M81" s="53"/>
      <c r="N81" s="53"/>
      <c r="O81" s="53"/>
      <c r="P81" s="53"/>
      <c r="Q81" s="53"/>
      <c r="R81" s="13"/>
    </row>
    <row r="82" spans="1:18" ht="60" x14ac:dyDescent="0.25">
      <c r="A82" s="9" t="s">
        <v>21</v>
      </c>
      <c r="B82" s="28">
        <f>IF(ISBLANK(A82),0,INDEX(txtstylestab[],MATCH(A82,txtstylestab[style_Name],0),1))</f>
        <v>0</v>
      </c>
      <c r="C82" s="28">
        <f t="shared" si="5"/>
        <v>2</v>
      </c>
      <c r="D82" s="28">
        <f t="shared" si="6"/>
        <v>8</v>
      </c>
      <c r="E82" s="28">
        <f t="shared" si="7"/>
        <v>0</v>
      </c>
      <c r="F82" s="59" t="str">
        <f t="shared" si="8"/>
        <v/>
      </c>
      <c r="G82" s="42" t="s">
        <v>2853</v>
      </c>
      <c r="H82" s="43" t="s">
        <v>617</v>
      </c>
      <c r="I82" s="44" t="s">
        <v>619</v>
      </c>
      <c r="J82" s="45" t="s">
        <v>620</v>
      </c>
      <c r="K82" s="46" t="s">
        <v>60</v>
      </c>
      <c r="L82" s="47" t="s">
        <v>2851</v>
      </c>
      <c r="M82" s="48" t="s">
        <v>2852</v>
      </c>
      <c r="N82" s="49"/>
      <c r="O82" s="50" t="s">
        <v>3477</v>
      </c>
      <c r="P82" s="59"/>
      <c r="Q82" s="59"/>
      <c r="R82" s="13"/>
    </row>
    <row r="83" spans="1:18" ht="60" x14ac:dyDescent="0.25">
      <c r="A83" s="9" t="s">
        <v>21</v>
      </c>
      <c r="B83" s="28">
        <f>IF(ISBLANK(A83),0,INDEX(txtstylestab[],MATCH(A83,txtstylestab[style_Name],0),1))</f>
        <v>0</v>
      </c>
      <c r="C83" s="28">
        <f t="shared" si="5"/>
        <v>2</v>
      </c>
      <c r="D83" s="28">
        <f t="shared" si="6"/>
        <v>8</v>
      </c>
      <c r="E83" s="28">
        <f t="shared" si="7"/>
        <v>0</v>
      </c>
      <c r="F83" s="59" t="str">
        <f t="shared" si="8"/>
        <v/>
      </c>
      <c r="G83" s="42" t="s">
        <v>964</v>
      </c>
      <c r="H83" s="43" t="s">
        <v>2001</v>
      </c>
      <c r="I83" s="44" t="s">
        <v>965</v>
      </c>
      <c r="J83" s="45" t="s">
        <v>966</v>
      </c>
      <c r="K83" s="46" t="s">
        <v>967</v>
      </c>
      <c r="L83" s="47" t="s">
        <v>2849</v>
      </c>
      <c r="M83" s="48" t="s">
        <v>2850</v>
      </c>
      <c r="N83" s="49"/>
      <c r="O83" s="50" t="s">
        <v>3232</v>
      </c>
      <c r="P83" s="59"/>
      <c r="Q83" s="59"/>
      <c r="R83" s="13"/>
    </row>
    <row r="84" spans="1:18" ht="90" x14ac:dyDescent="0.25">
      <c r="A84" s="9" t="s">
        <v>21</v>
      </c>
      <c r="B84" s="28">
        <f>IF(ISBLANK(A84),0,INDEX(txtstylestab[],MATCH(A84,txtstylestab[style_Name],0),1))</f>
        <v>0</v>
      </c>
      <c r="C84" s="28">
        <f t="shared" si="5"/>
        <v>2</v>
      </c>
      <c r="D84" s="28">
        <f t="shared" si="6"/>
        <v>8</v>
      </c>
      <c r="E84" s="28">
        <f t="shared" si="7"/>
        <v>0</v>
      </c>
      <c r="F84" s="59" t="str">
        <f t="shared" si="8"/>
        <v/>
      </c>
      <c r="G84" s="42" t="s">
        <v>41</v>
      </c>
      <c r="H84" s="43" t="s">
        <v>2263</v>
      </c>
      <c r="I84" s="44" t="s">
        <v>2268</v>
      </c>
      <c r="J84" s="45" t="s">
        <v>968</v>
      </c>
      <c r="K84" s="46" t="s">
        <v>969</v>
      </c>
      <c r="L84" s="47" t="s">
        <v>2848</v>
      </c>
      <c r="M84" s="48" t="s">
        <v>2847</v>
      </c>
      <c r="N84" s="49"/>
      <c r="O84" s="50" t="s">
        <v>3233</v>
      </c>
      <c r="P84" s="59"/>
      <c r="Q84" s="59"/>
      <c r="R84" s="13"/>
    </row>
    <row r="85" spans="1:18" ht="120" x14ac:dyDescent="0.25">
      <c r="A85" s="9" t="s">
        <v>21</v>
      </c>
      <c r="B85" s="28">
        <f>IF(ISBLANK(A85),0,INDEX(txtstylestab[],MATCH(A85,txtstylestab[style_Name],0),1))</f>
        <v>0</v>
      </c>
      <c r="C85" s="28">
        <f t="shared" si="5"/>
        <v>2</v>
      </c>
      <c r="D85" s="28">
        <f t="shared" si="6"/>
        <v>8</v>
      </c>
      <c r="E85" s="28">
        <f t="shared" si="7"/>
        <v>0</v>
      </c>
      <c r="F85" s="59" t="str">
        <f t="shared" si="8"/>
        <v/>
      </c>
      <c r="G85" s="42"/>
      <c r="H85" s="43"/>
      <c r="I85" s="44" t="s">
        <v>2300</v>
      </c>
      <c r="J85" s="45" t="s">
        <v>2266</v>
      </c>
      <c r="K85" s="46" t="s">
        <v>2267</v>
      </c>
      <c r="L85" s="47"/>
      <c r="M85" s="48"/>
      <c r="N85" s="49"/>
      <c r="O85" s="50"/>
      <c r="P85" s="59"/>
      <c r="Q85" s="59"/>
      <c r="R85" s="13"/>
    </row>
    <row r="86" spans="1:18" ht="75" x14ac:dyDescent="0.25">
      <c r="A86" s="9" t="s">
        <v>21</v>
      </c>
      <c r="B86" s="28">
        <f>IF(ISBLANK(A86),0,INDEX(txtstylestab[],MATCH(A86,txtstylestab[style_Name],0),1))</f>
        <v>0</v>
      </c>
      <c r="C86" s="28">
        <f t="shared" si="5"/>
        <v>2</v>
      </c>
      <c r="D86" s="28">
        <f t="shared" si="6"/>
        <v>8</v>
      </c>
      <c r="E86" s="28">
        <f t="shared" si="7"/>
        <v>0</v>
      </c>
      <c r="F86" s="59" t="str">
        <f t="shared" si="8"/>
        <v/>
      </c>
      <c r="G86" s="42" t="s">
        <v>2002</v>
      </c>
      <c r="H86" s="43" t="s">
        <v>77</v>
      </c>
      <c r="I86" s="44" t="s">
        <v>49</v>
      </c>
      <c r="J86" s="45" t="s">
        <v>399</v>
      </c>
      <c r="K86" s="46" t="s">
        <v>61</v>
      </c>
      <c r="L86" s="47" t="s">
        <v>2846</v>
      </c>
      <c r="M86" s="48" t="s">
        <v>2845</v>
      </c>
      <c r="N86" s="49"/>
      <c r="O86" s="50" t="s">
        <v>3234</v>
      </c>
      <c r="P86" s="59"/>
      <c r="Q86" s="59"/>
      <c r="R86" s="13"/>
    </row>
    <row r="87" spans="1:18" ht="30" x14ac:dyDescent="0.25">
      <c r="A87" s="9" t="s">
        <v>21</v>
      </c>
      <c r="B87" s="28">
        <f>IF(ISBLANK(A87),0,INDEX(txtstylestab[],MATCH(A87,txtstylestab[style_Name],0),1))</f>
        <v>0</v>
      </c>
      <c r="C87" s="28">
        <f t="shared" si="5"/>
        <v>2</v>
      </c>
      <c r="D87" s="28">
        <f t="shared" si="6"/>
        <v>8</v>
      </c>
      <c r="E87" s="28">
        <f t="shared" si="7"/>
        <v>0</v>
      </c>
      <c r="F87" s="59" t="str">
        <f t="shared" si="8"/>
        <v/>
      </c>
      <c r="G87" s="42" t="s">
        <v>42</v>
      </c>
      <c r="H87" s="43" t="s">
        <v>43</v>
      </c>
      <c r="I87" s="44" t="s">
        <v>50</v>
      </c>
      <c r="J87" s="45" t="s">
        <v>55</v>
      </c>
      <c r="K87" s="46" t="s">
        <v>62</v>
      </c>
      <c r="L87" s="47" t="s">
        <v>2354</v>
      </c>
      <c r="M87" s="48" t="s">
        <v>2396</v>
      </c>
      <c r="N87" s="49"/>
      <c r="O87" s="50" t="s">
        <v>3235</v>
      </c>
      <c r="P87" s="59"/>
      <c r="Q87" s="59"/>
      <c r="R87" s="13"/>
    </row>
    <row r="88" spans="1:18" x14ac:dyDescent="0.25">
      <c r="A88" s="9" t="s">
        <v>22</v>
      </c>
      <c r="B88" s="28">
        <f>IF(ISBLANK(A88),0,INDEX(txtstylestab[],MATCH(A88,txtstylestab[style_Name],0),1))</f>
        <v>4</v>
      </c>
      <c r="C88" s="28">
        <f t="shared" si="5"/>
        <v>2</v>
      </c>
      <c r="D88" s="28">
        <f t="shared" si="6"/>
        <v>8</v>
      </c>
      <c r="E88" s="28">
        <f t="shared" si="7"/>
        <v>0</v>
      </c>
      <c r="F88" s="56" t="str">
        <f t="shared" si="8"/>
        <v/>
      </c>
      <c r="G88" s="53" t="s">
        <v>1733</v>
      </c>
      <c r="H88" s="53"/>
      <c r="I88" s="53"/>
      <c r="J88" s="53"/>
      <c r="K88" s="53"/>
      <c r="L88" s="53"/>
      <c r="M88" s="53"/>
      <c r="N88" s="53"/>
      <c r="O88" s="53"/>
      <c r="P88" s="53"/>
      <c r="Q88" s="53"/>
      <c r="R88" s="13"/>
    </row>
    <row r="89" spans="1:18" ht="30" x14ac:dyDescent="0.25">
      <c r="A89" s="9" t="s">
        <v>21</v>
      </c>
      <c r="B89" s="28">
        <f>IF(ISBLANK(A89),0,INDEX(txtstylestab[],MATCH(A89,txtstylestab[style_Name],0),1))</f>
        <v>0</v>
      </c>
      <c r="C89" s="28">
        <f t="shared" si="5"/>
        <v>2</v>
      </c>
      <c r="D89" s="28">
        <f t="shared" si="6"/>
        <v>8</v>
      </c>
      <c r="E89" s="28">
        <f t="shared" si="7"/>
        <v>0</v>
      </c>
      <c r="F89" s="59" t="str">
        <f t="shared" si="8"/>
        <v/>
      </c>
      <c r="G89" s="42" t="s">
        <v>20</v>
      </c>
      <c r="H89" s="43" t="s">
        <v>45</v>
      </c>
      <c r="I89" s="44" t="s">
        <v>2284</v>
      </c>
      <c r="J89" s="45" t="s">
        <v>529</v>
      </c>
      <c r="K89" s="46" t="s">
        <v>63</v>
      </c>
      <c r="L89" s="47" t="s">
        <v>2371</v>
      </c>
      <c r="M89" s="48" t="s">
        <v>2372</v>
      </c>
      <c r="N89" s="49"/>
      <c r="O89" s="50" t="s">
        <v>3236</v>
      </c>
      <c r="P89" s="59"/>
      <c r="Q89" s="59"/>
      <c r="R89" s="13"/>
    </row>
    <row r="90" spans="1:18" ht="30" x14ac:dyDescent="0.25">
      <c r="A90" s="9" t="s">
        <v>21</v>
      </c>
      <c r="B90" s="28">
        <f>IF(ISBLANK(A90),0,INDEX(txtstylestab[],MATCH(A90,txtstylestab[style_Name],0),1))</f>
        <v>0</v>
      </c>
      <c r="C90" s="28">
        <f t="shared" si="5"/>
        <v>2</v>
      </c>
      <c r="D90" s="28">
        <f t="shared" si="6"/>
        <v>8</v>
      </c>
      <c r="E90" s="28">
        <f t="shared" si="7"/>
        <v>0</v>
      </c>
      <c r="F90" s="59" t="str">
        <f t="shared" si="8"/>
        <v/>
      </c>
      <c r="G90" s="42"/>
      <c r="H90" s="43"/>
      <c r="I90" s="44" t="s">
        <v>2286</v>
      </c>
      <c r="J90" s="45" t="s">
        <v>1601</v>
      </c>
      <c r="K90" s="46" t="s">
        <v>78</v>
      </c>
      <c r="L90" s="47"/>
      <c r="M90" s="47"/>
      <c r="N90" s="48"/>
      <c r="O90" s="48"/>
      <c r="P90" s="49"/>
      <c r="Q90" s="50"/>
      <c r="R90" s="13"/>
    </row>
    <row r="91" spans="1:18" ht="18" thickBot="1" x14ac:dyDescent="0.35">
      <c r="A91" s="9" t="s">
        <v>11</v>
      </c>
      <c r="B91" s="28">
        <f>IF(ISBLANK(A91),0,INDEX(txtstylestab[],MATCH(A91,txtstylestab[style_Name],0),1))</f>
        <v>2</v>
      </c>
      <c r="C91" s="28">
        <f t="shared" si="5"/>
        <v>2</v>
      </c>
      <c r="D91" s="28">
        <f t="shared" si="6"/>
        <v>9</v>
      </c>
      <c r="E91" s="28">
        <f t="shared" si="7"/>
        <v>0</v>
      </c>
      <c r="F91" s="54" t="str">
        <f t="shared" si="8"/>
        <v>2.9.</v>
      </c>
      <c r="G91" s="54" t="s">
        <v>970</v>
      </c>
      <c r="H91" s="54"/>
      <c r="I91" s="54"/>
      <c r="J91" s="54"/>
      <c r="K91" s="54"/>
      <c r="L91" s="54"/>
      <c r="M91" s="54"/>
      <c r="N91" s="54"/>
      <c r="O91" s="54"/>
      <c r="P91" s="54"/>
      <c r="Q91" s="54"/>
      <c r="R91" s="13"/>
    </row>
    <row r="92" spans="1:18" ht="15.75" thickTop="1" x14ac:dyDescent="0.25">
      <c r="A92" s="9" t="s">
        <v>22</v>
      </c>
      <c r="B92" s="28">
        <f>IF(ISBLANK(A92),0,INDEX(txtstylestab[],MATCH(A92,txtstylestab[style_Name],0),1))</f>
        <v>4</v>
      </c>
      <c r="C92" s="28">
        <f t="shared" si="5"/>
        <v>2</v>
      </c>
      <c r="D92" s="28">
        <f t="shared" si="6"/>
        <v>9</v>
      </c>
      <c r="E92" s="28">
        <f t="shared" si="7"/>
        <v>0</v>
      </c>
      <c r="F92" s="56" t="str">
        <f t="shared" si="8"/>
        <v/>
      </c>
      <c r="G92" s="53" t="s">
        <v>80</v>
      </c>
      <c r="H92" s="53"/>
      <c r="I92" s="53"/>
      <c r="J92" s="53"/>
      <c r="K92" s="53"/>
      <c r="L92" s="53"/>
      <c r="M92" s="53"/>
      <c r="N92" s="53"/>
      <c r="O92" s="53"/>
      <c r="P92" s="53"/>
      <c r="Q92" s="53"/>
      <c r="R92" s="13"/>
    </row>
    <row r="93" spans="1:18" x14ac:dyDescent="0.25">
      <c r="A93" s="9" t="s">
        <v>23</v>
      </c>
      <c r="B93" s="28">
        <f>IF(ISBLANK(A93),0,INDEX(txtstylestab[],MATCH(A93,txtstylestab[style_Name],0),1))</f>
        <v>5</v>
      </c>
      <c r="C93" s="28">
        <f t="shared" si="5"/>
        <v>2</v>
      </c>
      <c r="D93" s="28">
        <f t="shared" si="6"/>
        <v>9</v>
      </c>
      <c r="E93" s="28">
        <f t="shared" si="7"/>
        <v>0</v>
      </c>
      <c r="F93" s="56" t="str">
        <f t="shared" si="8"/>
        <v/>
      </c>
      <c r="G93" s="58" t="s">
        <v>81</v>
      </c>
      <c r="H93" s="58"/>
      <c r="I93" s="58"/>
      <c r="J93" s="58"/>
      <c r="K93" s="58"/>
      <c r="L93" s="58"/>
      <c r="M93" s="58"/>
      <c r="N93" s="58"/>
      <c r="O93" s="58"/>
      <c r="P93" s="58"/>
      <c r="Q93" s="58"/>
      <c r="R93" s="13"/>
    </row>
    <row r="94" spans="1:18" x14ac:dyDescent="0.25">
      <c r="A94" s="9" t="s">
        <v>22</v>
      </c>
      <c r="B94" s="28">
        <f>IF(ISBLANK(A94),0,INDEX(txtstylestab[],MATCH(A94,txtstylestab[style_Name],0),1))</f>
        <v>4</v>
      </c>
      <c r="C94" s="28">
        <f t="shared" si="5"/>
        <v>2</v>
      </c>
      <c r="D94" s="28">
        <f t="shared" si="6"/>
        <v>9</v>
      </c>
      <c r="E94" s="28">
        <f t="shared" si="7"/>
        <v>0</v>
      </c>
      <c r="F94" s="56" t="str">
        <f t="shared" si="8"/>
        <v/>
      </c>
      <c r="G94" s="53" t="s">
        <v>963</v>
      </c>
      <c r="H94" s="53"/>
      <c r="I94" s="53"/>
      <c r="J94" s="53"/>
      <c r="K94" s="53"/>
      <c r="L94" s="53"/>
      <c r="M94" s="53"/>
      <c r="N94" s="53"/>
      <c r="O94" s="53"/>
      <c r="P94" s="53"/>
      <c r="Q94" s="53"/>
      <c r="R94" s="13"/>
    </row>
    <row r="95" spans="1:18" x14ac:dyDescent="0.25">
      <c r="A95" s="9" t="s">
        <v>21</v>
      </c>
      <c r="B95" s="28">
        <f>IF(ISBLANK(A95),0,INDEX(txtstylestab[],MATCH(A95,txtstylestab[style_Name],0),1))</f>
        <v>0</v>
      </c>
      <c r="C95" s="28">
        <f t="shared" si="5"/>
        <v>2</v>
      </c>
      <c r="D95" s="28">
        <f t="shared" si="6"/>
        <v>9</v>
      </c>
      <c r="E95" s="28">
        <f t="shared" si="7"/>
        <v>0</v>
      </c>
      <c r="F95" s="59" t="str">
        <f t="shared" si="8"/>
        <v/>
      </c>
      <c r="G95" s="42" t="s">
        <v>82</v>
      </c>
      <c r="H95" s="43" t="s">
        <v>83</v>
      </c>
      <c r="I95" s="44" t="s">
        <v>84</v>
      </c>
      <c r="J95" s="45" t="s">
        <v>2285</v>
      </c>
      <c r="K95" s="46" t="s">
        <v>86</v>
      </c>
      <c r="L95" s="47" t="s">
        <v>2398</v>
      </c>
      <c r="M95" s="48" t="s">
        <v>2333</v>
      </c>
      <c r="N95" s="49"/>
      <c r="O95" s="50" t="s">
        <v>3166</v>
      </c>
      <c r="P95" s="50"/>
      <c r="Q95" s="59"/>
      <c r="R95" s="13"/>
    </row>
    <row r="96" spans="1:18" ht="45" x14ac:dyDescent="0.25">
      <c r="A96" s="9" t="s">
        <v>21</v>
      </c>
      <c r="B96" s="28">
        <f>IF(ISBLANK(A96),0,INDEX(txtstylestab[],MATCH(A96,txtstylestab[style_Name],0),1))</f>
        <v>0</v>
      </c>
      <c r="C96" s="28">
        <f t="shared" si="5"/>
        <v>2</v>
      </c>
      <c r="D96" s="28">
        <f t="shared" si="6"/>
        <v>9</v>
      </c>
      <c r="E96" s="28">
        <f t="shared" si="7"/>
        <v>0</v>
      </c>
      <c r="F96" s="59" t="str">
        <f t="shared" si="8"/>
        <v/>
      </c>
      <c r="G96" s="42" t="s">
        <v>87</v>
      </c>
      <c r="H96" s="43" t="s">
        <v>975</v>
      </c>
      <c r="I96" s="44" t="s">
        <v>89</v>
      </c>
      <c r="J96" s="45" t="s">
        <v>90</v>
      </c>
      <c r="K96" s="46" t="s">
        <v>91</v>
      </c>
      <c r="L96" s="47" t="s">
        <v>2841</v>
      </c>
      <c r="M96" s="48" t="s">
        <v>2865</v>
      </c>
      <c r="N96" s="49"/>
      <c r="O96" s="50" t="s">
        <v>3350</v>
      </c>
      <c r="P96" s="59"/>
      <c r="Q96" s="59"/>
      <c r="R96" s="13"/>
    </row>
    <row r="97" spans="1:18" ht="120" x14ac:dyDescent="0.25">
      <c r="A97" s="9" t="s">
        <v>21</v>
      </c>
      <c r="B97" s="28">
        <f>IF(ISBLANK(A97),0,INDEX(txtstylestab[],MATCH(A97,txtstylestab[style_Name],0),1))</f>
        <v>0</v>
      </c>
      <c r="C97" s="28">
        <f t="shared" si="5"/>
        <v>2</v>
      </c>
      <c r="D97" s="28">
        <f t="shared" si="6"/>
        <v>9</v>
      </c>
      <c r="E97" s="28">
        <f t="shared" si="7"/>
        <v>0</v>
      </c>
      <c r="F97" s="59" t="str">
        <f t="shared" si="8"/>
        <v/>
      </c>
      <c r="G97" s="42" t="s">
        <v>971</v>
      </c>
      <c r="H97" s="43" t="s">
        <v>972</v>
      </c>
      <c r="I97" s="44" t="s">
        <v>973</v>
      </c>
      <c r="J97" s="45" t="s">
        <v>1588</v>
      </c>
      <c r="K97" s="46" t="s">
        <v>974</v>
      </c>
      <c r="L97" s="47" t="s">
        <v>2842</v>
      </c>
      <c r="M97" s="48" t="s">
        <v>2866</v>
      </c>
      <c r="N97" s="49"/>
      <c r="O97" s="50" t="s">
        <v>3224</v>
      </c>
      <c r="P97" s="59"/>
      <c r="Q97" s="59"/>
      <c r="R97" s="13"/>
    </row>
    <row r="98" spans="1:18" ht="105" x14ac:dyDescent="0.25">
      <c r="A98" s="9" t="s">
        <v>21</v>
      </c>
      <c r="B98" s="28">
        <f>IF(ISBLANK(A98),0,INDEX(txtstylestab[],MATCH(A98,txtstylestab[style_Name],0),1))</f>
        <v>0</v>
      </c>
      <c r="C98" s="28">
        <f t="shared" si="5"/>
        <v>2</v>
      </c>
      <c r="D98" s="28">
        <f t="shared" si="6"/>
        <v>9</v>
      </c>
      <c r="E98" s="28">
        <f t="shared" si="7"/>
        <v>0</v>
      </c>
      <c r="F98" s="59" t="str">
        <f t="shared" si="8"/>
        <v/>
      </c>
      <c r="G98" s="42" t="s">
        <v>92</v>
      </c>
      <c r="H98" s="43" t="s">
        <v>2003</v>
      </c>
      <c r="I98" s="44" t="s">
        <v>1745</v>
      </c>
      <c r="J98" s="45" t="s">
        <v>530</v>
      </c>
      <c r="K98" s="46" t="s">
        <v>93</v>
      </c>
      <c r="L98" s="47" t="s">
        <v>2843</v>
      </c>
      <c r="M98" s="48" t="s">
        <v>2867</v>
      </c>
      <c r="N98" s="49"/>
      <c r="O98" s="50" t="s">
        <v>3225</v>
      </c>
      <c r="P98" s="59"/>
      <c r="Q98" s="59"/>
      <c r="R98" s="13"/>
    </row>
    <row r="99" spans="1:18" ht="75" x14ac:dyDescent="0.25">
      <c r="A99" s="9" t="s">
        <v>21</v>
      </c>
      <c r="B99" s="28">
        <f>IF(ISBLANK(A99),0,INDEX(txtstylestab[],MATCH(A99,txtstylestab[style_Name],0),1))</f>
        <v>0</v>
      </c>
      <c r="C99" s="28">
        <f t="shared" si="5"/>
        <v>2</v>
      </c>
      <c r="D99" s="28">
        <f t="shared" si="6"/>
        <v>9</v>
      </c>
      <c r="E99" s="28">
        <f t="shared" si="7"/>
        <v>0</v>
      </c>
      <c r="F99" s="59" t="str">
        <f t="shared" si="8"/>
        <v/>
      </c>
      <c r="G99" s="42" t="s">
        <v>1784</v>
      </c>
      <c r="H99" s="43" t="s">
        <v>1785</v>
      </c>
      <c r="I99" s="44" t="s">
        <v>1786</v>
      </c>
      <c r="J99" s="45" t="s">
        <v>1787</v>
      </c>
      <c r="K99" s="46" t="s">
        <v>1788</v>
      </c>
      <c r="L99" s="47" t="s">
        <v>2868</v>
      </c>
      <c r="M99" s="48" t="s">
        <v>2844</v>
      </c>
      <c r="N99" s="49"/>
      <c r="O99" s="50" t="s">
        <v>3226</v>
      </c>
      <c r="P99" s="59"/>
      <c r="Q99" s="59"/>
      <c r="R99" s="13"/>
    </row>
    <row r="100" spans="1:18" ht="60" x14ac:dyDescent="0.25">
      <c r="A100" s="9" t="s">
        <v>14</v>
      </c>
      <c r="B100" s="28">
        <f>IF(ISBLANK(A100),0,INDEX(txtstylestab[],MATCH(A100,txtstylestab[style_Name],0),1))</f>
        <v>6</v>
      </c>
      <c r="C100" s="28">
        <f t="shared" si="5"/>
        <v>2</v>
      </c>
      <c r="D100" s="28">
        <f t="shared" si="6"/>
        <v>9</v>
      </c>
      <c r="E100" s="28">
        <f t="shared" si="7"/>
        <v>0</v>
      </c>
      <c r="F100" s="59" t="str">
        <f t="shared" si="8"/>
        <v/>
      </c>
      <c r="G100" s="42" t="s">
        <v>976</v>
      </c>
      <c r="H100" s="43" t="s">
        <v>979</v>
      </c>
      <c r="I100" s="44" t="s">
        <v>981</v>
      </c>
      <c r="J100" s="45" t="s">
        <v>983</v>
      </c>
      <c r="K100" s="46" t="s">
        <v>986</v>
      </c>
      <c r="L100" s="47" t="s">
        <v>2376</v>
      </c>
      <c r="M100" s="48" t="s">
        <v>2377</v>
      </c>
      <c r="N100" s="49"/>
      <c r="O100" s="50" t="s">
        <v>3227</v>
      </c>
      <c r="P100" s="59"/>
      <c r="Q100" s="59"/>
      <c r="R100" s="13"/>
    </row>
    <row r="101" spans="1:18" ht="60" x14ac:dyDescent="0.25">
      <c r="A101" s="9" t="s">
        <v>14</v>
      </c>
      <c r="B101" s="28">
        <f>IF(ISBLANK(A101),0,INDEX(txtstylestab[],MATCH(A101,txtstylestab[style_Name],0),1))</f>
        <v>6</v>
      </c>
      <c r="C101" s="28">
        <f t="shared" si="5"/>
        <v>2</v>
      </c>
      <c r="D101" s="28">
        <f t="shared" si="6"/>
        <v>9</v>
      </c>
      <c r="E101" s="28">
        <f t="shared" si="7"/>
        <v>0</v>
      </c>
      <c r="F101" s="59" t="str">
        <f t="shared" si="8"/>
        <v/>
      </c>
      <c r="G101" s="42" t="s">
        <v>977</v>
      </c>
      <c r="H101" s="43" t="s">
        <v>980</v>
      </c>
      <c r="I101" s="44" t="s">
        <v>982</v>
      </c>
      <c r="J101" s="45" t="s">
        <v>984</v>
      </c>
      <c r="K101" s="46" t="s">
        <v>987</v>
      </c>
      <c r="L101" s="47" t="s">
        <v>2378</v>
      </c>
      <c r="M101" s="48" t="s">
        <v>2379</v>
      </c>
      <c r="N101" s="49"/>
      <c r="O101" s="50" t="s">
        <v>3228</v>
      </c>
      <c r="P101" s="59"/>
      <c r="Q101" s="59"/>
      <c r="R101" s="13"/>
    </row>
    <row r="102" spans="1:18" ht="45" x14ac:dyDescent="0.25">
      <c r="A102" s="9" t="s">
        <v>14</v>
      </c>
      <c r="B102" s="28">
        <f>IF(ISBLANK(A102),0,INDEX(txtstylestab[],MATCH(A102,txtstylestab[style_Name],0),1))</f>
        <v>6</v>
      </c>
      <c r="C102" s="28">
        <f t="shared" si="5"/>
        <v>2</v>
      </c>
      <c r="D102" s="28">
        <f t="shared" si="6"/>
        <v>9</v>
      </c>
      <c r="E102" s="28">
        <f t="shared" si="7"/>
        <v>0</v>
      </c>
      <c r="F102" s="59" t="str">
        <f t="shared" si="8"/>
        <v/>
      </c>
      <c r="G102" s="42" t="s">
        <v>978</v>
      </c>
      <c r="H102" s="43" t="s">
        <v>979</v>
      </c>
      <c r="I102" s="44" t="s">
        <v>981</v>
      </c>
      <c r="J102" s="45" t="s">
        <v>985</v>
      </c>
      <c r="K102" s="46" t="s">
        <v>988</v>
      </c>
      <c r="L102" s="47" t="s">
        <v>2380</v>
      </c>
      <c r="M102" s="48" t="s">
        <v>2381</v>
      </c>
      <c r="N102" s="49"/>
      <c r="O102" s="50" t="s">
        <v>3229</v>
      </c>
      <c r="P102" s="59"/>
      <c r="Q102" s="59"/>
      <c r="R102" s="13"/>
    </row>
    <row r="103" spans="1:18" ht="135" x14ac:dyDescent="0.25">
      <c r="A103" s="9" t="s">
        <v>21</v>
      </c>
      <c r="B103" s="28">
        <f>IF(ISBLANK(A103),0,INDEX(txtstylestab[],MATCH(A103,txtstylestab[style_Name],0),1))</f>
        <v>0</v>
      </c>
      <c r="C103" s="28">
        <f t="shared" si="5"/>
        <v>2</v>
      </c>
      <c r="D103" s="28">
        <f t="shared" si="6"/>
        <v>9</v>
      </c>
      <c r="E103" s="28">
        <f t="shared" si="7"/>
        <v>0</v>
      </c>
      <c r="F103" s="59" t="str">
        <f t="shared" si="8"/>
        <v/>
      </c>
      <c r="G103" s="42" t="s">
        <v>2214</v>
      </c>
      <c r="H103" s="43" t="s">
        <v>2215</v>
      </c>
      <c r="I103" s="44" t="s">
        <v>1746</v>
      </c>
      <c r="J103" s="45" t="s">
        <v>94</v>
      </c>
      <c r="K103" s="46" t="s">
        <v>95</v>
      </c>
      <c r="L103" s="47" t="s">
        <v>2382</v>
      </c>
      <c r="M103" s="48" t="s">
        <v>2869</v>
      </c>
      <c r="N103" s="49"/>
      <c r="O103" s="50" t="s">
        <v>3230</v>
      </c>
      <c r="P103" s="59"/>
      <c r="Q103" s="59"/>
      <c r="R103" s="13"/>
    </row>
    <row r="104" spans="1:18" ht="30" x14ac:dyDescent="0.25">
      <c r="A104" s="9" t="s">
        <v>21</v>
      </c>
      <c r="B104" s="28">
        <f>IF(ISBLANK(A104),0,INDEX(txtstylestab[],MATCH(A104,txtstylestab[style_Name],0),1))</f>
        <v>0</v>
      </c>
      <c r="C104" s="28">
        <f t="shared" si="5"/>
        <v>2</v>
      </c>
      <c r="D104" s="28">
        <f t="shared" si="6"/>
        <v>9</v>
      </c>
      <c r="E104" s="28">
        <f t="shared" si="7"/>
        <v>0</v>
      </c>
      <c r="F104" s="59" t="str">
        <f t="shared" si="8"/>
        <v/>
      </c>
      <c r="G104" s="42" t="s">
        <v>97</v>
      </c>
      <c r="H104" s="43" t="s">
        <v>96</v>
      </c>
      <c r="I104" s="44" t="s">
        <v>48</v>
      </c>
      <c r="J104" s="45" t="s">
        <v>397</v>
      </c>
      <c r="K104" s="46" t="s">
        <v>59</v>
      </c>
      <c r="L104" s="47" t="s">
        <v>2371</v>
      </c>
      <c r="M104" s="48" t="s">
        <v>2526</v>
      </c>
      <c r="N104" s="49"/>
      <c r="O104" s="50" t="s">
        <v>3231</v>
      </c>
      <c r="P104" s="59"/>
      <c r="Q104" s="59"/>
      <c r="R104" s="13"/>
    </row>
    <row r="105" spans="1:18" ht="18" thickBot="1" x14ac:dyDescent="0.35">
      <c r="A105" s="9" t="s">
        <v>11</v>
      </c>
      <c r="B105" s="28">
        <f>IF(ISBLANK(A105),0,INDEX(txtstylestab[],MATCH(A105,txtstylestab[style_Name],0),1))</f>
        <v>2</v>
      </c>
      <c r="C105" s="28">
        <f t="shared" si="5"/>
        <v>2</v>
      </c>
      <c r="D105" s="28">
        <f t="shared" si="6"/>
        <v>10</v>
      </c>
      <c r="E105" s="28">
        <f t="shared" si="7"/>
        <v>0</v>
      </c>
      <c r="F105" s="54" t="str">
        <f t="shared" si="8"/>
        <v>2.10.</v>
      </c>
      <c r="G105" s="54" t="s">
        <v>989</v>
      </c>
      <c r="H105" s="54"/>
      <c r="I105" s="54"/>
      <c r="J105" s="54"/>
      <c r="K105" s="54"/>
      <c r="L105" s="54"/>
      <c r="M105" s="54"/>
      <c r="N105" s="54"/>
      <c r="O105" s="54"/>
      <c r="P105" s="54"/>
      <c r="Q105" s="54"/>
      <c r="R105" s="13"/>
    </row>
    <row r="106" spans="1:18" ht="15.75" thickTop="1" x14ac:dyDescent="0.25">
      <c r="A106" s="9" t="s">
        <v>21</v>
      </c>
      <c r="B106" s="28">
        <f>IF(ISBLANK(A106),0,INDEX(txtstylestab[],MATCH(A106,txtstylestab[style_Name],0),1))</f>
        <v>0</v>
      </c>
      <c r="C106" s="28">
        <f t="shared" si="5"/>
        <v>2</v>
      </c>
      <c r="D106" s="28">
        <f t="shared" si="6"/>
        <v>10</v>
      </c>
      <c r="E106" s="28">
        <f t="shared" si="7"/>
        <v>0</v>
      </c>
      <c r="F106" s="59" t="str">
        <f t="shared" si="8"/>
        <v/>
      </c>
      <c r="G106" s="42" t="s">
        <v>344</v>
      </c>
      <c r="H106" s="43" t="s">
        <v>83</v>
      </c>
      <c r="I106" s="44" t="s">
        <v>84</v>
      </c>
      <c r="J106" s="45" t="s">
        <v>85</v>
      </c>
      <c r="K106" s="46" t="s">
        <v>86</v>
      </c>
      <c r="L106" s="47" t="s">
        <v>2398</v>
      </c>
      <c r="M106" s="48" t="s">
        <v>2333</v>
      </c>
      <c r="N106" s="49"/>
      <c r="O106" s="50" t="s">
        <v>3173</v>
      </c>
      <c r="P106" s="50"/>
      <c r="Q106" s="59"/>
      <c r="R106" s="13"/>
    </row>
    <row r="107" spans="1:18" ht="45" x14ac:dyDescent="0.25">
      <c r="A107" s="9" t="s">
        <v>21</v>
      </c>
      <c r="B107" s="28">
        <f>IF(ISBLANK(A107),0,INDEX(txtstylestab[],MATCH(A107,txtstylestab[style_Name],0),1))</f>
        <v>0</v>
      </c>
      <c r="C107" s="28">
        <f t="shared" si="5"/>
        <v>2</v>
      </c>
      <c r="D107" s="28">
        <f t="shared" si="6"/>
        <v>10</v>
      </c>
      <c r="E107" s="28">
        <f t="shared" si="7"/>
        <v>0</v>
      </c>
      <c r="F107" s="59" t="str">
        <f t="shared" si="8"/>
        <v/>
      </c>
      <c r="G107" s="42" t="s">
        <v>996</v>
      </c>
      <c r="H107" s="43" t="s">
        <v>997</v>
      </c>
      <c r="I107" s="44" t="s">
        <v>998</v>
      </c>
      <c r="J107" s="45" t="s">
        <v>999</v>
      </c>
      <c r="K107" s="46" t="s">
        <v>1000</v>
      </c>
      <c r="L107" s="47" t="s">
        <v>2870</v>
      </c>
      <c r="M107" s="48" t="s">
        <v>2871</v>
      </c>
      <c r="N107" s="49"/>
      <c r="O107" s="50" t="s">
        <v>3222</v>
      </c>
      <c r="P107" s="59"/>
      <c r="Q107" s="59"/>
      <c r="R107" s="13"/>
    </row>
    <row r="108" spans="1:18" ht="45" x14ac:dyDescent="0.25">
      <c r="A108" s="9" t="s">
        <v>21</v>
      </c>
      <c r="B108" s="28">
        <f>IF(ISBLANK(A108),0,INDEX(txtstylestab[],MATCH(A108,txtstylestab[style_Name],0),1))</f>
        <v>0</v>
      </c>
      <c r="C108" s="28">
        <f t="shared" si="5"/>
        <v>2</v>
      </c>
      <c r="D108" s="28">
        <f t="shared" si="6"/>
        <v>10</v>
      </c>
      <c r="E108" s="28">
        <f t="shared" si="7"/>
        <v>0</v>
      </c>
      <c r="F108" s="59" t="str">
        <f t="shared" si="8"/>
        <v/>
      </c>
      <c r="G108" s="42" t="s">
        <v>990</v>
      </c>
      <c r="H108" s="43" t="s">
        <v>991</v>
      </c>
      <c r="I108" s="44" t="s">
        <v>992</v>
      </c>
      <c r="J108" s="45" t="s">
        <v>993</v>
      </c>
      <c r="K108" s="46" t="s">
        <v>994</v>
      </c>
      <c r="L108" s="47" t="s">
        <v>2872</v>
      </c>
      <c r="M108" s="48" t="s">
        <v>2873</v>
      </c>
      <c r="N108" s="49"/>
      <c r="O108" s="50" t="s">
        <v>3223</v>
      </c>
      <c r="P108" s="59"/>
      <c r="Q108" s="59"/>
      <c r="R108" s="13"/>
    </row>
    <row r="109" spans="1:18" x14ac:dyDescent="0.25">
      <c r="A109" s="9" t="s">
        <v>21</v>
      </c>
      <c r="B109" s="28">
        <f>IF(ISBLANK(A109),0,INDEX(txtstylestab[],MATCH(A109,txtstylestab[style_Name],0),1))</f>
        <v>0</v>
      </c>
      <c r="C109" s="28">
        <f t="shared" si="5"/>
        <v>2</v>
      </c>
      <c r="D109" s="28">
        <f t="shared" si="6"/>
        <v>10</v>
      </c>
      <c r="E109" s="28">
        <f t="shared" si="7"/>
        <v>0</v>
      </c>
      <c r="F109" s="59" t="str">
        <f t="shared" si="8"/>
        <v/>
      </c>
      <c r="G109" s="42" t="s">
        <v>6</v>
      </c>
      <c r="H109" s="43" t="s">
        <v>26</v>
      </c>
      <c r="I109" s="44" t="s">
        <v>995</v>
      </c>
      <c r="J109" s="45" t="s">
        <v>54</v>
      </c>
      <c r="K109" s="46" t="s">
        <v>59</v>
      </c>
      <c r="L109" s="47" t="s">
        <v>2525</v>
      </c>
      <c r="M109" s="48" t="s">
        <v>2526</v>
      </c>
      <c r="N109" s="49"/>
      <c r="O109" s="50" t="s">
        <v>3173</v>
      </c>
      <c r="P109" s="50"/>
      <c r="Q109" s="59"/>
      <c r="R109" s="13"/>
    </row>
    <row r="110" spans="1:18" ht="18" thickBot="1" x14ac:dyDescent="0.35">
      <c r="A110" s="9" t="s">
        <v>11</v>
      </c>
      <c r="B110" s="28">
        <f>IF(ISBLANK(A110),0,INDEX(txtstylestab[],MATCH(A110,txtstylestab[style_Name],0),1))</f>
        <v>2</v>
      </c>
      <c r="C110" s="28">
        <f t="shared" si="5"/>
        <v>2</v>
      </c>
      <c r="D110" s="28">
        <f t="shared" si="6"/>
        <v>11</v>
      </c>
      <c r="E110" s="28">
        <f t="shared" si="7"/>
        <v>0</v>
      </c>
      <c r="F110" s="54" t="str">
        <f t="shared" si="8"/>
        <v>2.11.</v>
      </c>
      <c r="G110" s="54" t="s">
        <v>1001</v>
      </c>
      <c r="H110" s="54"/>
      <c r="I110" s="54"/>
      <c r="J110" s="54"/>
      <c r="K110" s="54"/>
      <c r="L110" s="54"/>
      <c r="M110" s="54"/>
      <c r="N110" s="54"/>
      <c r="O110" s="54"/>
      <c r="P110" s="54"/>
      <c r="Q110" s="54"/>
      <c r="R110" s="13"/>
    </row>
    <row r="111" spans="1:18" ht="15.75" thickTop="1" x14ac:dyDescent="0.25">
      <c r="A111" s="9" t="s">
        <v>21</v>
      </c>
      <c r="B111" s="28">
        <f>IF(ISBLANK(A111),0,INDEX(txtstylestab[],MATCH(A111,txtstylestab[style_Name],0),1))</f>
        <v>0</v>
      </c>
      <c r="C111" s="28">
        <f t="shared" si="5"/>
        <v>2</v>
      </c>
      <c r="D111" s="28">
        <f t="shared" si="6"/>
        <v>11</v>
      </c>
      <c r="E111" s="28">
        <f t="shared" si="7"/>
        <v>0</v>
      </c>
      <c r="F111" s="59" t="str">
        <f t="shared" si="8"/>
        <v/>
      </c>
      <c r="G111" s="42" t="s">
        <v>82</v>
      </c>
      <c r="H111" s="43" t="s">
        <v>83</v>
      </c>
      <c r="I111" s="44" t="s">
        <v>84</v>
      </c>
      <c r="J111" s="45" t="s">
        <v>85</v>
      </c>
      <c r="K111" s="46" t="s">
        <v>86</v>
      </c>
      <c r="L111" s="47" t="s">
        <v>2398</v>
      </c>
      <c r="M111" s="48" t="s">
        <v>2333</v>
      </c>
      <c r="N111" s="49"/>
      <c r="O111" s="50" t="s">
        <v>3166</v>
      </c>
      <c r="P111" s="50"/>
      <c r="Q111" s="59"/>
      <c r="R111" s="13"/>
    </row>
    <row r="112" spans="1:18" ht="90" x14ac:dyDescent="0.25">
      <c r="A112" s="9" t="s">
        <v>21</v>
      </c>
      <c r="B112" s="28">
        <f>IF(ISBLANK(A112),0,INDEX(txtstylestab[],MATCH(A112,txtstylestab[style_Name],0),1))</f>
        <v>0</v>
      </c>
      <c r="C112" s="28">
        <f t="shared" si="5"/>
        <v>2</v>
      </c>
      <c r="D112" s="28">
        <f t="shared" si="6"/>
        <v>11</v>
      </c>
      <c r="E112" s="28">
        <f t="shared" si="7"/>
        <v>0</v>
      </c>
      <c r="F112" s="59" t="str">
        <f t="shared" si="8"/>
        <v/>
      </c>
      <c r="G112" s="42" t="s">
        <v>1012</v>
      </c>
      <c r="H112" s="43" t="s">
        <v>1011</v>
      </c>
      <c r="I112" s="44" t="s">
        <v>1013</v>
      </c>
      <c r="J112" s="45" t="s">
        <v>1589</v>
      </c>
      <c r="K112" s="46" t="s">
        <v>1014</v>
      </c>
      <c r="L112" s="47" t="s">
        <v>2878</v>
      </c>
      <c r="M112" s="48" t="s">
        <v>2880</v>
      </c>
      <c r="N112" s="49"/>
      <c r="O112" s="50" t="s">
        <v>3219</v>
      </c>
      <c r="P112" s="59"/>
      <c r="Q112" s="59"/>
      <c r="R112" s="13"/>
    </row>
    <row r="113" spans="1:18" ht="45" x14ac:dyDescent="0.25">
      <c r="A113" s="9" t="s">
        <v>21</v>
      </c>
      <c r="B113" s="28">
        <f>IF(ISBLANK(A113),0,INDEX(txtstylestab[],MATCH(A113,txtstylestab[style_Name],0),1))</f>
        <v>0</v>
      </c>
      <c r="C113" s="28">
        <f t="shared" si="5"/>
        <v>2</v>
      </c>
      <c r="D113" s="28">
        <f t="shared" si="6"/>
        <v>11</v>
      </c>
      <c r="E113" s="28">
        <f t="shared" si="7"/>
        <v>0</v>
      </c>
      <c r="F113" s="59" t="str">
        <f t="shared" si="8"/>
        <v/>
      </c>
      <c r="G113" s="42" t="s">
        <v>1002</v>
      </c>
      <c r="H113" s="43" t="s">
        <v>1003</v>
      </c>
      <c r="I113" s="44" t="s">
        <v>1004</v>
      </c>
      <c r="J113" s="45" t="s">
        <v>1005</v>
      </c>
      <c r="K113" s="46" t="s">
        <v>1006</v>
      </c>
      <c r="L113" s="47" t="s">
        <v>2874</v>
      </c>
      <c r="M113" s="48" t="s">
        <v>2875</v>
      </c>
      <c r="N113" s="49"/>
      <c r="O113" s="50" t="s">
        <v>3220</v>
      </c>
      <c r="P113" s="59"/>
      <c r="Q113" s="59"/>
      <c r="R113" s="13"/>
    </row>
    <row r="114" spans="1:18" ht="75" x14ac:dyDescent="0.25">
      <c r="A114" s="9" t="s">
        <v>21</v>
      </c>
      <c r="B114" s="28">
        <f>IF(ISBLANK(A114),0,INDEX(txtstylestab[],MATCH(A114,txtstylestab[style_Name],0),1))</f>
        <v>0</v>
      </c>
      <c r="C114" s="28">
        <f t="shared" si="5"/>
        <v>2</v>
      </c>
      <c r="D114" s="28">
        <f t="shared" si="6"/>
        <v>11</v>
      </c>
      <c r="E114" s="28">
        <f t="shared" si="7"/>
        <v>0</v>
      </c>
      <c r="F114" s="59" t="str">
        <f t="shared" si="8"/>
        <v/>
      </c>
      <c r="G114" s="42" t="s">
        <v>1007</v>
      </c>
      <c r="H114" s="43" t="s">
        <v>1008</v>
      </c>
      <c r="I114" s="44" t="s">
        <v>1645</v>
      </c>
      <c r="J114" s="45" t="s">
        <v>1009</v>
      </c>
      <c r="K114" s="46" t="s">
        <v>1010</v>
      </c>
      <c r="L114" s="47" t="s">
        <v>2876</v>
      </c>
      <c r="M114" s="48" t="s">
        <v>2877</v>
      </c>
      <c r="N114" s="49"/>
      <c r="O114" s="50" t="s">
        <v>3221</v>
      </c>
      <c r="P114" s="59"/>
      <c r="Q114" s="59"/>
      <c r="R114" s="13"/>
    </row>
    <row r="115" spans="1:18" x14ac:dyDescent="0.25">
      <c r="A115" s="9" t="s">
        <v>21</v>
      </c>
      <c r="B115" s="28">
        <f>IF(ISBLANK(A115),0,INDEX(txtstylestab[],MATCH(A115,txtstylestab[style_Name],0),1))</f>
        <v>0</v>
      </c>
      <c r="C115" s="28">
        <f t="shared" si="5"/>
        <v>2</v>
      </c>
      <c r="D115" s="28">
        <f t="shared" si="6"/>
        <v>11</v>
      </c>
      <c r="E115" s="28">
        <f t="shared" si="7"/>
        <v>0</v>
      </c>
      <c r="F115" s="59" t="str">
        <f t="shared" si="8"/>
        <v/>
      </c>
      <c r="G115" s="42" t="s">
        <v>6</v>
      </c>
      <c r="H115" s="43" t="s">
        <v>26</v>
      </c>
      <c r="I115" s="44" t="s">
        <v>48</v>
      </c>
      <c r="J115" s="45" t="s">
        <v>54</v>
      </c>
      <c r="K115" s="46" t="s">
        <v>59</v>
      </c>
      <c r="L115" s="47" t="s">
        <v>2525</v>
      </c>
      <c r="M115" s="48" t="s">
        <v>2526</v>
      </c>
      <c r="N115" s="49"/>
      <c r="O115" s="50" t="s">
        <v>3173</v>
      </c>
      <c r="P115" s="50"/>
      <c r="Q115" s="59"/>
      <c r="R115" s="13"/>
    </row>
    <row r="116" spans="1:18" ht="18" thickBot="1" x14ac:dyDescent="0.35">
      <c r="A116" s="9" t="s">
        <v>11</v>
      </c>
      <c r="B116" s="28">
        <f>IF(ISBLANK(A116),0,INDEX(txtstylestab[],MATCH(A116,txtstylestab[style_Name],0),1))</f>
        <v>2</v>
      </c>
      <c r="C116" s="28">
        <f t="shared" si="5"/>
        <v>2</v>
      </c>
      <c r="D116" s="28">
        <f t="shared" si="6"/>
        <v>12</v>
      </c>
      <c r="E116" s="28">
        <f t="shared" si="7"/>
        <v>0</v>
      </c>
      <c r="F116" s="54" t="str">
        <f t="shared" si="8"/>
        <v>2.12.</v>
      </c>
      <c r="G116" s="54" t="s">
        <v>1015</v>
      </c>
      <c r="H116" s="54"/>
      <c r="I116" s="54"/>
      <c r="J116" s="54"/>
      <c r="K116" s="54"/>
      <c r="L116" s="54"/>
      <c r="M116" s="54"/>
      <c r="N116" s="54"/>
      <c r="O116" s="54"/>
      <c r="P116" s="54"/>
      <c r="Q116" s="54"/>
      <c r="R116" s="13"/>
    </row>
    <row r="117" spans="1:18" ht="15.75" thickTop="1" x14ac:dyDescent="0.25">
      <c r="A117" s="9" t="s">
        <v>21</v>
      </c>
      <c r="B117" s="28">
        <f>IF(ISBLANK(A117),0,INDEX(txtstylestab[],MATCH(A117,txtstylestab[style_Name],0),1))</f>
        <v>0</v>
      </c>
      <c r="C117" s="28">
        <f t="shared" si="5"/>
        <v>2</v>
      </c>
      <c r="D117" s="28">
        <f t="shared" si="6"/>
        <v>12</v>
      </c>
      <c r="E117" s="28">
        <f t="shared" si="7"/>
        <v>0</v>
      </c>
      <c r="F117" s="59" t="str">
        <f t="shared" si="8"/>
        <v/>
      </c>
      <c r="G117" s="42" t="s">
        <v>82</v>
      </c>
      <c r="H117" s="43" t="s">
        <v>83</v>
      </c>
      <c r="I117" s="44" t="s">
        <v>84</v>
      </c>
      <c r="J117" s="45" t="s">
        <v>85</v>
      </c>
      <c r="K117" s="46" t="s">
        <v>86</v>
      </c>
      <c r="L117" s="47" t="s">
        <v>2398</v>
      </c>
      <c r="M117" s="48" t="s">
        <v>2333</v>
      </c>
      <c r="N117" s="49"/>
      <c r="O117" s="50" t="s">
        <v>3166</v>
      </c>
      <c r="P117" s="50"/>
      <c r="Q117" s="59"/>
      <c r="R117" s="13"/>
    </row>
    <row r="118" spans="1:18" ht="60" x14ac:dyDescent="0.25">
      <c r="A118" s="9" t="s">
        <v>21</v>
      </c>
      <c r="B118" s="28">
        <f>IF(ISBLANK(A118),0,INDEX(txtstylestab[],MATCH(A118,txtstylestab[style_Name],0),1))</f>
        <v>0</v>
      </c>
      <c r="C118" s="28">
        <f t="shared" si="5"/>
        <v>2</v>
      </c>
      <c r="D118" s="28">
        <f t="shared" si="6"/>
        <v>12</v>
      </c>
      <c r="E118" s="28">
        <f t="shared" si="7"/>
        <v>0</v>
      </c>
      <c r="F118" s="59" t="str">
        <f t="shared" si="8"/>
        <v/>
      </c>
      <c r="G118" s="42" t="s">
        <v>1016</v>
      </c>
      <c r="H118" s="43" t="s">
        <v>2004</v>
      </c>
      <c r="I118" s="44" t="s">
        <v>1017</v>
      </c>
      <c r="J118" s="45" t="s">
        <v>1018</v>
      </c>
      <c r="K118" s="46" t="s">
        <v>1019</v>
      </c>
      <c r="L118" s="47" t="s">
        <v>2879</v>
      </c>
      <c r="M118" s="48" t="s">
        <v>2881</v>
      </c>
      <c r="N118" s="49"/>
      <c r="O118" s="50" t="s">
        <v>3218</v>
      </c>
      <c r="P118" s="59"/>
      <c r="Q118" s="59"/>
      <c r="R118" s="13"/>
    </row>
    <row r="119" spans="1:18" x14ac:dyDescent="0.25">
      <c r="A119" s="9" t="s">
        <v>21</v>
      </c>
      <c r="B119" s="28">
        <f>IF(ISBLANK(A119),0,INDEX(txtstylestab[],MATCH(A119,txtstylestab[style_Name],0),1))</f>
        <v>0</v>
      </c>
      <c r="C119" s="28">
        <f t="shared" si="5"/>
        <v>2</v>
      </c>
      <c r="D119" s="28">
        <f t="shared" si="6"/>
        <v>12</v>
      </c>
      <c r="E119" s="28">
        <f t="shared" si="7"/>
        <v>0</v>
      </c>
      <c r="F119" s="59" t="str">
        <f t="shared" si="8"/>
        <v/>
      </c>
      <c r="G119" s="42" t="s">
        <v>6</v>
      </c>
      <c r="H119" s="43" t="s">
        <v>26</v>
      </c>
      <c r="I119" s="44" t="s">
        <v>48</v>
      </c>
      <c r="J119" s="45" t="s">
        <v>54</v>
      </c>
      <c r="K119" s="46" t="s">
        <v>59</v>
      </c>
      <c r="L119" s="47" t="s">
        <v>2525</v>
      </c>
      <c r="M119" s="48" t="s">
        <v>2526</v>
      </c>
      <c r="N119" s="49"/>
      <c r="O119" s="50" t="s">
        <v>3173</v>
      </c>
      <c r="P119" s="50"/>
      <c r="Q119" s="59"/>
      <c r="R119" s="13"/>
    </row>
    <row r="120" spans="1:18" ht="18" thickBot="1" x14ac:dyDescent="0.35">
      <c r="A120" s="9" t="s">
        <v>11</v>
      </c>
      <c r="B120" s="28">
        <f>IF(ISBLANK(A120),0,INDEX(txtstylestab[],MATCH(A120,txtstylestab[style_Name],0),1))</f>
        <v>2</v>
      </c>
      <c r="C120" s="28">
        <f t="shared" si="5"/>
        <v>2</v>
      </c>
      <c r="D120" s="28">
        <f t="shared" si="6"/>
        <v>13</v>
      </c>
      <c r="E120" s="28">
        <f t="shared" si="7"/>
        <v>0</v>
      </c>
      <c r="F120" s="54" t="str">
        <f t="shared" si="8"/>
        <v>2.13.</v>
      </c>
      <c r="G120" s="54" t="s">
        <v>1020</v>
      </c>
      <c r="H120" s="54"/>
      <c r="I120" s="54"/>
      <c r="J120" s="54"/>
      <c r="K120" s="54"/>
      <c r="L120" s="54"/>
      <c r="M120" s="54"/>
      <c r="N120" s="54"/>
      <c r="O120" s="54"/>
      <c r="P120" s="54"/>
      <c r="Q120" s="54"/>
      <c r="R120" s="13"/>
    </row>
    <row r="121" spans="1:18" ht="15.75" thickTop="1" x14ac:dyDescent="0.25">
      <c r="A121" s="9" t="s">
        <v>21</v>
      </c>
      <c r="B121" s="28">
        <f>IF(ISBLANK(A121),0,INDEX(txtstylestab[],MATCH(A121,txtstylestab[style_Name],0),1))</f>
        <v>0</v>
      </c>
      <c r="C121" s="28">
        <f t="shared" si="5"/>
        <v>2</v>
      </c>
      <c r="D121" s="28">
        <f t="shared" si="6"/>
        <v>13</v>
      </c>
      <c r="E121" s="28">
        <f t="shared" si="7"/>
        <v>0</v>
      </c>
      <c r="F121" s="59" t="str">
        <f t="shared" si="8"/>
        <v/>
      </c>
      <c r="G121" s="42" t="s">
        <v>82</v>
      </c>
      <c r="H121" s="43" t="s">
        <v>83</v>
      </c>
      <c r="I121" s="44" t="s">
        <v>84</v>
      </c>
      <c r="J121" s="45" t="s">
        <v>85</v>
      </c>
      <c r="K121" s="46" t="s">
        <v>86</v>
      </c>
      <c r="L121" s="47" t="s">
        <v>2398</v>
      </c>
      <c r="M121" s="48" t="s">
        <v>2333</v>
      </c>
      <c r="N121" s="49"/>
      <c r="O121" s="50" t="s">
        <v>3166</v>
      </c>
      <c r="P121" s="50"/>
      <c r="Q121" s="59"/>
      <c r="R121" s="13"/>
    </row>
    <row r="122" spans="1:18" ht="60" x14ac:dyDescent="0.25">
      <c r="A122" s="9" t="s">
        <v>21</v>
      </c>
      <c r="B122" s="28">
        <f>IF(ISBLANK(A122),0,INDEX(txtstylestab[],MATCH(A122,txtstylestab[style_Name],0),1))</f>
        <v>0</v>
      </c>
      <c r="C122" s="28">
        <f t="shared" si="5"/>
        <v>2</v>
      </c>
      <c r="D122" s="28">
        <f t="shared" si="6"/>
        <v>13</v>
      </c>
      <c r="E122" s="28">
        <f t="shared" si="7"/>
        <v>0</v>
      </c>
      <c r="F122" s="59" t="str">
        <f t="shared" si="8"/>
        <v/>
      </c>
      <c r="G122" s="42" t="s">
        <v>1021</v>
      </c>
      <c r="H122" s="43" t="s">
        <v>1022</v>
      </c>
      <c r="I122" s="44" t="s">
        <v>1023</v>
      </c>
      <c r="J122" s="45" t="s">
        <v>1024</v>
      </c>
      <c r="K122" s="46" t="s">
        <v>1025</v>
      </c>
      <c r="L122" s="47" t="s">
        <v>2882</v>
      </c>
      <c r="M122" s="48" t="s">
        <v>2883</v>
      </c>
      <c r="N122" s="49"/>
      <c r="O122" s="50" t="s">
        <v>3216</v>
      </c>
      <c r="P122" s="59"/>
      <c r="Q122" s="59"/>
      <c r="R122" s="13"/>
    </row>
    <row r="123" spans="1:18" ht="60" x14ac:dyDescent="0.25">
      <c r="A123" s="9" t="s">
        <v>21</v>
      </c>
      <c r="B123" s="28">
        <f>IF(ISBLANK(A123),0,INDEX(txtstylestab[],MATCH(A123,txtstylestab[style_Name],0),1))</f>
        <v>0</v>
      </c>
      <c r="C123" s="28">
        <f t="shared" si="5"/>
        <v>2</v>
      </c>
      <c r="D123" s="28">
        <f t="shared" si="6"/>
        <v>13</v>
      </c>
      <c r="E123" s="28">
        <f t="shared" si="7"/>
        <v>0</v>
      </c>
      <c r="F123" s="59" t="str">
        <f t="shared" si="8"/>
        <v/>
      </c>
      <c r="G123" s="42" t="s">
        <v>1026</v>
      </c>
      <c r="H123" s="43" t="s">
        <v>1027</v>
      </c>
      <c r="I123" s="44" t="s">
        <v>1028</v>
      </c>
      <c r="J123" s="45" t="s">
        <v>1029</v>
      </c>
      <c r="K123" s="46" t="s">
        <v>1030</v>
      </c>
      <c r="L123" s="47" t="s">
        <v>2884</v>
      </c>
      <c r="M123" s="48" t="s">
        <v>2885</v>
      </c>
      <c r="N123" s="49"/>
      <c r="O123" s="50" t="s">
        <v>3217</v>
      </c>
      <c r="P123" s="59"/>
      <c r="Q123" s="59"/>
      <c r="R123" s="13"/>
    </row>
    <row r="124" spans="1:18" ht="45" x14ac:dyDescent="0.25">
      <c r="A124" s="9" t="s">
        <v>21</v>
      </c>
      <c r="B124" s="28">
        <f>IF(ISBLANK(A124),0,INDEX(txtstylestab[],MATCH(A124,txtstylestab[style_Name],0),1))</f>
        <v>0</v>
      </c>
      <c r="C124" s="28">
        <f t="shared" si="5"/>
        <v>2</v>
      </c>
      <c r="D124" s="28">
        <f t="shared" si="6"/>
        <v>13</v>
      </c>
      <c r="E124" s="28">
        <f t="shared" si="7"/>
        <v>0</v>
      </c>
      <c r="F124" s="59" t="str">
        <f t="shared" si="8"/>
        <v/>
      </c>
      <c r="G124" s="42" t="s">
        <v>536</v>
      </c>
      <c r="H124" s="43" t="s">
        <v>537</v>
      </c>
      <c r="I124" s="44" t="s">
        <v>503</v>
      </c>
      <c r="J124" s="45" t="s">
        <v>504</v>
      </c>
      <c r="K124" s="46" t="s">
        <v>1031</v>
      </c>
      <c r="L124" s="47" t="s">
        <v>2886</v>
      </c>
      <c r="M124" s="48" t="s">
        <v>2809</v>
      </c>
      <c r="N124" s="49"/>
      <c r="O124" s="50" t="s">
        <v>3244</v>
      </c>
      <c r="P124" s="50"/>
      <c r="Q124" s="59"/>
      <c r="R124" s="13"/>
    </row>
    <row r="125" spans="1:18" x14ac:dyDescent="0.25">
      <c r="A125" s="9" t="s">
        <v>21</v>
      </c>
      <c r="B125" s="28">
        <f>IF(ISBLANK(A125),0,INDEX(txtstylestab[],MATCH(A125,txtstylestab[style_Name],0),1))</f>
        <v>0</v>
      </c>
      <c r="C125" s="28">
        <f t="shared" si="5"/>
        <v>2</v>
      </c>
      <c r="D125" s="28">
        <f t="shared" si="6"/>
        <v>13</v>
      </c>
      <c r="E125" s="28">
        <f t="shared" si="7"/>
        <v>0</v>
      </c>
      <c r="F125" s="59" t="str">
        <f t="shared" si="8"/>
        <v/>
      </c>
      <c r="G125" s="42" t="s">
        <v>6</v>
      </c>
      <c r="H125" s="43" t="s">
        <v>96</v>
      </c>
      <c r="I125" s="44" t="s">
        <v>48</v>
      </c>
      <c r="J125" s="45" t="s">
        <v>54</v>
      </c>
      <c r="K125" s="46" t="s">
        <v>59</v>
      </c>
      <c r="L125" s="47" t="s">
        <v>2525</v>
      </c>
      <c r="M125" s="48" t="s">
        <v>2526</v>
      </c>
      <c r="N125" s="49"/>
      <c r="O125" s="50" t="s">
        <v>3173</v>
      </c>
      <c r="P125" s="50"/>
      <c r="Q125" s="59"/>
      <c r="R125" s="13"/>
    </row>
    <row r="126" spans="1:18" x14ac:dyDescent="0.25">
      <c r="A126" s="9" t="s">
        <v>13</v>
      </c>
      <c r="B126" s="28">
        <f>IF(ISBLANK(A126),0,INDEX(txtstylestab[],MATCH(A126,txtstylestab[style_Name],0),1))</f>
        <v>7</v>
      </c>
      <c r="C126" s="28">
        <f t="shared" si="5"/>
        <v>2</v>
      </c>
      <c r="D126" s="28">
        <f t="shared" si="6"/>
        <v>13</v>
      </c>
      <c r="E126" s="28">
        <f t="shared" si="7"/>
        <v>0</v>
      </c>
      <c r="F126" s="78" t="str">
        <f t="shared" si="8"/>
        <v/>
      </c>
      <c r="G126" s="78" t="s">
        <v>457</v>
      </c>
      <c r="H126" s="78"/>
      <c r="I126" s="78"/>
      <c r="J126" s="78"/>
      <c r="K126" s="78"/>
      <c r="L126" s="78"/>
      <c r="M126" s="78"/>
      <c r="N126" s="78"/>
      <c r="O126" s="78"/>
      <c r="P126" s="78"/>
      <c r="Q126" s="78"/>
      <c r="R126" s="13"/>
    </row>
    <row r="127" spans="1:18" ht="18" thickBot="1" x14ac:dyDescent="0.35">
      <c r="A127" s="9" t="s">
        <v>11</v>
      </c>
      <c r="B127" s="28">
        <f>IF(ISBLANK(A127),0,INDEX(txtstylestab[],MATCH(A127,txtstylestab[style_Name],0),1))</f>
        <v>2</v>
      </c>
      <c r="C127" s="28">
        <f t="shared" si="5"/>
        <v>2</v>
      </c>
      <c r="D127" s="28">
        <f t="shared" si="6"/>
        <v>14</v>
      </c>
      <c r="E127" s="28">
        <f t="shared" si="7"/>
        <v>0</v>
      </c>
      <c r="F127" s="54" t="str">
        <f t="shared" si="8"/>
        <v>2.14.</v>
      </c>
      <c r="G127" s="54" t="s">
        <v>1032</v>
      </c>
      <c r="H127" s="54"/>
      <c r="I127" s="54"/>
      <c r="J127" s="54"/>
      <c r="K127" s="54"/>
      <c r="L127" s="54"/>
      <c r="M127" s="54"/>
      <c r="N127" s="54"/>
      <c r="O127" s="54"/>
      <c r="P127" s="54"/>
      <c r="Q127" s="54"/>
      <c r="R127" s="13"/>
    </row>
    <row r="128" spans="1:18" ht="15.75" thickTop="1" x14ac:dyDescent="0.25">
      <c r="A128" s="9" t="s">
        <v>21</v>
      </c>
      <c r="B128" s="28">
        <f>IF(ISBLANK(A128),0,INDEX(txtstylestab[],MATCH(A128,txtstylestab[style_Name],0),1))</f>
        <v>0</v>
      </c>
      <c r="C128" s="28">
        <f t="shared" si="5"/>
        <v>2</v>
      </c>
      <c r="D128" s="28">
        <f t="shared" si="6"/>
        <v>14</v>
      </c>
      <c r="E128" s="28">
        <f t="shared" si="7"/>
        <v>0</v>
      </c>
      <c r="F128" s="59" t="str">
        <f t="shared" si="8"/>
        <v/>
      </c>
      <c r="G128" s="42" t="s">
        <v>82</v>
      </c>
      <c r="H128" s="43" t="s">
        <v>83</v>
      </c>
      <c r="I128" s="44" t="s">
        <v>84</v>
      </c>
      <c r="J128" s="45" t="s">
        <v>85</v>
      </c>
      <c r="K128" s="46" t="s">
        <v>86</v>
      </c>
      <c r="L128" s="47" t="s">
        <v>2398</v>
      </c>
      <c r="M128" s="48" t="s">
        <v>2333</v>
      </c>
      <c r="N128" s="49"/>
      <c r="O128" s="50" t="s">
        <v>3166</v>
      </c>
      <c r="P128" s="50"/>
      <c r="Q128" s="59"/>
      <c r="R128" s="13"/>
    </row>
    <row r="129" spans="1:18" x14ac:dyDescent="0.25">
      <c r="A129" s="9" t="s">
        <v>22</v>
      </c>
      <c r="B129" s="28">
        <f>IF(ISBLANK(A129),0,INDEX(txtstylestab[],MATCH(A129,txtstylestab[style_Name],0),1))</f>
        <v>4</v>
      </c>
      <c r="C129" s="28">
        <f t="shared" si="5"/>
        <v>2</v>
      </c>
      <c r="D129" s="28">
        <f t="shared" si="6"/>
        <v>14</v>
      </c>
      <c r="E129" s="28">
        <f t="shared" si="7"/>
        <v>0</v>
      </c>
      <c r="F129" s="56" t="str">
        <f t="shared" si="8"/>
        <v/>
      </c>
      <c r="G129" s="53" t="s">
        <v>1033</v>
      </c>
      <c r="H129" s="53"/>
      <c r="I129" s="53"/>
      <c r="J129" s="53"/>
      <c r="K129" s="53"/>
      <c r="L129" s="53"/>
      <c r="M129" s="53"/>
      <c r="N129" s="53"/>
      <c r="O129" s="53"/>
      <c r="P129" s="53"/>
      <c r="Q129" s="53"/>
      <c r="R129" s="13"/>
    </row>
    <row r="130" spans="1:18" ht="45" x14ac:dyDescent="0.25">
      <c r="A130" s="9" t="s">
        <v>21</v>
      </c>
      <c r="B130" s="28">
        <f>IF(ISBLANK(A130),0,INDEX(txtstylestab[],MATCH(A130,txtstylestab[style_Name],0),1))</f>
        <v>0</v>
      </c>
      <c r="C130" s="28">
        <f t="shared" si="5"/>
        <v>2</v>
      </c>
      <c r="D130" s="28">
        <f t="shared" si="6"/>
        <v>14</v>
      </c>
      <c r="E130" s="28">
        <f t="shared" si="7"/>
        <v>0</v>
      </c>
      <c r="F130" s="59" t="str">
        <f t="shared" si="8"/>
        <v/>
      </c>
      <c r="G130" s="42" t="s">
        <v>1034</v>
      </c>
      <c r="H130" s="43" t="s">
        <v>1035</v>
      </c>
      <c r="I130" s="44" t="s">
        <v>1646</v>
      </c>
      <c r="J130" s="45" t="s">
        <v>1036</v>
      </c>
      <c r="K130" s="46" t="s">
        <v>1037</v>
      </c>
      <c r="L130" s="47" t="s">
        <v>2887</v>
      </c>
      <c r="M130" s="48" t="s">
        <v>2888</v>
      </c>
      <c r="N130" s="49"/>
      <c r="O130" s="50" t="s">
        <v>3212</v>
      </c>
      <c r="P130" s="59"/>
      <c r="Q130" s="59"/>
      <c r="R130" s="13"/>
    </row>
    <row r="131" spans="1:18" x14ac:dyDescent="0.25">
      <c r="A131" s="9" t="s">
        <v>22</v>
      </c>
      <c r="B131" s="28">
        <f>IF(ISBLANK(A131),0,INDEX(txtstylestab[],MATCH(A131,txtstylestab[style_Name],0),1))</f>
        <v>4</v>
      </c>
      <c r="C131" s="28">
        <f t="shared" si="5"/>
        <v>2</v>
      </c>
      <c r="D131" s="28">
        <f t="shared" si="6"/>
        <v>14</v>
      </c>
      <c r="E131" s="28">
        <f t="shared" si="7"/>
        <v>0</v>
      </c>
      <c r="F131" s="56" t="str">
        <f t="shared" si="8"/>
        <v/>
      </c>
      <c r="G131" s="53" t="s">
        <v>1038</v>
      </c>
      <c r="H131" s="53"/>
      <c r="I131" s="53"/>
      <c r="J131" s="53"/>
      <c r="K131" s="53"/>
      <c r="L131" s="53"/>
      <c r="M131" s="53"/>
      <c r="N131" s="53"/>
      <c r="O131" s="53"/>
      <c r="P131" s="53"/>
      <c r="Q131" s="53"/>
      <c r="R131" s="13"/>
    </row>
    <row r="132" spans="1:18" ht="60" x14ac:dyDescent="0.25">
      <c r="A132" s="9" t="s">
        <v>21</v>
      </c>
      <c r="B132" s="28">
        <f>IF(ISBLANK(A132),0,INDEX(txtstylestab[],MATCH(A132,txtstylestab[style_Name],0),1))</f>
        <v>0</v>
      </c>
      <c r="C132" s="28">
        <f t="shared" ref="C132:C195" si="9">IF(B132=1,C131+1,C131)</f>
        <v>2</v>
      </c>
      <c r="D132" s="28">
        <f t="shared" ref="D132:D195" si="10">IF(B132=1,0,IF(B132=2,D131+1,IF(AND(B132=3,D131=0),1,D131)))</f>
        <v>14</v>
      </c>
      <c r="E132" s="28">
        <f t="shared" ref="E132:E195" si="11">IF(OR(B132=1,B132=2),0,IF(B132=3,E131+1,E131))</f>
        <v>0</v>
      </c>
      <c r="F132" s="59" t="str">
        <f t="shared" ref="F132:F195" si="12">IF(OR(B132=1,B132=2,B132=3),TEXT(C132,"#")&amp;".","")&amp;IF(OR(B132=2,B132=3),TEXT(D132,"#")&amp;".","")&amp;IF(B132=3,TEXT(E132,"#")&amp;".","")</f>
        <v/>
      </c>
      <c r="G132" s="42" t="s">
        <v>1039</v>
      </c>
      <c r="H132" s="43" t="s">
        <v>1040</v>
      </c>
      <c r="I132" s="44" t="s">
        <v>1041</v>
      </c>
      <c r="J132" s="45" t="s">
        <v>1042</v>
      </c>
      <c r="K132" s="46" t="s">
        <v>1043</v>
      </c>
      <c r="L132" s="47" t="s">
        <v>2889</v>
      </c>
      <c r="M132" s="48" t="s">
        <v>2890</v>
      </c>
      <c r="N132" s="49"/>
      <c r="O132" s="50" t="s">
        <v>3213</v>
      </c>
      <c r="P132" s="59"/>
      <c r="Q132" s="59"/>
      <c r="R132" s="13"/>
    </row>
    <row r="133" spans="1:18" x14ac:dyDescent="0.25">
      <c r="A133" s="9" t="s">
        <v>22</v>
      </c>
      <c r="B133" s="28">
        <f>IF(ISBLANK(A133),0,INDEX(txtstylestab[],MATCH(A133,txtstylestab[style_Name],0),1))</f>
        <v>4</v>
      </c>
      <c r="C133" s="28">
        <f t="shared" si="9"/>
        <v>2</v>
      </c>
      <c r="D133" s="28">
        <f t="shared" si="10"/>
        <v>14</v>
      </c>
      <c r="E133" s="28">
        <f t="shared" si="11"/>
        <v>0</v>
      </c>
      <c r="F133" s="56" t="str">
        <f t="shared" si="12"/>
        <v/>
      </c>
      <c r="G133" s="53" t="s">
        <v>2005</v>
      </c>
      <c r="H133" s="53"/>
      <c r="I133" s="53"/>
      <c r="J133" s="53"/>
      <c r="K133" s="53"/>
      <c r="L133" s="53"/>
      <c r="M133" s="53"/>
      <c r="N133" s="53"/>
      <c r="O133" s="53"/>
      <c r="P133" s="53"/>
      <c r="Q133" s="53"/>
      <c r="R133" s="13"/>
    </row>
    <row r="134" spans="1:18" ht="135" x14ac:dyDescent="0.25">
      <c r="A134" s="9" t="s">
        <v>21</v>
      </c>
      <c r="B134" s="28">
        <f>IF(ISBLANK(A134),0,INDEX(txtstylestab[],MATCH(A134,txtstylestab[style_Name],0),1))</f>
        <v>0</v>
      </c>
      <c r="C134" s="28">
        <f t="shared" si="9"/>
        <v>2</v>
      </c>
      <c r="D134" s="28">
        <f t="shared" si="10"/>
        <v>14</v>
      </c>
      <c r="E134" s="28">
        <f t="shared" si="11"/>
        <v>0</v>
      </c>
      <c r="F134" s="59" t="str">
        <f t="shared" si="12"/>
        <v/>
      </c>
      <c r="G134" s="42" t="s">
        <v>1044</v>
      </c>
      <c r="H134" s="43" t="s">
        <v>1045</v>
      </c>
      <c r="I134" s="44" t="s">
        <v>1647</v>
      </c>
      <c r="J134" s="45" t="s">
        <v>1046</v>
      </c>
      <c r="K134" s="46" t="s">
        <v>1047</v>
      </c>
      <c r="L134" s="47" t="s">
        <v>2891</v>
      </c>
      <c r="M134" s="48" t="s">
        <v>2892</v>
      </c>
      <c r="N134" s="49"/>
      <c r="O134" s="50" t="s">
        <v>3214</v>
      </c>
      <c r="P134" s="59"/>
      <c r="Q134" s="59"/>
      <c r="R134" s="13"/>
    </row>
    <row r="135" spans="1:18" ht="45" x14ac:dyDescent="0.25">
      <c r="A135" s="9" t="s">
        <v>21</v>
      </c>
      <c r="B135" s="28">
        <f>IF(ISBLANK(A135),0,INDEX(txtstylestab[],MATCH(A135,txtstylestab[style_Name],0),1))</f>
        <v>0</v>
      </c>
      <c r="C135" s="28">
        <f t="shared" si="9"/>
        <v>2</v>
      </c>
      <c r="D135" s="28">
        <f t="shared" si="10"/>
        <v>14</v>
      </c>
      <c r="E135" s="28">
        <f t="shared" si="11"/>
        <v>0</v>
      </c>
      <c r="F135" s="59" t="str">
        <f t="shared" si="12"/>
        <v/>
      </c>
      <c r="G135" s="42" t="s">
        <v>1051</v>
      </c>
      <c r="H135" s="43" t="s">
        <v>1052</v>
      </c>
      <c r="I135" s="44" t="s">
        <v>1053</v>
      </c>
      <c r="J135" s="45" t="s">
        <v>1054</v>
      </c>
      <c r="K135" s="46" t="s">
        <v>1055</v>
      </c>
      <c r="L135" s="47" t="s">
        <v>2893</v>
      </c>
      <c r="M135" s="48" t="s">
        <v>2894</v>
      </c>
      <c r="N135" s="49"/>
      <c r="O135" s="49"/>
      <c r="P135" s="50"/>
      <c r="Q135" s="59"/>
      <c r="R135" s="13"/>
    </row>
    <row r="136" spans="1:18" ht="45" x14ac:dyDescent="0.25">
      <c r="A136" s="9" t="s">
        <v>21</v>
      </c>
      <c r="B136" s="28">
        <f>IF(ISBLANK(A136),0,INDEX(txtstylestab[],MATCH(A136,txtstylestab[style_Name],0),1))</f>
        <v>0</v>
      </c>
      <c r="C136" s="28">
        <f t="shared" si="9"/>
        <v>2</v>
      </c>
      <c r="D136" s="28">
        <f t="shared" si="10"/>
        <v>14</v>
      </c>
      <c r="E136" s="28">
        <f t="shared" si="11"/>
        <v>0</v>
      </c>
      <c r="F136" s="59" t="str">
        <f t="shared" si="12"/>
        <v/>
      </c>
      <c r="G136" s="42" t="s">
        <v>1056</v>
      </c>
      <c r="H136" s="43" t="s">
        <v>1057</v>
      </c>
      <c r="I136" s="44" t="s">
        <v>1058</v>
      </c>
      <c r="J136" s="45" t="s">
        <v>1059</v>
      </c>
      <c r="K136" s="46" t="s">
        <v>1060</v>
      </c>
      <c r="L136" s="47" t="s">
        <v>2895</v>
      </c>
      <c r="M136" s="48" t="s">
        <v>2896</v>
      </c>
      <c r="N136" s="49"/>
      <c r="O136" s="49"/>
      <c r="P136" s="50"/>
      <c r="Q136" s="59"/>
      <c r="R136" s="13"/>
    </row>
    <row r="137" spans="1:18" ht="60" x14ac:dyDescent="0.25">
      <c r="A137" s="9" t="s">
        <v>21</v>
      </c>
      <c r="B137" s="28">
        <f>IF(ISBLANK(A137),0,INDEX(txtstylestab[],MATCH(A137,txtstylestab[style_Name],0),1))</f>
        <v>0</v>
      </c>
      <c r="C137" s="28">
        <f t="shared" si="9"/>
        <v>2</v>
      </c>
      <c r="D137" s="28">
        <f t="shared" si="10"/>
        <v>14</v>
      </c>
      <c r="E137" s="28">
        <f t="shared" si="11"/>
        <v>0</v>
      </c>
      <c r="F137" s="59" t="str">
        <f t="shared" si="12"/>
        <v/>
      </c>
      <c r="G137" s="42" t="s">
        <v>1048</v>
      </c>
      <c r="H137" s="43" t="s">
        <v>2264</v>
      </c>
      <c r="I137" s="44" t="s">
        <v>1747</v>
      </c>
      <c r="J137" s="45" t="s">
        <v>1049</v>
      </c>
      <c r="K137" s="46" t="s">
        <v>1050</v>
      </c>
      <c r="L137" s="47" t="s">
        <v>2897</v>
      </c>
      <c r="M137" s="48" t="s">
        <v>2898</v>
      </c>
      <c r="N137" s="49"/>
      <c r="O137" s="50" t="s">
        <v>3215</v>
      </c>
      <c r="P137" s="59"/>
      <c r="Q137" s="59"/>
      <c r="R137" s="13"/>
    </row>
    <row r="138" spans="1:18" x14ac:dyDescent="0.25">
      <c r="A138" s="9" t="s">
        <v>21</v>
      </c>
      <c r="B138" s="28">
        <f>IF(ISBLANK(A138),0,INDEX(txtstylestab[],MATCH(A138,txtstylestab[style_Name],0),1))</f>
        <v>0</v>
      </c>
      <c r="C138" s="28">
        <f t="shared" si="9"/>
        <v>2</v>
      </c>
      <c r="D138" s="28">
        <f t="shared" si="10"/>
        <v>14</v>
      </c>
      <c r="E138" s="28">
        <f t="shared" si="11"/>
        <v>0</v>
      </c>
      <c r="F138" s="59" t="str">
        <f t="shared" si="12"/>
        <v/>
      </c>
      <c r="G138" s="42" t="s">
        <v>6</v>
      </c>
      <c r="H138" s="43" t="s">
        <v>26</v>
      </c>
      <c r="I138" s="44" t="s">
        <v>48</v>
      </c>
      <c r="J138" s="45" t="s">
        <v>54</v>
      </c>
      <c r="K138" s="46" t="s">
        <v>59</v>
      </c>
      <c r="L138" s="47" t="s">
        <v>2525</v>
      </c>
      <c r="M138" s="48" t="s">
        <v>2526</v>
      </c>
      <c r="N138" s="49"/>
      <c r="O138" s="50" t="s">
        <v>3173</v>
      </c>
      <c r="P138" s="50"/>
      <c r="Q138" s="59"/>
      <c r="R138" s="13"/>
    </row>
    <row r="139" spans="1:18" ht="18" thickBot="1" x14ac:dyDescent="0.35">
      <c r="A139" s="9" t="s">
        <v>11</v>
      </c>
      <c r="B139" s="28">
        <f>IF(ISBLANK(A139),0,INDEX(txtstylestab[],MATCH(A139,txtstylestab[style_Name],0),1))</f>
        <v>2</v>
      </c>
      <c r="C139" s="28">
        <f t="shared" si="9"/>
        <v>2</v>
      </c>
      <c r="D139" s="28">
        <f t="shared" si="10"/>
        <v>15</v>
      </c>
      <c r="E139" s="28">
        <f t="shared" si="11"/>
        <v>0</v>
      </c>
      <c r="F139" s="54" t="str">
        <f t="shared" si="12"/>
        <v>2.15.</v>
      </c>
      <c r="G139" s="54" t="s">
        <v>1061</v>
      </c>
      <c r="H139" s="54"/>
      <c r="I139" s="54"/>
      <c r="J139" s="54"/>
      <c r="K139" s="54"/>
      <c r="L139" s="54"/>
      <c r="M139" s="54"/>
      <c r="N139" s="54"/>
      <c r="O139" s="54"/>
      <c r="P139" s="54"/>
      <c r="Q139" s="54"/>
      <c r="R139" s="13"/>
    </row>
    <row r="140" spans="1:18" ht="15.75" thickTop="1" x14ac:dyDescent="0.25">
      <c r="A140" s="9" t="s">
        <v>21</v>
      </c>
      <c r="B140" s="28">
        <f>IF(ISBLANK(A140),0,INDEX(txtstylestab[],MATCH(A140,txtstylestab[style_Name],0),1))</f>
        <v>0</v>
      </c>
      <c r="C140" s="28">
        <f t="shared" si="9"/>
        <v>2</v>
      </c>
      <c r="D140" s="28">
        <f t="shared" si="10"/>
        <v>15</v>
      </c>
      <c r="E140" s="28">
        <f t="shared" si="11"/>
        <v>0</v>
      </c>
      <c r="F140" s="59" t="str">
        <f t="shared" si="12"/>
        <v/>
      </c>
      <c r="G140" s="42" t="s">
        <v>82</v>
      </c>
      <c r="H140" s="43" t="s">
        <v>83</v>
      </c>
      <c r="I140" s="44" t="s">
        <v>84</v>
      </c>
      <c r="J140" s="45" t="s">
        <v>85</v>
      </c>
      <c r="K140" s="46" t="s">
        <v>86</v>
      </c>
      <c r="L140" s="47" t="s">
        <v>2398</v>
      </c>
      <c r="M140" s="48" t="s">
        <v>2333</v>
      </c>
      <c r="N140" s="49"/>
      <c r="O140" s="50" t="s">
        <v>3166</v>
      </c>
      <c r="P140" s="50"/>
      <c r="Q140" s="59"/>
      <c r="R140" s="13"/>
    </row>
    <row r="141" spans="1:18" ht="60" x14ac:dyDescent="0.25">
      <c r="A141" s="9" t="s">
        <v>21</v>
      </c>
      <c r="B141" s="28">
        <f>IF(ISBLANK(A141),0,INDEX(txtstylestab[],MATCH(A141,txtstylestab[style_Name],0),1))</f>
        <v>0</v>
      </c>
      <c r="C141" s="28">
        <f t="shared" si="9"/>
        <v>2</v>
      </c>
      <c r="D141" s="28">
        <f t="shared" si="10"/>
        <v>15</v>
      </c>
      <c r="E141" s="28">
        <f t="shared" si="11"/>
        <v>0</v>
      </c>
      <c r="F141" s="59" t="str">
        <f t="shared" si="12"/>
        <v/>
      </c>
      <c r="G141" s="42" t="s">
        <v>1062</v>
      </c>
      <c r="H141" s="43" t="s">
        <v>1063</v>
      </c>
      <c r="I141" s="44" t="s">
        <v>1064</v>
      </c>
      <c r="J141" s="45" t="s">
        <v>1066</v>
      </c>
      <c r="K141" s="46" t="s">
        <v>1065</v>
      </c>
      <c r="L141" s="47" t="s">
        <v>2899</v>
      </c>
      <c r="M141" s="48" t="s">
        <v>2900</v>
      </c>
      <c r="N141" s="49"/>
      <c r="O141" s="50" t="s">
        <v>3211</v>
      </c>
      <c r="P141" s="59"/>
      <c r="Q141" s="59"/>
      <c r="R141" s="13"/>
    </row>
    <row r="142" spans="1:18" x14ac:dyDescent="0.25">
      <c r="A142" s="9" t="s">
        <v>21</v>
      </c>
      <c r="B142" s="28">
        <f>IF(ISBLANK(A142),0,INDEX(txtstylestab[],MATCH(A142,txtstylestab[style_Name],0),1))</f>
        <v>0</v>
      </c>
      <c r="C142" s="28">
        <f t="shared" si="9"/>
        <v>2</v>
      </c>
      <c r="D142" s="28">
        <f t="shared" si="10"/>
        <v>15</v>
      </c>
      <c r="E142" s="28">
        <f t="shared" si="11"/>
        <v>0</v>
      </c>
      <c r="F142" s="59" t="str">
        <f t="shared" si="12"/>
        <v/>
      </c>
      <c r="G142" s="42" t="s">
        <v>6</v>
      </c>
      <c r="H142" s="43" t="s">
        <v>26</v>
      </c>
      <c r="I142" s="44" t="s">
        <v>48</v>
      </c>
      <c r="J142" s="45" t="s">
        <v>384</v>
      </c>
      <c r="K142" s="46" t="s">
        <v>59</v>
      </c>
      <c r="L142" s="47" t="s">
        <v>2525</v>
      </c>
      <c r="M142" s="48" t="s">
        <v>2526</v>
      </c>
      <c r="N142" s="49"/>
      <c r="O142" s="50" t="s">
        <v>3173</v>
      </c>
      <c r="P142" s="50"/>
      <c r="Q142" s="59"/>
      <c r="R142" s="13"/>
    </row>
    <row r="143" spans="1:18" ht="18" thickBot="1" x14ac:dyDescent="0.35">
      <c r="A143" s="9" t="s">
        <v>11</v>
      </c>
      <c r="B143" s="28">
        <f>IF(ISBLANK(A143),0,INDEX(txtstylestab[],MATCH(A143,txtstylestab[style_Name],0),1))</f>
        <v>2</v>
      </c>
      <c r="C143" s="28">
        <f t="shared" si="9"/>
        <v>2</v>
      </c>
      <c r="D143" s="28">
        <f t="shared" si="10"/>
        <v>16</v>
      </c>
      <c r="E143" s="28">
        <f t="shared" si="11"/>
        <v>0</v>
      </c>
      <c r="F143" s="54" t="str">
        <f t="shared" si="12"/>
        <v>2.16.</v>
      </c>
      <c r="G143" s="54" t="s">
        <v>1067</v>
      </c>
      <c r="H143" s="54"/>
      <c r="I143" s="54"/>
      <c r="J143" s="54"/>
      <c r="K143" s="54"/>
      <c r="L143" s="54"/>
      <c r="M143" s="54"/>
      <c r="N143" s="54"/>
      <c r="O143" s="54"/>
      <c r="P143" s="54"/>
      <c r="Q143" s="54"/>
      <c r="R143" s="13"/>
    </row>
    <row r="144" spans="1:18" ht="15.75" thickTop="1" x14ac:dyDescent="0.25">
      <c r="A144" s="9" t="s">
        <v>21</v>
      </c>
      <c r="B144" s="28">
        <f>IF(ISBLANK(A144),0,INDEX(txtstylestab[],MATCH(A144,txtstylestab[style_Name],0),1))</f>
        <v>0</v>
      </c>
      <c r="C144" s="28">
        <f t="shared" si="9"/>
        <v>2</v>
      </c>
      <c r="D144" s="28">
        <f t="shared" si="10"/>
        <v>16</v>
      </c>
      <c r="E144" s="28">
        <f t="shared" si="11"/>
        <v>0</v>
      </c>
      <c r="F144" s="59" t="str">
        <f t="shared" si="12"/>
        <v/>
      </c>
      <c r="G144" s="42" t="s">
        <v>82</v>
      </c>
      <c r="H144" s="43" t="s">
        <v>83</v>
      </c>
      <c r="I144" s="44" t="s">
        <v>84</v>
      </c>
      <c r="J144" s="45" t="s">
        <v>85</v>
      </c>
      <c r="K144" s="46" t="s">
        <v>86</v>
      </c>
      <c r="L144" s="47" t="s">
        <v>2398</v>
      </c>
      <c r="M144" s="48" t="s">
        <v>2333</v>
      </c>
      <c r="N144" s="49"/>
      <c r="O144" s="50" t="s">
        <v>3166</v>
      </c>
      <c r="P144" s="50"/>
      <c r="Q144" s="59"/>
      <c r="R144" s="13"/>
    </row>
    <row r="145" spans="1:18" ht="105" x14ac:dyDescent="0.25">
      <c r="A145" s="9" t="s">
        <v>21</v>
      </c>
      <c r="B145" s="28">
        <f>IF(ISBLANK(A145),0,INDEX(txtstylestab[],MATCH(A145,txtstylestab[style_Name],0),1))</f>
        <v>0</v>
      </c>
      <c r="C145" s="28">
        <f t="shared" si="9"/>
        <v>2</v>
      </c>
      <c r="D145" s="28">
        <f t="shared" si="10"/>
        <v>16</v>
      </c>
      <c r="E145" s="28">
        <f t="shared" si="11"/>
        <v>0</v>
      </c>
      <c r="F145" s="59" t="str">
        <f t="shared" si="12"/>
        <v/>
      </c>
      <c r="G145" s="42" t="s">
        <v>2006</v>
      </c>
      <c r="H145" s="43" t="s">
        <v>2007</v>
      </c>
      <c r="I145" s="44" t="s">
        <v>2008</v>
      </c>
      <c r="J145" s="45" t="s">
        <v>2009</v>
      </c>
      <c r="K145" s="46" t="s">
        <v>2328</v>
      </c>
      <c r="L145" s="47" t="s">
        <v>2905</v>
      </c>
      <c r="M145" s="48" t="s">
        <v>2906</v>
      </c>
      <c r="N145" s="49"/>
      <c r="O145" s="50" t="s">
        <v>3210</v>
      </c>
      <c r="P145" s="59"/>
      <c r="Q145" s="59"/>
      <c r="R145" s="13"/>
    </row>
    <row r="146" spans="1:18" x14ac:dyDescent="0.25">
      <c r="A146" s="9" t="s">
        <v>22</v>
      </c>
      <c r="B146" s="28">
        <f>IF(ISBLANK(A146),0,INDEX(txtstylestab[],MATCH(A146,txtstylestab[style_Name],0),1))</f>
        <v>4</v>
      </c>
      <c r="C146" s="28">
        <f t="shared" si="9"/>
        <v>2</v>
      </c>
      <c r="D146" s="28">
        <f t="shared" si="10"/>
        <v>16</v>
      </c>
      <c r="E146" s="28">
        <f t="shared" si="11"/>
        <v>0</v>
      </c>
      <c r="F146" s="56" t="str">
        <f t="shared" si="12"/>
        <v/>
      </c>
      <c r="G146" s="53" t="s">
        <v>1068</v>
      </c>
      <c r="H146" s="53"/>
      <c r="I146" s="53"/>
      <c r="J146" s="53"/>
      <c r="K146" s="53"/>
      <c r="L146" s="53"/>
      <c r="M146" s="53"/>
      <c r="N146" s="53"/>
      <c r="O146" s="53"/>
      <c r="P146" s="53"/>
      <c r="Q146" s="53"/>
      <c r="R146" s="13"/>
    </row>
    <row r="147" spans="1:18" ht="45" x14ac:dyDescent="0.25">
      <c r="A147" s="9" t="s">
        <v>14</v>
      </c>
      <c r="B147" s="28">
        <f>IF(ISBLANK(A147),0,INDEX(txtstylestab[],MATCH(A147,txtstylestab[style_Name],0),1))</f>
        <v>6</v>
      </c>
      <c r="C147" s="28">
        <f t="shared" si="9"/>
        <v>2</v>
      </c>
      <c r="D147" s="28">
        <f t="shared" si="10"/>
        <v>16</v>
      </c>
      <c r="E147" s="28">
        <f t="shared" si="11"/>
        <v>0</v>
      </c>
      <c r="F147" s="59" t="str">
        <f t="shared" si="12"/>
        <v/>
      </c>
      <c r="G147" s="42" t="s">
        <v>2010</v>
      </c>
      <c r="H147" s="43" t="s">
        <v>2011</v>
      </c>
      <c r="I147" s="44" t="s">
        <v>2012</v>
      </c>
      <c r="J147" s="45" t="s">
        <v>2013</v>
      </c>
      <c r="K147" s="46" t="s">
        <v>2014</v>
      </c>
      <c r="L147" s="47" t="s">
        <v>2901</v>
      </c>
      <c r="M147" s="48" t="s">
        <v>2902</v>
      </c>
      <c r="N147" s="49"/>
      <c r="O147" s="50" t="s">
        <v>3208</v>
      </c>
      <c r="P147" s="59"/>
      <c r="Q147" s="59"/>
      <c r="R147" s="13"/>
    </row>
    <row r="148" spans="1:18" x14ac:dyDescent="0.25">
      <c r="A148" s="9" t="s">
        <v>22</v>
      </c>
      <c r="B148" s="28">
        <f>IF(ISBLANK(A148),0,INDEX(txtstylestab[],MATCH(A148,txtstylestab[style_Name],0),1))</f>
        <v>4</v>
      </c>
      <c r="C148" s="28">
        <f t="shared" si="9"/>
        <v>2</v>
      </c>
      <c r="D148" s="28">
        <f t="shared" si="10"/>
        <v>16</v>
      </c>
      <c r="E148" s="28">
        <f t="shared" si="11"/>
        <v>0</v>
      </c>
      <c r="F148" s="56" t="str">
        <f t="shared" si="12"/>
        <v/>
      </c>
      <c r="G148" s="53" t="s">
        <v>1069</v>
      </c>
      <c r="H148" s="53"/>
      <c r="I148" s="53"/>
      <c r="J148" s="53"/>
      <c r="K148" s="53"/>
      <c r="L148" s="53"/>
      <c r="M148" s="53"/>
      <c r="N148" s="53"/>
      <c r="O148" s="53"/>
      <c r="P148" s="53"/>
      <c r="Q148" s="53"/>
      <c r="R148" s="13"/>
    </row>
    <row r="149" spans="1:18" ht="60" x14ac:dyDescent="0.25">
      <c r="A149" s="9" t="s">
        <v>14</v>
      </c>
      <c r="B149" s="28">
        <f>IF(ISBLANK(A149),0,INDEX(txtstylestab[],MATCH(A149,txtstylestab[style_Name],0),1))</f>
        <v>6</v>
      </c>
      <c r="C149" s="28">
        <f t="shared" si="9"/>
        <v>2</v>
      </c>
      <c r="D149" s="28">
        <f t="shared" si="10"/>
        <v>16</v>
      </c>
      <c r="E149" s="28">
        <f t="shared" si="11"/>
        <v>0</v>
      </c>
      <c r="F149" s="59" t="str">
        <f t="shared" si="12"/>
        <v/>
      </c>
      <c r="G149" s="42" t="s">
        <v>2015</v>
      </c>
      <c r="H149" s="43" t="s">
        <v>2016</v>
      </c>
      <c r="I149" s="44" t="s">
        <v>2017</v>
      </c>
      <c r="J149" s="45" t="s">
        <v>2018</v>
      </c>
      <c r="K149" s="46" t="s">
        <v>2019</v>
      </c>
      <c r="L149" s="47" t="s">
        <v>2903</v>
      </c>
      <c r="M149" s="48" t="s">
        <v>2904</v>
      </c>
      <c r="N149" s="49"/>
      <c r="O149" s="50" t="s">
        <v>3209</v>
      </c>
      <c r="P149" s="59"/>
      <c r="Q149" s="59"/>
      <c r="R149" s="13"/>
    </row>
    <row r="150" spans="1:18" x14ac:dyDescent="0.25">
      <c r="A150" s="9" t="s">
        <v>21</v>
      </c>
      <c r="B150" s="28">
        <f>IF(ISBLANK(A150),0,INDEX(txtstylestab[],MATCH(A150,txtstylestab[style_Name],0),1))</f>
        <v>0</v>
      </c>
      <c r="C150" s="28">
        <f t="shared" si="9"/>
        <v>2</v>
      </c>
      <c r="D150" s="28">
        <f t="shared" si="10"/>
        <v>16</v>
      </c>
      <c r="E150" s="28">
        <f t="shared" si="11"/>
        <v>0</v>
      </c>
      <c r="F150" s="59" t="str">
        <f t="shared" si="12"/>
        <v/>
      </c>
      <c r="G150" s="42" t="s">
        <v>685</v>
      </c>
      <c r="H150" s="43" t="s">
        <v>26</v>
      </c>
      <c r="I150" s="44" t="s">
        <v>48</v>
      </c>
      <c r="J150" s="45" t="s">
        <v>384</v>
      </c>
      <c r="K150" s="46" t="s">
        <v>59</v>
      </c>
      <c r="L150" s="47" t="s">
        <v>2525</v>
      </c>
      <c r="M150" s="48" t="s">
        <v>2526</v>
      </c>
      <c r="N150" s="49"/>
      <c r="O150" s="50" t="s">
        <v>3173</v>
      </c>
      <c r="P150" s="50"/>
      <c r="Q150" s="59"/>
      <c r="R150" s="13"/>
    </row>
    <row r="151" spans="1:18" ht="18" thickBot="1" x14ac:dyDescent="0.35">
      <c r="A151" s="9" t="s">
        <v>11</v>
      </c>
      <c r="B151" s="28">
        <f>IF(ISBLANK(A151),0,INDEX(txtstylestab[],MATCH(A151,txtstylestab[style_Name],0),1))</f>
        <v>2</v>
      </c>
      <c r="C151" s="28">
        <f t="shared" si="9"/>
        <v>2</v>
      </c>
      <c r="D151" s="28">
        <f t="shared" si="10"/>
        <v>17</v>
      </c>
      <c r="E151" s="28">
        <f t="shared" si="11"/>
        <v>0</v>
      </c>
      <c r="F151" s="54" t="str">
        <f t="shared" si="12"/>
        <v>2.17.</v>
      </c>
      <c r="G151" s="54" t="s">
        <v>1070</v>
      </c>
      <c r="H151" s="54"/>
      <c r="I151" s="54"/>
      <c r="J151" s="54"/>
      <c r="K151" s="54"/>
      <c r="L151" s="54"/>
      <c r="M151" s="54"/>
      <c r="N151" s="54"/>
      <c r="O151" s="54"/>
      <c r="P151" s="54"/>
      <c r="Q151" s="54"/>
      <c r="R151" s="13"/>
    </row>
    <row r="152" spans="1:18" ht="15.75" thickTop="1" x14ac:dyDescent="0.25">
      <c r="A152" s="9" t="s">
        <v>21</v>
      </c>
      <c r="B152" s="28">
        <f>IF(ISBLANK(A152),0,INDEX(txtstylestab[],MATCH(A152,txtstylestab[style_Name],0),1))</f>
        <v>0</v>
      </c>
      <c r="C152" s="28">
        <f t="shared" si="9"/>
        <v>2</v>
      </c>
      <c r="D152" s="28">
        <f t="shared" si="10"/>
        <v>17</v>
      </c>
      <c r="E152" s="28">
        <f t="shared" si="11"/>
        <v>0</v>
      </c>
      <c r="F152" s="59" t="str">
        <f t="shared" si="12"/>
        <v/>
      </c>
      <c r="G152" s="42" t="s">
        <v>82</v>
      </c>
      <c r="H152" s="43" t="s">
        <v>83</v>
      </c>
      <c r="I152" s="44" t="s">
        <v>84</v>
      </c>
      <c r="J152" s="45" t="s">
        <v>85</v>
      </c>
      <c r="K152" s="46" t="s">
        <v>86</v>
      </c>
      <c r="L152" s="47" t="s">
        <v>2398</v>
      </c>
      <c r="M152" s="48" t="s">
        <v>2333</v>
      </c>
      <c r="N152" s="49"/>
      <c r="O152" s="50" t="s">
        <v>3166</v>
      </c>
      <c r="P152" s="50"/>
      <c r="Q152" s="59"/>
      <c r="R152" s="13"/>
    </row>
    <row r="153" spans="1:18" ht="45" x14ac:dyDescent="0.25">
      <c r="A153" s="9" t="s">
        <v>21</v>
      </c>
      <c r="B153" s="28">
        <f>IF(ISBLANK(A153),0,INDEX(txtstylestab[],MATCH(A153,txtstylestab[style_Name],0),1))</f>
        <v>0</v>
      </c>
      <c r="C153" s="28">
        <f t="shared" si="9"/>
        <v>2</v>
      </c>
      <c r="D153" s="28">
        <f t="shared" si="10"/>
        <v>17</v>
      </c>
      <c r="E153" s="28">
        <f t="shared" si="11"/>
        <v>0</v>
      </c>
      <c r="F153" s="59" t="str">
        <f t="shared" si="12"/>
        <v/>
      </c>
      <c r="G153" s="42" t="s">
        <v>1071</v>
      </c>
      <c r="H153" s="43" t="s">
        <v>2265</v>
      </c>
      <c r="I153" s="44" t="s">
        <v>1748</v>
      </c>
      <c r="J153" s="45" t="s">
        <v>1072</v>
      </c>
      <c r="K153" s="46" t="s">
        <v>1073</v>
      </c>
      <c r="L153" s="47" t="s">
        <v>2907</v>
      </c>
      <c r="M153" s="48" t="s">
        <v>2912</v>
      </c>
      <c r="N153" s="49"/>
      <c r="O153" s="50" t="s">
        <v>3205</v>
      </c>
      <c r="P153" s="59"/>
      <c r="Q153" s="59"/>
      <c r="R153" s="13"/>
    </row>
    <row r="154" spans="1:18" ht="75" x14ac:dyDescent="0.25">
      <c r="A154" s="9" t="s">
        <v>21</v>
      </c>
      <c r="B154" s="28">
        <f>IF(ISBLANK(A154),0,INDEX(txtstylestab[],MATCH(A154,txtstylestab[style_Name],0),1))</f>
        <v>0</v>
      </c>
      <c r="C154" s="28">
        <f t="shared" si="9"/>
        <v>2</v>
      </c>
      <c r="D154" s="28">
        <f t="shared" si="10"/>
        <v>17</v>
      </c>
      <c r="E154" s="28">
        <f t="shared" si="11"/>
        <v>0</v>
      </c>
      <c r="F154" s="59" t="str">
        <f t="shared" si="12"/>
        <v/>
      </c>
      <c r="G154" s="42" t="s">
        <v>1074</v>
      </c>
      <c r="H154" s="43" t="s">
        <v>1075</v>
      </c>
      <c r="I154" s="44" t="s">
        <v>1076</v>
      </c>
      <c r="J154" s="45" t="s">
        <v>1077</v>
      </c>
      <c r="K154" s="46" t="s">
        <v>1078</v>
      </c>
      <c r="L154" s="47" t="s">
        <v>2908</v>
      </c>
      <c r="M154" s="48" t="s">
        <v>2909</v>
      </c>
      <c r="N154" s="49"/>
      <c r="O154" s="50" t="s">
        <v>3206</v>
      </c>
      <c r="P154" s="59"/>
      <c r="Q154" s="59"/>
      <c r="R154" s="13"/>
    </row>
    <row r="155" spans="1:18" ht="60" x14ac:dyDescent="0.25">
      <c r="A155" s="9" t="s">
        <v>21</v>
      </c>
      <c r="B155" s="28">
        <f>IF(ISBLANK(A155),0,INDEX(txtstylestab[],MATCH(A155,txtstylestab[style_Name],0),1))</f>
        <v>0</v>
      </c>
      <c r="C155" s="28">
        <f t="shared" si="9"/>
        <v>2</v>
      </c>
      <c r="D155" s="28">
        <f t="shared" si="10"/>
        <v>17</v>
      </c>
      <c r="E155" s="28">
        <f t="shared" si="11"/>
        <v>0</v>
      </c>
      <c r="F155" s="59" t="str">
        <f t="shared" si="12"/>
        <v/>
      </c>
      <c r="G155" s="42" t="s">
        <v>1079</v>
      </c>
      <c r="H155" s="43" t="s">
        <v>1080</v>
      </c>
      <c r="I155" s="44" t="s">
        <v>1081</v>
      </c>
      <c r="J155" s="45" t="s">
        <v>1082</v>
      </c>
      <c r="K155" s="46" t="s">
        <v>1083</v>
      </c>
      <c r="L155" s="47" t="s">
        <v>2910</v>
      </c>
      <c r="M155" s="48" t="s">
        <v>2911</v>
      </c>
      <c r="N155" s="49"/>
      <c r="O155" s="50" t="s">
        <v>3207</v>
      </c>
      <c r="P155" s="59"/>
      <c r="Q155" s="59"/>
      <c r="R155" s="13"/>
    </row>
    <row r="156" spans="1:18" x14ac:dyDescent="0.25">
      <c r="A156" s="9" t="s">
        <v>21</v>
      </c>
      <c r="B156" s="28">
        <f>IF(ISBLANK(A156),0,INDEX(txtstylestab[],MATCH(A156,txtstylestab[style_Name],0),1))</f>
        <v>0</v>
      </c>
      <c r="C156" s="28">
        <f t="shared" si="9"/>
        <v>2</v>
      </c>
      <c r="D156" s="28">
        <f t="shared" si="10"/>
        <v>17</v>
      </c>
      <c r="E156" s="28">
        <f t="shared" si="11"/>
        <v>0</v>
      </c>
      <c r="F156" s="59" t="str">
        <f t="shared" si="12"/>
        <v/>
      </c>
      <c r="G156" s="42" t="s">
        <v>6</v>
      </c>
      <c r="H156" s="43" t="s">
        <v>26</v>
      </c>
      <c r="I156" s="44" t="s">
        <v>48</v>
      </c>
      <c r="J156" s="45" t="s">
        <v>54</v>
      </c>
      <c r="K156" s="46" t="s">
        <v>59</v>
      </c>
      <c r="L156" s="47" t="s">
        <v>2525</v>
      </c>
      <c r="M156" s="48" t="s">
        <v>2526</v>
      </c>
      <c r="N156" s="49"/>
      <c r="O156" s="50" t="s">
        <v>3173</v>
      </c>
      <c r="P156" s="50"/>
      <c r="Q156" s="59"/>
      <c r="R156" s="13"/>
    </row>
    <row r="157" spans="1:18" ht="18" thickBot="1" x14ac:dyDescent="0.35">
      <c r="A157" s="9" t="s">
        <v>11</v>
      </c>
      <c r="B157" s="28">
        <f>IF(ISBLANK(A157),0,INDEX(txtstylestab[],MATCH(A157,txtstylestab[style_Name],0),1))</f>
        <v>2</v>
      </c>
      <c r="C157" s="28">
        <f t="shared" si="9"/>
        <v>2</v>
      </c>
      <c r="D157" s="28">
        <f t="shared" si="10"/>
        <v>18</v>
      </c>
      <c r="E157" s="28">
        <f t="shared" si="11"/>
        <v>0</v>
      </c>
      <c r="F157" s="54" t="str">
        <f t="shared" si="12"/>
        <v>2.18.</v>
      </c>
      <c r="G157" s="54" t="s">
        <v>1084</v>
      </c>
      <c r="H157" s="54"/>
      <c r="I157" s="54"/>
      <c r="J157" s="54"/>
      <c r="K157" s="54"/>
      <c r="L157" s="54"/>
      <c r="M157" s="54"/>
      <c r="N157" s="54"/>
      <c r="O157" s="54"/>
      <c r="P157" s="54"/>
      <c r="Q157" s="54"/>
      <c r="R157" s="13"/>
    </row>
    <row r="158" spans="1:18" ht="16.5" thickTop="1" thickBot="1" x14ac:dyDescent="0.3">
      <c r="A158" s="9" t="s">
        <v>12</v>
      </c>
      <c r="B158" s="28">
        <f>IF(ISBLANK(A158),0,INDEX(txtstylestab[],MATCH(A158,txtstylestab[style_Name],0),1))</f>
        <v>3</v>
      </c>
      <c r="C158" s="28">
        <f t="shared" si="9"/>
        <v>2</v>
      </c>
      <c r="D158" s="28">
        <f t="shared" si="10"/>
        <v>18</v>
      </c>
      <c r="E158" s="28">
        <f t="shared" si="11"/>
        <v>1</v>
      </c>
      <c r="F158" s="55" t="str">
        <f t="shared" si="12"/>
        <v>2.18.1.</v>
      </c>
      <c r="G158" s="55" t="s">
        <v>1085</v>
      </c>
      <c r="H158" s="55"/>
      <c r="I158" s="55"/>
      <c r="J158" s="55"/>
      <c r="K158" s="55"/>
      <c r="L158" s="55"/>
      <c r="M158" s="55"/>
      <c r="N158" s="55"/>
      <c r="O158" s="55"/>
      <c r="P158" s="55"/>
      <c r="Q158" s="55"/>
      <c r="R158" s="13"/>
    </row>
    <row r="159" spans="1:18" x14ac:dyDescent="0.25">
      <c r="A159" s="9" t="s">
        <v>21</v>
      </c>
      <c r="B159" s="28">
        <f>IF(ISBLANK(A159),0,INDEX(txtstylestab[],MATCH(A159,txtstylestab[style_Name],0),1))</f>
        <v>0</v>
      </c>
      <c r="C159" s="28">
        <f t="shared" si="9"/>
        <v>2</v>
      </c>
      <c r="D159" s="28">
        <f t="shared" si="10"/>
        <v>18</v>
      </c>
      <c r="E159" s="28">
        <f t="shared" si="11"/>
        <v>1</v>
      </c>
      <c r="F159" s="59" t="str">
        <f t="shared" si="12"/>
        <v/>
      </c>
      <c r="G159" s="42" t="s">
        <v>82</v>
      </c>
      <c r="H159" s="43" t="s">
        <v>83</v>
      </c>
      <c r="I159" s="44" t="s">
        <v>84</v>
      </c>
      <c r="J159" s="45" t="s">
        <v>85</v>
      </c>
      <c r="K159" s="46" t="s">
        <v>86</v>
      </c>
      <c r="L159" s="47" t="s">
        <v>2398</v>
      </c>
      <c r="M159" s="48" t="s">
        <v>2333</v>
      </c>
      <c r="N159" s="49"/>
      <c r="O159" s="50" t="s">
        <v>3166</v>
      </c>
      <c r="P159" s="50"/>
      <c r="Q159" s="59"/>
      <c r="R159" s="13"/>
    </row>
    <row r="160" spans="1:18" ht="75" x14ac:dyDescent="0.25">
      <c r="A160" s="9" t="s">
        <v>21</v>
      </c>
      <c r="B160" s="28">
        <f>IF(ISBLANK(A160),0,INDEX(txtstylestab[],MATCH(A160,txtstylestab[style_Name],0),1))</f>
        <v>0</v>
      </c>
      <c r="C160" s="28">
        <f t="shared" si="9"/>
        <v>2</v>
      </c>
      <c r="D160" s="28">
        <f t="shared" si="10"/>
        <v>18</v>
      </c>
      <c r="E160" s="28">
        <f t="shared" si="11"/>
        <v>1</v>
      </c>
      <c r="F160" s="59" t="str">
        <f t="shared" si="12"/>
        <v/>
      </c>
      <c r="G160" s="42" t="s">
        <v>1086</v>
      </c>
      <c r="H160" s="43" t="s">
        <v>1087</v>
      </c>
      <c r="I160" s="44" t="s">
        <v>1648</v>
      </c>
      <c r="J160" s="45" t="s">
        <v>1088</v>
      </c>
      <c r="K160" s="46" t="s">
        <v>1089</v>
      </c>
      <c r="L160" s="47" t="s">
        <v>2913</v>
      </c>
      <c r="M160" s="48" t="s">
        <v>2914</v>
      </c>
      <c r="N160" s="49"/>
      <c r="O160" s="50" t="s">
        <v>3204</v>
      </c>
      <c r="P160" s="59"/>
      <c r="Q160" s="59"/>
      <c r="R160" s="13"/>
    </row>
    <row r="161" spans="1:18" ht="45" x14ac:dyDescent="0.25">
      <c r="A161" s="9" t="s">
        <v>21</v>
      </c>
      <c r="B161" s="28">
        <f>IF(ISBLANK(A161),0,INDEX(txtstylestab[],MATCH(A161,txtstylestab[style_Name],0),1))</f>
        <v>0</v>
      </c>
      <c r="C161" s="28">
        <f t="shared" si="9"/>
        <v>2</v>
      </c>
      <c r="D161" s="28">
        <f t="shared" si="10"/>
        <v>18</v>
      </c>
      <c r="E161" s="28">
        <f t="shared" si="11"/>
        <v>1</v>
      </c>
      <c r="F161" s="59" t="str">
        <f t="shared" si="12"/>
        <v/>
      </c>
      <c r="G161" s="42" t="s">
        <v>536</v>
      </c>
      <c r="H161" s="43" t="s">
        <v>537</v>
      </c>
      <c r="I161" s="44" t="s">
        <v>503</v>
      </c>
      <c r="J161" s="45" t="s">
        <v>504</v>
      </c>
      <c r="K161" s="46" t="s">
        <v>1031</v>
      </c>
      <c r="L161" s="47" t="s">
        <v>2915</v>
      </c>
      <c r="M161" s="48" t="s">
        <v>2916</v>
      </c>
      <c r="N161" s="49"/>
      <c r="O161" s="50" t="s">
        <v>3203</v>
      </c>
      <c r="P161" s="59"/>
      <c r="Q161" s="59"/>
      <c r="R161" s="13"/>
    </row>
    <row r="162" spans="1:18" x14ac:dyDescent="0.25">
      <c r="A162" s="9" t="s">
        <v>21</v>
      </c>
      <c r="B162" s="28">
        <f>IF(ISBLANK(A162),0,INDEX(txtstylestab[],MATCH(A162,txtstylestab[style_Name],0),1))</f>
        <v>0</v>
      </c>
      <c r="C162" s="28">
        <f t="shared" si="9"/>
        <v>2</v>
      </c>
      <c r="D162" s="28">
        <f t="shared" si="10"/>
        <v>18</v>
      </c>
      <c r="E162" s="28">
        <f t="shared" si="11"/>
        <v>1</v>
      </c>
      <c r="F162" s="59" t="str">
        <f t="shared" si="12"/>
        <v/>
      </c>
      <c r="G162" s="42" t="s">
        <v>6</v>
      </c>
      <c r="H162" s="43" t="s">
        <v>26</v>
      </c>
      <c r="I162" s="44" t="s">
        <v>48</v>
      </c>
      <c r="J162" s="45" t="s">
        <v>54</v>
      </c>
      <c r="K162" s="46" t="s">
        <v>59</v>
      </c>
      <c r="L162" s="47" t="s">
        <v>2525</v>
      </c>
      <c r="M162" s="48" t="s">
        <v>2526</v>
      </c>
      <c r="N162" s="49"/>
      <c r="O162" s="50" t="s">
        <v>3173</v>
      </c>
      <c r="P162" s="50"/>
      <c r="Q162" s="59"/>
      <c r="R162" s="13"/>
    </row>
    <row r="163" spans="1:18" ht="15.75" thickBot="1" x14ac:dyDescent="0.3">
      <c r="A163" s="9" t="s">
        <v>12</v>
      </c>
      <c r="B163" s="28">
        <f>IF(ISBLANK(A163),0,INDEX(txtstylestab[],MATCH(A163,txtstylestab[style_Name],0),1))</f>
        <v>3</v>
      </c>
      <c r="C163" s="28">
        <f t="shared" si="9"/>
        <v>2</v>
      </c>
      <c r="D163" s="28">
        <f t="shared" si="10"/>
        <v>18</v>
      </c>
      <c r="E163" s="28">
        <f t="shared" si="11"/>
        <v>2</v>
      </c>
      <c r="F163" s="55" t="str">
        <f t="shared" si="12"/>
        <v>2.18.2.</v>
      </c>
      <c r="G163" s="55" t="s">
        <v>1090</v>
      </c>
      <c r="H163" s="55"/>
      <c r="I163" s="55"/>
      <c r="J163" s="55"/>
      <c r="K163" s="55"/>
      <c r="L163" s="55"/>
      <c r="M163" s="55"/>
      <c r="N163" s="55"/>
      <c r="O163" s="55"/>
      <c r="P163" s="55"/>
      <c r="Q163" s="55"/>
      <c r="R163" s="13"/>
    </row>
    <row r="164" spans="1:18" x14ac:dyDescent="0.25">
      <c r="A164" s="9" t="s">
        <v>21</v>
      </c>
      <c r="B164" s="28">
        <f>IF(ISBLANK(A164),0,INDEX(txtstylestab[],MATCH(A164,txtstylestab[style_Name],0),1))</f>
        <v>0</v>
      </c>
      <c r="C164" s="28">
        <f t="shared" si="9"/>
        <v>2</v>
      </c>
      <c r="D164" s="28">
        <f t="shared" si="10"/>
        <v>18</v>
      </c>
      <c r="E164" s="28">
        <f t="shared" si="11"/>
        <v>2</v>
      </c>
      <c r="F164" s="59" t="str">
        <f t="shared" si="12"/>
        <v/>
      </c>
      <c r="G164" s="42" t="s">
        <v>82</v>
      </c>
      <c r="H164" s="43" t="s">
        <v>83</v>
      </c>
      <c r="I164" s="44" t="s">
        <v>84</v>
      </c>
      <c r="J164" s="45" t="s">
        <v>1091</v>
      </c>
      <c r="K164" s="46" t="s">
        <v>86</v>
      </c>
      <c r="L164" s="47" t="s">
        <v>2398</v>
      </c>
      <c r="M164" s="48" t="s">
        <v>2333</v>
      </c>
      <c r="N164" s="49"/>
      <c r="O164" s="50" t="s">
        <v>3166</v>
      </c>
      <c r="P164" s="50"/>
      <c r="Q164" s="59"/>
      <c r="R164" s="13"/>
    </row>
    <row r="165" spans="1:18" ht="60" x14ac:dyDescent="0.25">
      <c r="A165" s="9" t="s">
        <v>21</v>
      </c>
      <c r="B165" s="28">
        <f>IF(ISBLANK(A165),0,INDEX(txtstylestab[],MATCH(A165,txtstylestab[style_Name],0),1))</f>
        <v>0</v>
      </c>
      <c r="C165" s="28">
        <f t="shared" si="9"/>
        <v>2</v>
      </c>
      <c r="D165" s="28">
        <f t="shared" si="10"/>
        <v>18</v>
      </c>
      <c r="E165" s="28">
        <f t="shared" si="11"/>
        <v>2</v>
      </c>
      <c r="F165" s="59" t="str">
        <f t="shared" si="12"/>
        <v/>
      </c>
      <c r="G165" s="42" t="s">
        <v>2020</v>
      </c>
      <c r="H165" s="43" t="s">
        <v>2021</v>
      </c>
      <c r="I165" s="44" t="s">
        <v>2022</v>
      </c>
      <c r="J165" s="45" t="s">
        <v>2023</v>
      </c>
      <c r="K165" s="46" t="s">
        <v>2024</v>
      </c>
      <c r="L165" s="47" t="s">
        <v>2917</v>
      </c>
      <c r="M165" s="48" t="s">
        <v>2918</v>
      </c>
      <c r="N165" s="49"/>
      <c r="O165" s="50" t="s">
        <v>3200</v>
      </c>
      <c r="P165" s="59"/>
      <c r="Q165" s="59"/>
      <c r="R165" s="13"/>
    </row>
    <row r="166" spans="1:18" ht="135" x14ac:dyDescent="0.25">
      <c r="A166" s="9" t="s">
        <v>14</v>
      </c>
      <c r="B166" s="28">
        <f>IF(ISBLANK(A166),0,INDEX(txtstylestab[],MATCH(A166,txtstylestab[style_Name],0),1))</f>
        <v>6</v>
      </c>
      <c r="C166" s="28">
        <f t="shared" si="9"/>
        <v>2</v>
      </c>
      <c r="D166" s="28">
        <f t="shared" si="10"/>
        <v>18</v>
      </c>
      <c r="E166" s="28">
        <f t="shared" si="11"/>
        <v>2</v>
      </c>
      <c r="F166" s="59" t="str">
        <f t="shared" si="12"/>
        <v/>
      </c>
      <c r="G166" s="42" t="s">
        <v>1092</v>
      </c>
      <c r="H166" s="43" t="s">
        <v>1093</v>
      </c>
      <c r="I166" s="44" t="s">
        <v>2301</v>
      </c>
      <c r="J166" s="45" t="s">
        <v>2025</v>
      </c>
      <c r="K166" s="46" t="s">
        <v>2026</v>
      </c>
      <c r="L166" s="47" t="s">
        <v>2919</v>
      </c>
      <c r="M166" s="48" t="s">
        <v>2920</v>
      </c>
      <c r="N166" s="49"/>
      <c r="O166" s="50" t="s">
        <v>3201</v>
      </c>
      <c r="P166" s="59"/>
      <c r="Q166" s="59"/>
      <c r="R166" s="13"/>
    </row>
    <row r="167" spans="1:18" ht="90" x14ac:dyDescent="0.25">
      <c r="A167" s="9" t="s">
        <v>14</v>
      </c>
      <c r="B167" s="28">
        <f>IF(ISBLANK(A167),0,INDEX(txtstylestab[],MATCH(A167,txtstylestab[style_Name],0),1))</f>
        <v>6</v>
      </c>
      <c r="C167" s="28">
        <f t="shared" si="9"/>
        <v>2</v>
      </c>
      <c r="D167" s="28">
        <f t="shared" si="10"/>
        <v>18</v>
      </c>
      <c r="E167" s="28">
        <f t="shared" si="11"/>
        <v>2</v>
      </c>
      <c r="F167" s="59" t="str">
        <f t="shared" si="12"/>
        <v/>
      </c>
      <c r="G167" s="42" t="s">
        <v>1094</v>
      </c>
      <c r="H167" s="43" t="s">
        <v>1095</v>
      </c>
      <c r="I167" s="44" t="s">
        <v>1096</v>
      </c>
      <c r="J167" s="45" t="s">
        <v>1097</v>
      </c>
      <c r="K167" s="46" t="s">
        <v>1098</v>
      </c>
      <c r="L167" s="47" t="s">
        <v>2921</v>
      </c>
      <c r="M167" s="48" t="s">
        <v>2922</v>
      </c>
      <c r="N167" s="49"/>
      <c r="O167" s="50" t="s">
        <v>3202</v>
      </c>
      <c r="P167" s="59"/>
      <c r="Q167" s="59"/>
      <c r="R167" s="13"/>
    </row>
    <row r="168" spans="1:18" ht="45" x14ac:dyDescent="0.25">
      <c r="A168" s="9" t="s">
        <v>21</v>
      </c>
      <c r="B168" s="28">
        <f>IF(ISBLANK(A168),0,INDEX(txtstylestab[],MATCH(A168,txtstylestab[style_Name],0),1))</f>
        <v>0</v>
      </c>
      <c r="C168" s="28">
        <f t="shared" si="9"/>
        <v>2</v>
      </c>
      <c r="D168" s="28">
        <f t="shared" si="10"/>
        <v>18</v>
      </c>
      <c r="E168" s="28">
        <f t="shared" si="11"/>
        <v>2</v>
      </c>
      <c r="F168" s="59" t="str">
        <f t="shared" si="12"/>
        <v/>
      </c>
      <c r="G168" s="42" t="s">
        <v>536</v>
      </c>
      <c r="H168" s="43" t="s">
        <v>537</v>
      </c>
      <c r="I168" s="44" t="s">
        <v>503</v>
      </c>
      <c r="J168" s="45" t="s">
        <v>504</v>
      </c>
      <c r="K168" s="46" t="s">
        <v>538</v>
      </c>
      <c r="L168" s="47" t="s">
        <v>2915</v>
      </c>
      <c r="M168" s="48" t="s">
        <v>2916</v>
      </c>
      <c r="N168" s="49"/>
      <c r="O168" s="50" t="s">
        <v>3203</v>
      </c>
      <c r="P168" s="59"/>
      <c r="Q168" s="59"/>
      <c r="R168" s="13"/>
    </row>
    <row r="169" spans="1:18" x14ac:dyDescent="0.25">
      <c r="A169" s="9" t="s">
        <v>21</v>
      </c>
      <c r="B169" s="28">
        <f>IF(ISBLANK(A169),0,INDEX(txtstylestab[],MATCH(A169,txtstylestab[style_Name],0),1))</f>
        <v>0</v>
      </c>
      <c r="C169" s="28">
        <f t="shared" si="9"/>
        <v>2</v>
      </c>
      <c r="D169" s="28">
        <f t="shared" si="10"/>
        <v>18</v>
      </c>
      <c r="E169" s="28">
        <f t="shared" si="11"/>
        <v>2</v>
      </c>
      <c r="F169" s="59" t="str">
        <f t="shared" si="12"/>
        <v/>
      </c>
      <c r="G169" s="42" t="s">
        <v>6</v>
      </c>
      <c r="H169" s="43" t="s">
        <v>26</v>
      </c>
      <c r="I169" s="44" t="s">
        <v>48</v>
      </c>
      <c r="J169" s="45" t="s">
        <v>54</v>
      </c>
      <c r="K169" s="46" t="s">
        <v>59</v>
      </c>
      <c r="L169" s="47" t="s">
        <v>2525</v>
      </c>
      <c r="M169" s="48" t="s">
        <v>2526</v>
      </c>
      <c r="N169" s="49"/>
      <c r="O169" s="50" t="s">
        <v>3173</v>
      </c>
      <c r="P169" s="50"/>
      <c r="Q169" s="59"/>
      <c r="R169" s="13"/>
    </row>
    <row r="170" spans="1:18" ht="18" thickBot="1" x14ac:dyDescent="0.35">
      <c r="A170" s="9" t="s">
        <v>11</v>
      </c>
      <c r="B170" s="28">
        <f>IF(ISBLANK(A170),0,INDEX(txtstylestab[],MATCH(A170,txtstylestab[style_Name],0),1))</f>
        <v>2</v>
      </c>
      <c r="C170" s="28">
        <f t="shared" si="9"/>
        <v>2</v>
      </c>
      <c r="D170" s="28">
        <f t="shared" si="10"/>
        <v>19</v>
      </c>
      <c r="E170" s="28">
        <f t="shared" si="11"/>
        <v>0</v>
      </c>
      <c r="F170" s="54" t="str">
        <f t="shared" si="12"/>
        <v>2.19.</v>
      </c>
      <c r="G170" s="54" t="s">
        <v>1099</v>
      </c>
      <c r="H170" s="54"/>
      <c r="I170" s="54"/>
      <c r="J170" s="54"/>
      <c r="K170" s="54"/>
      <c r="L170" s="54"/>
      <c r="M170" s="54"/>
      <c r="N170" s="54"/>
      <c r="O170" s="54"/>
      <c r="P170" s="54"/>
      <c r="Q170" s="54"/>
      <c r="R170" s="13"/>
    </row>
    <row r="171" spans="1:18" ht="15.75" thickTop="1" x14ac:dyDescent="0.25">
      <c r="A171" s="9" t="s">
        <v>21</v>
      </c>
      <c r="B171" s="28">
        <f>IF(ISBLANK(A171),0,INDEX(txtstylestab[],MATCH(A171,txtstylestab[style_Name],0),1))</f>
        <v>0</v>
      </c>
      <c r="C171" s="28">
        <f t="shared" si="9"/>
        <v>2</v>
      </c>
      <c r="D171" s="28">
        <f t="shared" si="10"/>
        <v>19</v>
      </c>
      <c r="E171" s="28">
        <f t="shared" si="11"/>
        <v>0</v>
      </c>
      <c r="F171" s="59" t="str">
        <f t="shared" si="12"/>
        <v/>
      </c>
      <c r="G171" s="42" t="s">
        <v>82</v>
      </c>
      <c r="H171" s="43" t="s">
        <v>83</v>
      </c>
      <c r="I171" s="44" t="s">
        <v>84</v>
      </c>
      <c r="J171" s="45" t="s">
        <v>1091</v>
      </c>
      <c r="K171" s="46" t="s">
        <v>86</v>
      </c>
      <c r="L171" s="47" t="s">
        <v>2398</v>
      </c>
      <c r="M171" s="48" t="s">
        <v>2333</v>
      </c>
      <c r="N171" s="49"/>
      <c r="O171" s="50" t="s">
        <v>3166</v>
      </c>
      <c r="P171" s="50"/>
      <c r="Q171" s="59"/>
      <c r="R171" s="13"/>
    </row>
    <row r="172" spans="1:18" ht="135" x14ac:dyDescent="0.25">
      <c r="A172" s="9" t="s">
        <v>21</v>
      </c>
      <c r="B172" s="28">
        <f>IF(ISBLANK(A172),0,INDEX(txtstylestab[],MATCH(A172,txtstylestab[style_Name],0),1))</f>
        <v>0</v>
      </c>
      <c r="C172" s="28">
        <f t="shared" si="9"/>
        <v>2</v>
      </c>
      <c r="D172" s="28">
        <f t="shared" si="10"/>
        <v>19</v>
      </c>
      <c r="E172" s="28">
        <f t="shared" si="11"/>
        <v>0</v>
      </c>
      <c r="F172" s="59" t="str">
        <f t="shared" si="12"/>
        <v/>
      </c>
      <c r="G172" s="42" t="s">
        <v>1100</v>
      </c>
      <c r="H172" s="43" t="s">
        <v>2150</v>
      </c>
      <c r="I172" s="44" t="s">
        <v>1749</v>
      </c>
      <c r="J172" s="45" t="s">
        <v>1101</v>
      </c>
      <c r="K172" s="46" t="s">
        <v>1750</v>
      </c>
      <c r="L172" s="47" t="s">
        <v>2923</v>
      </c>
      <c r="M172" s="48" t="s">
        <v>2924</v>
      </c>
      <c r="N172" s="49"/>
      <c r="O172" s="50" t="s">
        <v>3351</v>
      </c>
      <c r="P172" s="59"/>
      <c r="Q172" s="59"/>
      <c r="R172" s="13"/>
    </row>
    <row r="173" spans="1:18" ht="45" x14ac:dyDescent="0.25">
      <c r="A173" s="9" t="s">
        <v>21</v>
      </c>
      <c r="B173" s="28">
        <f>IF(ISBLANK(A173),0,INDEX(txtstylestab[],MATCH(A173,txtstylestab[style_Name],0),1))</f>
        <v>0</v>
      </c>
      <c r="C173" s="28">
        <f t="shared" si="9"/>
        <v>2</v>
      </c>
      <c r="D173" s="28">
        <f t="shared" si="10"/>
        <v>19</v>
      </c>
      <c r="E173" s="28">
        <f t="shared" si="11"/>
        <v>0</v>
      </c>
      <c r="F173" s="59" t="str">
        <f t="shared" si="12"/>
        <v/>
      </c>
      <c r="G173" s="42" t="s">
        <v>536</v>
      </c>
      <c r="H173" s="43" t="s">
        <v>537</v>
      </c>
      <c r="I173" s="44" t="s">
        <v>503</v>
      </c>
      <c r="J173" s="45" t="s">
        <v>504</v>
      </c>
      <c r="K173" s="46" t="s">
        <v>538</v>
      </c>
      <c r="L173" s="47" t="s">
        <v>2915</v>
      </c>
      <c r="M173" s="48" t="s">
        <v>2916</v>
      </c>
      <c r="N173" s="49"/>
      <c r="O173" s="50" t="s">
        <v>3183</v>
      </c>
      <c r="P173" s="59"/>
      <c r="Q173" s="59"/>
      <c r="R173" s="13"/>
    </row>
    <row r="174" spans="1:18" x14ac:dyDescent="0.25">
      <c r="A174" s="9" t="s">
        <v>21</v>
      </c>
      <c r="B174" s="28">
        <f>IF(ISBLANK(A174),0,INDEX(txtstylestab[],MATCH(A174,txtstylestab[style_Name],0),1))</f>
        <v>0</v>
      </c>
      <c r="C174" s="28">
        <f t="shared" si="9"/>
        <v>2</v>
      </c>
      <c r="D174" s="28">
        <f t="shared" si="10"/>
        <v>19</v>
      </c>
      <c r="E174" s="28">
        <f t="shared" si="11"/>
        <v>0</v>
      </c>
      <c r="F174" s="59" t="str">
        <f t="shared" si="12"/>
        <v/>
      </c>
      <c r="G174" s="42" t="s">
        <v>6</v>
      </c>
      <c r="H174" s="43" t="s">
        <v>26</v>
      </c>
      <c r="I174" s="44" t="s">
        <v>48</v>
      </c>
      <c r="J174" s="45" t="s">
        <v>54</v>
      </c>
      <c r="K174" s="46" t="s">
        <v>59</v>
      </c>
      <c r="L174" s="47" t="s">
        <v>2525</v>
      </c>
      <c r="M174" s="48" t="s">
        <v>2526</v>
      </c>
      <c r="N174" s="49"/>
      <c r="O174" s="50" t="s">
        <v>3173</v>
      </c>
      <c r="P174" s="50"/>
      <c r="Q174" s="59"/>
      <c r="R174" s="13"/>
    </row>
    <row r="175" spans="1:18" ht="18" thickBot="1" x14ac:dyDescent="0.35">
      <c r="A175" s="9" t="s">
        <v>11</v>
      </c>
      <c r="B175" s="28">
        <f>IF(ISBLANK(A175),0,INDEX(txtstylestab[],MATCH(A175,txtstylestab[style_Name],0),1))</f>
        <v>2</v>
      </c>
      <c r="C175" s="28">
        <f t="shared" si="9"/>
        <v>2</v>
      </c>
      <c r="D175" s="28">
        <f t="shared" si="10"/>
        <v>20</v>
      </c>
      <c r="E175" s="28">
        <f t="shared" si="11"/>
        <v>0</v>
      </c>
      <c r="F175" s="54" t="str">
        <f t="shared" si="12"/>
        <v>2.20.</v>
      </c>
      <c r="G175" s="54" t="s">
        <v>1102</v>
      </c>
      <c r="H175" s="54"/>
      <c r="I175" s="54"/>
      <c r="J175" s="54"/>
      <c r="K175" s="54"/>
      <c r="L175" s="54"/>
      <c r="M175" s="54"/>
      <c r="N175" s="54"/>
      <c r="O175" s="54"/>
      <c r="P175" s="54"/>
      <c r="Q175" s="54"/>
      <c r="R175" s="13"/>
    </row>
    <row r="176" spans="1:18" ht="15.75" thickTop="1" x14ac:dyDescent="0.25">
      <c r="A176" s="9" t="s">
        <v>21</v>
      </c>
      <c r="B176" s="28">
        <f>IF(ISBLANK(A176),0,INDEX(txtstylestab[],MATCH(A176,txtstylestab[style_Name],0),1))</f>
        <v>0</v>
      </c>
      <c r="C176" s="28">
        <f t="shared" si="9"/>
        <v>2</v>
      </c>
      <c r="D176" s="28">
        <f t="shared" si="10"/>
        <v>20</v>
      </c>
      <c r="E176" s="28">
        <f t="shared" si="11"/>
        <v>0</v>
      </c>
      <c r="F176" s="59" t="str">
        <f t="shared" si="12"/>
        <v/>
      </c>
      <c r="G176" s="42" t="s">
        <v>82</v>
      </c>
      <c r="H176" s="43" t="s">
        <v>863</v>
      </c>
      <c r="I176" s="44" t="s">
        <v>84</v>
      </c>
      <c r="J176" s="45" t="s">
        <v>85</v>
      </c>
      <c r="K176" s="46" t="s">
        <v>86</v>
      </c>
      <c r="L176" s="47" t="s">
        <v>2398</v>
      </c>
      <c r="M176" s="48" t="s">
        <v>2333</v>
      </c>
      <c r="N176" s="49"/>
      <c r="O176" s="50" t="s">
        <v>3166</v>
      </c>
      <c r="P176" s="50"/>
      <c r="Q176" s="59"/>
      <c r="R176" s="13"/>
    </row>
    <row r="177" spans="1:18" ht="45" x14ac:dyDescent="0.25">
      <c r="A177" s="9" t="s">
        <v>21</v>
      </c>
      <c r="B177" s="28">
        <f>IF(ISBLANK(A177),0,INDEX(txtstylestab[],MATCH(A177,txtstylestab[style_Name],0),1))</f>
        <v>0</v>
      </c>
      <c r="C177" s="28">
        <f t="shared" si="9"/>
        <v>2</v>
      </c>
      <c r="D177" s="28">
        <f t="shared" si="10"/>
        <v>20</v>
      </c>
      <c r="E177" s="28">
        <f t="shared" si="11"/>
        <v>0</v>
      </c>
      <c r="F177" s="59" t="str">
        <f t="shared" si="12"/>
        <v/>
      </c>
      <c r="G177" s="42" t="s">
        <v>2027</v>
      </c>
      <c r="H177" s="43" t="s">
        <v>2028</v>
      </c>
      <c r="I177" s="44" t="s">
        <v>2029</v>
      </c>
      <c r="J177" s="45" t="s">
        <v>2030</v>
      </c>
      <c r="K177" s="46" t="s">
        <v>2031</v>
      </c>
      <c r="L177" s="47" t="s">
        <v>2925</v>
      </c>
      <c r="M177" s="48" t="s">
        <v>2928</v>
      </c>
      <c r="N177" s="49"/>
      <c r="O177" s="50" t="s">
        <v>3196</v>
      </c>
      <c r="P177" s="59"/>
      <c r="Q177" s="59"/>
      <c r="R177" s="13"/>
    </row>
    <row r="178" spans="1:18" ht="30" x14ac:dyDescent="0.25">
      <c r="A178" s="9" t="s">
        <v>14</v>
      </c>
      <c r="B178" s="28">
        <f>IF(ISBLANK(A178),0,INDEX(txtstylestab[],MATCH(A178,txtstylestab[style_Name],0),1))</f>
        <v>6</v>
      </c>
      <c r="C178" s="28">
        <f t="shared" si="9"/>
        <v>2</v>
      </c>
      <c r="D178" s="28">
        <f t="shared" si="10"/>
        <v>20</v>
      </c>
      <c r="E178" s="28">
        <f t="shared" si="11"/>
        <v>0</v>
      </c>
      <c r="F178" s="59" t="str">
        <f t="shared" si="12"/>
        <v/>
      </c>
      <c r="G178" s="42" t="s">
        <v>1103</v>
      </c>
      <c r="H178" s="43" t="s">
        <v>1104</v>
      </c>
      <c r="I178" s="44" t="s">
        <v>1105</v>
      </c>
      <c r="J178" s="45" t="s">
        <v>1106</v>
      </c>
      <c r="K178" s="46" t="s">
        <v>1107</v>
      </c>
      <c r="L178" s="47" t="s">
        <v>2926</v>
      </c>
      <c r="M178" s="48" t="s">
        <v>2930</v>
      </c>
      <c r="N178" s="49"/>
      <c r="O178" s="50" t="s">
        <v>3198</v>
      </c>
      <c r="P178" s="59"/>
      <c r="Q178" s="59"/>
      <c r="R178" s="13"/>
    </row>
    <row r="179" spans="1:18" ht="45" x14ac:dyDescent="0.25">
      <c r="A179" s="9" t="s">
        <v>14</v>
      </c>
      <c r="B179" s="28">
        <f>IF(ISBLANK(A179),0,INDEX(txtstylestab[],MATCH(A179,txtstylestab[style_Name],0),1))</f>
        <v>6</v>
      </c>
      <c r="C179" s="28">
        <f t="shared" si="9"/>
        <v>2</v>
      </c>
      <c r="D179" s="28">
        <f t="shared" si="10"/>
        <v>20</v>
      </c>
      <c r="E179" s="28">
        <f t="shared" si="11"/>
        <v>0</v>
      </c>
      <c r="F179" s="59" t="str">
        <f t="shared" si="12"/>
        <v/>
      </c>
      <c r="G179" s="42" t="s">
        <v>1108</v>
      </c>
      <c r="H179" s="43" t="s">
        <v>1109</v>
      </c>
      <c r="I179" s="44" t="s">
        <v>1751</v>
      </c>
      <c r="J179" s="45" t="s">
        <v>1110</v>
      </c>
      <c r="K179" s="46" t="s">
        <v>1111</v>
      </c>
      <c r="L179" s="47" t="s">
        <v>2927</v>
      </c>
      <c r="M179" s="48" t="s">
        <v>2929</v>
      </c>
      <c r="N179" s="49"/>
      <c r="O179" s="50" t="s">
        <v>3197</v>
      </c>
      <c r="P179" s="59"/>
      <c r="Q179" s="59"/>
      <c r="R179" s="13"/>
    </row>
    <row r="180" spans="1:18" x14ac:dyDescent="0.25">
      <c r="A180" s="9" t="s">
        <v>21</v>
      </c>
      <c r="B180" s="28">
        <f>IF(ISBLANK(A180),0,INDEX(txtstylestab[],MATCH(A180,txtstylestab[style_Name],0),1))</f>
        <v>0</v>
      </c>
      <c r="C180" s="28">
        <f t="shared" si="9"/>
        <v>2</v>
      </c>
      <c r="D180" s="28">
        <f t="shared" si="10"/>
        <v>20</v>
      </c>
      <c r="E180" s="28">
        <f t="shared" si="11"/>
        <v>0</v>
      </c>
      <c r="F180" s="59" t="str">
        <f t="shared" si="12"/>
        <v/>
      </c>
      <c r="G180" s="42"/>
      <c r="H180" s="43"/>
      <c r="I180" s="44"/>
      <c r="J180" s="45"/>
      <c r="K180" s="46"/>
      <c r="L180" s="47"/>
      <c r="M180" s="48"/>
      <c r="N180" s="49"/>
      <c r="O180" s="50" t="s">
        <v>3199</v>
      </c>
      <c r="P180" s="59"/>
      <c r="Q180" s="59"/>
      <c r="R180" s="13"/>
    </row>
    <row r="181" spans="1:18" ht="45" x14ac:dyDescent="0.25">
      <c r="A181" s="9" t="s">
        <v>21</v>
      </c>
      <c r="B181" s="28">
        <f>IF(ISBLANK(A181),0,INDEX(txtstylestab[],MATCH(A181,txtstylestab[style_Name],0),1))</f>
        <v>0</v>
      </c>
      <c r="C181" s="28">
        <f t="shared" si="9"/>
        <v>2</v>
      </c>
      <c r="D181" s="28">
        <f t="shared" si="10"/>
        <v>20</v>
      </c>
      <c r="E181" s="28">
        <f t="shared" si="11"/>
        <v>0</v>
      </c>
      <c r="F181" s="59" t="str">
        <f t="shared" si="12"/>
        <v/>
      </c>
      <c r="G181" s="42" t="s">
        <v>536</v>
      </c>
      <c r="H181" s="43" t="s">
        <v>537</v>
      </c>
      <c r="I181" s="44" t="s">
        <v>503</v>
      </c>
      <c r="J181" s="45" t="s">
        <v>504</v>
      </c>
      <c r="K181" s="46" t="s">
        <v>538</v>
      </c>
      <c r="L181" s="47" t="s">
        <v>2915</v>
      </c>
      <c r="M181" s="48" t="s">
        <v>2916</v>
      </c>
      <c r="N181" s="49"/>
      <c r="O181" s="50" t="s">
        <v>3183</v>
      </c>
      <c r="P181" s="59"/>
      <c r="Q181" s="59"/>
      <c r="R181" s="13"/>
    </row>
    <row r="182" spans="1:18" x14ac:dyDescent="0.25">
      <c r="A182" s="9" t="s">
        <v>21</v>
      </c>
      <c r="B182" s="28">
        <f>IF(ISBLANK(A182),0,INDEX(txtstylestab[],MATCH(A182,txtstylestab[style_Name],0),1))</f>
        <v>0</v>
      </c>
      <c r="C182" s="28">
        <f t="shared" si="9"/>
        <v>2</v>
      </c>
      <c r="D182" s="28">
        <f t="shared" si="10"/>
        <v>20</v>
      </c>
      <c r="E182" s="28">
        <f t="shared" si="11"/>
        <v>0</v>
      </c>
      <c r="F182" s="59" t="str">
        <f t="shared" si="12"/>
        <v/>
      </c>
      <c r="G182" s="42" t="s">
        <v>6</v>
      </c>
      <c r="H182" s="43" t="s">
        <v>26</v>
      </c>
      <c r="I182" s="44" t="s">
        <v>48</v>
      </c>
      <c r="J182" s="45" t="s">
        <v>384</v>
      </c>
      <c r="K182" s="46" t="s">
        <v>59</v>
      </c>
      <c r="L182" s="47" t="s">
        <v>2525</v>
      </c>
      <c r="M182" s="48" t="s">
        <v>2526</v>
      </c>
      <c r="N182" s="49"/>
      <c r="O182" s="50" t="s">
        <v>3173</v>
      </c>
      <c r="P182" s="50"/>
      <c r="Q182" s="59"/>
      <c r="R182" s="13"/>
    </row>
    <row r="183" spans="1:18" ht="18" thickBot="1" x14ac:dyDescent="0.35">
      <c r="A183" s="9" t="s">
        <v>11</v>
      </c>
      <c r="B183" s="28">
        <f>IF(ISBLANK(A183),0,INDEX(txtstylestab[],MATCH(A183,txtstylestab[style_Name],0),1))</f>
        <v>2</v>
      </c>
      <c r="C183" s="28">
        <f t="shared" si="9"/>
        <v>2</v>
      </c>
      <c r="D183" s="28">
        <f t="shared" si="10"/>
        <v>21</v>
      </c>
      <c r="E183" s="28">
        <f t="shared" si="11"/>
        <v>0</v>
      </c>
      <c r="F183" s="54" t="str">
        <f t="shared" si="12"/>
        <v>2.21.</v>
      </c>
      <c r="G183" s="54" t="s">
        <v>1112</v>
      </c>
      <c r="H183" s="54"/>
      <c r="I183" s="54"/>
      <c r="J183" s="54"/>
      <c r="K183" s="54"/>
      <c r="L183" s="54"/>
      <c r="M183" s="54"/>
      <c r="N183" s="54"/>
      <c r="O183" s="54"/>
      <c r="P183" s="54"/>
      <c r="Q183" s="54"/>
      <c r="R183" s="13"/>
    </row>
    <row r="184" spans="1:18" ht="15.75" thickTop="1" x14ac:dyDescent="0.25">
      <c r="A184" s="9" t="s">
        <v>21</v>
      </c>
      <c r="B184" s="28">
        <f>IF(ISBLANK(A184),0,INDEX(txtstylestab[],MATCH(A184,txtstylestab[style_Name],0),1))</f>
        <v>0</v>
      </c>
      <c r="C184" s="28">
        <f t="shared" si="9"/>
        <v>2</v>
      </c>
      <c r="D184" s="28">
        <f t="shared" si="10"/>
        <v>21</v>
      </c>
      <c r="E184" s="28">
        <f t="shared" si="11"/>
        <v>0</v>
      </c>
      <c r="F184" s="59" t="str">
        <f t="shared" si="12"/>
        <v/>
      </c>
      <c r="G184" s="42" t="s">
        <v>82</v>
      </c>
      <c r="H184" s="43" t="s">
        <v>83</v>
      </c>
      <c r="I184" s="44" t="s">
        <v>84</v>
      </c>
      <c r="J184" s="45" t="s">
        <v>809</v>
      </c>
      <c r="K184" s="46" t="s">
        <v>86</v>
      </c>
      <c r="L184" s="47" t="s">
        <v>2398</v>
      </c>
      <c r="M184" s="48" t="s">
        <v>2333</v>
      </c>
      <c r="N184" s="49"/>
      <c r="O184" s="50" t="s">
        <v>3166</v>
      </c>
      <c r="P184" s="50"/>
      <c r="Q184" s="59"/>
      <c r="R184" s="13"/>
    </row>
    <row r="185" spans="1:18" ht="75" x14ac:dyDescent="0.25">
      <c r="A185" s="9" t="s">
        <v>21</v>
      </c>
      <c r="B185" s="28">
        <f>IF(ISBLANK(A185),0,INDEX(txtstylestab[],MATCH(A185,txtstylestab[style_Name],0),1))</f>
        <v>0</v>
      </c>
      <c r="C185" s="28">
        <f t="shared" si="9"/>
        <v>2</v>
      </c>
      <c r="D185" s="28">
        <f t="shared" si="10"/>
        <v>21</v>
      </c>
      <c r="E185" s="28">
        <f t="shared" si="11"/>
        <v>0</v>
      </c>
      <c r="F185" s="59" t="str">
        <f t="shared" si="12"/>
        <v/>
      </c>
      <c r="G185" s="42" t="s">
        <v>1113</v>
      </c>
      <c r="H185" s="43" t="s">
        <v>1114</v>
      </c>
      <c r="I185" s="44" t="s">
        <v>1115</v>
      </c>
      <c r="J185" s="45" t="s">
        <v>1116</v>
      </c>
      <c r="K185" s="46" t="s">
        <v>1117</v>
      </c>
      <c r="L185" s="47" t="s">
        <v>2931</v>
      </c>
      <c r="M185" s="48" t="s">
        <v>2932</v>
      </c>
      <c r="N185" s="49"/>
      <c r="O185" s="50" t="s">
        <v>3195</v>
      </c>
      <c r="P185" s="59"/>
      <c r="Q185" s="59"/>
      <c r="R185" s="13"/>
    </row>
    <row r="186" spans="1:18" x14ac:dyDescent="0.25">
      <c r="A186" s="9" t="s">
        <v>21</v>
      </c>
      <c r="B186" s="28">
        <f>IF(ISBLANK(A186),0,INDEX(txtstylestab[],MATCH(A186,txtstylestab[style_Name],0),1))</f>
        <v>0</v>
      </c>
      <c r="C186" s="28">
        <f t="shared" si="9"/>
        <v>2</v>
      </c>
      <c r="D186" s="28">
        <f t="shared" si="10"/>
        <v>21</v>
      </c>
      <c r="E186" s="28">
        <f t="shared" si="11"/>
        <v>0</v>
      </c>
      <c r="F186" s="59" t="str">
        <f t="shared" si="12"/>
        <v/>
      </c>
      <c r="G186" s="42" t="s">
        <v>6</v>
      </c>
      <c r="H186" s="43" t="s">
        <v>26</v>
      </c>
      <c r="I186" s="44" t="s">
        <v>48</v>
      </c>
      <c r="J186" s="45" t="s">
        <v>384</v>
      </c>
      <c r="K186" s="46" t="s">
        <v>59</v>
      </c>
      <c r="L186" s="47" t="s">
        <v>2525</v>
      </c>
      <c r="M186" s="48" t="s">
        <v>2526</v>
      </c>
      <c r="N186" s="49"/>
      <c r="O186" s="50" t="s">
        <v>3173</v>
      </c>
      <c r="P186" s="50"/>
      <c r="Q186" s="59"/>
      <c r="R186" s="13"/>
    </row>
    <row r="187" spans="1:18" ht="18" thickBot="1" x14ac:dyDescent="0.35">
      <c r="A187" s="9" t="s">
        <v>11</v>
      </c>
      <c r="B187" s="28">
        <f>IF(ISBLANK(A187),0,INDEX(txtstylestab[],MATCH(A187,txtstylestab[style_Name],0),1))</f>
        <v>2</v>
      </c>
      <c r="C187" s="28">
        <f t="shared" si="9"/>
        <v>2</v>
      </c>
      <c r="D187" s="28">
        <f t="shared" si="10"/>
        <v>22</v>
      </c>
      <c r="E187" s="28">
        <f t="shared" si="11"/>
        <v>0</v>
      </c>
      <c r="F187" s="54" t="str">
        <f t="shared" si="12"/>
        <v>2.22.</v>
      </c>
      <c r="G187" s="54" t="s">
        <v>1118</v>
      </c>
      <c r="H187" s="54"/>
      <c r="I187" s="54"/>
      <c r="J187" s="54"/>
      <c r="K187" s="54"/>
      <c r="L187" s="54"/>
      <c r="M187" s="54"/>
      <c r="N187" s="54"/>
      <c r="O187" s="54"/>
      <c r="P187" s="54"/>
      <c r="Q187" s="54"/>
      <c r="R187" s="13"/>
    </row>
    <row r="188" spans="1:18" ht="15.75" thickTop="1" x14ac:dyDescent="0.25">
      <c r="A188" s="9" t="s">
        <v>21</v>
      </c>
      <c r="B188" s="28">
        <f>IF(ISBLANK(A188),0,INDEX(txtstylestab[],MATCH(A188,txtstylestab[style_Name],0),1))</f>
        <v>0</v>
      </c>
      <c r="C188" s="28">
        <f t="shared" si="9"/>
        <v>2</v>
      </c>
      <c r="D188" s="28">
        <f t="shared" si="10"/>
        <v>22</v>
      </c>
      <c r="E188" s="28">
        <f t="shared" si="11"/>
        <v>0</v>
      </c>
      <c r="F188" s="59" t="str">
        <f t="shared" si="12"/>
        <v/>
      </c>
      <c r="G188" s="42" t="s">
        <v>82</v>
      </c>
      <c r="H188" s="43" t="s">
        <v>83</v>
      </c>
      <c r="I188" s="44" t="s">
        <v>84</v>
      </c>
      <c r="J188" s="45" t="s">
        <v>85</v>
      </c>
      <c r="K188" s="46" t="s">
        <v>86</v>
      </c>
      <c r="L188" s="47" t="s">
        <v>2398</v>
      </c>
      <c r="M188" s="48" t="s">
        <v>2333</v>
      </c>
      <c r="N188" s="49"/>
      <c r="O188" s="50" t="s">
        <v>3166</v>
      </c>
      <c r="P188" s="59"/>
      <c r="Q188" s="59"/>
      <c r="R188" s="13"/>
    </row>
    <row r="189" spans="1:18" ht="30" x14ac:dyDescent="0.25">
      <c r="A189" s="9" t="s">
        <v>21</v>
      </c>
      <c r="B189" s="28">
        <f>IF(ISBLANK(A189),0,INDEX(txtstylestab[],MATCH(A189,txtstylestab[style_Name],0),1))</f>
        <v>0</v>
      </c>
      <c r="C189" s="28">
        <f t="shared" si="9"/>
        <v>2</v>
      </c>
      <c r="D189" s="28">
        <f t="shared" si="10"/>
        <v>22</v>
      </c>
      <c r="E189" s="28">
        <f t="shared" si="11"/>
        <v>0</v>
      </c>
      <c r="F189" s="59" t="str">
        <f t="shared" si="12"/>
        <v/>
      </c>
      <c r="G189" s="42" t="s">
        <v>1119</v>
      </c>
      <c r="H189" s="43" t="s">
        <v>1120</v>
      </c>
      <c r="I189" s="44" t="s">
        <v>1121</v>
      </c>
      <c r="J189" s="45" t="s">
        <v>1122</v>
      </c>
      <c r="K189" s="46" t="s">
        <v>1123</v>
      </c>
      <c r="L189" s="47" t="s">
        <v>2933</v>
      </c>
      <c r="M189" s="48" t="s">
        <v>2934</v>
      </c>
      <c r="N189" s="49"/>
      <c r="O189" s="50" t="s">
        <v>3193</v>
      </c>
      <c r="P189" s="59"/>
      <c r="Q189" s="59"/>
      <c r="R189" s="13"/>
    </row>
    <row r="190" spans="1:18" ht="60" x14ac:dyDescent="0.25">
      <c r="A190" s="9" t="s">
        <v>21</v>
      </c>
      <c r="B190" s="28">
        <f>IF(ISBLANK(A190),0,INDEX(txtstylestab[],MATCH(A190,txtstylestab[style_Name],0),1))</f>
        <v>0</v>
      </c>
      <c r="C190" s="28">
        <f t="shared" si="9"/>
        <v>2</v>
      </c>
      <c r="D190" s="28">
        <f t="shared" si="10"/>
        <v>22</v>
      </c>
      <c r="E190" s="28">
        <f t="shared" si="11"/>
        <v>0</v>
      </c>
      <c r="F190" s="59" t="str">
        <f t="shared" si="12"/>
        <v/>
      </c>
      <c r="G190" s="42" t="s">
        <v>1124</v>
      </c>
      <c r="H190" s="43" t="s">
        <v>1125</v>
      </c>
      <c r="I190" s="44" t="s">
        <v>1126</v>
      </c>
      <c r="J190" s="45" t="s">
        <v>1127</v>
      </c>
      <c r="K190" s="46" t="s">
        <v>1128</v>
      </c>
      <c r="L190" s="47" t="s">
        <v>2933</v>
      </c>
      <c r="M190" s="48" t="s">
        <v>2935</v>
      </c>
      <c r="N190" s="49"/>
      <c r="O190" s="50" t="s">
        <v>3194</v>
      </c>
      <c r="P190" s="59"/>
      <c r="Q190" s="59"/>
      <c r="R190" s="13"/>
    </row>
    <row r="191" spans="1:18" ht="30" x14ac:dyDescent="0.25">
      <c r="A191" s="9" t="s">
        <v>21</v>
      </c>
      <c r="B191" s="28">
        <f>IF(ISBLANK(A191),0,INDEX(txtstylestab[],MATCH(A191,txtstylestab[style_Name],0),1))</f>
        <v>0</v>
      </c>
      <c r="C191" s="28">
        <f t="shared" si="9"/>
        <v>2</v>
      </c>
      <c r="D191" s="28">
        <f t="shared" si="10"/>
        <v>22</v>
      </c>
      <c r="E191" s="28">
        <f t="shared" si="11"/>
        <v>0</v>
      </c>
      <c r="F191" s="59" t="str">
        <f t="shared" si="12"/>
        <v/>
      </c>
      <c r="G191" s="42" t="s">
        <v>1129</v>
      </c>
      <c r="H191" s="43" t="s">
        <v>1130</v>
      </c>
      <c r="I191" s="44" t="s">
        <v>1131</v>
      </c>
      <c r="J191" s="45" t="s">
        <v>1132</v>
      </c>
      <c r="K191" s="46" t="s">
        <v>1133</v>
      </c>
      <c r="L191" s="47" t="s">
        <v>2936</v>
      </c>
      <c r="M191" s="48" t="s">
        <v>2937</v>
      </c>
      <c r="N191" s="49"/>
      <c r="O191" s="50"/>
      <c r="P191" s="59"/>
      <c r="Q191" s="59"/>
      <c r="R191" s="13"/>
    </row>
    <row r="192" spans="1:18" x14ac:dyDescent="0.25">
      <c r="A192" s="9" t="s">
        <v>21</v>
      </c>
      <c r="B192" s="28">
        <f>IF(ISBLANK(A192),0,INDEX(txtstylestab[],MATCH(A192,txtstylestab[style_Name],0),1))</f>
        <v>0</v>
      </c>
      <c r="C192" s="28">
        <f t="shared" si="9"/>
        <v>2</v>
      </c>
      <c r="D192" s="28">
        <f t="shared" si="10"/>
        <v>22</v>
      </c>
      <c r="E192" s="28">
        <f t="shared" si="11"/>
        <v>0</v>
      </c>
      <c r="F192" s="59" t="str">
        <f t="shared" si="12"/>
        <v/>
      </c>
      <c r="G192" s="42" t="s">
        <v>6</v>
      </c>
      <c r="H192" s="43" t="s">
        <v>26</v>
      </c>
      <c r="I192" s="44" t="s">
        <v>48</v>
      </c>
      <c r="J192" s="45" t="s">
        <v>384</v>
      </c>
      <c r="K192" s="46" t="s">
        <v>59</v>
      </c>
      <c r="L192" s="47" t="s">
        <v>2525</v>
      </c>
      <c r="M192" s="48" t="s">
        <v>2526</v>
      </c>
      <c r="N192" s="49"/>
      <c r="O192" s="50" t="s">
        <v>3173</v>
      </c>
      <c r="P192" s="59"/>
      <c r="Q192" s="59"/>
      <c r="R192" s="13"/>
    </row>
    <row r="193" spans="1:18" ht="18" thickBot="1" x14ac:dyDescent="0.35">
      <c r="A193" s="9" t="s">
        <v>11</v>
      </c>
      <c r="B193" s="28">
        <f>IF(ISBLANK(A193),0,INDEX(txtstylestab[],MATCH(A193,txtstylestab[style_Name],0),1))</f>
        <v>2</v>
      </c>
      <c r="C193" s="28">
        <f t="shared" si="9"/>
        <v>2</v>
      </c>
      <c r="D193" s="28">
        <f t="shared" si="10"/>
        <v>23</v>
      </c>
      <c r="E193" s="28">
        <f t="shared" si="11"/>
        <v>0</v>
      </c>
      <c r="F193" s="54" t="str">
        <f t="shared" si="12"/>
        <v>2.23.</v>
      </c>
      <c r="G193" s="54" t="s">
        <v>1134</v>
      </c>
      <c r="H193" s="54"/>
      <c r="I193" s="54"/>
      <c r="J193" s="54"/>
      <c r="K193" s="54"/>
      <c r="L193" s="54"/>
      <c r="M193" s="54"/>
      <c r="N193" s="54"/>
      <c r="O193" s="54"/>
      <c r="P193" s="54"/>
      <c r="Q193" s="54"/>
      <c r="R193" s="13"/>
    </row>
    <row r="194" spans="1:18" ht="15.75" thickTop="1" x14ac:dyDescent="0.25">
      <c r="A194" s="9" t="s">
        <v>21</v>
      </c>
      <c r="B194" s="28">
        <f>IF(ISBLANK(A194),0,INDEX(txtstylestab[],MATCH(A194,txtstylestab[style_Name],0),1))</f>
        <v>0</v>
      </c>
      <c r="C194" s="28">
        <f t="shared" si="9"/>
        <v>2</v>
      </c>
      <c r="D194" s="28">
        <f t="shared" si="10"/>
        <v>23</v>
      </c>
      <c r="E194" s="28">
        <f t="shared" si="11"/>
        <v>0</v>
      </c>
      <c r="F194" s="59" t="str">
        <f t="shared" si="12"/>
        <v/>
      </c>
      <c r="G194" s="42" t="s">
        <v>82</v>
      </c>
      <c r="H194" s="43" t="s">
        <v>863</v>
      </c>
      <c r="I194" s="44" t="s">
        <v>84</v>
      </c>
      <c r="J194" s="45" t="s">
        <v>85</v>
      </c>
      <c r="K194" s="46" t="s">
        <v>86</v>
      </c>
      <c r="L194" s="47" t="s">
        <v>2398</v>
      </c>
      <c r="M194" s="48" t="s">
        <v>2333</v>
      </c>
      <c r="N194" s="49"/>
      <c r="O194" s="50" t="s">
        <v>3166</v>
      </c>
      <c r="P194" s="59"/>
      <c r="Q194" s="59"/>
      <c r="R194" s="13"/>
    </row>
    <row r="195" spans="1:18" ht="75" x14ac:dyDescent="0.25">
      <c r="A195" s="9" t="s">
        <v>21</v>
      </c>
      <c r="B195" s="28">
        <f>IF(ISBLANK(A195),0,INDEX(txtstylestab[],MATCH(A195,txtstylestab[style_Name],0),1))</f>
        <v>0</v>
      </c>
      <c r="C195" s="28">
        <f t="shared" si="9"/>
        <v>2</v>
      </c>
      <c r="D195" s="28">
        <f t="shared" si="10"/>
        <v>23</v>
      </c>
      <c r="E195" s="28">
        <f t="shared" si="11"/>
        <v>0</v>
      </c>
      <c r="F195" s="59" t="str">
        <f t="shared" si="12"/>
        <v/>
      </c>
      <c r="G195" s="42" t="s">
        <v>1135</v>
      </c>
      <c r="H195" s="43" t="s">
        <v>1136</v>
      </c>
      <c r="I195" s="44" t="s">
        <v>1649</v>
      </c>
      <c r="J195" s="45" t="s">
        <v>1590</v>
      </c>
      <c r="K195" s="46" t="s">
        <v>1591</v>
      </c>
      <c r="L195" s="47" t="s">
        <v>2938</v>
      </c>
      <c r="M195" s="48" t="s">
        <v>2939</v>
      </c>
      <c r="N195" s="49"/>
      <c r="O195" s="50" t="s">
        <v>3186</v>
      </c>
      <c r="P195" s="59"/>
      <c r="Q195" s="59"/>
      <c r="R195" s="13"/>
    </row>
    <row r="196" spans="1:18" ht="105" x14ac:dyDescent="0.25">
      <c r="A196" s="9" t="s">
        <v>21</v>
      </c>
      <c r="B196" s="28">
        <f>IF(ISBLANK(A196),0,INDEX(txtstylestab[],MATCH(A196,txtstylestab[style_Name],0),1))</f>
        <v>0</v>
      </c>
      <c r="C196" s="28">
        <f t="shared" ref="C196:C246" si="13">IF(B196=1,C195+1,C195)</f>
        <v>2</v>
      </c>
      <c r="D196" s="28">
        <f t="shared" ref="D196:D246" si="14">IF(B196=1,0,IF(B196=2,D195+1,IF(AND(B196=3,D195=0),1,D195)))</f>
        <v>23</v>
      </c>
      <c r="E196" s="28">
        <f t="shared" ref="E196:E246" si="15">IF(OR(B196=1,B196=2),0,IF(B196=3,E195+1,E195))</f>
        <v>0</v>
      </c>
      <c r="F196" s="59" t="str">
        <f t="shared" ref="F196:F246" si="16">IF(OR(B196=1,B196=2,B196=3),TEXT(C196,"#")&amp;".","")&amp;IF(OR(B196=2,B196=3),TEXT(D196,"#")&amp;".","")&amp;IF(B196=3,TEXT(E196,"#")&amp;".","")</f>
        <v/>
      </c>
      <c r="G196" s="42" t="s">
        <v>1137</v>
      </c>
      <c r="H196" s="43" t="s">
        <v>1138</v>
      </c>
      <c r="I196" s="44" t="s">
        <v>1592</v>
      </c>
      <c r="J196" s="45" t="s">
        <v>1766</v>
      </c>
      <c r="K196" s="46" t="s">
        <v>1139</v>
      </c>
      <c r="L196" s="47" t="s">
        <v>2940</v>
      </c>
      <c r="M196" s="48" t="s">
        <v>2941</v>
      </c>
      <c r="N196" s="49"/>
      <c r="O196" s="50" t="s">
        <v>3187</v>
      </c>
      <c r="P196" s="59"/>
      <c r="Q196" s="59"/>
      <c r="R196" s="13"/>
    </row>
    <row r="197" spans="1:18" ht="75" x14ac:dyDescent="0.25">
      <c r="A197" s="9" t="s">
        <v>21</v>
      </c>
      <c r="B197" s="28">
        <f>IF(ISBLANK(A197),0,INDEX(txtstylestab[],MATCH(A197,txtstylestab[style_Name],0),1))</f>
        <v>0</v>
      </c>
      <c r="C197" s="28">
        <f t="shared" si="13"/>
        <v>2</v>
      </c>
      <c r="D197" s="28">
        <f t="shared" si="14"/>
        <v>23</v>
      </c>
      <c r="E197" s="28">
        <f t="shared" si="15"/>
        <v>0</v>
      </c>
      <c r="F197" s="59" t="str">
        <f t="shared" si="16"/>
        <v/>
      </c>
      <c r="G197" s="42" t="s">
        <v>1140</v>
      </c>
      <c r="H197" s="43" t="s">
        <v>1141</v>
      </c>
      <c r="I197" s="44" t="s">
        <v>1593</v>
      </c>
      <c r="J197" s="45" t="s">
        <v>1142</v>
      </c>
      <c r="K197" s="46" t="s">
        <v>1143</v>
      </c>
      <c r="L197" s="47" t="s">
        <v>2942</v>
      </c>
      <c r="M197" s="48" t="s">
        <v>2942</v>
      </c>
      <c r="N197" s="49"/>
      <c r="O197" s="50" t="s">
        <v>3188</v>
      </c>
      <c r="P197" s="59"/>
      <c r="Q197" s="59"/>
      <c r="R197" s="13"/>
    </row>
    <row r="198" spans="1:18" x14ac:dyDescent="0.25">
      <c r="A198" s="9" t="s">
        <v>22</v>
      </c>
      <c r="B198" s="28">
        <f>IF(ISBLANK(A198),0,INDEX(txtstylestab[],MATCH(A198,txtstylestab[style_Name],0),1))</f>
        <v>4</v>
      </c>
      <c r="C198" s="28">
        <f t="shared" si="13"/>
        <v>2</v>
      </c>
      <c r="D198" s="28">
        <f t="shared" si="14"/>
        <v>23</v>
      </c>
      <c r="E198" s="28">
        <f t="shared" si="15"/>
        <v>0</v>
      </c>
      <c r="F198" s="56" t="str">
        <f t="shared" si="16"/>
        <v/>
      </c>
      <c r="G198" s="53" t="s">
        <v>2032</v>
      </c>
      <c r="H198" s="53"/>
      <c r="I198" s="53"/>
      <c r="J198" s="53"/>
      <c r="K198" s="53"/>
      <c r="L198" s="53"/>
      <c r="M198" s="53"/>
      <c r="N198" s="53"/>
      <c r="O198" s="53"/>
      <c r="P198" s="53"/>
      <c r="Q198" s="53"/>
      <c r="R198" s="13"/>
    </row>
    <row r="199" spans="1:18" ht="75" x14ac:dyDescent="0.25">
      <c r="A199" s="9" t="s">
        <v>21</v>
      </c>
      <c r="B199" s="28">
        <f>IF(ISBLANK(A199),0,INDEX(txtstylestab[],MATCH(A199,txtstylestab[style_Name],0),1))</f>
        <v>0</v>
      </c>
      <c r="C199" s="28">
        <f t="shared" si="13"/>
        <v>2</v>
      </c>
      <c r="D199" s="28">
        <f t="shared" si="14"/>
        <v>23</v>
      </c>
      <c r="E199" s="28">
        <f t="shared" si="15"/>
        <v>0</v>
      </c>
      <c r="F199" s="59" t="str">
        <f t="shared" si="16"/>
        <v/>
      </c>
      <c r="G199" s="42" t="s">
        <v>1144</v>
      </c>
      <c r="H199" s="43" t="s">
        <v>1145</v>
      </c>
      <c r="I199" s="44" t="s">
        <v>1146</v>
      </c>
      <c r="J199" s="45" t="s">
        <v>1594</v>
      </c>
      <c r="K199" s="46" t="s">
        <v>1595</v>
      </c>
      <c r="L199" s="47" t="s">
        <v>2943</v>
      </c>
      <c r="M199" s="48" t="s">
        <v>2944</v>
      </c>
      <c r="N199" s="49"/>
      <c r="O199" s="50" t="s">
        <v>3189</v>
      </c>
      <c r="P199" s="59"/>
      <c r="Q199" s="59"/>
      <c r="R199" s="13"/>
    </row>
    <row r="200" spans="1:18" ht="90" x14ac:dyDescent="0.25">
      <c r="A200" s="9" t="s">
        <v>21</v>
      </c>
      <c r="B200" s="28">
        <f>IF(ISBLANK(A200),0,INDEX(txtstylestab[],MATCH(A200,txtstylestab[style_Name],0),1))</f>
        <v>0</v>
      </c>
      <c r="C200" s="28">
        <f t="shared" si="13"/>
        <v>2</v>
      </c>
      <c r="D200" s="28">
        <f t="shared" si="14"/>
        <v>23</v>
      </c>
      <c r="E200" s="28">
        <f t="shared" si="15"/>
        <v>0</v>
      </c>
      <c r="F200" s="59" t="str">
        <f t="shared" si="16"/>
        <v/>
      </c>
      <c r="G200" s="42" t="s">
        <v>1147</v>
      </c>
      <c r="H200" s="43" t="s">
        <v>1148</v>
      </c>
      <c r="I200" s="44" t="s">
        <v>1752</v>
      </c>
      <c r="J200" s="45" t="s">
        <v>1596</v>
      </c>
      <c r="K200" s="46" t="s">
        <v>1707</v>
      </c>
      <c r="L200" s="47" t="s">
        <v>2945</v>
      </c>
      <c r="M200" s="48" t="s">
        <v>2946</v>
      </c>
      <c r="N200" s="49"/>
      <c r="O200" s="50" t="s">
        <v>3190</v>
      </c>
      <c r="P200" s="59"/>
      <c r="Q200" s="59"/>
      <c r="R200" s="13"/>
    </row>
    <row r="201" spans="1:18" ht="60" x14ac:dyDescent="0.25">
      <c r="A201" s="9" t="s">
        <v>21</v>
      </c>
      <c r="B201" s="28">
        <f>IF(ISBLANK(A201),0,INDEX(txtstylestab[],MATCH(A201,txtstylestab[style_Name],0),1))</f>
        <v>0</v>
      </c>
      <c r="C201" s="28">
        <f t="shared" si="13"/>
        <v>2</v>
      </c>
      <c r="D201" s="28">
        <f t="shared" si="14"/>
        <v>23</v>
      </c>
      <c r="E201" s="28">
        <f t="shared" si="15"/>
        <v>0</v>
      </c>
      <c r="F201" s="59" t="str">
        <f t="shared" si="16"/>
        <v/>
      </c>
      <c r="G201" s="42" t="s">
        <v>1149</v>
      </c>
      <c r="H201" s="43" t="s">
        <v>1150</v>
      </c>
      <c r="I201" s="44" t="s">
        <v>1650</v>
      </c>
      <c r="J201" s="45" t="s">
        <v>1597</v>
      </c>
      <c r="K201" s="46" t="s">
        <v>1708</v>
      </c>
      <c r="L201" s="47" t="s">
        <v>2947</v>
      </c>
      <c r="M201" s="48" t="s">
        <v>2948</v>
      </c>
      <c r="N201" s="49"/>
      <c r="O201" s="50" t="s">
        <v>3191</v>
      </c>
      <c r="P201" s="59"/>
      <c r="Q201" s="59"/>
      <c r="R201" s="13"/>
    </row>
    <row r="202" spans="1:18" x14ac:dyDescent="0.25">
      <c r="A202" s="9" t="s">
        <v>22</v>
      </c>
      <c r="B202" s="28">
        <f>IF(ISBLANK(A202),0,INDEX(txtstylestab[],MATCH(A202,txtstylestab[style_Name],0),1))</f>
        <v>4</v>
      </c>
      <c r="C202" s="28">
        <f t="shared" si="13"/>
        <v>2</v>
      </c>
      <c r="D202" s="28">
        <f t="shared" si="14"/>
        <v>23</v>
      </c>
      <c r="E202" s="28">
        <f t="shared" si="15"/>
        <v>0</v>
      </c>
      <c r="F202" s="56" t="str">
        <f t="shared" si="16"/>
        <v/>
      </c>
      <c r="G202" s="53" t="s">
        <v>1151</v>
      </c>
      <c r="H202" s="53"/>
      <c r="I202" s="53"/>
      <c r="J202" s="53"/>
      <c r="K202" s="53"/>
      <c r="L202" s="53"/>
      <c r="M202" s="53"/>
      <c r="N202" s="53"/>
      <c r="O202" s="53"/>
      <c r="P202" s="53"/>
      <c r="Q202" s="53"/>
      <c r="R202" s="13"/>
    </row>
    <row r="203" spans="1:18" ht="75" x14ac:dyDescent="0.25">
      <c r="A203" s="9" t="s">
        <v>21</v>
      </c>
      <c r="B203" s="28">
        <f>IF(ISBLANK(A203),0,INDEX(txtstylestab[],MATCH(A203,txtstylestab[style_Name],0),1))</f>
        <v>0</v>
      </c>
      <c r="C203" s="28">
        <f t="shared" si="13"/>
        <v>2</v>
      </c>
      <c r="D203" s="28">
        <f t="shared" si="14"/>
        <v>23</v>
      </c>
      <c r="E203" s="28">
        <f t="shared" si="15"/>
        <v>0</v>
      </c>
      <c r="F203" s="59" t="str">
        <f t="shared" si="16"/>
        <v/>
      </c>
      <c r="G203" s="42" t="s">
        <v>1152</v>
      </c>
      <c r="H203" s="43" t="s">
        <v>1153</v>
      </c>
      <c r="I203" s="44" t="s">
        <v>1154</v>
      </c>
      <c r="J203" s="45" t="s">
        <v>1598</v>
      </c>
      <c r="K203" s="46" t="s">
        <v>1599</v>
      </c>
      <c r="L203" s="47" t="s">
        <v>2949</v>
      </c>
      <c r="M203" s="48" t="s">
        <v>2950</v>
      </c>
      <c r="N203" s="49"/>
      <c r="O203" s="50" t="s">
        <v>3192</v>
      </c>
      <c r="P203" s="59"/>
      <c r="Q203" s="59"/>
      <c r="R203" s="13"/>
    </row>
    <row r="204" spans="1:18" x14ac:dyDescent="0.25">
      <c r="A204" s="9" t="s">
        <v>21</v>
      </c>
      <c r="B204" s="28">
        <f>IF(ISBLANK(A204),0,INDEX(txtstylestab[],MATCH(A204,txtstylestab[style_Name],0),1))</f>
        <v>0</v>
      </c>
      <c r="C204" s="28">
        <f t="shared" si="13"/>
        <v>2</v>
      </c>
      <c r="D204" s="28">
        <f t="shared" si="14"/>
        <v>23</v>
      </c>
      <c r="E204" s="28">
        <f t="shared" si="15"/>
        <v>0</v>
      </c>
      <c r="F204" s="59" t="str">
        <f t="shared" si="16"/>
        <v/>
      </c>
      <c r="G204" s="42" t="s">
        <v>6</v>
      </c>
      <c r="H204" s="43" t="s">
        <v>26</v>
      </c>
      <c r="I204" s="44" t="s">
        <v>48</v>
      </c>
      <c r="J204" s="45" t="s">
        <v>54</v>
      </c>
      <c r="K204" s="46" t="s">
        <v>59</v>
      </c>
      <c r="L204" s="47" t="s">
        <v>2525</v>
      </c>
      <c r="M204" s="48" t="s">
        <v>2526</v>
      </c>
      <c r="N204" s="49"/>
      <c r="O204" s="50" t="s">
        <v>3173</v>
      </c>
      <c r="P204" s="50"/>
      <c r="Q204" s="59"/>
      <c r="R204" s="13"/>
    </row>
    <row r="205" spans="1:18" ht="18" thickBot="1" x14ac:dyDescent="0.35">
      <c r="A205" s="9" t="s">
        <v>11</v>
      </c>
      <c r="B205" s="28">
        <f>IF(ISBLANK(A205),0,INDEX(txtstylestab[],MATCH(A205,txtstylestab[style_Name],0),1))</f>
        <v>2</v>
      </c>
      <c r="C205" s="28">
        <f t="shared" si="13"/>
        <v>2</v>
      </c>
      <c r="D205" s="28">
        <f t="shared" si="14"/>
        <v>24</v>
      </c>
      <c r="E205" s="28">
        <f t="shared" si="15"/>
        <v>0</v>
      </c>
      <c r="F205" s="54" t="str">
        <f t="shared" si="16"/>
        <v>2.24.</v>
      </c>
      <c r="G205" s="54" t="s">
        <v>1155</v>
      </c>
      <c r="H205" s="54"/>
      <c r="I205" s="54"/>
      <c r="J205" s="54"/>
      <c r="K205" s="54"/>
      <c r="L205" s="54"/>
      <c r="M205" s="54"/>
      <c r="N205" s="54"/>
      <c r="O205" s="54"/>
      <c r="P205" s="54"/>
      <c r="Q205" s="54"/>
      <c r="R205" s="13"/>
    </row>
    <row r="206" spans="1:18" ht="15.75" thickTop="1" x14ac:dyDescent="0.25">
      <c r="A206" s="9" t="s">
        <v>21</v>
      </c>
      <c r="B206" s="28">
        <f>IF(ISBLANK(A206),0,INDEX(txtstylestab[],MATCH(A206,txtstylestab[style_Name],0),1))</f>
        <v>0</v>
      </c>
      <c r="C206" s="28">
        <f t="shared" si="13"/>
        <v>2</v>
      </c>
      <c r="D206" s="28">
        <f t="shared" si="14"/>
        <v>24</v>
      </c>
      <c r="E206" s="28">
        <f t="shared" si="15"/>
        <v>0</v>
      </c>
      <c r="F206" s="59" t="str">
        <f t="shared" si="16"/>
        <v/>
      </c>
      <c r="G206" s="42" t="s">
        <v>82</v>
      </c>
      <c r="H206" s="43" t="s">
        <v>863</v>
      </c>
      <c r="I206" s="44" t="s">
        <v>84</v>
      </c>
      <c r="J206" s="45" t="s">
        <v>85</v>
      </c>
      <c r="K206" s="46" t="s">
        <v>86</v>
      </c>
      <c r="L206" s="47" t="s">
        <v>2398</v>
      </c>
      <c r="M206" s="48" t="s">
        <v>2333</v>
      </c>
      <c r="N206" s="49"/>
      <c r="O206" s="50" t="s">
        <v>3166</v>
      </c>
      <c r="P206" s="59"/>
      <c r="Q206" s="59"/>
      <c r="R206" s="13"/>
    </row>
    <row r="207" spans="1:18" x14ac:dyDescent="0.25">
      <c r="A207" s="9" t="s">
        <v>22</v>
      </c>
      <c r="B207" s="28">
        <f>IF(ISBLANK(A207),0,INDEX(txtstylestab[],MATCH(A207,txtstylestab[style_Name],0),1))</f>
        <v>4</v>
      </c>
      <c r="C207" s="28">
        <f t="shared" si="13"/>
        <v>2</v>
      </c>
      <c r="D207" s="28">
        <f t="shared" si="14"/>
        <v>24</v>
      </c>
      <c r="E207" s="28">
        <f t="shared" si="15"/>
        <v>0</v>
      </c>
      <c r="F207" s="56" t="str">
        <f t="shared" si="16"/>
        <v/>
      </c>
      <c r="G207" s="53" t="s">
        <v>1156</v>
      </c>
      <c r="H207" s="53"/>
      <c r="I207" s="53"/>
      <c r="J207" s="53"/>
      <c r="K207" s="53"/>
      <c r="L207" s="53"/>
      <c r="M207" s="53"/>
      <c r="N207" s="53"/>
      <c r="O207" s="53"/>
      <c r="P207" s="53"/>
      <c r="Q207" s="53"/>
      <c r="R207" s="13"/>
    </row>
    <row r="208" spans="1:18" ht="90" x14ac:dyDescent="0.25">
      <c r="A208" s="9" t="s">
        <v>21</v>
      </c>
      <c r="B208" s="28">
        <f>IF(ISBLANK(A208),0,INDEX(txtstylestab[],MATCH(A208,txtstylestab[style_Name],0),1))</f>
        <v>0</v>
      </c>
      <c r="C208" s="28">
        <f t="shared" si="13"/>
        <v>2</v>
      </c>
      <c r="D208" s="28">
        <f t="shared" si="14"/>
        <v>24</v>
      </c>
      <c r="E208" s="28">
        <f t="shared" si="15"/>
        <v>0</v>
      </c>
      <c r="F208" s="59" t="str">
        <f t="shared" si="16"/>
        <v/>
      </c>
      <c r="G208" s="42" t="s">
        <v>1157</v>
      </c>
      <c r="H208" s="43" t="s">
        <v>2137</v>
      </c>
      <c r="I208" s="44" t="s">
        <v>1651</v>
      </c>
      <c r="J208" s="45" t="s">
        <v>1158</v>
      </c>
      <c r="K208" s="46" t="s">
        <v>1159</v>
      </c>
      <c r="L208" s="47" t="s">
        <v>2952</v>
      </c>
      <c r="M208" s="48" t="s">
        <v>2951</v>
      </c>
      <c r="N208" s="49"/>
      <c r="O208" s="50" t="s">
        <v>3184</v>
      </c>
      <c r="P208" s="59"/>
      <c r="Q208" s="59"/>
      <c r="R208" s="13"/>
    </row>
    <row r="209" spans="1:18" x14ac:dyDescent="0.25">
      <c r="A209" s="9" t="s">
        <v>21</v>
      </c>
      <c r="B209" s="28">
        <f>IF(ISBLANK(A209),0,INDEX(txtstylestab[],MATCH(A209,txtstylestab[style_Name],0),1))</f>
        <v>0</v>
      </c>
      <c r="C209" s="28">
        <f t="shared" si="13"/>
        <v>2</v>
      </c>
      <c r="D209" s="28">
        <f t="shared" si="14"/>
        <v>24</v>
      </c>
      <c r="E209" s="28">
        <f t="shared" si="15"/>
        <v>0</v>
      </c>
      <c r="F209" s="59" t="str">
        <f t="shared" si="16"/>
        <v/>
      </c>
      <c r="G209" s="42" t="s">
        <v>6</v>
      </c>
      <c r="H209" s="43" t="s">
        <v>26</v>
      </c>
      <c r="I209" s="44" t="s">
        <v>48</v>
      </c>
      <c r="J209" s="45" t="s">
        <v>54</v>
      </c>
      <c r="K209" s="46" t="s">
        <v>59</v>
      </c>
      <c r="L209" s="47" t="s">
        <v>2525</v>
      </c>
      <c r="M209" s="48" t="s">
        <v>2526</v>
      </c>
      <c r="N209" s="49"/>
      <c r="O209" s="50" t="s">
        <v>3173</v>
      </c>
      <c r="P209" s="59"/>
      <c r="Q209" s="59"/>
      <c r="R209" s="13"/>
    </row>
    <row r="210" spans="1:18" x14ac:dyDescent="0.25">
      <c r="A210" s="9" t="s">
        <v>22</v>
      </c>
      <c r="B210" s="28">
        <f>IF(ISBLANK(A210),0,INDEX(txtstylestab[],MATCH(A210,txtstylestab[style_Name],0),1))</f>
        <v>4</v>
      </c>
      <c r="C210" s="28">
        <f t="shared" si="13"/>
        <v>2</v>
      </c>
      <c r="D210" s="28">
        <f t="shared" si="14"/>
        <v>24</v>
      </c>
      <c r="E210" s="28">
        <f t="shared" si="15"/>
        <v>0</v>
      </c>
      <c r="F210" s="56" t="str">
        <f t="shared" si="16"/>
        <v/>
      </c>
      <c r="G210" s="53" t="s">
        <v>1160</v>
      </c>
      <c r="H210" s="53"/>
      <c r="I210" s="53"/>
      <c r="J210" s="53"/>
      <c r="K210" s="53"/>
      <c r="L210" s="53"/>
      <c r="M210" s="53"/>
      <c r="N210" s="53"/>
      <c r="O210" s="53"/>
      <c r="P210" s="53"/>
      <c r="Q210" s="53"/>
      <c r="R210" s="13"/>
    </row>
    <row r="211" spans="1:18" ht="90" x14ac:dyDescent="0.25">
      <c r="A211" s="9" t="s">
        <v>21</v>
      </c>
      <c r="B211" s="28">
        <f>IF(ISBLANK(A211),0,INDEX(txtstylestab[],MATCH(A211,txtstylestab[style_Name],0),1))</f>
        <v>0</v>
      </c>
      <c r="C211" s="28">
        <f t="shared" si="13"/>
        <v>2</v>
      </c>
      <c r="D211" s="28">
        <f t="shared" si="14"/>
        <v>24</v>
      </c>
      <c r="E211" s="28">
        <f t="shared" si="15"/>
        <v>0</v>
      </c>
      <c r="F211" s="59" t="str">
        <f t="shared" si="16"/>
        <v/>
      </c>
      <c r="G211" s="42" t="s">
        <v>1600</v>
      </c>
      <c r="H211" s="43" t="s">
        <v>2138</v>
      </c>
      <c r="I211" s="44" t="s">
        <v>1652</v>
      </c>
      <c r="J211" s="45" t="s">
        <v>1161</v>
      </c>
      <c r="K211" s="46" t="s">
        <v>1162</v>
      </c>
      <c r="L211" s="47" t="s">
        <v>2953</v>
      </c>
      <c r="M211" s="48" t="s">
        <v>2954</v>
      </c>
      <c r="N211" s="49"/>
      <c r="O211" s="50" t="s">
        <v>3185</v>
      </c>
      <c r="P211" s="59"/>
      <c r="Q211" s="59"/>
      <c r="R211" s="13"/>
    </row>
    <row r="212" spans="1:18" x14ac:dyDescent="0.25">
      <c r="A212" s="9" t="s">
        <v>21</v>
      </c>
      <c r="B212" s="28">
        <f>IF(ISBLANK(A212),0,INDEX(txtstylestab[],MATCH(A212,txtstylestab[style_Name],0),1))</f>
        <v>0</v>
      </c>
      <c r="C212" s="28">
        <f t="shared" si="13"/>
        <v>2</v>
      </c>
      <c r="D212" s="28">
        <f t="shared" si="14"/>
        <v>24</v>
      </c>
      <c r="E212" s="28">
        <f t="shared" si="15"/>
        <v>0</v>
      </c>
      <c r="F212" s="59" t="str">
        <f t="shared" si="16"/>
        <v/>
      </c>
      <c r="G212" s="42" t="s">
        <v>6</v>
      </c>
      <c r="H212" s="43" t="s">
        <v>26</v>
      </c>
      <c r="I212" s="44" t="s">
        <v>48</v>
      </c>
      <c r="J212" s="45" t="s">
        <v>54</v>
      </c>
      <c r="K212" s="46" t="s">
        <v>59</v>
      </c>
      <c r="L212" s="47" t="s">
        <v>2525</v>
      </c>
      <c r="M212" s="48" t="s">
        <v>2526</v>
      </c>
      <c r="N212" s="49"/>
      <c r="O212" s="50" t="s">
        <v>3173</v>
      </c>
      <c r="P212" s="50"/>
      <c r="Q212" s="59"/>
      <c r="R212" s="13"/>
    </row>
    <row r="213" spans="1:18" ht="18" thickBot="1" x14ac:dyDescent="0.35">
      <c r="A213" s="9" t="s">
        <v>11</v>
      </c>
      <c r="B213" s="28">
        <f>IF(ISBLANK(A213),0,INDEX(txtstylestab[],MATCH(A213,txtstylestab[style_Name],0),1))</f>
        <v>2</v>
      </c>
      <c r="C213" s="28">
        <f t="shared" si="13"/>
        <v>2</v>
      </c>
      <c r="D213" s="28">
        <f t="shared" si="14"/>
        <v>25</v>
      </c>
      <c r="E213" s="28">
        <f t="shared" si="15"/>
        <v>0</v>
      </c>
      <c r="F213" s="54" t="str">
        <f t="shared" si="16"/>
        <v>2.25.</v>
      </c>
      <c r="G213" s="54" t="s">
        <v>1163</v>
      </c>
      <c r="H213" s="54"/>
      <c r="I213" s="54"/>
      <c r="J213" s="54"/>
      <c r="K213" s="54"/>
      <c r="L213" s="54"/>
      <c r="M213" s="54"/>
      <c r="N213" s="54"/>
      <c r="O213" s="54"/>
      <c r="P213" s="54"/>
      <c r="Q213" s="54"/>
      <c r="R213" s="13"/>
    </row>
    <row r="214" spans="1:18" ht="15.75" thickTop="1" x14ac:dyDescent="0.25">
      <c r="A214" s="9" t="s">
        <v>21</v>
      </c>
      <c r="B214" s="28">
        <f>IF(ISBLANK(A214),0,INDEX(txtstylestab[],MATCH(A214,txtstylestab[style_Name],0),1))</f>
        <v>0</v>
      </c>
      <c r="C214" s="28">
        <f t="shared" si="13"/>
        <v>2</v>
      </c>
      <c r="D214" s="28">
        <f t="shared" si="14"/>
        <v>25</v>
      </c>
      <c r="E214" s="28">
        <f t="shared" si="15"/>
        <v>0</v>
      </c>
      <c r="F214" s="59" t="str">
        <f t="shared" si="16"/>
        <v/>
      </c>
      <c r="G214" s="42" t="s">
        <v>344</v>
      </c>
      <c r="H214" s="43" t="s">
        <v>863</v>
      </c>
      <c r="I214" s="44" t="s">
        <v>84</v>
      </c>
      <c r="J214" s="45" t="s">
        <v>1091</v>
      </c>
      <c r="K214" s="46" t="s">
        <v>86</v>
      </c>
      <c r="L214" s="47" t="s">
        <v>2398</v>
      </c>
      <c r="M214" s="48" t="s">
        <v>2333</v>
      </c>
      <c r="N214" s="49"/>
      <c r="O214" s="50" t="s">
        <v>3166</v>
      </c>
      <c r="P214" s="59"/>
      <c r="Q214" s="59"/>
      <c r="R214" s="13"/>
    </row>
    <row r="215" spans="1:18" ht="60" x14ac:dyDescent="0.25">
      <c r="A215" s="9" t="s">
        <v>21</v>
      </c>
      <c r="B215" s="28">
        <f>IF(ISBLANK(A215),0,INDEX(txtstylestab[],MATCH(A215,txtstylestab[style_Name],0),1))</f>
        <v>0</v>
      </c>
      <c r="C215" s="28">
        <f t="shared" si="13"/>
        <v>2</v>
      </c>
      <c r="D215" s="28">
        <f t="shared" si="14"/>
        <v>25</v>
      </c>
      <c r="E215" s="28">
        <f t="shared" si="15"/>
        <v>0</v>
      </c>
      <c r="F215" s="59" t="str">
        <f t="shared" si="16"/>
        <v/>
      </c>
      <c r="G215" s="42" t="s">
        <v>2033</v>
      </c>
      <c r="H215" s="43" t="s">
        <v>2034</v>
      </c>
      <c r="I215" s="44" t="s">
        <v>2035</v>
      </c>
      <c r="J215" s="45" t="s">
        <v>2036</v>
      </c>
      <c r="K215" s="46" t="s">
        <v>2037</v>
      </c>
      <c r="L215" s="47" t="s">
        <v>2993</v>
      </c>
      <c r="M215" s="48" t="s">
        <v>2960</v>
      </c>
      <c r="N215" s="49"/>
      <c r="O215" s="50" t="s">
        <v>3181</v>
      </c>
      <c r="P215" s="59"/>
      <c r="Q215" s="59"/>
      <c r="R215" s="13"/>
    </row>
    <row r="216" spans="1:18" ht="45" x14ac:dyDescent="0.25">
      <c r="A216" s="9" t="s">
        <v>21</v>
      </c>
      <c r="B216" s="28">
        <f>IF(ISBLANK(A216),0,INDEX(txtstylestab[],MATCH(A216,txtstylestab[style_Name],0),1))</f>
        <v>0</v>
      </c>
      <c r="C216" s="28">
        <f t="shared" si="13"/>
        <v>2</v>
      </c>
      <c r="D216" s="28">
        <f t="shared" si="14"/>
        <v>25</v>
      </c>
      <c r="E216" s="28">
        <f t="shared" si="15"/>
        <v>0</v>
      </c>
      <c r="F216" s="59" t="str">
        <f t="shared" si="16"/>
        <v/>
      </c>
      <c r="G216" s="42" t="s">
        <v>2049</v>
      </c>
      <c r="H216" s="43" t="s">
        <v>2050</v>
      </c>
      <c r="I216" s="44" t="s">
        <v>2042</v>
      </c>
      <c r="J216" s="45" t="s">
        <v>2044</v>
      </c>
      <c r="K216" s="46" t="s">
        <v>2046</v>
      </c>
      <c r="L216" s="47" t="s">
        <v>2810</v>
      </c>
      <c r="M216" s="48" t="s">
        <v>2961</v>
      </c>
      <c r="N216" s="49"/>
      <c r="O216" s="50" t="s">
        <v>3177</v>
      </c>
      <c r="P216" s="59"/>
      <c r="Q216" s="59"/>
      <c r="R216" s="13"/>
    </row>
    <row r="217" spans="1:18" ht="30" x14ac:dyDescent="0.25">
      <c r="A217" s="9" t="s">
        <v>21</v>
      </c>
      <c r="B217" s="28">
        <f>IF(ISBLANK(A217),0,INDEX(txtstylestab[],MATCH(A217,txtstylestab[style_Name],0),1))</f>
        <v>0</v>
      </c>
      <c r="C217" s="28">
        <f t="shared" si="13"/>
        <v>2</v>
      </c>
      <c r="D217" s="28">
        <f t="shared" si="14"/>
        <v>25</v>
      </c>
      <c r="E217" s="28">
        <f t="shared" si="15"/>
        <v>0</v>
      </c>
      <c r="F217" s="59" t="str">
        <f t="shared" si="16"/>
        <v/>
      </c>
      <c r="G217" s="42" t="s">
        <v>2039</v>
      </c>
      <c r="H217" s="43" t="s">
        <v>2041</v>
      </c>
      <c r="I217" s="44" t="s">
        <v>2043</v>
      </c>
      <c r="J217" s="45" t="s">
        <v>2045</v>
      </c>
      <c r="K217" s="46" t="s">
        <v>2047</v>
      </c>
      <c r="L217" s="47" t="s">
        <v>2955</v>
      </c>
      <c r="M217" s="48" t="s">
        <v>2962</v>
      </c>
      <c r="N217" s="49"/>
      <c r="O217" s="50" t="s">
        <v>3178</v>
      </c>
      <c r="P217" s="59"/>
      <c r="Q217" s="59"/>
      <c r="R217" s="13"/>
    </row>
    <row r="218" spans="1:18" ht="45" x14ac:dyDescent="0.25">
      <c r="A218" s="9" t="s">
        <v>21</v>
      </c>
      <c r="B218" s="28">
        <f>IF(ISBLANK(A218),0,INDEX(txtstylestab[],MATCH(A218,txtstylestab[style_Name],0),1))</f>
        <v>0</v>
      </c>
      <c r="C218" s="28">
        <f t="shared" si="13"/>
        <v>2</v>
      </c>
      <c r="D218" s="28">
        <f t="shared" si="14"/>
        <v>25</v>
      </c>
      <c r="E218" s="28">
        <f t="shared" si="15"/>
        <v>0</v>
      </c>
      <c r="F218" s="59" t="str">
        <f t="shared" si="16"/>
        <v/>
      </c>
      <c r="G218" s="42" t="s">
        <v>1166</v>
      </c>
      <c r="H218" s="43" t="s">
        <v>1167</v>
      </c>
      <c r="I218" s="44" t="s">
        <v>1168</v>
      </c>
      <c r="J218" s="45" t="s">
        <v>1169</v>
      </c>
      <c r="K218" s="46" t="s">
        <v>1170</v>
      </c>
      <c r="L218" s="47" t="s">
        <v>2956</v>
      </c>
      <c r="M218" s="48" t="s">
        <v>2957</v>
      </c>
      <c r="N218" s="49"/>
      <c r="O218" s="50" t="s">
        <v>3179</v>
      </c>
      <c r="P218" s="59"/>
      <c r="Q218" s="59"/>
      <c r="R218" s="13"/>
    </row>
    <row r="219" spans="1:18" ht="45" x14ac:dyDescent="0.25">
      <c r="A219" s="9" t="s">
        <v>21</v>
      </c>
      <c r="B219" s="28">
        <f>IF(ISBLANK(A219),0,INDEX(txtstylestab[],MATCH(A219,txtstylestab[style_Name],0),1))</f>
        <v>0</v>
      </c>
      <c r="C219" s="28">
        <f t="shared" si="13"/>
        <v>2</v>
      </c>
      <c r="D219" s="28">
        <f t="shared" si="14"/>
        <v>25</v>
      </c>
      <c r="E219" s="28">
        <f t="shared" si="15"/>
        <v>0</v>
      </c>
      <c r="F219" s="59" t="str">
        <f t="shared" si="16"/>
        <v/>
      </c>
      <c r="G219" s="42" t="s">
        <v>1171</v>
      </c>
      <c r="H219" s="43" t="s">
        <v>1172</v>
      </c>
      <c r="I219" s="44" t="s">
        <v>1173</v>
      </c>
      <c r="J219" s="45" t="s">
        <v>1709</v>
      </c>
      <c r="K219" s="46" t="s">
        <v>1174</v>
      </c>
      <c r="L219" s="47" t="s">
        <v>2964</v>
      </c>
      <c r="M219" s="48" t="s">
        <v>2963</v>
      </c>
      <c r="N219" s="49"/>
      <c r="O219" s="50" t="s">
        <v>3180</v>
      </c>
      <c r="P219" s="59"/>
      <c r="Q219" s="59"/>
      <c r="R219" s="13"/>
    </row>
    <row r="220" spans="1:18" ht="75" x14ac:dyDescent="0.25">
      <c r="A220" s="9" t="s">
        <v>21</v>
      </c>
      <c r="B220" s="28">
        <f>IF(ISBLANK(A220),0,INDEX(txtstylestab[],MATCH(A220,txtstylestab[style_Name],0),1))</f>
        <v>0</v>
      </c>
      <c r="C220" s="28">
        <f t="shared" si="13"/>
        <v>2</v>
      </c>
      <c r="D220" s="28">
        <f t="shared" si="14"/>
        <v>25</v>
      </c>
      <c r="E220" s="28">
        <f t="shared" si="15"/>
        <v>0</v>
      </c>
      <c r="F220" s="59" t="str">
        <f t="shared" si="16"/>
        <v/>
      </c>
      <c r="G220" s="42" t="s">
        <v>1175</v>
      </c>
      <c r="H220" s="43" t="s">
        <v>2048</v>
      </c>
      <c r="I220" s="44" t="s">
        <v>1176</v>
      </c>
      <c r="J220" s="45" t="s">
        <v>1177</v>
      </c>
      <c r="K220" s="46" t="s">
        <v>1731</v>
      </c>
      <c r="L220" s="47" t="s">
        <v>2958</v>
      </c>
      <c r="M220" s="48" t="s">
        <v>2959</v>
      </c>
      <c r="N220" s="49"/>
      <c r="O220" s="50" t="s">
        <v>3182</v>
      </c>
      <c r="P220" s="59"/>
      <c r="Q220" s="59"/>
      <c r="R220" s="13"/>
    </row>
    <row r="221" spans="1:18" ht="45" x14ac:dyDescent="0.25">
      <c r="A221" s="9" t="s">
        <v>21</v>
      </c>
      <c r="B221" s="28">
        <f>IF(ISBLANK(A221),0,INDEX(txtstylestab[],MATCH(A221,txtstylestab[style_Name],0),1))</f>
        <v>0</v>
      </c>
      <c r="C221" s="28">
        <f t="shared" si="13"/>
        <v>2</v>
      </c>
      <c r="D221" s="28">
        <f t="shared" si="14"/>
        <v>25</v>
      </c>
      <c r="E221" s="28">
        <f t="shared" si="15"/>
        <v>0</v>
      </c>
      <c r="F221" s="59" t="str">
        <f t="shared" si="16"/>
        <v/>
      </c>
      <c r="G221" s="42" t="s">
        <v>536</v>
      </c>
      <c r="H221" s="43" t="s">
        <v>537</v>
      </c>
      <c r="I221" s="44" t="s">
        <v>503</v>
      </c>
      <c r="J221" s="45" t="s">
        <v>504</v>
      </c>
      <c r="K221" s="46" t="s">
        <v>538</v>
      </c>
      <c r="L221" s="47" t="s">
        <v>2915</v>
      </c>
      <c r="M221" s="48" t="s">
        <v>2916</v>
      </c>
      <c r="N221" s="49"/>
      <c r="O221" s="50" t="s">
        <v>3183</v>
      </c>
      <c r="P221" s="59"/>
      <c r="Q221" s="59"/>
      <c r="R221" s="13"/>
    </row>
    <row r="222" spans="1:18" ht="30" x14ac:dyDescent="0.25">
      <c r="A222" s="9" t="s">
        <v>21</v>
      </c>
      <c r="B222" s="28">
        <f>IF(ISBLANK(A222),0,INDEX(txtstylestab[],MATCH(A222,txtstylestab[style_Name],0),1))</f>
        <v>0</v>
      </c>
      <c r="C222" s="28">
        <f t="shared" si="13"/>
        <v>2</v>
      </c>
      <c r="D222" s="28">
        <f t="shared" si="14"/>
        <v>25</v>
      </c>
      <c r="E222" s="28">
        <f t="shared" si="15"/>
        <v>0</v>
      </c>
      <c r="F222" s="59" t="str">
        <f t="shared" si="16"/>
        <v/>
      </c>
      <c r="G222" s="42" t="s">
        <v>562</v>
      </c>
      <c r="H222" s="43" t="s">
        <v>26</v>
      </c>
      <c r="I222" s="44" t="s">
        <v>48</v>
      </c>
      <c r="J222" s="45" t="s">
        <v>54</v>
      </c>
      <c r="K222" s="46" t="s">
        <v>59</v>
      </c>
      <c r="L222" s="47" t="s">
        <v>2525</v>
      </c>
      <c r="M222" s="48" t="s">
        <v>2526</v>
      </c>
      <c r="N222" s="49"/>
      <c r="O222" s="50" t="s">
        <v>3173</v>
      </c>
      <c r="P222" s="59"/>
      <c r="Q222" s="59"/>
      <c r="R222" s="13"/>
    </row>
    <row r="223" spans="1:18" ht="18" thickBot="1" x14ac:dyDescent="0.35">
      <c r="A223" s="9" t="s">
        <v>11</v>
      </c>
      <c r="B223" s="28">
        <f>IF(ISBLANK(A223),0,INDEX(txtstylestab[],MATCH(A223,txtstylestab[style_Name],0),1))</f>
        <v>2</v>
      </c>
      <c r="C223" s="28">
        <f t="shared" si="13"/>
        <v>2</v>
      </c>
      <c r="D223" s="28">
        <f t="shared" si="14"/>
        <v>26</v>
      </c>
      <c r="E223" s="28">
        <f t="shared" si="15"/>
        <v>0</v>
      </c>
      <c r="F223" s="54" t="str">
        <f t="shared" si="16"/>
        <v>2.26.</v>
      </c>
      <c r="G223" s="54" t="s">
        <v>1178</v>
      </c>
      <c r="H223" s="54"/>
      <c r="I223" s="54"/>
      <c r="J223" s="54"/>
      <c r="K223" s="54"/>
      <c r="L223" s="54"/>
      <c r="M223" s="54"/>
      <c r="N223" s="54"/>
      <c r="O223" s="54"/>
      <c r="P223" s="54"/>
      <c r="Q223" s="54"/>
      <c r="R223" s="13"/>
    </row>
    <row r="224" spans="1:18" ht="15.75" thickTop="1" x14ac:dyDescent="0.25">
      <c r="A224" s="9" t="s">
        <v>21</v>
      </c>
      <c r="B224" s="28">
        <f>IF(ISBLANK(A224),0,INDEX(txtstylestab[],MATCH(A224,txtstylestab[style_Name],0),1))</f>
        <v>0</v>
      </c>
      <c r="C224" s="28">
        <f t="shared" si="13"/>
        <v>2</v>
      </c>
      <c r="D224" s="28">
        <f t="shared" si="14"/>
        <v>26</v>
      </c>
      <c r="E224" s="28">
        <f t="shared" si="15"/>
        <v>0</v>
      </c>
      <c r="F224" s="59" t="str">
        <f t="shared" si="16"/>
        <v/>
      </c>
      <c r="G224" s="42" t="s">
        <v>82</v>
      </c>
      <c r="H224" s="43" t="s">
        <v>83</v>
      </c>
      <c r="I224" s="44" t="s">
        <v>84</v>
      </c>
      <c r="J224" s="45" t="s">
        <v>85</v>
      </c>
      <c r="K224" s="46" t="s">
        <v>86</v>
      </c>
      <c r="L224" s="47" t="s">
        <v>2398</v>
      </c>
      <c r="M224" s="48" t="s">
        <v>2333</v>
      </c>
      <c r="N224" s="49"/>
      <c r="O224" s="50" t="s">
        <v>3166</v>
      </c>
      <c r="P224" s="59"/>
      <c r="Q224" s="59"/>
      <c r="R224" s="13"/>
    </row>
    <row r="225" spans="1:18" ht="60" x14ac:dyDescent="0.25">
      <c r="A225" s="9" t="s">
        <v>21</v>
      </c>
      <c r="B225" s="28">
        <f>IF(ISBLANK(A225),0,INDEX(txtstylestab[],MATCH(A225,txtstylestab[style_Name],0),1))</f>
        <v>0</v>
      </c>
      <c r="C225" s="28">
        <f t="shared" si="13"/>
        <v>2</v>
      </c>
      <c r="D225" s="28">
        <f t="shared" si="14"/>
        <v>26</v>
      </c>
      <c r="E225" s="28">
        <f t="shared" si="15"/>
        <v>0</v>
      </c>
      <c r="F225" s="59" t="str">
        <f t="shared" si="16"/>
        <v/>
      </c>
      <c r="G225" s="42" t="s">
        <v>1179</v>
      </c>
      <c r="H225" s="43" t="s">
        <v>1180</v>
      </c>
      <c r="I225" s="44" t="s">
        <v>1181</v>
      </c>
      <c r="J225" s="45" t="s">
        <v>1182</v>
      </c>
      <c r="K225" s="46" t="s">
        <v>1183</v>
      </c>
      <c r="L225" s="47"/>
      <c r="M225" s="48"/>
      <c r="N225" s="49"/>
      <c r="O225" s="50" t="s">
        <v>3174</v>
      </c>
      <c r="P225" s="59"/>
      <c r="Q225" s="59"/>
      <c r="R225" s="13"/>
    </row>
    <row r="226" spans="1:18" ht="30" x14ac:dyDescent="0.25">
      <c r="A226" s="9" t="s">
        <v>21</v>
      </c>
      <c r="B226" s="28">
        <f>IF(ISBLANK(A226),0,INDEX(txtstylestab[],MATCH(A226,txtstylestab[style_Name],0),1))</f>
        <v>0</v>
      </c>
      <c r="C226" s="28">
        <f t="shared" si="13"/>
        <v>2</v>
      </c>
      <c r="D226" s="28">
        <f t="shared" si="14"/>
        <v>26</v>
      </c>
      <c r="E226" s="28">
        <f t="shared" si="15"/>
        <v>0</v>
      </c>
      <c r="F226" s="59" t="str">
        <f t="shared" si="16"/>
        <v/>
      </c>
      <c r="G226" s="42" t="s">
        <v>1184</v>
      </c>
      <c r="H226" s="43" t="s">
        <v>1185</v>
      </c>
      <c r="I226" s="44" t="s">
        <v>1186</v>
      </c>
      <c r="J226" s="45" t="s">
        <v>1187</v>
      </c>
      <c r="K226" s="46" t="s">
        <v>1188</v>
      </c>
      <c r="L226" s="47"/>
      <c r="M226" s="48"/>
      <c r="N226" s="49"/>
      <c r="O226" s="50" t="s">
        <v>3175</v>
      </c>
      <c r="P226" s="59"/>
      <c r="Q226" s="59"/>
      <c r="R226" s="13"/>
    </row>
    <row r="227" spans="1:18" ht="45" x14ac:dyDescent="0.25">
      <c r="A227" s="9" t="s">
        <v>21</v>
      </c>
      <c r="B227" s="28">
        <f>IF(ISBLANK(A227),0,INDEX(txtstylestab[],MATCH(A227,txtstylestab[style_Name],0),1))</f>
        <v>0</v>
      </c>
      <c r="C227" s="28">
        <f t="shared" si="13"/>
        <v>2</v>
      </c>
      <c r="D227" s="28">
        <f t="shared" si="14"/>
        <v>26</v>
      </c>
      <c r="E227" s="28">
        <f t="shared" si="15"/>
        <v>0</v>
      </c>
      <c r="F227" s="59" t="str">
        <f t="shared" si="16"/>
        <v/>
      </c>
      <c r="G227" s="42" t="s">
        <v>536</v>
      </c>
      <c r="H227" s="43" t="s">
        <v>537</v>
      </c>
      <c r="I227" s="44" t="s">
        <v>503</v>
      </c>
      <c r="J227" s="45" t="s">
        <v>504</v>
      </c>
      <c r="K227" s="46" t="s">
        <v>538</v>
      </c>
      <c r="L227" s="47"/>
      <c r="M227" s="48"/>
      <c r="N227" s="49"/>
      <c r="O227" s="50" t="s">
        <v>3176</v>
      </c>
      <c r="P227" s="59"/>
      <c r="Q227" s="59"/>
      <c r="R227" s="13"/>
    </row>
    <row r="228" spans="1:18" x14ac:dyDescent="0.25">
      <c r="A228" s="9" t="s">
        <v>21</v>
      </c>
      <c r="B228" s="28">
        <f>IF(ISBLANK(A228),0,INDEX(txtstylestab[],MATCH(A228,txtstylestab[style_Name],0),1))</f>
        <v>0</v>
      </c>
      <c r="C228" s="28">
        <f t="shared" si="13"/>
        <v>2</v>
      </c>
      <c r="D228" s="28">
        <f t="shared" si="14"/>
        <v>26</v>
      </c>
      <c r="E228" s="28">
        <f t="shared" si="15"/>
        <v>0</v>
      </c>
      <c r="F228" s="59" t="str">
        <f t="shared" si="16"/>
        <v/>
      </c>
      <c r="G228" s="42" t="s">
        <v>6</v>
      </c>
      <c r="H228" s="43" t="s">
        <v>26</v>
      </c>
      <c r="I228" s="44" t="s">
        <v>48</v>
      </c>
      <c r="J228" s="45" t="s">
        <v>384</v>
      </c>
      <c r="K228" s="46" t="s">
        <v>59</v>
      </c>
      <c r="L228" s="47" t="s">
        <v>2525</v>
      </c>
      <c r="M228" s="48" t="s">
        <v>2526</v>
      </c>
      <c r="N228" s="49"/>
      <c r="O228" s="50" t="s">
        <v>3173</v>
      </c>
      <c r="P228" s="59"/>
      <c r="Q228" s="59"/>
      <c r="R228" s="13"/>
    </row>
    <row r="229" spans="1:18" x14ac:dyDescent="0.25">
      <c r="A229" s="9" t="s">
        <v>13</v>
      </c>
      <c r="B229" s="28">
        <f>IF(ISBLANK(A229),0,INDEX(txtstylestab[],MATCH(A229,txtstylestab[style_Name],0),1))</f>
        <v>7</v>
      </c>
      <c r="C229" s="28">
        <f t="shared" si="13"/>
        <v>2</v>
      </c>
      <c r="D229" s="28">
        <f t="shared" si="14"/>
        <v>26</v>
      </c>
      <c r="E229" s="28">
        <f t="shared" si="15"/>
        <v>0</v>
      </c>
      <c r="F229" s="78" t="str">
        <f t="shared" si="16"/>
        <v/>
      </c>
      <c r="G229" s="78" t="s">
        <v>761</v>
      </c>
      <c r="H229" s="78"/>
      <c r="I229" s="78"/>
      <c r="J229" s="78"/>
      <c r="K229" s="78"/>
      <c r="L229" s="78"/>
      <c r="M229" s="78"/>
      <c r="N229" s="78"/>
      <c r="O229" s="78"/>
      <c r="P229" s="78"/>
      <c r="Q229" s="78"/>
      <c r="R229" s="13"/>
    </row>
    <row r="230" spans="1:18" ht="18" thickBot="1" x14ac:dyDescent="0.35">
      <c r="A230" s="9" t="s">
        <v>11</v>
      </c>
      <c r="B230" s="28">
        <f>IF(ISBLANK(A230),0,INDEX(txtstylestab[],MATCH(A230,txtstylestab[style_Name],0),1))</f>
        <v>2</v>
      </c>
      <c r="C230" s="28">
        <f t="shared" si="13"/>
        <v>2</v>
      </c>
      <c r="D230" s="28">
        <f t="shared" si="14"/>
        <v>27</v>
      </c>
      <c r="E230" s="28">
        <f t="shared" si="15"/>
        <v>0</v>
      </c>
      <c r="F230" s="54" t="str">
        <f t="shared" si="16"/>
        <v>2.27.</v>
      </c>
      <c r="G230" s="54" t="s">
        <v>1189</v>
      </c>
      <c r="H230" s="54"/>
      <c r="I230" s="54"/>
      <c r="J230" s="54"/>
      <c r="K230" s="54"/>
      <c r="L230" s="54"/>
      <c r="M230" s="54"/>
      <c r="N230" s="54"/>
      <c r="O230" s="54"/>
      <c r="P230" s="54"/>
      <c r="Q230" s="54"/>
      <c r="R230" s="13"/>
    </row>
    <row r="231" spans="1:18" ht="15.75" thickTop="1" x14ac:dyDescent="0.25">
      <c r="A231" s="9" t="s">
        <v>21</v>
      </c>
      <c r="B231" s="28">
        <f>IF(ISBLANK(A231),0,INDEX(txtstylestab[],MATCH(A231,txtstylestab[style_Name],0),1))</f>
        <v>0</v>
      </c>
      <c r="C231" s="28">
        <f t="shared" si="13"/>
        <v>2</v>
      </c>
      <c r="D231" s="28">
        <f t="shared" si="14"/>
        <v>27</v>
      </c>
      <c r="E231" s="28">
        <f t="shared" si="15"/>
        <v>0</v>
      </c>
      <c r="F231" s="59" t="str">
        <f t="shared" si="16"/>
        <v/>
      </c>
      <c r="G231" s="42" t="s">
        <v>82</v>
      </c>
      <c r="H231" s="43" t="s">
        <v>83</v>
      </c>
      <c r="I231" s="44" t="s">
        <v>84</v>
      </c>
      <c r="J231" s="45" t="s">
        <v>85</v>
      </c>
      <c r="K231" s="46" t="s">
        <v>86</v>
      </c>
      <c r="L231" s="47" t="s">
        <v>2398</v>
      </c>
      <c r="M231" s="48" t="s">
        <v>2333</v>
      </c>
      <c r="N231" s="49"/>
      <c r="O231" s="50" t="s">
        <v>3166</v>
      </c>
      <c r="P231" s="59"/>
      <c r="Q231" s="59"/>
      <c r="R231" s="13"/>
    </row>
    <row r="232" spans="1:18" ht="105" x14ac:dyDescent="0.25">
      <c r="A232" s="9" t="s">
        <v>21</v>
      </c>
      <c r="B232" s="28">
        <f>IF(ISBLANK(A232),0,INDEX(txtstylestab[],MATCH(A232,txtstylestab[style_Name],0),1))</f>
        <v>0</v>
      </c>
      <c r="C232" s="28">
        <f t="shared" si="13"/>
        <v>2</v>
      </c>
      <c r="D232" s="28">
        <f t="shared" si="14"/>
        <v>27</v>
      </c>
      <c r="E232" s="28">
        <f t="shared" si="15"/>
        <v>0</v>
      </c>
      <c r="F232" s="59" t="str">
        <f t="shared" si="16"/>
        <v/>
      </c>
      <c r="G232" s="42" t="s">
        <v>1190</v>
      </c>
      <c r="H232" s="43" t="s">
        <v>1191</v>
      </c>
      <c r="I232" s="44" t="s">
        <v>1653</v>
      </c>
      <c r="J232" s="45" t="s">
        <v>1192</v>
      </c>
      <c r="K232" s="46" t="s">
        <v>1193</v>
      </c>
      <c r="L232" s="47" t="s">
        <v>2965</v>
      </c>
      <c r="M232" s="48" t="s">
        <v>2966</v>
      </c>
      <c r="N232" s="49"/>
      <c r="O232" s="50" t="s">
        <v>3171</v>
      </c>
      <c r="P232" s="59"/>
      <c r="Q232" s="59"/>
      <c r="R232" s="13"/>
    </row>
    <row r="233" spans="1:18" ht="45" x14ac:dyDescent="0.25">
      <c r="A233" s="9" t="s">
        <v>21</v>
      </c>
      <c r="B233" s="28">
        <f>IF(ISBLANK(A233),0,INDEX(txtstylestab[],MATCH(A233,txtstylestab[style_Name],0),1))</f>
        <v>0</v>
      </c>
      <c r="C233" s="28">
        <f t="shared" si="13"/>
        <v>2</v>
      </c>
      <c r="D233" s="28">
        <f t="shared" si="14"/>
        <v>27</v>
      </c>
      <c r="E233" s="28">
        <f t="shared" si="15"/>
        <v>0</v>
      </c>
      <c r="F233" s="59" t="str">
        <f t="shared" si="16"/>
        <v/>
      </c>
      <c r="G233" s="42" t="s">
        <v>1194</v>
      </c>
      <c r="H233" s="43" t="s">
        <v>1195</v>
      </c>
      <c r="I233" s="44" t="s">
        <v>1196</v>
      </c>
      <c r="J233" s="45" t="s">
        <v>1197</v>
      </c>
      <c r="K233" s="46" t="s">
        <v>1198</v>
      </c>
      <c r="L233" s="47" t="s">
        <v>2967</v>
      </c>
      <c r="M233" s="48" t="s">
        <v>2968</v>
      </c>
      <c r="N233" s="49"/>
      <c r="O233" s="50" t="s">
        <v>3172</v>
      </c>
      <c r="P233" s="59"/>
      <c r="Q233" s="59"/>
      <c r="R233" s="13"/>
    </row>
    <row r="234" spans="1:18" x14ac:dyDescent="0.25">
      <c r="A234" s="9" t="s">
        <v>21</v>
      </c>
      <c r="B234" s="28">
        <f>IF(ISBLANK(A234),0,INDEX(txtstylestab[],MATCH(A234,txtstylestab[style_Name],0),1))</f>
        <v>0</v>
      </c>
      <c r="C234" s="28">
        <f t="shared" si="13"/>
        <v>2</v>
      </c>
      <c r="D234" s="28">
        <f t="shared" si="14"/>
        <v>27</v>
      </c>
      <c r="E234" s="28">
        <f t="shared" si="15"/>
        <v>0</v>
      </c>
      <c r="F234" s="59" t="str">
        <f t="shared" si="16"/>
        <v/>
      </c>
      <c r="G234" s="42" t="s">
        <v>6</v>
      </c>
      <c r="H234" s="43" t="s">
        <v>26</v>
      </c>
      <c r="I234" s="44" t="s">
        <v>48</v>
      </c>
      <c r="J234" s="45" t="s">
        <v>384</v>
      </c>
      <c r="K234" s="46" t="s">
        <v>59</v>
      </c>
      <c r="L234" s="47" t="s">
        <v>2525</v>
      </c>
      <c r="M234" s="48" t="s">
        <v>2526</v>
      </c>
      <c r="N234" s="49"/>
      <c r="O234" s="50" t="s">
        <v>3173</v>
      </c>
      <c r="P234" s="59"/>
      <c r="Q234" s="59"/>
      <c r="R234" s="13"/>
    </row>
    <row r="235" spans="1:18" ht="18" thickBot="1" x14ac:dyDescent="0.35">
      <c r="A235" s="9" t="s">
        <v>11</v>
      </c>
      <c r="B235" s="28">
        <f>IF(ISBLANK(A235),0,INDEX(txtstylestab[],MATCH(A235,txtstylestab[style_Name],0),1))</f>
        <v>2</v>
      </c>
      <c r="C235" s="28">
        <f t="shared" si="13"/>
        <v>2</v>
      </c>
      <c r="D235" s="28">
        <f t="shared" si="14"/>
        <v>28</v>
      </c>
      <c r="E235" s="28">
        <f t="shared" si="15"/>
        <v>0</v>
      </c>
      <c r="F235" s="54" t="str">
        <f t="shared" si="16"/>
        <v>2.28.</v>
      </c>
      <c r="G235" s="54" t="s">
        <v>1199</v>
      </c>
      <c r="H235" s="54"/>
      <c r="I235" s="54"/>
      <c r="J235" s="54"/>
      <c r="K235" s="54"/>
      <c r="L235" s="54"/>
      <c r="M235" s="54"/>
      <c r="N235" s="54"/>
      <c r="O235" s="54"/>
      <c r="P235" s="54"/>
      <c r="Q235" s="54"/>
      <c r="R235" s="13"/>
    </row>
    <row r="236" spans="1:18" ht="15.75" thickTop="1" x14ac:dyDescent="0.25">
      <c r="A236" s="9" t="s">
        <v>21</v>
      </c>
      <c r="B236" s="28">
        <f>IF(ISBLANK(A236),0,INDEX(txtstylestab[],MATCH(A236,txtstylestab[style_Name],0),1))</f>
        <v>0</v>
      </c>
      <c r="C236" s="28">
        <f t="shared" si="13"/>
        <v>2</v>
      </c>
      <c r="D236" s="28">
        <f t="shared" si="14"/>
        <v>28</v>
      </c>
      <c r="E236" s="28">
        <f t="shared" si="15"/>
        <v>0</v>
      </c>
      <c r="F236" s="59" t="str">
        <f t="shared" si="16"/>
        <v/>
      </c>
      <c r="G236" s="42" t="s">
        <v>82</v>
      </c>
      <c r="H236" s="43" t="s">
        <v>852</v>
      </c>
      <c r="I236" s="44" t="s">
        <v>84</v>
      </c>
      <c r="J236" s="45" t="s">
        <v>85</v>
      </c>
      <c r="K236" s="46" t="s">
        <v>86</v>
      </c>
      <c r="L236" s="47" t="s">
        <v>2398</v>
      </c>
      <c r="M236" s="48" t="s">
        <v>2333</v>
      </c>
      <c r="N236" s="49"/>
      <c r="O236" s="50" t="s">
        <v>3166</v>
      </c>
      <c r="P236" s="59"/>
      <c r="Q236" s="59"/>
      <c r="R236" s="13"/>
    </row>
    <row r="237" spans="1:18" ht="75" x14ac:dyDescent="0.25">
      <c r="A237" s="9" t="s">
        <v>21</v>
      </c>
      <c r="B237" s="28">
        <f>IF(ISBLANK(A237),0,INDEX(txtstylestab[],MATCH(A237,txtstylestab[style_Name],0),1))</f>
        <v>0</v>
      </c>
      <c r="C237" s="28">
        <f t="shared" si="13"/>
        <v>2</v>
      </c>
      <c r="D237" s="28">
        <f t="shared" si="14"/>
        <v>28</v>
      </c>
      <c r="E237" s="28">
        <f t="shared" si="15"/>
        <v>0</v>
      </c>
      <c r="F237" s="59" t="str">
        <f t="shared" si="16"/>
        <v/>
      </c>
      <c r="G237" s="42" t="s">
        <v>1200</v>
      </c>
      <c r="H237" s="43" t="s">
        <v>1201</v>
      </c>
      <c r="I237" s="44" t="s">
        <v>1655</v>
      </c>
      <c r="J237" s="45" t="s">
        <v>1202</v>
      </c>
      <c r="K237" s="46" t="s">
        <v>1203</v>
      </c>
      <c r="L237" s="47" t="s">
        <v>2969</v>
      </c>
      <c r="M237" s="48" t="s">
        <v>2970</v>
      </c>
      <c r="N237" s="49"/>
      <c r="O237" s="50" t="s">
        <v>3169</v>
      </c>
      <c r="P237" s="59"/>
      <c r="Q237" s="59"/>
      <c r="R237" s="13"/>
    </row>
    <row r="238" spans="1:18" ht="45" x14ac:dyDescent="0.25">
      <c r="A238" s="9" t="s">
        <v>21</v>
      </c>
      <c r="B238" s="28">
        <f>IF(ISBLANK(A238),0,INDEX(txtstylestab[],MATCH(A238,txtstylestab[style_Name],0),1))</f>
        <v>0</v>
      </c>
      <c r="C238" s="28">
        <f t="shared" si="13"/>
        <v>2</v>
      </c>
      <c r="D238" s="28">
        <f t="shared" si="14"/>
        <v>28</v>
      </c>
      <c r="E238" s="28">
        <f t="shared" si="15"/>
        <v>0</v>
      </c>
      <c r="F238" s="59" t="str">
        <f t="shared" si="16"/>
        <v/>
      </c>
      <c r="G238" s="42" t="s">
        <v>1204</v>
      </c>
      <c r="H238" s="43" t="s">
        <v>1205</v>
      </c>
      <c r="I238" s="44" t="s">
        <v>1654</v>
      </c>
      <c r="J238" s="45" t="s">
        <v>1206</v>
      </c>
      <c r="K238" s="46" t="s">
        <v>1207</v>
      </c>
      <c r="L238" s="47" t="s">
        <v>2971</v>
      </c>
      <c r="M238" s="48" t="s">
        <v>2972</v>
      </c>
      <c r="N238" s="49"/>
      <c r="O238" s="50" t="s">
        <v>3170</v>
      </c>
      <c r="P238" s="59"/>
      <c r="Q238" s="59"/>
      <c r="R238" s="13"/>
    </row>
    <row r="239" spans="1:18" x14ac:dyDescent="0.25">
      <c r="A239" s="9" t="s">
        <v>21</v>
      </c>
      <c r="B239" s="28">
        <f>IF(ISBLANK(A239),0,INDEX(txtstylestab[],MATCH(A239,txtstylestab[style_Name],0),1))</f>
        <v>0</v>
      </c>
      <c r="C239" s="28">
        <f t="shared" si="13"/>
        <v>2</v>
      </c>
      <c r="D239" s="28">
        <f t="shared" si="14"/>
        <v>28</v>
      </c>
      <c r="E239" s="28">
        <f t="shared" si="15"/>
        <v>0</v>
      </c>
      <c r="F239" s="59" t="str">
        <f t="shared" si="16"/>
        <v/>
      </c>
      <c r="G239" s="42" t="s">
        <v>6</v>
      </c>
      <c r="H239" s="43" t="s">
        <v>26</v>
      </c>
      <c r="I239" s="44" t="s">
        <v>48</v>
      </c>
      <c r="J239" s="45" t="s">
        <v>384</v>
      </c>
      <c r="K239" s="46" t="s">
        <v>59</v>
      </c>
      <c r="L239" s="47" t="s">
        <v>2525</v>
      </c>
      <c r="M239" s="48" t="s">
        <v>2526</v>
      </c>
      <c r="N239" s="49"/>
      <c r="O239" s="50" t="s">
        <v>3173</v>
      </c>
      <c r="P239" s="59"/>
      <c r="Q239" s="59"/>
      <c r="R239" s="13"/>
    </row>
    <row r="240" spans="1:18" ht="18" thickBot="1" x14ac:dyDescent="0.35">
      <c r="A240" s="9" t="s">
        <v>11</v>
      </c>
      <c r="B240" s="28">
        <f>IF(ISBLANK(A240),0,INDEX(txtstylestab[],MATCH(A240,txtstylestab[style_Name],0),1))</f>
        <v>2</v>
      </c>
      <c r="C240" s="28">
        <f t="shared" si="13"/>
        <v>2</v>
      </c>
      <c r="D240" s="28">
        <f t="shared" si="14"/>
        <v>29</v>
      </c>
      <c r="E240" s="28">
        <f t="shared" si="15"/>
        <v>0</v>
      </c>
      <c r="F240" s="54" t="str">
        <f t="shared" si="16"/>
        <v>2.29.</v>
      </c>
      <c r="G240" s="54" t="s">
        <v>3148</v>
      </c>
      <c r="H240" s="54"/>
      <c r="I240" s="54"/>
      <c r="J240" s="54"/>
      <c r="K240" s="54"/>
      <c r="L240" s="54"/>
      <c r="M240" s="54"/>
      <c r="N240" s="54"/>
      <c r="O240" s="54"/>
      <c r="P240" s="54"/>
      <c r="Q240" s="54"/>
      <c r="R240" s="13"/>
    </row>
    <row r="241" spans="1:18" ht="15.75" thickTop="1" x14ac:dyDescent="0.25">
      <c r="A241" s="9" t="s">
        <v>21</v>
      </c>
      <c r="B241" s="28">
        <f>IF(ISBLANK(A241),0,INDEX(txtstylestab[],MATCH(A241,txtstylestab[style_Name],0),1))</f>
        <v>0</v>
      </c>
      <c r="C241" s="28">
        <f t="shared" si="13"/>
        <v>2</v>
      </c>
      <c r="D241" s="28">
        <f t="shared" si="14"/>
        <v>29</v>
      </c>
      <c r="E241" s="28">
        <f t="shared" si="15"/>
        <v>0</v>
      </c>
      <c r="F241" s="59" t="str">
        <f t="shared" si="16"/>
        <v/>
      </c>
      <c r="G241" s="42" t="s">
        <v>82</v>
      </c>
      <c r="H241" s="43" t="s">
        <v>83</v>
      </c>
      <c r="I241" s="44" t="s">
        <v>84</v>
      </c>
      <c r="J241" s="45" t="s">
        <v>85</v>
      </c>
      <c r="K241" s="46" t="s">
        <v>3155</v>
      </c>
      <c r="L241" s="47" t="s">
        <v>3159</v>
      </c>
      <c r="M241" s="48" t="s">
        <v>3160</v>
      </c>
      <c r="N241" s="49"/>
      <c r="O241" s="50" t="s">
        <v>3166</v>
      </c>
      <c r="P241" s="59"/>
      <c r="Q241" s="59"/>
      <c r="R241" s="13"/>
    </row>
    <row r="242" spans="1:18" ht="120" x14ac:dyDescent="0.25">
      <c r="A242" s="9" t="s">
        <v>21</v>
      </c>
      <c r="B242" s="28">
        <f>IF(ISBLANK(A242),0,INDEX(txtstylestab[],MATCH(A242,txtstylestab[style_Name],0),1))</f>
        <v>0</v>
      </c>
      <c r="C242" s="28">
        <f t="shared" si="13"/>
        <v>2</v>
      </c>
      <c r="D242" s="28">
        <f t="shared" si="14"/>
        <v>29</v>
      </c>
      <c r="E242" s="28">
        <f t="shared" si="15"/>
        <v>0</v>
      </c>
      <c r="F242" s="59" t="str">
        <f t="shared" si="16"/>
        <v/>
      </c>
      <c r="G242" s="42" t="s">
        <v>3149</v>
      </c>
      <c r="H242" s="43" t="s">
        <v>3151</v>
      </c>
      <c r="I242" s="44" t="s">
        <v>3153</v>
      </c>
      <c r="J242" s="45" t="s">
        <v>3158</v>
      </c>
      <c r="K242" s="46" t="s">
        <v>3156</v>
      </c>
      <c r="L242" s="47" t="s">
        <v>3162</v>
      </c>
      <c r="M242" s="48" t="s">
        <v>3161</v>
      </c>
      <c r="N242" s="49"/>
      <c r="O242" s="50" t="s">
        <v>3167</v>
      </c>
      <c r="P242" s="59"/>
      <c r="Q242" s="59"/>
      <c r="R242" s="13"/>
    </row>
    <row r="243" spans="1:18" ht="30" x14ac:dyDescent="0.25">
      <c r="A243" s="9" t="s">
        <v>21</v>
      </c>
      <c r="B243" s="28">
        <f>IF(ISBLANK(A243),0,INDEX(txtstylestab[],MATCH(A243,txtstylestab[style_Name],0),1))</f>
        <v>0</v>
      </c>
      <c r="C243" s="28">
        <f t="shared" si="13"/>
        <v>2</v>
      </c>
      <c r="D243" s="28">
        <f t="shared" si="14"/>
        <v>29</v>
      </c>
      <c r="E243" s="28">
        <f t="shared" si="15"/>
        <v>0</v>
      </c>
      <c r="F243" s="59" t="str">
        <f t="shared" si="16"/>
        <v/>
      </c>
      <c r="G243" s="42" t="s">
        <v>3150</v>
      </c>
      <c r="H243" s="43" t="s">
        <v>3152</v>
      </c>
      <c r="I243" s="44" t="s">
        <v>3154</v>
      </c>
      <c r="J243" s="45" t="s">
        <v>54</v>
      </c>
      <c r="K243" s="46" t="s">
        <v>3157</v>
      </c>
      <c r="L243" s="47" t="s">
        <v>3163</v>
      </c>
      <c r="M243" s="48" t="s">
        <v>3164</v>
      </c>
      <c r="N243" s="49"/>
      <c r="O243" s="50" t="s">
        <v>3168</v>
      </c>
      <c r="P243" s="59"/>
      <c r="Q243" s="59"/>
      <c r="R243" s="13"/>
    </row>
    <row r="244" spans="1:18" x14ac:dyDescent="0.25">
      <c r="A244" s="9" t="s">
        <v>21</v>
      </c>
      <c r="B244" s="28">
        <f>IF(ISBLANK(A244),0,INDEX(txtstylestab[],MATCH(A244,txtstylestab[style_Name],0),1))</f>
        <v>0</v>
      </c>
      <c r="C244" s="28">
        <f t="shared" si="13"/>
        <v>2</v>
      </c>
      <c r="D244" s="28">
        <f t="shared" si="14"/>
        <v>29</v>
      </c>
      <c r="E244" s="28">
        <f t="shared" si="15"/>
        <v>0</v>
      </c>
      <c r="F244" s="59" t="str">
        <f t="shared" si="16"/>
        <v/>
      </c>
      <c r="G244" s="42"/>
      <c r="H244" s="43"/>
      <c r="I244" s="44"/>
      <c r="J244" s="45"/>
      <c r="K244" s="46"/>
      <c r="L244" s="47"/>
      <c r="M244" s="48"/>
      <c r="N244" s="49"/>
      <c r="O244" s="49"/>
      <c r="P244" s="50"/>
      <c r="Q244" s="59"/>
      <c r="R244" s="13"/>
    </row>
    <row r="245" spans="1:18" x14ac:dyDescent="0.25">
      <c r="A245" s="9" t="s">
        <v>21</v>
      </c>
      <c r="B245" s="28">
        <f>IF(ISBLANK(A245),0,INDEX(txtstylestab[],MATCH(A245,txtstylestab[style_Name],0),1))</f>
        <v>0</v>
      </c>
      <c r="C245" s="28">
        <f t="shared" si="13"/>
        <v>2</v>
      </c>
      <c r="D245" s="28">
        <f t="shared" si="14"/>
        <v>29</v>
      </c>
      <c r="E245" s="28">
        <f t="shared" si="15"/>
        <v>0</v>
      </c>
      <c r="F245" s="59" t="str">
        <f t="shared" si="16"/>
        <v/>
      </c>
      <c r="G245" s="42"/>
      <c r="H245" s="43"/>
      <c r="I245" s="44"/>
      <c r="J245" s="45"/>
      <c r="K245" s="46"/>
      <c r="L245" s="47"/>
      <c r="M245" s="47"/>
      <c r="N245" s="48"/>
      <c r="O245" s="48"/>
      <c r="P245" s="49"/>
      <c r="Q245" s="50"/>
      <c r="R245" s="13"/>
    </row>
    <row r="246" spans="1:18" x14ac:dyDescent="0.25">
      <c r="A246" s="9" t="s">
        <v>21</v>
      </c>
      <c r="B246" s="28">
        <f>IF(ISBLANK(A246),0,INDEX(txtstylestab[],MATCH(A246,txtstylestab[style_Name],0),1))</f>
        <v>0</v>
      </c>
      <c r="C246" s="28">
        <f t="shared" si="13"/>
        <v>2</v>
      </c>
      <c r="D246" s="28">
        <f t="shared" si="14"/>
        <v>29</v>
      </c>
      <c r="E246" s="28">
        <f t="shared" si="15"/>
        <v>0</v>
      </c>
      <c r="F246" s="30" t="str">
        <f t="shared" si="16"/>
        <v/>
      </c>
      <c r="G246" s="33"/>
      <c r="H246" s="34"/>
      <c r="I246" s="35"/>
      <c r="J246" s="36"/>
      <c r="K246" s="37"/>
      <c r="L246" s="38"/>
      <c r="M246" s="38"/>
      <c r="N246" s="39"/>
      <c r="O246" s="39"/>
      <c r="P246" s="40"/>
      <c r="Q246" s="41"/>
      <c r="R246" s="13"/>
    </row>
    <row r="247" spans="1:18" s="20" customFormat="1" x14ac:dyDescent="0.25">
      <c r="A247" s="9"/>
      <c r="B247" s="28"/>
      <c r="C247" s="28"/>
      <c r="D247" s="28"/>
      <c r="E247" s="28"/>
      <c r="F247" s="31"/>
      <c r="G247" s="21"/>
      <c r="H247" s="22"/>
      <c r="I247" s="23"/>
      <c r="J247" s="24"/>
      <c r="K247" s="25"/>
      <c r="L247" s="23"/>
      <c r="M247" s="23"/>
      <c r="N247" s="24"/>
      <c r="O247" s="24"/>
      <c r="P247" s="25"/>
      <c r="Q247" s="25"/>
    </row>
    <row r="248" spans="1:18" s="20" customFormat="1" x14ac:dyDescent="0.25">
      <c r="A248" s="9"/>
      <c r="B248" s="28"/>
      <c r="C248" s="28"/>
      <c r="D248" s="28"/>
      <c r="E248" s="28"/>
      <c r="F248" s="31"/>
      <c r="G248" s="21"/>
      <c r="H248" s="22"/>
      <c r="I248" s="23"/>
      <c r="J248" s="24"/>
      <c r="K248" s="25"/>
      <c r="L248" s="23"/>
      <c r="M248" s="23"/>
      <c r="N248" s="24"/>
      <c r="O248" s="24"/>
      <c r="P248" s="25"/>
      <c r="Q248" s="25"/>
    </row>
    <row r="249" spans="1:18" s="20" customFormat="1" x14ac:dyDescent="0.25">
      <c r="A249" s="9"/>
      <c r="B249" s="28"/>
      <c r="C249" s="28"/>
      <c r="D249" s="28"/>
      <c r="E249" s="28"/>
      <c r="F249" s="31"/>
      <c r="G249" s="21"/>
      <c r="H249" s="22"/>
      <c r="I249" s="23"/>
      <c r="J249" s="24"/>
      <c r="K249" s="25"/>
      <c r="L249" s="23"/>
      <c r="M249" s="23"/>
      <c r="N249" s="24"/>
      <c r="O249" s="24"/>
      <c r="P249" s="25"/>
      <c r="Q249" s="25"/>
    </row>
    <row r="250" spans="1:18" s="20" customFormat="1" x14ac:dyDescent="0.25">
      <c r="A250" s="9"/>
      <c r="B250" s="28"/>
      <c r="C250" s="28"/>
      <c r="D250" s="28"/>
      <c r="E250" s="28"/>
      <c r="F250" s="31"/>
      <c r="G250" s="21"/>
      <c r="H250" s="22"/>
      <c r="I250" s="23"/>
      <c r="J250" s="24"/>
      <c r="K250" s="25"/>
      <c r="L250" s="23"/>
      <c r="M250" s="23"/>
      <c r="N250" s="24"/>
      <c r="O250" s="24"/>
      <c r="P250" s="25"/>
      <c r="Q250" s="25"/>
    </row>
    <row r="251" spans="1:18" s="20" customFormat="1" x14ac:dyDescent="0.25">
      <c r="A251" s="9"/>
      <c r="B251" s="28"/>
      <c r="C251" s="28"/>
      <c r="D251" s="28"/>
      <c r="E251" s="28"/>
      <c r="F251" s="31"/>
      <c r="G251" s="21"/>
      <c r="H251" s="22"/>
      <c r="I251" s="23"/>
      <c r="J251" s="24"/>
      <c r="K251" s="25"/>
      <c r="L251" s="23"/>
      <c r="M251" s="23"/>
      <c r="N251" s="24"/>
      <c r="O251" s="24"/>
      <c r="P251" s="25"/>
      <c r="Q251" s="25"/>
    </row>
    <row r="252" spans="1:18" s="20" customFormat="1" x14ac:dyDescent="0.25">
      <c r="A252" s="9"/>
      <c r="B252" s="28"/>
      <c r="C252" s="28"/>
      <c r="D252" s="28"/>
      <c r="E252" s="28"/>
      <c r="F252" s="31"/>
      <c r="G252" s="21"/>
      <c r="H252" s="22"/>
      <c r="I252" s="23"/>
      <c r="J252" s="24"/>
      <c r="K252" s="25"/>
      <c r="L252" s="23"/>
      <c r="M252" s="23"/>
      <c r="N252" s="24"/>
      <c r="O252" s="24"/>
      <c r="P252" s="25"/>
      <c r="Q252" s="25"/>
    </row>
    <row r="253" spans="1:18" s="20" customFormat="1" x14ac:dyDescent="0.25">
      <c r="A253" s="9"/>
      <c r="B253" s="28"/>
      <c r="C253" s="28"/>
      <c r="D253" s="28"/>
      <c r="E253" s="28"/>
      <c r="F253" s="31"/>
      <c r="G253" s="21"/>
      <c r="H253" s="22"/>
      <c r="I253" s="23"/>
      <c r="J253" s="24"/>
      <c r="K253" s="25"/>
      <c r="L253" s="23"/>
      <c r="M253" s="23"/>
      <c r="N253" s="24"/>
      <c r="O253" s="24"/>
      <c r="P253" s="25"/>
      <c r="Q253" s="25"/>
    </row>
    <row r="254" spans="1:18" s="20" customFormat="1" x14ac:dyDescent="0.25">
      <c r="A254" s="9"/>
      <c r="B254" s="28"/>
      <c r="C254" s="28"/>
      <c r="D254" s="28"/>
      <c r="E254" s="28"/>
      <c r="F254" s="31"/>
      <c r="G254" s="21"/>
      <c r="H254" s="22"/>
      <c r="I254" s="23"/>
      <c r="J254" s="24"/>
      <c r="K254" s="25"/>
      <c r="L254" s="23"/>
      <c r="M254" s="23"/>
      <c r="N254" s="24"/>
      <c r="O254" s="24"/>
      <c r="P254" s="25"/>
      <c r="Q254" s="25"/>
    </row>
    <row r="255" spans="1:18" s="20" customFormat="1" x14ac:dyDescent="0.25">
      <c r="A255" s="9"/>
      <c r="B255" s="28"/>
      <c r="C255" s="28"/>
      <c r="D255" s="28"/>
      <c r="E255" s="28"/>
      <c r="F255" s="31"/>
      <c r="G255" s="21"/>
      <c r="H255" s="22"/>
      <c r="I255" s="23"/>
      <c r="J255" s="24"/>
      <c r="K255" s="25"/>
      <c r="L255" s="23"/>
      <c r="M255" s="23"/>
      <c r="N255" s="24"/>
      <c r="O255" s="24"/>
      <c r="P255" s="25"/>
      <c r="Q255" s="25"/>
    </row>
    <row r="256" spans="1:18"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sheetData>
  <sheetProtection formatCells="0" insertRows="0" deleteRows="0"/>
  <conditionalFormatting sqref="G24:Q24 G57:Q57 G245:Q267 L268:Q268 G36:Q36 G28:J28 G7:H7 L7:Q7 G1:Q4 H64:K199 L65:Q65 G64:G244 G5:K6 G8:K15 N8:Q15 G17:K23 N17:Q23 G27:K27 G29:K35 G26:Q26 G25:K25 N25:Q25 G37:K42 G49:K54 G56:K56 G58:K62 L70:Q71 N66:Q69 L77:Q77 N72:Q76 L79:Q81 N78:Q78 L85:Q85 N82:Q84 L90:Q94 N86:Q89 L105:Q105 L110:Q110 L116:Q116 L120:Q120 L126:Q127 L139:Q139 L143:Q143 L151:Q151 L157:Q158 L163:Q163 L170:Q170 L175:Q175 L183:Q183 L187:Q187 L193:Q193 N188:Q192 L198:Q198 N194:Q197 H202:Q202 N199:Q201 H205:Q205 H203:K204 H213:Q213 H206:K212 H223:Q223 H214:K222 N214:Q222 H225:Q227 H224:K224 N224:Q224 H229:Q230 H228:K228 N228:Q228 H235:Q235 H231:K234 N231:Q234 H236:K244 N236:Q244 N206:Q212 N203:Q204 N184:Q186 N176:Q182 N171:Q174 N164:Q169 N159:Q162 N152:Q156 N144:Q150 N140:Q142 N128:Q138 N121:Q123 N117:Q119 N111:Q115 N95:Q104 N106:Q109 N58:Q62 N64:Q64 N49:Q54 N56:Q56 G43:Q48 N37:Q42 N27:Q35 N5:Q6 G269:Q1048576 N125:Q125 N124 P124:Q124">
    <cfRule type="expression" dxfId="170" priority="66">
      <formula>($B1=6)</formula>
    </cfRule>
  </conditionalFormatting>
  <conditionalFormatting sqref="H200:J201">
    <cfRule type="expression" dxfId="169" priority="58">
      <formula>($B200=6)</formula>
    </cfRule>
  </conditionalFormatting>
  <conditionalFormatting sqref="G16:K16 N16:Q16">
    <cfRule type="expression" dxfId="168" priority="57">
      <formula>($B16=6)</formula>
    </cfRule>
  </conditionalFormatting>
  <conditionalFormatting sqref="G55:K55 N55:Q55">
    <cfRule type="expression" dxfId="167" priority="56">
      <formula>($B55=6)</formula>
    </cfRule>
  </conditionalFormatting>
  <conditionalFormatting sqref="G63:K63 N63:Q63">
    <cfRule type="expression" dxfId="166" priority="55">
      <formula>($B63=6)</formula>
    </cfRule>
  </conditionalFormatting>
  <conditionalFormatting sqref="K28">
    <cfRule type="expression" dxfId="165" priority="103">
      <formula>($B268=6)</formula>
    </cfRule>
  </conditionalFormatting>
  <conditionalFormatting sqref="I7:K7">
    <cfRule type="expression" dxfId="164" priority="53">
      <formula>($B7=6)</formula>
    </cfRule>
  </conditionalFormatting>
  <conditionalFormatting sqref="L5:M6">
    <cfRule type="expression" dxfId="163" priority="52">
      <formula>($B5=6)</formula>
    </cfRule>
  </conditionalFormatting>
  <conditionalFormatting sqref="L8:M8">
    <cfRule type="expression" dxfId="162" priority="51">
      <formula>($B8=6)</formula>
    </cfRule>
  </conditionalFormatting>
  <conditionalFormatting sqref="L9:M16">
    <cfRule type="expression" dxfId="161" priority="50">
      <formula>($B9=6)</formula>
    </cfRule>
  </conditionalFormatting>
  <conditionalFormatting sqref="L17:M18">
    <cfRule type="expression" dxfId="160" priority="49">
      <formula>($B17=6)</formula>
    </cfRule>
  </conditionalFormatting>
  <conditionalFormatting sqref="L19:M23">
    <cfRule type="expression" dxfId="159" priority="48">
      <formula>($B19=6)</formula>
    </cfRule>
  </conditionalFormatting>
  <conditionalFormatting sqref="L236:M244">
    <cfRule type="expression" dxfId="158" priority="2">
      <formula>($B236=6)</formula>
    </cfRule>
  </conditionalFormatting>
  <conditionalFormatting sqref="L27:M27">
    <cfRule type="expression" dxfId="157" priority="47">
      <formula>($B27=6)</formula>
    </cfRule>
  </conditionalFormatting>
  <conditionalFormatting sqref="L28:M28">
    <cfRule type="expression" dxfId="156" priority="46">
      <formula>($B28=6)</formula>
    </cfRule>
  </conditionalFormatting>
  <conditionalFormatting sqref="L29:M35">
    <cfRule type="expression" dxfId="155" priority="45">
      <formula>($B29=6)</formula>
    </cfRule>
  </conditionalFormatting>
  <conditionalFormatting sqref="L25:M25">
    <cfRule type="expression" dxfId="154" priority="44">
      <formula>($B25=6)</formula>
    </cfRule>
  </conditionalFormatting>
  <conditionalFormatting sqref="L37:M42">
    <cfRule type="expression" dxfId="153" priority="43">
      <formula>($B37=6)</formula>
    </cfRule>
  </conditionalFormatting>
  <conditionalFormatting sqref="L49:M53 L55:M56">
    <cfRule type="expression" dxfId="152" priority="42">
      <formula>($B49=6)</formula>
    </cfRule>
  </conditionalFormatting>
  <conditionalFormatting sqref="M54">
    <cfRule type="expression" dxfId="151" priority="40">
      <formula>($B54=6)</formula>
    </cfRule>
  </conditionalFormatting>
  <conditionalFormatting sqref="L54">
    <cfRule type="expression" dxfId="150" priority="41">
      <formula>($B54=6)</formula>
    </cfRule>
  </conditionalFormatting>
  <conditionalFormatting sqref="L58:M58 L64:M64 L60:M60 L62:M62 M61">
    <cfRule type="expression" dxfId="149" priority="39">
      <formula>($B58=6)</formula>
    </cfRule>
  </conditionalFormatting>
  <conditionalFormatting sqref="L63">
    <cfRule type="expression" dxfId="148" priority="38">
      <formula>($B63=6)</formula>
    </cfRule>
  </conditionalFormatting>
  <conditionalFormatting sqref="M63">
    <cfRule type="expression" dxfId="147" priority="37">
      <formula>($B63=6)</formula>
    </cfRule>
  </conditionalFormatting>
  <conditionalFormatting sqref="L66:M67 L69:M69">
    <cfRule type="expression" dxfId="146" priority="36">
      <formula>($B66=6)</formula>
    </cfRule>
  </conditionalFormatting>
  <conditionalFormatting sqref="L68">
    <cfRule type="expression" dxfId="145" priority="35">
      <formula>($B68=6)</formula>
    </cfRule>
  </conditionalFormatting>
  <conditionalFormatting sqref="M68">
    <cfRule type="expression" dxfId="144" priority="34">
      <formula>($B68=6)</formula>
    </cfRule>
  </conditionalFormatting>
  <conditionalFormatting sqref="L72:M76">
    <cfRule type="expression" dxfId="143" priority="33">
      <formula>($B72=6)</formula>
    </cfRule>
  </conditionalFormatting>
  <conditionalFormatting sqref="L78:M78">
    <cfRule type="expression" dxfId="142" priority="32">
      <formula>($B78=6)</formula>
    </cfRule>
  </conditionalFormatting>
  <conditionalFormatting sqref="L82:M84">
    <cfRule type="expression" dxfId="141" priority="31">
      <formula>($B82=6)</formula>
    </cfRule>
  </conditionalFormatting>
  <conditionalFormatting sqref="L86:M89">
    <cfRule type="expression" dxfId="140" priority="30">
      <formula>($B86=6)</formula>
    </cfRule>
  </conditionalFormatting>
  <conditionalFormatting sqref="L95:M97">
    <cfRule type="expression" dxfId="139" priority="29">
      <formula>($B95=6)</formula>
    </cfRule>
  </conditionalFormatting>
  <conditionalFormatting sqref="L98:M104">
    <cfRule type="expression" dxfId="138" priority="28">
      <formula>($B98=6)</formula>
    </cfRule>
  </conditionalFormatting>
  <conditionalFormatting sqref="L106:M109">
    <cfRule type="expression" dxfId="137" priority="27">
      <formula>($B106=6)</formula>
    </cfRule>
  </conditionalFormatting>
  <conditionalFormatting sqref="L111:M115">
    <cfRule type="expression" dxfId="136" priority="26">
      <formula>($B111=6)</formula>
    </cfRule>
  </conditionalFormatting>
  <conditionalFormatting sqref="L117:M119">
    <cfRule type="expression" dxfId="135" priority="25">
      <formula>($B117=6)</formula>
    </cfRule>
  </conditionalFormatting>
  <conditionalFormatting sqref="L121:M125">
    <cfRule type="expression" dxfId="134" priority="24">
      <formula>($B121=6)</formula>
    </cfRule>
  </conditionalFormatting>
  <conditionalFormatting sqref="L128:M138">
    <cfRule type="expression" dxfId="133" priority="23">
      <formula>($B128=6)</formula>
    </cfRule>
  </conditionalFormatting>
  <conditionalFormatting sqref="L140:M142">
    <cfRule type="expression" dxfId="132" priority="22">
      <formula>($B140=6)</formula>
    </cfRule>
  </conditionalFormatting>
  <conditionalFormatting sqref="L144:M150">
    <cfRule type="expression" dxfId="131" priority="21">
      <formula>($B144=6)</formula>
    </cfRule>
  </conditionalFormatting>
  <conditionalFormatting sqref="L152:M156">
    <cfRule type="expression" dxfId="130" priority="20">
      <formula>($B152=6)</formula>
    </cfRule>
  </conditionalFormatting>
  <conditionalFormatting sqref="L159:M162">
    <cfRule type="expression" dxfId="129" priority="19">
      <formula>($B159=6)</formula>
    </cfRule>
  </conditionalFormatting>
  <conditionalFormatting sqref="L164:M165 M166 L167:M169">
    <cfRule type="expression" dxfId="128" priority="18">
      <formula>($B164=6)</formula>
    </cfRule>
  </conditionalFormatting>
  <conditionalFormatting sqref="L166">
    <cfRule type="expression" dxfId="127" priority="17">
      <formula>($B166=6)</formula>
    </cfRule>
  </conditionalFormatting>
  <conditionalFormatting sqref="L171:M174">
    <cfRule type="expression" dxfId="126" priority="16">
      <formula>($B171=6)</formula>
    </cfRule>
  </conditionalFormatting>
  <conditionalFormatting sqref="L176:M182">
    <cfRule type="expression" dxfId="125" priority="15">
      <formula>($B176=6)</formula>
    </cfRule>
  </conditionalFormatting>
  <conditionalFormatting sqref="L184:M186">
    <cfRule type="expression" dxfId="124" priority="14">
      <formula>($B184=6)</formula>
    </cfRule>
  </conditionalFormatting>
  <conditionalFormatting sqref="L188:M192">
    <cfRule type="expression" dxfId="123" priority="13">
      <formula>($B188=6)</formula>
    </cfRule>
  </conditionalFormatting>
  <conditionalFormatting sqref="L194:M197">
    <cfRule type="expression" dxfId="122" priority="12">
      <formula>($B194=6)</formula>
    </cfRule>
  </conditionalFormatting>
  <conditionalFormatting sqref="L199:M201">
    <cfRule type="expression" dxfId="121" priority="11">
      <formula>($B199=6)</formula>
    </cfRule>
  </conditionalFormatting>
  <conditionalFormatting sqref="L203:M204">
    <cfRule type="expression" dxfId="120" priority="10">
      <formula>($B203=6)</formula>
    </cfRule>
  </conditionalFormatting>
  <conditionalFormatting sqref="L206:M212">
    <cfRule type="expression" dxfId="119" priority="9">
      <formula>($B206=6)</formula>
    </cfRule>
  </conditionalFormatting>
  <conditionalFormatting sqref="L214:M222">
    <cfRule type="expression" dxfId="118" priority="8">
      <formula>($B214=6)</formula>
    </cfRule>
  </conditionalFormatting>
  <conditionalFormatting sqref="L231:M231">
    <cfRule type="expression" dxfId="117" priority="7">
      <formula>($B231=6)</formula>
    </cfRule>
  </conditionalFormatting>
  <conditionalFormatting sqref="L224:M224">
    <cfRule type="expression" dxfId="116" priority="6">
      <formula>($B224=6)</formula>
    </cfRule>
  </conditionalFormatting>
  <conditionalFormatting sqref="L228:M228">
    <cfRule type="expression" dxfId="115" priority="5">
      <formula>($B228=6)</formula>
    </cfRule>
  </conditionalFormatting>
  <conditionalFormatting sqref="L234:M234">
    <cfRule type="expression" dxfId="114" priority="4">
      <formula>($B234=6)</formula>
    </cfRule>
  </conditionalFormatting>
  <conditionalFormatting sqref="L232:M233">
    <cfRule type="expression" dxfId="113" priority="3">
      <formula>($B232=6)</formula>
    </cfRule>
  </conditionalFormatting>
  <conditionalFormatting sqref="O124">
    <cfRule type="expression" dxfId="112" priority="1">
      <formula>($B124=6)</formula>
    </cfRule>
  </conditionalFormatting>
  <dataValidations count="1">
    <dataValidation type="list" showInputMessage="1" showErrorMessage="1" sqref="A2:A246">
      <formula1>INDIRECT("txtstylestab[style_Name]")</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R2158"/>
  <sheetViews>
    <sheetView tabSelected="1" zoomScale="90" zoomScaleNormal="90" workbookViewId="0">
      <pane ySplit="1" topLeftCell="A182" activePane="bottomLeft" state="frozen"/>
      <selection pane="bottomLeft" activeCell="G188" sqref="G188"/>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hidden="1" customWidth="1"/>
    <col min="10" max="10" width="33.7109375" style="18" hidden="1" customWidth="1"/>
    <col min="11" max="11" width="33.7109375" style="19" hidden="1"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3165</v>
      </c>
      <c r="P1" s="7" t="s">
        <v>71</v>
      </c>
      <c r="Q1" s="7" t="s">
        <v>72</v>
      </c>
      <c r="R1" s="2" t="s">
        <v>0</v>
      </c>
    </row>
    <row r="2" spans="1:18" s="10" customFormat="1" ht="20.25" thickBot="1" x14ac:dyDescent="0.35">
      <c r="A2" s="9" t="s">
        <v>10</v>
      </c>
      <c r="B2" s="28">
        <f>IF(ISBLANK(A2),0,INDEX(txtstylestab[],MATCH(A2,txtstylestab[style_Name],0),1))</f>
        <v>1</v>
      </c>
      <c r="C2" s="28">
        <v>3</v>
      </c>
      <c r="D2" s="28">
        <v>0</v>
      </c>
      <c r="E2" s="28">
        <v>0</v>
      </c>
      <c r="F2" s="29" t="str">
        <f>IF(OR(B2=1,B2=2,B2=3),TEXT(C2,"#")&amp;".","")&amp;IF(OR(B2=2,B2=3),TEXT(D2,"#")&amp;".","")&amp;IF(B2=3,TEXT(E2,"#")&amp;".","")</f>
        <v>3.</v>
      </c>
      <c r="G2" s="11" t="s">
        <v>74</v>
      </c>
      <c r="H2" s="11"/>
      <c r="I2" s="11"/>
      <c r="J2" s="11"/>
      <c r="K2" s="11"/>
      <c r="L2" s="11"/>
      <c r="M2" s="11"/>
      <c r="N2" s="11"/>
      <c r="O2" s="11"/>
      <c r="P2" s="11"/>
      <c r="Q2" s="11"/>
      <c r="R2" s="12"/>
    </row>
    <row r="3" spans="1:18" ht="15.75" thickTop="1" x14ac:dyDescent="0.25">
      <c r="A3" s="9" t="s">
        <v>15</v>
      </c>
      <c r="B3" s="28">
        <f>IF(ISBLANK(A3),0,INDEX(txtstylestab[],MATCH(A3,txtstylestab[style_Name],0),1))</f>
        <v>8</v>
      </c>
      <c r="C3" s="28">
        <f>IF(B3=1,C2+1,C2)</f>
        <v>3</v>
      </c>
      <c r="D3" s="28">
        <f>IF(B3=1,0,IF(B3=2,D2+1,IF(AND(B3=3,D2=0),1,D2)))</f>
        <v>0</v>
      </c>
      <c r="E3" s="28">
        <f>IF(OR(B3=1,B3=2),0,IF(B3=3,E2+1,E2))</f>
        <v>0</v>
      </c>
      <c r="F3" s="60" t="str">
        <f t="shared" ref="F3" si="0">IF(OR(B3=1,B3=2,B3=3),TEXT(C3,"#")&amp;".","")&amp;IF(OR(B3=2,B3=3),TEXT(D3,"#")&amp;".","")&amp;IF(B3=3,TEXT(E3,"#")&amp;".","")</f>
        <v/>
      </c>
      <c r="G3" s="60" t="s">
        <v>2051</v>
      </c>
      <c r="H3" s="60"/>
      <c r="I3" s="60"/>
      <c r="J3" s="60"/>
      <c r="K3" s="60"/>
      <c r="L3" s="60"/>
      <c r="M3" s="60"/>
      <c r="N3" s="60"/>
      <c r="O3" s="60"/>
      <c r="P3" s="60"/>
      <c r="Q3" s="60"/>
      <c r="R3" s="13"/>
    </row>
    <row r="4" spans="1:18" x14ac:dyDescent="0.25">
      <c r="A4" s="9" t="s">
        <v>15</v>
      </c>
      <c r="B4" s="28">
        <f>IF(ISBLANK(A4),0,INDEX(txtstylestab[],MATCH(A4,txtstylestab[style_Name],0),1))</f>
        <v>8</v>
      </c>
      <c r="C4" s="28">
        <f t="shared" ref="C4:C67" si="1">IF(B4=1,C3+1,C3)</f>
        <v>3</v>
      </c>
      <c r="D4" s="28">
        <f t="shared" ref="D4:D67" si="2">IF(B4=1,0,IF(B4=2,D3+1,IF(AND(B4=3,D3=0),1,D3)))</f>
        <v>0</v>
      </c>
      <c r="E4" s="28">
        <f t="shared" ref="E4:E67" si="3">IF(OR(B4=1,B4=2),0,IF(B4=3,E3+1,E3))</f>
        <v>0</v>
      </c>
      <c r="F4" s="60" t="str">
        <f t="shared" ref="F4:F67" si="4">IF(OR(B4=1,B4=2,B4=3),TEXT(C4,"#")&amp;".","")&amp;IF(OR(B4=2,B4=3),TEXT(D4,"#")&amp;".","")&amp;IF(B4=3,TEXT(E4,"#")&amp;".","")</f>
        <v/>
      </c>
      <c r="G4" s="60" t="s">
        <v>1486</v>
      </c>
      <c r="H4" s="60"/>
      <c r="I4" s="60"/>
      <c r="J4" s="60"/>
      <c r="K4" s="60"/>
      <c r="L4" s="60"/>
      <c r="M4" s="60"/>
      <c r="N4" s="60"/>
      <c r="O4" s="60"/>
      <c r="P4" s="60"/>
      <c r="Q4" s="60"/>
      <c r="R4" s="13"/>
    </row>
    <row r="5" spans="1:18" x14ac:dyDescent="0.25">
      <c r="A5" s="9" t="s">
        <v>15</v>
      </c>
      <c r="B5" s="28">
        <f>IF(ISBLANK(A5),0,INDEX(txtstylestab[],MATCH(A5,txtstylestab[style_Name],0),1))</f>
        <v>8</v>
      </c>
      <c r="C5" s="28">
        <f t="shared" si="1"/>
        <v>3</v>
      </c>
      <c r="D5" s="28">
        <f t="shared" si="2"/>
        <v>0</v>
      </c>
      <c r="E5" s="28">
        <f t="shared" si="3"/>
        <v>0</v>
      </c>
      <c r="F5" s="60" t="str">
        <f t="shared" si="4"/>
        <v/>
      </c>
      <c r="G5" s="60" t="s">
        <v>1487</v>
      </c>
      <c r="H5" s="60"/>
      <c r="I5" s="60"/>
      <c r="J5" s="60"/>
      <c r="K5" s="60"/>
      <c r="L5" s="60"/>
      <c r="M5" s="60"/>
      <c r="N5" s="60"/>
      <c r="O5" s="60"/>
      <c r="P5" s="60"/>
      <c r="Q5" s="60"/>
      <c r="R5" s="13"/>
    </row>
    <row r="6" spans="1:18" x14ac:dyDescent="0.25">
      <c r="A6" s="9" t="s">
        <v>15</v>
      </c>
      <c r="B6" s="28">
        <f>IF(ISBLANK(A6),0,INDEX(txtstylestab[],MATCH(A6,txtstylestab[style_Name],0),1))</f>
        <v>8</v>
      </c>
      <c r="C6" s="28">
        <f t="shared" si="1"/>
        <v>3</v>
      </c>
      <c r="D6" s="28">
        <f t="shared" si="2"/>
        <v>0</v>
      </c>
      <c r="E6" s="28">
        <f t="shared" si="3"/>
        <v>0</v>
      </c>
      <c r="F6" s="60" t="str">
        <f t="shared" si="4"/>
        <v/>
      </c>
      <c r="G6" s="60" t="s">
        <v>1488</v>
      </c>
      <c r="H6" s="60"/>
      <c r="I6" s="60"/>
      <c r="J6" s="60"/>
      <c r="K6" s="60"/>
      <c r="L6" s="60"/>
      <c r="M6" s="60"/>
      <c r="N6" s="60"/>
      <c r="O6" s="60"/>
      <c r="P6" s="60"/>
      <c r="Q6" s="60"/>
      <c r="R6" s="13"/>
    </row>
    <row r="7" spans="1:18" ht="18" thickBot="1" x14ac:dyDescent="0.35">
      <c r="A7" s="9" t="s">
        <v>11</v>
      </c>
      <c r="B7" s="28">
        <f>IF(ISBLANK(A7),0,INDEX(txtstylestab[],MATCH(A7,txtstylestab[style_Name],0),1))</f>
        <v>2</v>
      </c>
      <c r="C7" s="28">
        <f t="shared" si="1"/>
        <v>3</v>
      </c>
      <c r="D7" s="28">
        <f t="shared" si="2"/>
        <v>1</v>
      </c>
      <c r="E7" s="28">
        <f t="shared" si="3"/>
        <v>0</v>
      </c>
      <c r="F7" s="54" t="str">
        <f t="shared" si="4"/>
        <v>3.1.</v>
      </c>
      <c r="G7" s="54" t="s">
        <v>1208</v>
      </c>
      <c r="H7" s="54"/>
      <c r="I7" s="54"/>
      <c r="J7" s="54"/>
      <c r="K7" s="54"/>
      <c r="L7" s="54"/>
      <c r="M7" s="54"/>
      <c r="N7" s="54"/>
      <c r="O7" s="54"/>
      <c r="P7" s="54"/>
      <c r="Q7" s="54"/>
      <c r="R7" s="13"/>
    </row>
    <row r="8" spans="1:18" ht="15.75" thickTop="1" x14ac:dyDescent="0.25">
      <c r="A8" s="9" t="s">
        <v>21</v>
      </c>
      <c r="B8" s="28">
        <f>IF(ISBLANK(A8),0,INDEX(txtstylestab[],MATCH(A8,txtstylestab[style_Name],0),1))</f>
        <v>0</v>
      </c>
      <c r="C8" s="28">
        <f t="shared" si="1"/>
        <v>3</v>
      </c>
      <c r="D8" s="28">
        <f t="shared" si="2"/>
        <v>1</v>
      </c>
      <c r="E8" s="28">
        <f t="shared" si="3"/>
        <v>0</v>
      </c>
      <c r="F8" s="59" t="str">
        <f t="shared" si="4"/>
        <v/>
      </c>
      <c r="G8" s="42" t="s">
        <v>82</v>
      </c>
      <c r="H8" s="43" t="s">
        <v>83</v>
      </c>
      <c r="I8" s="44" t="s">
        <v>84</v>
      </c>
      <c r="J8" s="45" t="s">
        <v>1209</v>
      </c>
      <c r="K8" s="46" t="s">
        <v>86</v>
      </c>
      <c r="L8" s="47" t="s">
        <v>2398</v>
      </c>
      <c r="M8" s="48" t="s">
        <v>2333</v>
      </c>
      <c r="N8" s="49"/>
      <c r="O8" s="49"/>
      <c r="P8" s="50"/>
      <c r="Q8" s="59"/>
      <c r="R8" s="13"/>
    </row>
    <row r="9" spans="1:18" ht="30" x14ac:dyDescent="0.25">
      <c r="A9" s="9" t="s">
        <v>21</v>
      </c>
      <c r="B9" s="28">
        <f>IF(ISBLANK(A9),0,INDEX(txtstylestab[],MATCH(A9,txtstylestab[style_Name],0),1))</f>
        <v>0</v>
      </c>
      <c r="C9" s="28">
        <f t="shared" si="1"/>
        <v>3</v>
      </c>
      <c r="D9" s="28">
        <f t="shared" si="2"/>
        <v>1</v>
      </c>
      <c r="E9" s="28">
        <f t="shared" si="3"/>
        <v>0</v>
      </c>
      <c r="F9" s="59" t="str">
        <f t="shared" si="4"/>
        <v/>
      </c>
      <c r="G9" s="42" t="s">
        <v>1210</v>
      </c>
      <c r="H9" s="43" t="s">
        <v>1211</v>
      </c>
      <c r="I9" s="44" t="s">
        <v>1212</v>
      </c>
      <c r="J9" s="45" t="s">
        <v>1213</v>
      </c>
      <c r="K9" s="46" t="s">
        <v>1214</v>
      </c>
      <c r="L9" s="47" t="s">
        <v>2994</v>
      </c>
      <c r="M9" s="48" t="s">
        <v>2973</v>
      </c>
      <c r="N9" s="49"/>
      <c r="O9" s="49"/>
      <c r="P9" s="50"/>
      <c r="Q9" s="59"/>
      <c r="R9" s="13"/>
    </row>
    <row r="10" spans="1:18" ht="45" x14ac:dyDescent="0.25">
      <c r="A10" s="9" t="s">
        <v>21</v>
      </c>
      <c r="B10" s="28">
        <f>IF(ISBLANK(A10),0,INDEX(txtstylestab[],MATCH(A10,txtstylestab[style_Name],0),1))</f>
        <v>0</v>
      </c>
      <c r="C10" s="28">
        <f t="shared" si="1"/>
        <v>3</v>
      </c>
      <c r="D10" s="28">
        <f t="shared" si="2"/>
        <v>1</v>
      </c>
      <c r="E10" s="28">
        <f t="shared" si="3"/>
        <v>0</v>
      </c>
      <c r="F10" s="59" t="str">
        <f t="shared" si="4"/>
        <v/>
      </c>
      <c r="G10" s="42" t="s">
        <v>1215</v>
      </c>
      <c r="H10" s="43" t="s">
        <v>1216</v>
      </c>
      <c r="I10" s="44" t="s">
        <v>1217</v>
      </c>
      <c r="J10" s="45" t="s">
        <v>1218</v>
      </c>
      <c r="K10" s="46" t="s">
        <v>1219</v>
      </c>
      <c r="L10" s="47" t="s">
        <v>2974</v>
      </c>
      <c r="M10" s="48" t="s">
        <v>2975</v>
      </c>
      <c r="N10" s="49"/>
      <c r="O10" s="49"/>
      <c r="P10" s="50"/>
      <c r="Q10" s="59"/>
      <c r="R10" s="13"/>
    </row>
    <row r="11" spans="1:18" ht="75" x14ac:dyDescent="0.25">
      <c r="A11" s="9" t="s">
        <v>21</v>
      </c>
      <c r="B11" s="28">
        <f>IF(ISBLANK(A11),0,INDEX(txtstylestab[],MATCH(A11,txtstylestab[style_Name],0),1))</f>
        <v>0</v>
      </c>
      <c r="C11" s="28">
        <f t="shared" si="1"/>
        <v>3</v>
      </c>
      <c r="D11" s="28">
        <f t="shared" si="2"/>
        <v>1</v>
      </c>
      <c r="E11" s="28">
        <f t="shared" si="3"/>
        <v>0</v>
      </c>
      <c r="F11" s="59" t="str">
        <f t="shared" si="4"/>
        <v/>
      </c>
      <c r="G11" s="42" t="s">
        <v>2052</v>
      </c>
      <c r="H11" s="43" t="s">
        <v>2053</v>
      </c>
      <c r="I11" s="44" t="s">
        <v>2054</v>
      </c>
      <c r="J11" s="45" t="s">
        <v>2055</v>
      </c>
      <c r="K11" s="46" t="s">
        <v>2056</v>
      </c>
      <c r="L11" s="47" t="s">
        <v>2995</v>
      </c>
      <c r="M11" s="48" t="s">
        <v>2996</v>
      </c>
      <c r="N11" s="49"/>
      <c r="O11" s="49"/>
      <c r="P11" s="50"/>
      <c r="Q11" s="59"/>
      <c r="R11" s="13"/>
    </row>
    <row r="12" spans="1:18" ht="30" x14ac:dyDescent="0.25">
      <c r="A12" s="9" t="s">
        <v>14</v>
      </c>
      <c r="B12" s="28">
        <f>IF(ISBLANK(A12),0,INDEX(txtstylestab[],MATCH(A12,txtstylestab[style_Name],0),1))</f>
        <v>6</v>
      </c>
      <c r="C12" s="28">
        <f t="shared" si="1"/>
        <v>3</v>
      </c>
      <c r="D12" s="28">
        <f t="shared" si="2"/>
        <v>1</v>
      </c>
      <c r="E12" s="28">
        <f t="shared" si="3"/>
        <v>0</v>
      </c>
      <c r="F12" s="59" t="str">
        <f t="shared" si="4"/>
        <v/>
      </c>
      <c r="G12" s="42" t="s">
        <v>2057</v>
      </c>
      <c r="H12" s="43" t="s">
        <v>2060</v>
      </c>
      <c r="I12" s="44" t="s">
        <v>2063</v>
      </c>
      <c r="J12" s="45" t="s">
        <v>2066</v>
      </c>
      <c r="K12" s="46" t="s">
        <v>2069</v>
      </c>
      <c r="L12" s="47" t="s">
        <v>2997</v>
      </c>
      <c r="M12" s="48" t="s">
        <v>2998</v>
      </c>
      <c r="N12" s="49"/>
      <c r="O12" s="49"/>
      <c r="P12" s="50"/>
      <c r="Q12" s="59"/>
      <c r="R12" s="13"/>
    </row>
    <row r="13" spans="1:18" ht="45" x14ac:dyDescent="0.25">
      <c r="A13" s="9" t="s">
        <v>14</v>
      </c>
      <c r="B13" s="28">
        <f>IF(ISBLANK(A13),0,INDEX(txtstylestab[],MATCH(A13,txtstylestab[style_Name],0),1))</f>
        <v>6</v>
      </c>
      <c r="C13" s="28">
        <f t="shared" si="1"/>
        <v>3</v>
      </c>
      <c r="D13" s="28">
        <f t="shared" si="2"/>
        <v>1</v>
      </c>
      <c r="E13" s="28">
        <f t="shared" si="3"/>
        <v>0</v>
      </c>
      <c r="F13" s="59" t="str">
        <f t="shared" si="4"/>
        <v/>
      </c>
      <c r="G13" s="42" t="s">
        <v>2058</v>
      </c>
      <c r="H13" s="43" t="s">
        <v>2061</v>
      </c>
      <c r="I13" s="44" t="s">
        <v>2064</v>
      </c>
      <c r="J13" s="45" t="s">
        <v>2067</v>
      </c>
      <c r="K13" s="46" t="s">
        <v>2070</v>
      </c>
      <c r="L13" s="47" t="s">
        <v>2976</v>
      </c>
      <c r="M13" s="48" t="s">
        <v>2977</v>
      </c>
      <c r="N13" s="49"/>
      <c r="O13" s="49"/>
      <c r="P13" s="50"/>
      <c r="Q13" s="59"/>
      <c r="R13" s="13"/>
    </row>
    <row r="14" spans="1:18" ht="30" x14ac:dyDescent="0.25">
      <c r="A14" s="9" t="s">
        <v>14</v>
      </c>
      <c r="B14" s="28">
        <f>IF(ISBLANK(A14),0,INDEX(txtstylestab[],MATCH(A14,txtstylestab[style_Name],0),1))</f>
        <v>6</v>
      </c>
      <c r="C14" s="28">
        <f t="shared" si="1"/>
        <v>3</v>
      </c>
      <c r="D14" s="28">
        <f t="shared" si="2"/>
        <v>1</v>
      </c>
      <c r="E14" s="28">
        <f t="shared" si="3"/>
        <v>0</v>
      </c>
      <c r="F14" s="59" t="str">
        <f t="shared" si="4"/>
        <v/>
      </c>
      <c r="G14" s="42" t="s">
        <v>2059</v>
      </c>
      <c r="H14" s="43" t="s">
        <v>2062</v>
      </c>
      <c r="I14" s="44" t="s">
        <v>2065</v>
      </c>
      <c r="J14" s="45" t="s">
        <v>2068</v>
      </c>
      <c r="K14" s="46" t="s">
        <v>2071</v>
      </c>
      <c r="L14" s="47" t="s">
        <v>2978</v>
      </c>
      <c r="M14" s="48" t="s">
        <v>2979</v>
      </c>
      <c r="N14" s="49"/>
      <c r="O14" s="49"/>
      <c r="P14" s="50"/>
      <c r="Q14" s="59"/>
      <c r="R14" s="13"/>
    </row>
    <row r="15" spans="1:18" ht="30" x14ac:dyDescent="0.25">
      <c r="A15" s="9" t="s">
        <v>14</v>
      </c>
      <c r="B15" s="28">
        <f>IF(ISBLANK(A15),0,INDEX(txtstylestab[],MATCH(A15,txtstylestab[style_Name],0),1))</f>
        <v>6</v>
      </c>
      <c r="C15" s="28">
        <f t="shared" si="1"/>
        <v>3</v>
      </c>
      <c r="D15" s="28">
        <f t="shared" si="2"/>
        <v>1</v>
      </c>
      <c r="E15" s="28">
        <f t="shared" si="3"/>
        <v>0</v>
      </c>
      <c r="F15" s="59" t="str">
        <f t="shared" si="4"/>
        <v/>
      </c>
      <c r="G15" s="42" t="s">
        <v>2072</v>
      </c>
      <c r="H15" s="43" t="s">
        <v>2073</v>
      </c>
      <c r="I15" s="44" t="s">
        <v>2074</v>
      </c>
      <c r="J15" s="45" t="s">
        <v>2075</v>
      </c>
      <c r="K15" s="46" t="s">
        <v>2076</v>
      </c>
      <c r="L15" s="47" t="s">
        <v>2999</v>
      </c>
      <c r="M15" s="48" t="s">
        <v>2980</v>
      </c>
      <c r="N15" s="49"/>
      <c r="O15" s="49"/>
      <c r="P15" s="50"/>
      <c r="Q15" s="59"/>
      <c r="R15" s="13"/>
    </row>
    <row r="16" spans="1:18" ht="45" x14ac:dyDescent="0.25">
      <c r="A16" s="9" t="s">
        <v>21</v>
      </c>
      <c r="B16" s="28">
        <f>IF(ISBLANK(A16),0,INDEX(txtstylestab[],MATCH(A16,txtstylestab[style_Name],0),1))</f>
        <v>0</v>
      </c>
      <c r="C16" s="28">
        <f t="shared" si="1"/>
        <v>3</v>
      </c>
      <c r="D16" s="28">
        <f t="shared" si="2"/>
        <v>1</v>
      </c>
      <c r="E16" s="28">
        <f t="shared" si="3"/>
        <v>0</v>
      </c>
      <c r="F16" s="59" t="str">
        <f t="shared" si="4"/>
        <v/>
      </c>
      <c r="G16" s="42" t="s">
        <v>2077</v>
      </c>
      <c r="H16" s="43" t="s">
        <v>2078</v>
      </c>
      <c r="I16" s="44" t="s">
        <v>2079</v>
      </c>
      <c r="J16" s="45" t="s">
        <v>2080</v>
      </c>
      <c r="K16" s="46" t="s">
        <v>2081</v>
      </c>
      <c r="L16" s="47" t="s">
        <v>3000</v>
      </c>
      <c r="M16" s="48" t="s">
        <v>3001</v>
      </c>
      <c r="N16" s="49"/>
      <c r="O16" s="49"/>
      <c r="P16" s="50"/>
      <c r="Q16" s="59"/>
      <c r="R16" s="13"/>
    </row>
    <row r="17" spans="1:18" ht="45" x14ac:dyDescent="0.25">
      <c r="A17" s="9" t="s">
        <v>14</v>
      </c>
      <c r="B17" s="28">
        <f>IF(ISBLANK(A17),0,INDEX(txtstylestab[],MATCH(A17,txtstylestab[style_Name],0),1))</f>
        <v>6</v>
      </c>
      <c r="C17" s="28">
        <f t="shared" si="1"/>
        <v>3</v>
      </c>
      <c r="D17" s="28">
        <f t="shared" si="2"/>
        <v>1</v>
      </c>
      <c r="E17" s="28">
        <f t="shared" si="3"/>
        <v>0</v>
      </c>
      <c r="F17" s="59" t="str">
        <f t="shared" si="4"/>
        <v/>
      </c>
      <c r="G17" s="42" t="s">
        <v>2082</v>
      </c>
      <c r="H17" s="43" t="s">
        <v>2083</v>
      </c>
      <c r="I17" s="44" t="s">
        <v>2084</v>
      </c>
      <c r="J17" s="45" t="s">
        <v>2085</v>
      </c>
      <c r="K17" s="46" t="s">
        <v>2086</v>
      </c>
      <c r="L17" s="47" t="s">
        <v>2981</v>
      </c>
      <c r="M17" s="48" t="s">
        <v>2982</v>
      </c>
      <c r="N17" s="49"/>
      <c r="O17" s="49"/>
      <c r="P17" s="50"/>
      <c r="Q17" s="59"/>
      <c r="R17" s="13"/>
    </row>
    <row r="18" spans="1:18" ht="45" x14ac:dyDescent="0.25">
      <c r="A18" s="9" t="s">
        <v>14</v>
      </c>
      <c r="B18" s="28">
        <f>IF(ISBLANK(A18),0,INDEX(txtstylestab[],MATCH(A18,txtstylestab[style_Name],0),1))</f>
        <v>6</v>
      </c>
      <c r="C18" s="28">
        <f t="shared" si="1"/>
        <v>3</v>
      </c>
      <c r="D18" s="28">
        <f t="shared" si="2"/>
        <v>1</v>
      </c>
      <c r="E18" s="28">
        <f t="shared" si="3"/>
        <v>0</v>
      </c>
      <c r="F18" s="59" t="str">
        <f t="shared" si="4"/>
        <v/>
      </c>
      <c r="G18" s="42" t="s">
        <v>1238</v>
      </c>
      <c r="H18" s="43" t="s">
        <v>1239</v>
      </c>
      <c r="I18" s="44" t="s">
        <v>1237</v>
      </c>
      <c r="J18" s="45" t="s">
        <v>1240</v>
      </c>
      <c r="K18" s="46" t="s">
        <v>1560</v>
      </c>
      <c r="L18" s="47" t="s">
        <v>2983</v>
      </c>
      <c r="M18" s="48" t="s">
        <v>2984</v>
      </c>
      <c r="N18" s="49"/>
      <c r="O18" s="49"/>
      <c r="P18" s="50"/>
      <c r="Q18" s="59"/>
      <c r="R18" s="13"/>
    </row>
    <row r="19" spans="1:18" ht="45" x14ac:dyDescent="0.25">
      <c r="A19" s="9" t="s">
        <v>21</v>
      </c>
      <c r="B19" s="28">
        <f>IF(ISBLANK(A19),0,INDEX(txtstylestab[],MATCH(A19,txtstylestab[style_Name],0),1))</f>
        <v>0</v>
      </c>
      <c r="C19" s="28">
        <f t="shared" si="1"/>
        <v>3</v>
      </c>
      <c r="D19" s="28">
        <f t="shared" si="2"/>
        <v>1</v>
      </c>
      <c r="E19" s="28">
        <f t="shared" si="3"/>
        <v>0</v>
      </c>
      <c r="F19" s="59" t="str">
        <f t="shared" si="4"/>
        <v/>
      </c>
      <c r="G19" s="42" t="s">
        <v>1223</v>
      </c>
      <c r="H19" s="43" t="s">
        <v>1224</v>
      </c>
      <c r="I19" s="44" t="s">
        <v>1225</v>
      </c>
      <c r="J19" s="45" t="s">
        <v>1226</v>
      </c>
      <c r="K19" s="46" t="s">
        <v>1561</v>
      </c>
      <c r="L19" s="47" t="s">
        <v>2985</v>
      </c>
      <c r="M19" s="48" t="s">
        <v>2986</v>
      </c>
      <c r="N19" s="49"/>
      <c r="O19" s="49"/>
      <c r="P19" s="50"/>
      <c r="Q19" s="59"/>
      <c r="R19" s="13"/>
    </row>
    <row r="20" spans="1:18" ht="30" x14ac:dyDescent="0.25">
      <c r="A20" s="9" t="s">
        <v>21</v>
      </c>
      <c r="B20" s="28">
        <f>IF(ISBLANK(A20),0,INDEX(txtstylestab[],MATCH(A20,txtstylestab[style_Name],0),1))</f>
        <v>0</v>
      </c>
      <c r="C20" s="28">
        <f t="shared" si="1"/>
        <v>3</v>
      </c>
      <c r="D20" s="28">
        <f t="shared" si="2"/>
        <v>1</v>
      </c>
      <c r="E20" s="28">
        <f t="shared" si="3"/>
        <v>0</v>
      </c>
      <c r="F20" s="59" t="str">
        <f t="shared" si="4"/>
        <v/>
      </c>
      <c r="G20" s="42" t="s">
        <v>1227</v>
      </c>
      <c r="H20" s="43" t="s">
        <v>1228</v>
      </c>
      <c r="I20" s="44" t="s">
        <v>1229</v>
      </c>
      <c r="J20" s="45" t="s">
        <v>1230</v>
      </c>
      <c r="K20" s="46" t="s">
        <v>1231</v>
      </c>
      <c r="L20" s="47" t="s">
        <v>2987</v>
      </c>
      <c r="M20" s="48" t="s">
        <v>2988</v>
      </c>
      <c r="N20" s="49"/>
      <c r="O20" s="49"/>
      <c r="P20" s="50"/>
      <c r="Q20" s="59"/>
      <c r="R20" s="13"/>
    </row>
    <row r="21" spans="1:18" ht="45" x14ac:dyDescent="0.25">
      <c r="A21" s="9" t="s">
        <v>21</v>
      </c>
      <c r="B21" s="28">
        <f>IF(ISBLANK(A21),0,INDEX(txtstylestab[],MATCH(A21,txtstylestab[style_Name],0),1))</f>
        <v>0</v>
      </c>
      <c r="C21" s="28">
        <f t="shared" si="1"/>
        <v>3</v>
      </c>
      <c r="D21" s="28">
        <f t="shared" si="2"/>
        <v>1</v>
      </c>
      <c r="E21" s="28">
        <f t="shared" si="3"/>
        <v>0</v>
      </c>
      <c r="F21" s="59" t="str">
        <f t="shared" si="4"/>
        <v/>
      </c>
      <c r="G21" s="42" t="s">
        <v>1232</v>
      </c>
      <c r="H21" s="43" t="s">
        <v>1233</v>
      </c>
      <c r="I21" s="44" t="s">
        <v>1656</v>
      </c>
      <c r="J21" s="45" t="s">
        <v>1562</v>
      </c>
      <c r="K21" s="46" t="s">
        <v>1563</v>
      </c>
      <c r="L21" s="47" t="s">
        <v>2989</v>
      </c>
      <c r="M21" s="48" t="s">
        <v>2990</v>
      </c>
      <c r="N21" s="49"/>
      <c r="O21" s="49"/>
      <c r="P21" s="50"/>
      <c r="Q21" s="59"/>
      <c r="R21" s="13"/>
    </row>
    <row r="22" spans="1:18" x14ac:dyDescent="0.25">
      <c r="A22" s="9" t="s">
        <v>21</v>
      </c>
      <c r="B22" s="28">
        <f>IF(ISBLANK(A22),0,INDEX(txtstylestab[],MATCH(A22,txtstylestab[style_Name],0),1))</f>
        <v>0</v>
      </c>
      <c r="C22" s="28">
        <f t="shared" si="1"/>
        <v>3</v>
      </c>
      <c r="D22" s="28">
        <f t="shared" si="2"/>
        <v>1</v>
      </c>
      <c r="E22" s="28">
        <f t="shared" si="3"/>
        <v>0</v>
      </c>
      <c r="F22" s="59" t="str">
        <f t="shared" si="4"/>
        <v/>
      </c>
      <c r="G22" s="42" t="s">
        <v>1234</v>
      </c>
      <c r="H22" s="43" t="s">
        <v>1235</v>
      </c>
      <c r="I22" s="44" t="s">
        <v>1657</v>
      </c>
      <c r="J22" s="45" t="s">
        <v>1564</v>
      </c>
      <c r="K22" s="46" t="s">
        <v>1236</v>
      </c>
      <c r="L22" s="47" t="s">
        <v>2991</v>
      </c>
      <c r="M22" s="48" t="s">
        <v>2992</v>
      </c>
      <c r="N22" s="49"/>
      <c r="O22" s="49"/>
      <c r="P22" s="50"/>
      <c r="Q22" s="59"/>
      <c r="R22" s="13"/>
    </row>
    <row r="23" spans="1:18" x14ac:dyDescent="0.25">
      <c r="A23" s="9" t="s">
        <v>15</v>
      </c>
      <c r="B23" s="28">
        <f>IF(ISBLANK(A23),0,INDEX(txtstylestab[],MATCH(A23,txtstylestab[style_Name],0),1))</f>
        <v>8</v>
      </c>
      <c r="C23" s="28">
        <f t="shared" si="1"/>
        <v>3</v>
      </c>
      <c r="D23" s="28">
        <f t="shared" si="2"/>
        <v>1</v>
      </c>
      <c r="E23" s="28">
        <f t="shared" si="3"/>
        <v>0</v>
      </c>
      <c r="F23" s="60" t="str">
        <f t="shared" si="4"/>
        <v/>
      </c>
      <c r="G23" s="60" t="s">
        <v>1484</v>
      </c>
      <c r="H23" s="60"/>
      <c r="I23" s="60"/>
      <c r="J23" s="60"/>
      <c r="K23" s="60"/>
      <c r="L23" s="60"/>
      <c r="M23" s="60"/>
      <c r="N23" s="60"/>
      <c r="O23" s="60"/>
      <c r="P23" s="60"/>
      <c r="Q23" s="60"/>
      <c r="R23" s="13"/>
    </row>
    <row r="24" spans="1:18" x14ac:dyDescent="0.25">
      <c r="A24" s="9" t="s">
        <v>15</v>
      </c>
      <c r="B24" s="28">
        <f>IF(ISBLANK(A24),0,INDEX(txtstylestab[],MATCH(A24,txtstylestab[style_Name],0),1))</f>
        <v>8</v>
      </c>
      <c r="C24" s="28">
        <f t="shared" si="1"/>
        <v>3</v>
      </c>
      <c r="D24" s="28">
        <f t="shared" si="2"/>
        <v>1</v>
      </c>
      <c r="E24" s="28">
        <f t="shared" si="3"/>
        <v>0</v>
      </c>
      <c r="F24" s="60" t="str">
        <f t="shared" si="4"/>
        <v/>
      </c>
      <c r="G24" s="60" t="s">
        <v>1485</v>
      </c>
      <c r="H24" s="60"/>
      <c r="I24" s="60"/>
      <c r="J24" s="60"/>
      <c r="K24" s="60"/>
      <c r="L24" s="60"/>
      <c r="M24" s="60"/>
      <c r="N24" s="60"/>
      <c r="O24" s="60"/>
      <c r="P24" s="60"/>
      <c r="Q24" s="60"/>
      <c r="R24" s="13"/>
    </row>
    <row r="25" spans="1:18" ht="18" thickBot="1" x14ac:dyDescent="0.35">
      <c r="A25" s="9" t="s">
        <v>11</v>
      </c>
      <c r="B25" s="28">
        <f>IF(ISBLANK(A25),0,INDEX(txtstylestab[],MATCH(A25,txtstylestab[style_Name],0),1))</f>
        <v>2</v>
      </c>
      <c r="C25" s="28">
        <f t="shared" si="1"/>
        <v>3</v>
      </c>
      <c r="D25" s="28">
        <f t="shared" si="2"/>
        <v>2</v>
      </c>
      <c r="E25" s="28">
        <f t="shared" si="3"/>
        <v>0</v>
      </c>
      <c r="F25" s="54" t="str">
        <f t="shared" si="4"/>
        <v>3.2.</v>
      </c>
      <c r="G25" s="54" t="s">
        <v>1241</v>
      </c>
      <c r="H25" s="54"/>
      <c r="I25" s="54"/>
      <c r="J25" s="54"/>
      <c r="K25" s="54"/>
      <c r="L25" s="54"/>
      <c r="M25" s="54"/>
      <c r="N25" s="54"/>
      <c r="O25" s="54"/>
      <c r="P25" s="54"/>
      <c r="Q25" s="54"/>
      <c r="R25" s="13"/>
    </row>
    <row r="26" spans="1:18" ht="15.75" thickTop="1" x14ac:dyDescent="0.25">
      <c r="A26" s="9" t="s">
        <v>22</v>
      </c>
      <c r="B26" s="28">
        <f>IF(ISBLANK(A26),0,INDEX(txtstylestab[],MATCH(A26,txtstylestab[style_Name],0),1))</f>
        <v>4</v>
      </c>
      <c r="C26" s="28">
        <f t="shared" si="1"/>
        <v>3</v>
      </c>
      <c r="D26" s="28">
        <f t="shared" si="2"/>
        <v>2</v>
      </c>
      <c r="E26" s="28">
        <f t="shared" si="3"/>
        <v>0</v>
      </c>
      <c r="F26" s="56" t="str">
        <f t="shared" si="4"/>
        <v/>
      </c>
      <c r="G26" s="67" t="s">
        <v>1242</v>
      </c>
      <c r="H26" s="67"/>
      <c r="I26" s="67"/>
      <c r="J26" s="67"/>
      <c r="K26" s="67"/>
      <c r="L26" s="67"/>
      <c r="M26" s="67"/>
      <c r="N26" s="67"/>
      <c r="O26" s="67"/>
      <c r="P26" s="67"/>
      <c r="Q26" s="67"/>
      <c r="R26" s="13"/>
    </row>
    <row r="27" spans="1:18" x14ac:dyDescent="0.25">
      <c r="A27" s="9" t="s">
        <v>21</v>
      </c>
      <c r="B27" s="28">
        <f>IF(ISBLANK(A27),0,INDEX(txtstylestab[],MATCH(A27,txtstylestab[style_Name],0),1))</f>
        <v>0</v>
      </c>
      <c r="C27" s="28">
        <f t="shared" si="1"/>
        <v>3</v>
      </c>
      <c r="D27" s="28">
        <f t="shared" si="2"/>
        <v>2</v>
      </c>
      <c r="E27" s="28">
        <f t="shared" si="3"/>
        <v>0</v>
      </c>
      <c r="F27" s="59" t="str">
        <f t="shared" si="4"/>
        <v/>
      </c>
      <c r="G27" s="42" t="s">
        <v>82</v>
      </c>
      <c r="H27" s="43" t="s">
        <v>83</v>
      </c>
      <c r="I27" s="44" t="s">
        <v>84</v>
      </c>
      <c r="J27" s="45" t="s">
        <v>1209</v>
      </c>
      <c r="K27" s="46" t="s">
        <v>86</v>
      </c>
      <c r="L27" s="47" t="s">
        <v>2398</v>
      </c>
      <c r="M27" s="48" t="s">
        <v>2333</v>
      </c>
      <c r="N27" s="49"/>
      <c r="O27" s="49"/>
      <c r="P27" s="50"/>
      <c r="Q27" s="59"/>
      <c r="R27" s="13"/>
    </row>
    <row r="28" spans="1:18" ht="45" x14ac:dyDescent="0.25">
      <c r="A28" s="9" t="s">
        <v>21</v>
      </c>
      <c r="B28" s="28">
        <f>IF(ISBLANK(A28),0,INDEX(txtstylestab[],MATCH(A28,txtstylestab[style_Name],0),1))</f>
        <v>0</v>
      </c>
      <c r="C28" s="28">
        <f t="shared" si="1"/>
        <v>3</v>
      </c>
      <c r="D28" s="28">
        <f t="shared" si="2"/>
        <v>2</v>
      </c>
      <c r="E28" s="28">
        <f t="shared" si="3"/>
        <v>0</v>
      </c>
      <c r="F28" s="59" t="str">
        <f t="shared" si="4"/>
        <v/>
      </c>
      <c r="G28" s="42" t="s">
        <v>2087</v>
      </c>
      <c r="H28" s="43" t="s">
        <v>2088</v>
      </c>
      <c r="I28" s="44" t="s">
        <v>2089</v>
      </c>
      <c r="J28" s="45" t="s">
        <v>2090</v>
      </c>
      <c r="K28" s="46" t="s">
        <v>2091</v>
      </c>
      <c r="L28" s="47" t="s">
        <v>3002</v>
      </c>
      <c r="M28" s="48" t="s">
        <v>3003</v>
      </c>
      <c r="N28" s="49"/>
      <c r="O28" s="49"/>
      <c r="P28" s="50"/>
      <c r="Q28" s="59"/>
      <c r="R28" s="13"/>
    </row>
    <row r="29" spans="1:18" x14ac:dyDescent="0.25">
      <c r="A29" s="9" t="s">
        <v>14</v>
      </c>
      <c r="B29" s="28">
        <f>IF(ISBLANK(A29),0,INDEX(txtstylestab[],MATCH(A29,txtstylestab[style_Name],0),1))</f>
        <v>6</v>
      </c>
      <c r="C29" s="28">
        <f t="shared" si="1"/>
        <v>3</v>
      </c>
      <c r="D29" s="28">
        <f t="shared" si="2"/>
        <v>2</v>
      </c>
      <c r="E29" s="28">
        <f t="shared" si="3"/>
        <v>0</v>
      </c>
      <c r="F29" s="59" t="str">
        <f t="shared" si="4"/>
        <v/>
      </c>
      <c r="G29" s="42" t="s">
        <v>2092</v>
      </c>
      <c r="H29" s="43" t="s">
        <v>2093</v>
      </c>
      <c r="I29" s="44" t="s">
        <v>2094</v>
      </c>
      <c r="J29" s="45" t="s">
        <v>2095</v>
      </c>
      <c r="K29" s="46" t="s">
        <v>2096</v>
      </c>
      <c r="L29" s="47" t="s">
        <v>3004</v>
      </c>
      <c r="M29" s="48" t="s">
        <v>3005</v>
      </c>
      <c r="N29" s="49"/>
      <c r="O29" s="49"/>
      <c r="P29" s="50"/>
      <c r="Q29" s="59"/>
      <c r="R29" s="13"/>
    </row>
    <row r="30" spans="1:18" x14ac:dyDescent="0.25">
      <c r="A30" s="9" t="s">
        <v>14</v>
      </c>
      <c r="B30" s="28">
        <f>IF(ISBLANK(A30),0,INDEX(txtstylestab[],MATCH(A30,txtstylestab[style_Name],0),1))</f>
        <v>6</v>
      </c>
      <c r="C30" s="28">
        <f t="shared" si="1"/>
        <v>3</v>
      </c>
      <c r="D30" s="28">
        <f t="shared" si="2"/>
        <v>2</v>
      </c>
      <c r="E30" s="28">
        <f t="shared" si="3"/>
        <v>0</v>
      </c>
      <c r="F30" s="59" t="str">
        <f t="shared" si="4"/>
        <v/>
      </c>
      <c r="G30" s="42" t="s">
        <v>2097</v>
      </c>
      <c r="H30" s="43" t="s">
        <v>2098</v>
      </c>
      <c r="I30" s="44" t="s">
        <v>2099</v>
      </c>
      <c r="J30" s="45" t="s">
        <v>2100</v>
      </c>
      <c r="K30" s="46" t="s">
        <v>2101</v>
      </c>
      <c r="L30" s="47" t="s">
        <v>3006</v>
      </c>
      <c r="M30" s="48" t="s">
        <v>3007</v>
      </c>
      <c r="N30" s="49"/>
      <c r="O30" s="49"/>
      <c r="P30" s="50"/>
      <c r="Q30" s="59"/>
      <c r="R30" s="13"/>
    </row>
    <row r="31" spans="1:18" ht="75" x14ac:dyDescent="0.25">
      <c r="A31" s="9" t="s">
        <v>21</v>
      </c>
      <c r="B31" s="28">
        <f>IF(ISBLANK(A31),0,INDEX(txtstylestab[],MATCH(A31,txtstylestab[style_Name],0),1))</f>
        <v>0</v>
      </c>
      <c r="C31" s="28">
        <f t="shared" si="1"/>
        <v>3</v>
      </c>
      <c r="D31" s="28">
        <f t="shared" si="2"/>
        <v>2</v>
      </c>
      <c r="E31" s="28">
        <f t="shared" si="3"/>
        <v>0</v>
      </c>
      <c r="F31" s="59" t="str">
        <f t="shared" si="4"/>
        <v/>
      </c>
      <c r="G31" s="42" t="s">
        <v>1243</v>
      </c>
      <c r="H31" s="43" t="s">
        <v>1244</v>
      </c>
      <c r="I31" s="44" t="s">
        <v>1658</v>
      </c>
      <c r="J31" s="45" t="s">
        <v>1245</v>
      </c>
      <c r="K31" s="46" t="s">
        <v>1246</v>
      </c>
      <c r="L31" s="47" t="s">
        <v>3008</v>
      </c>
      <c r="M31" s="48" t="s">
        <v>3009</v>
      </c>
      <c r="N31" s="49"/>
      <c r="O31" s="49"/>
      <c r="P31" s="50"/>
      <c r="Q31" s="59"/>
      <c r="R31" s="13"/>
    </row>
    <row r="32" spans="1:18" x14ac:dyDescent="0.25">
      <c r="A32" s="9" t="s">
        <v>15</v>
      </c>
      <c r="B32" s="28">
        <f>IF(ISBLANK(A32),0,INDEX(txtstylestab[],MATCH(A32,txtstylestab[style_Name],0),1))</f>
        <v>8</v>
      </c>
      <c r="C32" s="28">
        <f t="shared" si="1"/>
        <v>3</v>
      </c>
      <c r="D32" s="28">
        <f t="shared" si="2"/>
        <v>2</v>
      </c>
      <c r="E32" s="28">
        <f t="shared" si="3"/>
        <v>0</v>
      </c>
      <c r="F32" s="60" t="str">
        <f t="shared" si="4"/>
        <v/>
      </c>
      <c r="G32" s="60" t="s">
        <v>1247</v>
      </c>
      <c r="H32" s="60"/>
      <c r="I32" s="60"/>
      <c r="J32" s="60"/>
      <c r="K32" s="60"/>
      <c r="L32" s="60"/>
      <c r="M32" s="60"/>
      <c r="N32" s="60"/>
      <c r="O32" s="60"/>
      <c r="P32" s="60"/>
      <c r="Q32" s="60"/>
      <c r="R32" s="13"/>
    </row>
    <row r="33" spans="1:18" ht="30" x14ac:dyDescent="0.25">
      <c r="A33" s="9" t="s">
        <v>21</v>
      </c>
      <c r="B33" s="28">
        <f>IF(ISBLANK(A33),0,INDEX(txtstylestab[],MATCH(A33,txtstylestab[style_Name],0),1))</f>
        <v>0</v>
      </c>
      <c r="C33" s="28">
        <f t="shared" si="1"/>
        <v>3</v>
      </c>
      <c r="D33" s="28">
        <f t="shared" si="2"/>
        <v>2</v>
      </c>
      <c r="E33" s="28">
        <f t="shared" si="3"/>
        <v>0</v>
      </c>
      <c r="F33" s="59" t="str">
        <f t="shared" si="4"/>
        <v/>
      </c>
      <c r="G33" s="42" t="s">
        <v>1248</v>
      </c>
      <c r="H33" s="43" t="s">
        <v>1249</v>
      </c>
      <c r="I33" s="44" t="s">
        <v>1659</v>
      </c>
      <c r="J33" s="45" t="s">
        <v>1565</v>
      </c>
      <c r="K33" s="46" t="s">
        <v>1250</v>
      </c>
      <c r="L33" s="47" t="s">
        <v>3010</v>
      </c>
      <c r="M33" s="48" t="s">
        <v>3011</v>
      </c>
      <c r="N33" s="49"/>
      <c r="O33" s="49"/>
      <c r="P33" s="50"/>
      <c r="Q33" s="59"/>
      <c r="R33" s="13"/>
    </row>
    <row r="34" spans="1:18" ht="45" x14ac:dyDescent="0.25">
      <c r="A34" s="9" t="s">
        <v>21</v>
      </c>
      <c r="B34" s="28">
        <f>IF(ISBLANK(A34),0,INDEX(txtstylestab[],MATCH(A34,txtstylestab[style_Name],0),1))</f>
        <v>0</v>
      </c>
      <c r="C34" s="28">
        <f t="shared" si="1"/>
        <v>3</v>
      </c>
      <c r="D34" s="28">
        <f t="shared" si="2"/>
        <v>2</v>
      </c>
      <c r="E34" s="28">
        <f t="shared" si="3"/>
        <v>0</v>
      </c>
      <c r="F34" s="59" t="str">
        <f t="shared" si="4"/>
        <v/>
      </c>
      <c r="G34" s="42" t="s">
        <v>1251</v>
      </c>
      <c r="H34" s="43" t="s">
        <v>1252</v>
      </c>
      <c r="I34" s="44" t="s">
        <v>1660</v>
      </c>
      <c r="J34" s="45" t="s">
        <v>1253</v>
      </c>
      <c r="K34" s="46" t="s">
        <v>1254</v>
      </c>
      <c r="L34" s="47" t="s">
        <v>3012</v>
      </c>
      <c r="M34" s="48" t="s">
        <v>3013</v>
      </c>
      <c r="N34" s="49"/>
      <c r="O34" s="49"/>
      <c r="P34" s="50"/>
      <c r="Q34" s="59"/>
      <c r="R34" s="13"/>
    </row>
    <row r="35" spans="1:18" ht="30" x14ac:dyDescent="0.25">
      <c r="A35" s="9" t="s">
        <v>21</v>
      </c>
      <c r="B35" s="28">
        <f>IF(ISBLANK(A35),0,INDEX(txtstylestab[],MATCH(A35,txtstylestab[style_Name],0),1))</f>
        <v>0</v>
      </c>
      <c r="C35" s="28">
        <f t="shared" si="1"/>
        <v>3</v>
      </c>
      <c r="D35" s="28">
        <f t="shared" si="2"/>
        <v>2</v>
      </c>
      <c r="E35" s="28">
        <f t="shared" si="3"/>
        <v>0</v>
      </c>
      <c r="F35" s="59" t="str">
        <f t="shared" si="4"/>
        <v/>
      </c>
      <c r="G35" s="42" t="s">
        <v>1255</v>
      </c>
      <c r="H35" s="43" t="s">
        <v>1256</v>
      </c>
      <c r="I35" s="44" t="s">
        <v>1661</v>
      </c>
      <c r="J35" s="45" t="s">
        <v>1566</v>
      </c>
      <c r="K35" s="46" t="s">
        <v>1257</v>
      </c>
      <c r="L35" s="47" t="s">
        <v>3014</v>
      </c>
      <c r="M35" s="48" t="s">
        <v>3015</v>
      </c>
      <c r="N35" s="49"/>
      <c r="O35" s="49"/>
      <c r="P35" s="50"/>
      <c r="Q35" s="59"/>
      <c r="R35" s="13"/>
    </row>
    <row r="36" spans="1:18" ht="45" x14ac:dyDescent="0.25">
      <c r="A36" s="9" t="s">
        <v>21</v>
      </c>
      <c r="B36" s="28">
        <f>IF(ISBLANK(A36),0,INDEX(txtstylestab[],MATCH(A36,txtstylestab[style_Name],0),1))</f>
        <v>0</v>
      </c>
      <c r="C36" s="28">
        <f t="shared" si="1"/>
        <v>3</v>
      </c>
      <c r="D36" s="28">
        <f t="shared" si="2"/>
        <v>2</v>
      </c>
      <c r="E36" s="28">
        <f t="shared" si="3"/>
        <v>0</v>
      </c>
      <c r="F36" s="59" t="str">
        <f t="shared" si="4"/>
        <v/>
      </c>
      <c r="G36" s="42" t="s">
        <v>2322</v>
      </c>
      <c r="H36" s="43" t="s">
        <v>2323</v>
      </c>
      <c r="I36" s="44" t="s">
        <v>2324</v>
      </c>
      <c r="J36" s="45" t="s">
        <v>2325</v>
      </c>
      <c r="K36" s="46" t="s">
        <v>2326</v>
      </c>
      <c r="L36" s="47" t="s">
        <v>3023</v>
      </c>
      <c r="M36" s="48" t="s">
        <v>3024</v>
      </c>
      <c r="N36" s="49"/>
      <c r="O36" s="49"/>
      <c r="P36" s="50"/>
      <c r="Q36" s="59"/>
      <c r="R36" s="13"/>
    </row>
    <row r="37" spans="1:18" ht="105" x14ac:dyDescent="0.25">
      <c r="A37" s="9" t="s">
        <v>21</v>
      </c>
      <c r="B37" s="28">
        <f>IF(ISBLANK(A37),0,INDEX(txtstylestab[],MATCH(A37,txtstylestab[style_Name],0),1))</f>
        <v>0</v>
      </c>
      <c r="C37" s="28">
        <f t="shared" si="1"/>
        <v>3</v>
      </c>
      <c r="D37" s="28">
        <f t="shared" si="2"/>
        <v>2</v>
      </c>
      <c r="E37" s="28">
        <f t="shared" si="3"/>
        <v>0</v>
      </c>
      <c r="F37" s="59" t="str">
        <f t="shared" si="4"/>
        <v/>
      </c>
      <c r="G37" s="42" t="s">
        <v>1258</v>
      </c>
      <c r="H37" s="43" t="s">
        <v>1259</v>
      </c>
      <c r="I37" s="44" t="s">
        <v>2306</v>
      </c>
      <c r="J37" s="45" t="s">
        <v>1767</v>
      </c>
      <c r="K37" s="46" t="s">
        <v>1260</v>
      </c>
      <c r="L37" s="47" t="s">
        <v>3016</v>
      </c>
      <c r="M37" s="48" t="s">
        <v>3017</v>
      </c>
      <c r="N37" s="49"/>
      <c r="O37" s="49"/>
      <c r="P37" s="50"/>
      <c r="Q37" s="59"/>
      <c r="R37" s="13"/>
    </row>
    <row r="38" spans="1:18" ht="45" x14ac:dyDescent="0.25">
      <c r="A38" s="9" t="s">
        <v>21</v>
      </c>
      <c r="B38" s="28">
        <f>IF(ISBLANK(A38),0,INDEX(txtstylestab[],MATCH(A38,txtstylestab[style_Name],0),1))</f>
        <v>0</v>
      </c>
      <c r="C38" s="28">
        <f t="shared" si="1"/>
        <v>3</v>
      </c>
      <c r="D38" s="28">
        <f t="shared" si="2"/>
        <v>2</v>
      </c>
      <c r="E38" s="28">
        <f t="shared" si="3"/>
        <v>0</v>
      </c>
      <c r="F38" s="59" t="str">
        <f t="shared" si="4"/>
        <v/>
      </c>
      <c r="G38" s="42" t="s">
        <v>1261</v>
      </c>
      <c r="H38" s="43" t="s">
        <v>1262</v>
      </c>
      <c r="I38" s="44" t="s">
        <v>1662</v>
      </c>
      <c r="J38" s="45" t="s">
        <v>1567</v>
      </c>
      <c r="K38" s="46" t="s">
        <v>1263</v>
      </c>
      <c r="L38" s="47" t="s">
        <v>3025</v>
      </c>
      <c r="M38" s="48" t="s">
        <v>3018</v>
      </c>
      <c r="N38" s="49"/>
      <c r="O38" s="49"/>
      <c r="P38" s="50"/>
      <c r="Q38" s="59"/>
      <c r="R38" s="13"/>
    </row>
    <row r="39" spans="1:18" ht="30" x14ac:dyDescent="0.25">
      <c r="A39" s="9" t="s">
        <v>21</v>
      </c>
      <c r="B39" s="28">
        <f>IF(ISBLANK(A39),0,INDEX(txtstylestab[],MATCH(A39,txtstylestab[style_Name],0),1))</f>
        <v>0</v>
      </c>
      <c r="C39" s="28">
        <f t="shared" si="1"/>
        <v>3</v>
      </c>
      <c r="D39" s="28">
        <f t="shared" si="2"/>
        <v>2</v>
      </c>
      <c r="E39" s="28">
        <f t="shared" si="3"/>
        <v>0</v>
      </c>
      <c r="F39" s="59" t="str">
        <f t="shared" si="4"/>
        <v/>
      </c>
      <c r="G39" s="42" t="s">
        <v>1264</v>
      </c>
      <c r="H39" s="43" t="s">
        <v>1265</v>
      </c>
      <c r="I39" s="44" t="s">
        <v>1663</v>
      </c>
      <c r="J39" s="45" t="s">
        <v>1568</v>
      </c>
      <c r="K39" s="46" t="s">
        <v>1266</v>
      </c>
      <c r="L39" s="47" t="s">
        <v>3019</v>
      </c>
      <c r="M39" s="48" t="s">
        <v>3020</v>
      </c>
      <c r="N39" s="49"/>
      <c r="O39" s="49"/>
      <c r="P39" s="50"/>
      <c r="Q39" s="59"/>
      <c r="R39" s="13"/>
    </row>
    <row r="40" spans="1:18" ht="45" x14ac:dyDescent="0.25">
      <c r="A40" s="9" t="s">
        <v>21</v>
      </c>
      <c r="B40" s="28">
        <f>IF(ISBLANK(A40),0,INDEX(txtstylestab[],MATCH(A40,txtstylestab[style_Name],0),1))</f>
        <v>0</v>
      </c>
      <c r="C40" s="28">
        <f t="shared" si="1"/>
        <v>3</v>
      </c>
      <c r="D40" s="28">
        <f t="shared" si="2"/>
        <v>2</v>
      </c>
      <c r="E40" s="28">
        <f t="shared" si="3"/>
        <v>0</v>
      </c>
      <c r="F40" s="59" t="str">
        <f t="shared" si="4"/>
        <v/>
      </c>
      <c r="G40" s="42" t="s">
        <v>1267</v>
      </c>
      <c r="H40" s="43" t="s">
        <v>1268</v>
      </c>
      <c r="I40" s="44" t="s">
        <v>1664</v>
      </c>
      <c r="J40" s="45" t="s">
        <v>1269</v>
      </c>
      <c r="K40" s="46" t="s">
        <v>1270</v>
      </c>
      <c r="L40" s="47" t="s">
        <v>3021</v>
      </c>
      <c r="M40" s="48" t="s">
        <v>3022</v>
      </c>
      <c r="N40" s="49"/>
      <c r="O40" s="49"/>
      <c r="P40" s="50"/>
      <c r="Q40" s="59"/>
      <c r="R40" s="13"/>
    </row>
    <row r="41" spans="1:18" ht="18" thickBot="1" x14ac:dyDescent="0.35">
      <c r="A41" s="9" t="s">
        <v>11</v>
      </c>
      <c r="B41" s="28">
        <f>IF(ISBLANK(A41),0,INDEX(txtstylestab[],MATCH(A41,txtstylestab[style_Name],0),1))</f>
        <v>2</v>
      </c>
      <c r="C41" s="28">
        <f t="shared" si="1"/>
        <v>3</v>
      </c>
      <c r="D41" s="28">
        <f t="shared" si="2"/>
        <v>3</v>
      </c>
      <c r="E41" s="28">
        <f t="shared" si="3"/>
        <v>0</v>
      </c>
      <c r="F41" s="54" t="str">
        <f t="shared" si="4"/>
        <v>3.3.</v>
      </c>
      <c r="G41" s="54" t="s">
        <v>2102</v>
      </c>
      <c r="H41" s="54"/>
      <c r="I41" s="54"/>
      <c r="J41" s="54"/>
      <c r="K41" s="54"/>
      <c r="L41" s="54"/>
      <c r="M41" s="54"/>
      <c r="N41" s="54"/>
      <c r="O41" s="54"/>
      <c r="P41" s="54"/>
      <c r="Q41" s="54"/>
      <c r="R41" s="13"/>
    </row>
    <row r="42" spans="1:18" ht="15.75" thickTop="1" x14ac:dyDescent="0.25">
      <c r="A42" s="9" t="s">
        <v>22</v>
      </c>
      <c r="B42" s="28">
        <f>IF(ISBLANK(A42),0,INDEX(txtstylestab[],MATCH(A42,txtstylestab[style_Name],0),1))</f>
        <v>4</v>
      </c>
      <c r="C42" s="28">
        <f t="shared" si="1"/>
        <v>3</v>
      </c>
      <c r="D42" s="28">
        <f t="shared" si="2"/>
        <v>3</v>
      </c>
      <c r="E42" s="28">
        <f t="shared" si="3"/>
        <v>0</v>
      </c>
      <c r="F42" s="56" t="str">
        <f t="shared" si="4"/>
        <v/>
      </c>
      <c r="G42" s="53" t="s">
        <v>108</v>
      </c>
      <c r="H42" s="53"/>
      <c r="I42" s="53"/>
      <c r="J42" s="53"/>
      <c r="K42" s="53"/>
      <c r="L42" s="53"/>
      <c r="M42" s="53"/>
      <c r="N42" s="53"/>
      <c r="O42" s="53"/>
      <c r="P42" s="53"/>
      <c r="Q42" s="53"/>
      <c r="R42" s="13"/>
    </row>
    <row r="43" spans="1:18" ht="30" x14ac:dyDescent="0.25">
      <c r="A43" s="9" t="s">
        <v>21</v>
      </c>
      <c r="B43" s="28">
        <f>IF(ISBLANK(A43),0,INDEX(txtstylestab[],MATCH(A43,txtstylestab[style_Name],0),1))</f>
        <v>0</v>
      </c>
      <c r="C43" s="28">
        <f t="shared" si="1"/>
        <v>3</v>
      </c>
      <c r="D43" s="28">
        <f t="shared" si="2"/>
        <v>3</v>
      </c>
      <c r="E43" s="28">
        <f t="shared" si="3"/>
        <v>0</v>
      </c>
      <c r="F43" s="59" t="str">
        <f t="shared" si="4"/>
        <v/>
      </c>
      <c r="G43" s="42" t="s">
        <v>1271</v>
      </c>
      <c r="H43" s="43" t="s">
        <v>1272</v>
      </c>
      <c r="I43" s="44" t="s">
        <v>1306</v>
      </c>
      <c r="J43" s="45" t="s">
        <v>1274</v>
      </c>
      <c r="K43" s="46" t="s">
        <v>1275</v>
      </c>
      <c r="L43" s="47" t="s">
        <v>3026</v>
      </c>
      <c r="M43" s="48" t="s">
        <v>3027</v>
      </c>
      <c r="N43" s="49"/>
      <c r="O43" s="49"/>
      <c r="P43" s="50"/>
      <c r="Q43" s="59"/>
      <c r="R43" s="13"/>
    </row>
    <row r="44" spans="1:18" ht="45" x14ac:dyDescent="0.25">
      <c r="A44" s="9" t="s">
        <v>21</v>
      </c>
      <c r="B44" s="28">
        <f>IF(ISBLANK(A44),0,INDEX(txtstylestab[],MATCH(A44,txtstylestab[style_Name],0),1))</f>
        <v>0</v>
      </c>
      <c r="C44" s="28">
        <f t="shared" si="1"/>
        <v>3</v>
      </c>
      <c r="D44" s="28">
        <f t="shared" si="2"/>
        <v>3</v>
      </c>
      <c r="E44" s="28">
        <f t="shared" si="3"/>
        <v>0</v>
      </c>
      <c r="F44" s="59" t="str">
        <f t="shared" si="4"/>
        <v/>
      </c>
      <c r="G44" s="42" t="s">
        <v>1276</v>
      </c>
      <c r="H44" s="43" t="s">
        <v>1277</v>
      </c>
      <c r="I44" s="44" t="s">
        <v>1278</v>
      </c>
      <c r="J44" s="45" t="s">
        <v>1279</v>
      </c>
      <c r="K44" s="46" t="s">
        <v>1280</v>
      </c>
      <c r="L44" s="47" t="s">
        <v>3028</v>
      </c>
      <c r="M44" s="48" t="s">
        <v>3029</v>
      </c>
      <c r="N44" s="49"/>
      <c r="O44" s="49"/>
      <c r="P44" s="50"/>
      <c r="Q44" s="59"/>
      <c r="R44" s="13"/>
    </row>
    <row r="45" spans="1:18" x14ac:dyDescent="0.25">
      <c r="A45" s="9" t="s">
        <v>21</v>
      </c>
      <c r="B45" s="28">
        <f>IF(ISBLANK(A45),0,INDEX(txtstylestab[],MATCH(A45,txtstylestab[style_Name],0),1))</f>
        <v>0</v>
      </c>
      <c r="C45" s="28">
        <f t="shared" si="1"/>
        <v>3</v>
      </c>
      <c r="D45" s="28">
        <f t="shared" si="2"/>
        <v>3</v>
      </c>
      <c r="E45" s="28">
        <f t="shared" si="3"/>
        <v>0</v>
      </c>
      <c r="F45" s="59" t="str">
        <f t="shared" si="4"/>
        <v/>
      </c>
      <c r="G45" s="42" t="s">
        <v>119</v>
      </c>
      <c r="H45" s="43" t="s">
        <v>1281</v>
      </c>
      <c r="I45" s="44" t="s">
        <v>185</v>
      </c>
      <c r="J45" s="45" t="s">
        <v>1282</v>
      </c>
      <c r="K45" s="46" t="s">
        <v>1283</v>
      </c>
      <c r="L45" s="47" t="s">
        <v>3030</v>
      </c>
      <c r="M45" s="48" t="s">
        <v>3031</v>
      </c>
      <c r="N45" s="49"/>
      <c r="O45" s="49"/>
      <c r="P45" s="50"/>
      <c r="Q45" s="59"/>
      <c r="R45" s="13"/>
    </row>
    <row r="46" spans="1:18" ht="30" x14ac:dyDescent="0.25">
      <c r="A46" s="9" t="s">
        <v>21</v>
      </c>
      <c r="B46" s="28">
        <f>IF(ISBLANK(A46),0,INDEX(txtstylestab[],MATCH(A46,txtstylestab[style_Name],0),1))</f>
        <v>0</v>
      </c>
      <c r="C46" s="28">
        <f t="shared" si="1"/>
        <v>3</v>
      </c>
      <c r="D46" s="28">
        <f t="shared" si="2"/>
        <v>3</v>
      </c>
      <c r="E46" s="28">
        <f t="shared" si="3"/>
        <v>0</v>
      </c>
      <c r="F46" s="59" t="str">
        <f t="shared" si="4"/>
        <v/>
      </c>
      <c r="G46" s="42" t="s">
        <v>124</v>
      </c>
      <c r="H46" s="43" t="s">
        <v>196</v>
      </c>
      <c r="I46" s="44" t="s">
        <v>1284</v>
      </c>
      <c r="J46" s="45" t="s">
        <v>1285</v>
      </c>
      <c r="K46" s="46" t="s">
        <v>128</v>
      </c>
      <c r="L46" s="47" t="s">
        <v>2407</v>
      </c>
      <c r="M46" s="48" t="s">
        <v>2408</v>
      </c>
      <c r="N46" s="49"/>
      <c r="O46" s="49"/>
      <c r="P46" s="50"/>
      <c r="Q46" s="59"/>
      <c r="R46" s="13"/>
    </row>
    <row r="47" spans="1:18" ht="45" x14ac:dyDescent="0.25">
      <c r="A47" s="9" t="s">
        <v>21</v>
      </c>
      <c r="B47" s="28">
        <f>IF(ISBLANK(A47),0,INDEX(txtstylestab[],MATCH(A47,txtstylestab[style_Name],0),1))</f>
        <v>0</v>
      </c>
      <c r="C47" s="28">
        <f t="shared" si="1"/>
        <v>3</v>
      </c>
      <c r="D47" s="28">
        <f t="shared" si="2"/>
        <v>3</v>
      </c>
      <c r="E47" s="28">
        <f t="shared" si="3"/>
        <v>0</v>
      </c>
      <c r="F47" s="59" t="str">
        <f t="shared" si="4"/>
        <v/>
      </c>
      <c r="G47" s="42" t="s">
        <v>1286</v>
      </c>
      <c r="H47" s="43" t="s">
        <v>2151</v>
      </c>
      <c r="I47" s="44" t="s">
        <v>1753</v>
      </c>
      <c r="J47" s="45" t="s">
        <v>2272</v>
      </c>
      <c r="K47" s="46" t="s">
        <v>1287</v>
      </c>
      <c r="L47" s="47" t="s">
        <v>3032</v>
      </c>
      <c r="M47" s="48" t="s">
        <v>3033</v>
      </c>
      <c r="N47" s="49"/>
      <c r="O47" s="49"/>
      <c r="P47" s="50"/>
      <c r="Q47" s="59"/>
      <c r="R47" s="13"/>
    </row>
    <row r="48" spans="1:18" ht="75" x14ac:dyDescent="0.25">
      <c r="A48" s="9" t="s">
        <v>21</v>
      </c>
      <c r="B48" s="28">
        <f>IF(ISBLANK(A48),0,INDEX(txtstylestab[],MATCH(A48,txtstylestab[style_Name],0),1))</f>
        <v>0</v>
      </c>
      <c r="C48" s="28">
        <f t="shared" si="1"/>
        <v>3</v>
      </c>
      <c r="D48" s="28">
        <f t="shared" si="2"/>
        <v>3</v>
      </c>
      <c r="E48" s="28">
        <f t="shared" si="3"/>
        <v>0</v>
      </c>
      <c r="F48" s="59" t="str">
        <f t="shared" si="4"/>
        <v/>
      </c>
      <c r="G48" s="42" t="s">
        <v>1288</v>
      </c>
      <c r="H48" s="43" t="s">
        <v>1289</v>
      </c>
      <c r="I48" s="44" t="s">
        <v>1290</v>
      </c>
      <c r="J48" s="45" t="s">
        <v>1291</v>
      </c>
      <c r="K48" s="46" t="s">
        <v>1292</v>
      </c>
      <c r="L48" s="47" t="s">
        <v>3034</v>
      </c>
      <c r="M48" s="48" t="s">
        <v>3035</v>
      </c>
      <c r="N48" s="49"/>
      <c r="O48" s="49"/>
      <c r="P48" s="50"/>
      <c r="Q48" s="59"/>
      <c r="R48" s="13"/>
    </row>
    <row r="49" spans="1:18" x14ac:dyDescent="0.25">
      <c r="A49" s="9" t="s">
        <v>23</v>
      </c>
      <c r="B49" s="28">
        <f>IF(ISBLANK(A49),0,INDEX(txtstylestab[],MATCH(A49,txtstylestab[style_Name],0),1))</f>
        <v>5</v>
      </c>
      <c r="C49" s="28">
        <f t="shared" si="1"/>
        <v>3</v>
      </c>
      <c r="D49" s="28">
        <f t="shared" si="2"/>
        <v>3</v>
      </c>
      <c r="E49" s="28">
        <f t="shared" si="3"/>
        <v>0</v>
      </c>
      <c r="F49" s="56" t="str">
        <f t="shared" si="4"/>
        <v/>
      </c>
      <c r="G49" s="58" t="s">
        <v>1293</v>
      </c>
      <c r="H49" s="58"/>
      <c r="I49" s="58"/>
      <c r="J49" s="58"/>
      <c r="K49" s="58"/>
      <c r="L49" s="58"/>
      <c r="M49" s="58"/>
      <c r="N49" s="58"/>
      <c r="O49" s="58"/>
      <c r="P49" s="58"/>
      <c r="Q49" s="58"/>
      <c r="R49" s="13"/>
    </row>
    <row r="50" spans="1:18" ht="45" x14ac:dyDescent="0.25">
      <c r="A50" s="9" t="s">
        <v>21</v>
      </c>
      <c r="B50" s="28">
        <f>IF(ISBLANK(A50),0,INDEX(txtstylestab[],MATCH(A50,txtstylestab[style_Name],0),1))</f>
        <v>0</v>
      </c>
      <c r="C50" s="28">
        <f t="shared" si="1"/>
        <v>3</v>
      </c>
      <c r="D50" s="28">
        <f t="shared" si="2"/>
        <v>3</v>
      </c>
      <c r="E50" s="28">
        <f t="shared" si="3"/>
        <v>0</v>
      </c>
      <c r="F50" s="59" t="str">
        <f t="shared" si="4"/>
        <v/>
      </c>
      <c r="G50" s="42" t="s">
        <v>1294</v>
      </c>
      <c r="H50" s="43" t="s">
        <v>1295</v>
      </c>
      <c r="I50" s="44" t="s">
        <v>1665</v>
      </c>
      <c r="J50" s="45" t="s">
        <v>1296</v>
      </c>
      <c r="K50" s="46" t="s">
        <v>1297</v>
      </c>
      <c r="L50" s="47" t="s">
        <v>3036</v>
      </c>
      <c r="M50" s="48" t="s">
        <v>3037</v>
      </c>
      <c r="N50" s="49"/>
      <c r="O50" s="49"/>
      <c r="P50" s="50"/>
      <c r="Q50" s="59"/>
      <c r="R50" s="13"/>
    </row>
    <row r="51" spans="1:18" ht="75" x14ac:dyDescent="0.25">
      <c r="A51" s="9" t="s">
        <v>21</v>
      </c>
      <c r="B51" s="28">
        <f>IF(ISBLANK(A51),0,INDEX(txtstylestab[],MATCH(A51,txtstylestab[style_Name],0),1))</f>
        <v>0</v>
      </c>
      <c r="C51" s="28">
        <f t="shared" si="1"/>
        <v>3</v>
      </c>
      <c r="D51" s="28">
        <f t="shared" si="2"/>
        <v>3</v>
      </c>
      <c r="E51" s="28">
        <f t="shared" si="3"/>
        <v>0</v>
      </c>
      <c r="F51" s="59" t="str">
        <f t="shared" si="4"/>
        <v/>
      </c>
      <c r="G51" s="42" t="s">
        <v>1298</v>
      </c>
      <c r="H51" s="43" t="s">
        <v>1299</v>
      </c>
      <c r="I51" s="44" t="s">
        <v>1671</v>
      </c>
      <c r="J51" s="45" t="s">
        <v>1569</v>
      </c>
      <c r="K51" s="46" t="s">
        <v>1300</v>
      </c>
      <c r="L51" s="47" t="s">
        <v>3038</v>
      </c>
      <c r="M51" s="48" t="s">
        <v>3039</v>
      </c>
      <c r="N51" s="49"/>
      <c r="O51" s="49"/>
      <c r="P51" s="50"/>
      <c r="Q51" s="59"/>
      <c r="R51" s="13"/>
    </row>
    <row r="52" spans="1:18" x14ac:dyDescent="0.25">
      <c r="A52" s="9" t="s">
        <v>23</v>
      </c>
      <c r="B52" s="28">
        <f>IF(ISBLANK(A52),0,INDEX(txtstylestab[],MATCH(A52,txtstylestab[style_Name],0),1))</f>
        <v>5</v>
      </c>
      <c r="C52" s="28">
        <f t="shared" si="1"/>
        <v>3</v>
      </c>
      <c r="D52" s="28">
        <f t="shared" si="2"/>
        <v>3</v>
      </c>
      <c r="E52" s="28">
        <f t="shared" si="3"/>
        <v>0</v>
      </c>
      <c r="F52" s="56" t="str">
        <f t="shared" si="4"/>
        <v/>
      </c>
      <c r="G52" s="58" t="s">
        <v>1301</v>
      </c>
      <c r="H52" s="58"/>
      <c r="I52" s="58"/>
      <c r="J52" s="58"/>
      <c r="K52" s="58"/>
      <c r="L52" s="58"/>
      <c r="M52" s="58"/>
      <c r="N52" s="58"/>
      <c r="O52" s="58"/>
      <c r="P52" s="58"/>
      <c r="Q52" s="58"/>
      <c r="R52" s="13"/>
    </row>
    <row r="53" spans="1:18" ht="60" x14ac:dyDescent="0.25">
      <c r="A53" s="9" t="s">
        <v>21</v>
      </c>
      <c r="B53" s="28">
        <f>IF(ISBLANK(A53),0,INDEX(txtstylestab[],MATCH(A53,txtstylestab[style_Name],0),1))</f>
        <v>0</v>
      </c>
      <c r="C53" s="28">
        <f t="shared" si="1"/>
        <v>3</v>
      </c>
      <c r="D53" s="28">
        <f t="shared" si="2"/>
        <v>3</v>
      </c>
      <c r="E53" s="28">
        <f t="shared" si="3"/>
        <v>0</v>
      </c>
      <c r="F53" s="59" t="str">
        <f t="shared" si="4"/>
        <v/>
      </c>
      <c r="G53" s="42" t="s">
        <v>1302</v>
      </c>
      <c r="H53" s="43" t="s">
        <v>1303</v>
      </c>
      <c r="I53" s="44" t="s">
        <v>1666</v>
      </c>
      <c r="J53" s="45" t="s">
        <v>1587</v>
      </c>
      <c r="K53" s="46" t="s">
        <v>1304</v>
      </c>
      <c r="L53" s="47" t="s">
        <v>3040</v>
      </c>
      <c r="M53" s="48" t="s">
        <v>3041</v>
      </c>
      <c r="N53" s="49"/>
      <c r="O53" s="49"/>
      <c r="P53" s="50"/>
      <c r="Q53" s="59"/>
      <c r="R53" s="13"/>
    </row>
    <row r="54" spans="1:18" x14ac:dyDescent="0.25">
      <c r="A54" s="9" t="s">
        <v>22</v>
      </c>
      <c r="B54" s="28">
        <f>IF(ISBLANK(A54),0,INDEX(txtstylestab[],MATCH(A54,txtstylestab[style_Name],0),1))</f>
        <v>4</v>
      </c>
      <c r="C54" s="28">
        <f t="shared" si="1"/>
        <v>3</v>
      </c>
      <c r="D54" s="28">
        <f t="shared" si="2"/>
        <v>3</v>
      </c>
      <c r="E54" s="28">
        <f t="shared" si="3"/>
        <v>0</v>
      </c>
      <c r="F54" s="56" t="str">
        <f t="shared" si="4"/>
        <v/>
      </c>
      <c r="G54" s="53" t="s">
        <v>1305</v>
      </c>
      <c r="H54" s="53"/>
      <c r="I54" s="53"/>
      <c r="J54" s="53"/>
      <c r="K54" s="53"/>
      <c r="L54" s="53"/>
      <c r="M54" s="53"/>
      <c r="N54" s="53"/>
      <c r="O54" s="53"/>
      <c r="P54" s="53"/>
      <c r="Q54" s="53"/>
      <c r="R54" s="13"/>
    </row>
    <row r="55" spans="1:18" ht="30" x14ac:dyDescent="0.25">
      <c r="A55" s="9" t="s">
        <v>21</v>
      </c>
      <c r="B55" s="28">
        <f>IF(ISBLANK(A55),0,INDEX(txtstylestab[],MATCH(A55,txtstylestab[style_Name],0),1))</f>
        <v>0</v>
      </c>
      <c r="C55" s="28">
        <f t="shared" si="1"/>
        <v>3</v>
      </c>
      <c r="D55" s="28">
        <f t="shared" si="2"/>
        <v>3</v>
      </c>
      <c r="E55" s="28">
        <f t="shared" si="3"/>
        <v>0</v>
      </c>
      <c r="F55" s="59" t="str">
        <f t="shared" si="4"/>
        <v/>
      </c>
      <c r="G55" s="42" t="s">
        <v>1271</v>
      </c>
      <c r="H55" s="43" t="s">
        <v>1272</v>
      </c>
      <c r="I55" s="44" t="s">
        <v>1306</v>
      </c>
      <c r="J55" s="45" t="s">
        <v>1274</v>
      </c>
      <c r="K55" s="46" t="s">
        <v>1307</v>
      </c>
      <c r="L55" s="47" t="s">
        <v>3026</v>
      </c>
      <c r="M55" s="48" t="s">
        <v>3027</v>
      </c>
      <c r="N55" s="49"/>
      <c r="O55" s="49"/>
      <c r="P55" s="50"/>
      <c r="Q55" s="59"/>
      <c r="R55" s="13"/>
    </row>
    <row r="56" spans="1:18" ht="45" x14ac:dyDescent="0.25">
      <c r="A56" s="9" t="s">
        <v>21</v>
      </c>
      <c r="B56" s="28">
        <f>IF(ISBLANK(A56),0,INDEX(txtstylestab[],MATCH(A56,txtstylestab[style_Name],0),1))</f>
        <v>0</v>
      </c>
      <c r="C56" s="28">
        <f t="shared" si="1"/>
        <v>3</v>
      </c>
      <c r="D56" s="28">
        <f t="shared" si="2"/>
        <v>3</v>
      </c>
      <c r="E56" s="28">
        <f t="shared" si="3"/>
        <v>0</v>
      </c>
      <c r="F56" s="59" t="str">
        <f t="shared" si="4"/>
        <v/>
      </c>
      <c r="G56" s="42" t="s">
        <v>1308</v>
      </c>
      <c r="H56" s="43" t="s">
        <v>1277</v>
      </c>
      <c r="I56" s="44" t="s">
        <v>1309</v>
      </c>
      <c r="J56" s="45" t="s">
        <v>1279</v>
      </c>
      <c r="K56" s="46" t="s">
        <v>1310</v>
      </c>
      <c r="L56" s="47" t="s">
        <v>3028</v>
      </c>
      <c r="M56" s="48" t="s">
        <v>3029</v>
      </c>
      <c r="N56" s="49"/>
      <c r="O56" s="49"/>
      <c r="P56" s="50"/>
      <c r="Q56" s="59"/>
      <c r="R56" s="13"/>
    </row>
    <row r="57" spans="1:18" ht="30" x14ac:dyDescent="0.25">
      <c r="A57" s="9" t="s">
        <v>21</v>
      </c>
      <c r="B57" s="28">
        <f>IF(ISBLANK(A57),0,INDEX(txtstylestab[],MATCH(A57,txtstylestab[style_Name],0),1))</f>
        <v>0</v>
      </c>
      <c r="C57" s="28">
        <f t="shared" si="1"/>
        <v>3</v>
      </c>
      <c r="D57" s="28">
        <f t="shared" si="2"/>
        <v>3</v>
      </c>
      <c r="E57" s="28">
        <f t="shared" si="3"/>
        <v>0</v>
      </c>
      <c r="F57" s="59" t="str">
        <f t="shared" si="4"/>
        <v/>
      </c>
      <c r="G57" s="42" t="s">
        <v>155</v>
      </c>
      <c r="H57" s="43" t="s">
        <v>156</v>
      </c>
      <c r="I57" s="44" t="s">
        <v>1311</v>
      </c>
      <c r="J57" s="45" t="s">
        <v>1312</v>
      </c>
      <c r="K57" s="46" t="s">
        <v>1313</v>
      </c>
      <c r="L57" s="47" t="s">
        <v>3030</v>
      </c>
      <c r="M57" s="48" t="s">
        <v>3031</v>
      </c>
      <c r="N57" s="49"/>
      <c r="O57" s="49"/>
      <c r="P57" s="50"/>
      <c r="Q57" s="59"/>
      <c r="R57" s="13"/>
    </row>
    <row r="58" spans="1:18" ht="30" x14ac:dyDescent="0.25">
      <c r="A58" s="9" t="s">
        <v>21</v>
      </c>
      <c r="B58" s="28">
        <f>IF(ISBLANK(A58),0,INDEX(txtstylestab[],MATCH(A58,txtstylestab[style_Name],0),1))</f>
        <v>0</v>
      </c>
      <c r="C58" s="28">
        <f t="shared" si="1"/>
        <v>3</v>
      </c>
      <c r="D58" s="28">
        <f t="shared" si="2"/>
        <v>3</v>
      </c>
      <c r="E58" s="28">
        <f t="shared" si="3"/>
        <v>0</v>
      </c>
      <c r="F58" s="59" t="str">
        <f t="shared" si="4"/>
        <v/>
      </c>
      <c r="G58" s="42" t="s">
        <v>1314</v>
      </c>
      <c r="H58" s="43" t="s">
        <v>1315</v>
      </c>
      <c r="I58" s="44" t="s">
        <v>1316</v>
      </c>
      <c r="J58" s="45" t="s">
        <v>1317</v>
      </c>
      <c r="K58" s="46" t="s">
        <v>1318</v>
      </c>
      <c r="L58" s="47" t="s">
        <v>3042</v>
      </c>
      <c r="M58" s="48" t="s">
        <v>3043</v>
      </c>
      <c r="N58" s="49"/>
      <c r="O58" s="49"/>
      <c r="P58" s="50"/>
      <c r="Q58" s="59"/>
      <c r="R58" s="13"/>
    </row>
    <row r="59" spans="1:18" ht="30" x14ac:dyDescent="0.25">
      <c r="A59" s="9" t="s">
        <v>21</v>
      </c>
      <c r="B59" s="28">
        <f>IF(ISBLANK(A59),0,INDEX(txtstylestab[],MATCH(A59,txtstylestab[style_Name],0),1))</f>
        <v>0</v>
      </c>
      <c r="C59" s="28">
        <f t="shared" si="1"/>
        <v>3</v>
      </c>
      <c r="D59" s="28">
        <f t="shared" si="2"/>
        <v>3</v>
      </c>
      <c r="E59" s="28">
        <f t="shared" si="3"/>
        <v>0</v>
      </c>
      <c r="F59" s="59" t="str">
        <f t="shared" si="4"/>
        <v/>
      </c>
      <c r="G59" s="42" t="s">
        <v>177</v>
      </c>
      <c r="H59" s="43" t="s">
        <v>196</v>
      </c>
      <c r="I59" s="44" t="s">
        <v>1319</v>
      </c>
      <c r="J59" s="45" t="s">
        <v>1285</v>
      </c>
      <c r="K59" s="46" t="s">
        <v>198</v>
      </c>
      <c r="L59" s="47" t="s">
        <v>2407</v>
      </c>
      <c r="M59" s="48" t="s">
        <v>2408</v>
      </c>
      <c r="N59" s="49"/>
      <c r="O59" s="49"/>
      <c r="P59" s="50"/>
      <c r="Q59" s="59"/>
      <c r="R59" s="13"/>
    </row>
    <row r="60" spans="1:18" ht="45" x14ac:dyDescent="0.25">
      <c r="A60" s="9" t="s">
        <v>21</v>
      </c>
      <c r="B60" s="28">
        <f>IF(ISBLANK(A60),0,INDEX(txtstylestab[],MATCH(A60,txtstylestab[style_Name],0),1))</f>
        <v>0</v>
      </c>
      <c r="C60" s="28">
        <f t="shared" si="1"/>
        <v>3</v>
      </c>
      <c r="D60" s="28">
        <f t="shared" si="2"/>
        <v>3</v>
      </c>
      <c r="E60" s="28">
        <f t="shared" si="3"/>
        <v>0</v>
      </c>
      <c r="F60" s="59" t="str">
        <f t="shared" si="4"/>
        <v/>
      </c>
      <c r="G60" s="42" t="s">
        <v>1286</v>
      </c>
      <c r="H60" s="43" t="s">
        <v>2151</v>
      </c>
      <c r="I60" s="44" t="s">
        <v>1754</v>
      </c>
      <c r="J60" s="45" t="s">
        <v>1570</v>
      </c>
      <c r="K60" s="46" t="s">
        <v>1287</v>
      </c>
      <c r="L60" s="47" t="s">
        <v>3032</v>
      </c>
      <c r="M60" s="48" t="s">
        <v>3033</v>
      </c>
      <c r="N60" s="49"/>
      <c r="O60" s="49"/>
      <c r="P60" s="50"/>
      <c r="Q60" s="59"/>
      <c r="R60" s="13"/>
    </row>
    <row r="61" spans="1:18" ht="60" x14ac:dyDescent="0.25">
      <c r="A61" s="9" t="s">
        <v>21</v>
      </c>
      <c r="B61" s="28">
        <f>IF(ISBLANK(A61),0,INDEX(txtstylestab[],MATCH(A61,txtstylestab[style_Name],0),1))</f>
        <v>0</v>
      </c>
      <c r="C61" s="28">
        <f t="shared" si="1"/>
        <v>3</v>
      </c>
      <c r="D61" s="28">
        <f t="shared" si="2"/>
        <v>3</v>
      </c>
      <c r="E61" s="28">
        <f t="shared" si="3"/>
        <v>0</v>
      </c>
      <c r="F61" s="59" t="str">
        <f t="shared" si="4"/>
        <v/>
      </c>
      <c r="G61" s="42" t="s">
        <v>1320</v>
      </c>
      <c r="H61" s="43" t="s">
        <v>1289</v>
      </c>
      <c r="I61" s="44" t="s">
        <v>1667</v>
      </c>
      <c r="J61" s="45" t="s">
        <v>1321</v>
      </c>
      <c r="K61" s="46" t="s">
        <v>1322</v>
      </c>
      <c r="L61" s="47" t="s">
        <v>3034</v>
      </c>
      <c r="M61" s="48" t="s">
        <v>3035</v>
      </c>
      <c r="N61" s="49"/>
      <c r="O61" s="49"/>
      <c r="P61" s="50"/>
      <c r="Q61" s="59"/>
      <c r="R61" s="13"/>
    </row>
    <row r="62" spans="1:18" x14ac:dyDescent="0.25">
      <c r="A62" s="9" t="s">
        <v>23</v>
      </c>
      <c r="B62" s="28">
        <f>IF(ISBLANK(A62),0,INDEX(txtstylestab[],MATCH(A62,txtstylestab[style_Name],0),1))</f>
        <v>5</v>
      </c>
      <c r="C62" s="28">
        <f t="shared" si="1"/>
        <v>3</v>
      </c>
      <c r="D62" s="28">
        <f t="shared" si="2"/>
        <v>3</v>
      </c>
      <c r="E62" s="28">
        <f t="shared" si="3"/>
        <v>0</v>
      </c>
      <c r="F62" s="56" t="str">
        <f t="shared" si="4"/>
        <v/>
      </c>
      <c r="G62" s="58" t="s">
        <v>1323</v>
      </c>
      <c r="H62" s="58"/>
      <c r="I62" s="58"/>
      <c r="J62" s="58"/>
      <c r="K62" s="58"/>
      <c r="L62" s="58"/>
      <c r="M62" s="58"/>
      <c r="N62" s="58"/>
      <c r="O62" s="58"/>
      <c r="P62" s="58"/>
      <c r="Q62" s="58"/>
      <c r="R62" s="13"/>
    </row>
    <row r="63" spans="1:18" ht="45" x14ac:dyDescent="0.25">
      <c r="A63" s="9" t="s">
        <v>21</v>
      </c>
      <c r="B63" s="28">
        <f>IF(ISBLANK(A63),0,INDEX(txtstylestab[],MATCH(A63,txtstylestab[style_Name],0),1))</f>
        <v>0</v>
      </c>
      <c r="C63" s="28">
        <f t="shared" si="1"/>
        <v>3</v>
      </c>
      <c r="D63" s="28">
        <f t="shared" si="2"/>
        <v>3</v>
      </c>
      <c r="E63" s="28">
        <f t="shared" si="3"/>
        <v>0</v>
      </c>
      <c r="F63" s="59" t="str">
        <f t="shared" si="4"/>
        <v/>
      </c>
      <c r="G63" s="42" t="s">
        <v>1294</v>
      </c>
      <c r="H63" s="43" t="s">
        <v>1295</v>
      </c>
      <c r="I63" s="44" t="s">
        <v>1668</v>
      </c>
      <c r="J63" s="45" t="s">
        <v>1296</v>
      </c>
      <c r="K63" s="46" t="s">
        <v>1297</v>
      </c>
      <c r="L63" s="47" t="s">
        <v>3036</v>
      </c>
      <c r="M63" s="48" t="s">
        <v>3037</v>
      </c>
      <c r="N63" s="49"/>
      <c r="O63" s="49"/>
      <c r="P63" s="50"/>
      <c r="Q63" s="59"/>
      <c r="R63" s="13"/>
    </row>
    <row r="64" spans="1:18" ht="75" x14ac:dyDescent="0.25">
      <c r="A64" s="9" t="s">
        <v>21</v>
      </c>
      <c r="B64" s="28">
        <f>IF(ISBLANK(A64),0,INDEX(txtstylestab[],MATCH(A64,txtstylestab[style_Name],0),1))</f>
        <v>0</v>
      </c>
      <c r="C64" s="28">
        <f t="shared" si="1"/>
        <v>3</v>
      </c>
      <c r="D64" s="28">
        <f t="shared" si="2"/>
        <v>3</v>
      </c>
      <c r="E64" s="28">
        <f t="shared" si="3"/>
        <v>0</v>
      </c>
      <c r="F64" s="59" t="str">
        <f t="shared" si="4"/>
        <v/>
      </c>
      <c r="G64" s="42" t="s">
        <v>1298</v>
      </c>
      <c r="H64" s="43" t="s">
        <v>1324</v>
      </c>
      <c r="I64" s="44" t="s">
        <v>1669</v>
      </c>
      <c r="J64" s="45" t="s">
        <v>1571</v>
      </c>
      <c r="K64" s="46" t="s">
        <v>1300</v>
      </c>
      <c r="L64" s="47" t="s">
        <v>3038</v>
      </c>
      <c r="M64" s="48" t="s">
        <v>3039</v>
      </c>
      <c r="N64" s="49"/>
      <c r="O64" s="49"/>
      <c r="P64" s="50"/>
      <c r="Q64" s="59"/>
      <c r="R64" s="13"/>
    </row>
    <row r="65" spans="1:18" ht="135" x14ac:dyDescent="0.25">
      <c r="A65" s="9" t="s">
        <v>21</v>
      </c>
      <c r="B65" s="28">
        <f>IF(ISBLANK(A65),0,INDEX(txtstylestab[],MATCH(A65,txtstylestab[style_Name],0),1))</f>
        <v>0</v>
      </c>
      <c r="C65" s="28">
        <f t="shared" si="1"/>
        <v>3</v>
      </c>
      <c r="D65" s="28">
        <f t="shared" si="2"/>
        <v>3</v>
      </c>
      <c r="E65" s="28">
        <f t="shared" si="3"/>
        <v>0</v>
      </c>
      <c r="F65" s="59" t="str">
        <f t="shared" si="4"/>
        <v/>
      </c>
      <c r="G65" s="42" t="s">
        <v>1325</v>
      </c>
      <c r="H65" s="43" t="s">
        <v>2273</v>
      </c>
      <c r="I65" s="44" t="s">
        <v>1755</v>
      </c>
      <c r="J65" s="45" t="s">
        <v>1326</v>
      </c>
      <c r="K65" s="46" t="s">
        <v>1327</v>
      </c>
      <c r="L65" s="47" t="s">
        <v>3044</v>
      </c>
      <c r="M65" s="48" t="s">
        <v>3045</v>
      </c>
      <c r="N65" s="49"/>
      <c r="O65" s="49"/>
      <c r="P65" s="50"/>
      <c r="Q65" s="59"/>
      <c r="R65" s="13"/>
    </row>
    <row r="66" spans="1:18" x14ac:dyDescent="0.25">
      <c r="A66" s="9" t="s">
        <v>23</v>
      </c>
      <c r="B66" s="28">
        <f>IF(ISBLANK(A66),0,INDEX(txtstylestab[],MATCH(A66,txtstylestab[style_Name],0),1))</f>
        <v>5</v>
      </c>
      <c r="C66" s="28">
        <f t="shared" si="1"/>
        <v>3</v>
      </c>
      <c r="D66" s="28">
        <f t="shared" si="2"/>
        <v>3</v>
      </c>
      <c r="E66" s="28">
        <f t="shared" si="3"/>
        <v>0</v>
      </c>
      <c r="F66" s="56" t="str">
        <f t="shared" si="4"/>
        <v/>
      </c>
      <c r="G66" s="58" t="s">
        <v>1328</v>
      </c>
      <c r="H66" s="58"/>
      <c r="I66" s="58"/>
      <c r="J66" s="58"/>
      <c r="K66" s="58"/>
      <c r="L66" s="58"/>
      <c r="M66" s="58"/>
      <c r="N66" s="58"/>
      <c r="O66" s="58"/>
      <c r="P66" s="58"/>
      <c r="Q66" s="58"/>
      <c r="R66" s="13"/>
    </row>
    <row r="67" spans="1:18" ht="60" x14ac:dyDescent="0.25">
      <c r="A67" s="9" t="s">
        <v>21</v>
      </c>
      <c r="B67" s="28">
        <f>IF(ISBLANK(A67),0,INDEX(txtstylestab[],MATCH(A67,txtstylestab[style_Name],0),1))</f>
        <v>0</v>
      </c>
      <c r="C67" s="28">
        <f t="shared" si="1"/>
        <v>3</v>
      </c>
      <c r="D67" s="28">
        <f t="shared" si="2"/>
        <v>3</v>
      </c>
      <c r="E67" s="28">
        <f t="shared" si="3"/>
        <v>0</v>
      </c>
      <c r="F67" s="59" t="str">
        <f t="shared" si="4"/>
        <v/>
      </c>
      <c r="G67" s="42" t="s">
        <v>1329</v>
      </c>
      <c r="H67" s="43" t="s">
        <v>1330</v>
      </c>
      <c r="I67" s="44" t="s">
        <v>1670</v>
      </c>
      <c r="J67" s="45" t="s">
        <v>1331</v>
      </c>
      <c r="K67" s="46" t="s">
        <v>1332</v>
      </c>
      <c r="L67" s="47" t="s">
        <v>3046</v>
      </c>
      <c r="M67" s="48" t="s">
        <v>3047</v>
      </c>
      <c r="N67" s="49"/>
      <c r="O67" s="49"/>
      <c r="P67" s="50"/>
      <c r="Q67" s="59"/>
      <c r="R67" s="13"/>
    </row>
    <row r="68" spans="1:18" ht="75" x14ac:dyDescent="0.25">
      <c r="A68" s="9" t="s">
        <v>21</v>
      </c>
      <c r="B68" s="28">
        <f>IF(ISBLANK(A68),0,INDEX(txtstylestab[],MATCH(A68,txtstylestab[style_Name],0),1))</f>
        <v>0</v>
      </c>
      <c r="C68" s="28">
        <f t="shared" ref="C68:C131" si="5">IF(B68=1,C67+1,C67)</f>
        <v>3</v>
      </c>
      <c r="D68" s="28">
        <f t="shared" ref="D68:D131" si="6">IF(B68=1,0,IF(B68=2,D67+1,IF(AND(B68=3,D67=0),1,D67)))</f>
        <v>3</v>
      </c>
      <c r="E68" s="28">
        <f t="shared" ref="E68:E131" si="7">IF(OR(B68=1,B68=2),0,IF(B68=3,E67+1,E67))</f>
        <v>0</v>
      </c>
      <c r="F68" s="59" t="str">
        <f t="shared" ref="F68:F131" si="8">IF(OR(B68=1,B68=2,B68=3),TEXT(C68,"#")&amp;".","")&amp;IF(OR(B68=2,B68=3),TEXT(D68,"#")&amp;".","")&amp;IF(B68=3,TEXT(E68,"#")&amp;".","")</f>
        <v/>
      </c>
      <c r="G68" s="42" t="s">
        <v>1298</v>
      </c>
      <c r="H68" s="43" t="s">
        <v>1324</v>
      </c>
      <c r="I68" s="44" t="s">
        <v>1671</v>
      </c>
      <c r="J68" s="45" t="s">
        <v>1572</v>
      </c>
      <c r="K68" s="46" t="s">
        <v>1300</v>
      </c>
      <c r="L68" s="47" t="s">
        <v>3048</v>
      </c>
      <c r="M68" s="48" t="s">
        <v>3039</v>
      </c>
      <c r="N68" s="49"/>
      <c r="O68" s="49"/>
      <c r="P68" s="50"/>
      <c r="Q68" s="59"/>
      <c r="R68" s="13"/>
    </row>
    <row r="69" spans="1:18" ht="105" x14ac:dyDescent="0.25">
      <c r="A69" s="9" t="s">
        <v>21</v>
      </c>
      <c r="B69" s="28">
        <f>IF(ISBLANK(A69),0,INDEX(txtstylestab[],MATCH(A69,txtstylestab[style_Name],0),1))</f>
        <v>0</v>
      </c>
      <c r="C69" s="28">
        <f t="shared" si="5"/>
        <v>3</v>
      </c>
      <c r="D69" s="28">
        <f t="shared" si="6"/>
        <v>3</v>
      </c>
      <c r="E69" s="28">
        <f t="shared" si="7"/>
        <v>0</v>
      </c>
      <c r="F69" s="59" t="str">
        <f t="shared" si="8"/>
        <v/>
      </c>
      <c r="G69" s="42" t="s">
        <v>1333</v>
      </c>
      <c r="H69" s="43" t="s">
        <v>2274</v>
      </c>
      <c r="I69" s="44" t="s">
        <v>1756</v>
      </c>
      <c r="J69" s="45" t="s">
        <v>1334</v>
      </c>
      <c r="K69" s="46" t="s">
        <v>1335</v>
      </c>
      <c r="L69" s="47" t="s">
        <v>3038</v>
      </c>
      <c r="M69" s="48" t="s">
        <v>3049</v>
      </c>
      <c r="N69" s="49"/>
      <c r="O69" s="49"/>
      <c r="P69" s="50"/>
      <c r="Q69" s="59"/>
      <c r="R69" s="13"/>
    </row>
    <row r="70" spans="1:18" x14ac:dyDescent="0.25">
      <c r="A70" s="9" t="s">
        <v>23</v>
      </c>
      <c r="B70" s="28">
        <f>IF(ISBLANK(A70),0,INDEX(txtstylestab[],MATCH(A70,txtstylestab[style_Name],0),1))</f>
        <v>5</v>
      </c>
      <c r="C70" s="28">
        <f t="shared" si="5"/>
        <v>3</v>
      </c>
      <c r="D70" s="28">
        <f t="shared" si="6"/>
        <v>3</v>
      </c>
      <c r="E70" s="28">
        <f t="shared" si="7"/>
        <v>0</v>
      </c>
      <c r="F70" s="56" t="str">
        <f t="shared" si="8"/>
        <v/>
      </c>
      <c r="G70" s="58" t="s">
        <v>1336</v>
      </c>
      <c r="H70" s="58"/>
      <c r="I70" s="58"/>
      <c r="J70" s="58"/>
      <c r="K70" s="58"/>
      <c r="L70" s="58"/>
      <c r="M70" s="58"/>
      <c r="N70" s="58"/>
      <c r="O70" s="58"/>
      <c r="P70" s="58"/>
      <c r="Q70" s="58"/>
      <c r="R70" s="13"/>
    </row>
    <row r="71" spans="1:18" ht="60" x14ac:dyDescent="0.25">
      <c r="A71" s="9" t="s">
        <v>21</v>
      </c>
      <c r="B71" s="28">
        <f>IF(ISBLANK(A71),0,INDEX(txtstylestab[],MATCH(A71,txtstylestab[style_Name],0),1))</f>
        <v>0</v>
      </c>
      <c r="C71" s="28">
        <f t="shared" si="5"/>
        <v>3</v>
      </c>
      <c r="D71" s="28">
        <f t="shared" si="6"/>
        <v>3</v>
      </c>
      <c r="E71" s="28">
        <f t="shared" si="7"/>
        <v>0</v>
      </c>
      <c r="F71" s="59" t="str">
        <f t="shared" si="8"/>
        <v/>
      </c>
      <c r="G71" s="42" t="s">
        <v>1302</v>
      </c>
      <c r="H71" s="43" t="s">
        <v>1303</v>
      </c>
      <c r="I71" s="44" t="s">
        <v>1672</v>
      </c>
      <c r="J71" s="45" t="s">
        <v>1337</v>
      </c>
      <c r="K71" s="46" t="s">
        <v>1304</v>
      </c>
      <c r="L71" s="47" t="s">
        <v>3050</v>
      </c>
      <c r="M71" s="48" t="s">
        <v>3051</v>
      </c>
      <c r="N71" s="49"/>
      <c r="O71" s="49"/>
      <c r="P71" s="50"/>
      <c r="Q71" s="59"/>
      <c r="R71" s="13"/>
    </row>
    <row r="72" spans="1:18" ht="90" x14ac:dyDescent="0.25">
      <c r="A72" s="9" t="s">
        <v>21</v>
      </c>
      <c r="B72" s="28">
        <f>IF(ISBLANK(A72),0,INDEX(txtstylestab[],MATCH(A72,txtstylestab[style_Name],0),1))</f>
        <v>0</v>
      </c>
      <c r="C72" s="28">
        <f t="shared" si="5"/>
        <v>3</v>
      </c>
      <c r="D72" s="28">
        <f t="shared" si="6"/>
        <v>3</v>
      </c>
      <c r="E72" s="28">
        <f t="shared" si="7"/>
        <v>0</v>
      </c>
      <c r="F72" s="59" t="str">
        <f t="shared" si="8"/>
        <v/>
      </c>
      <c r="G72" s="42" t="s">
        <v>1338</v>
      </c>
      <c r="H72" s="43" t="s">
        <v>2127</v>
      </c>
      <c r="I72" s="44" t="s">
        <v>1757</v>
      </c>
      <c r="J72" s="45" t="s">
        <v>1339</v>
      </c>
      <c r="K72" s="46" t="s">
        <v>1340</v>
      </c>
      <c r="L72" s="47" t="s">
        <v>3052</v>
      </c>
      <c r="M72" s="48" t="s">
        <v>3053</v>
      </c>
      <c r="N72" s="49"/>
      <c r="O72" s="49"/>
      <c r="P72" s="50"/>
      <c r="Q72" s="59"/>
      <c r="R72" s="13"/>
    </row>
    <row r="73" spans="1:18" x14ac:dyDescent="0.25">
      <c r="A73" s="9" t="s">
        <v>22</v>
      </c>
      <c r="B73" s="28">
        <f>IF(ISBLANK(A73),0,INDEX(txtstylestab[],MATCH(A73,txtstylestab[style_Name],0),1))</f>
        <v>4</v>
      </c>
      <c r="C73" s="28">
        <f t="shared" si="5"/>
        <v>3</v>
      </c>
      <c r="D73" s="28">
        <f t="shared" si="6"/>
        <v>3</v>
      </c>
      <c r="E73" s="28">
        <f t="shared" si="7"/>
        <v>0</v>
      </c>
      <c r="F73" s="56" t="str">
        <f t="shared" si="8"/>
        <v/>
      </c>
      <c r="G73" s="53" t="s">
        <v>1341</v>
      </c>
      <c r="H73" s="53"/>
      <c r="I73" s="53"/>
      <c r="J73" s="53"/>
      <c r="K73" s="53"/>
      <c r="L73" s="53"/>
      <c r="M73" s="53"/>
      <c r="N73" s="53"/>
      <c r="O73" s="53"/>
      <c r="P73" s="53"/>
      <c r="Q73" s="53"/>
      <c r="R73" s="13"/>
    </row>
    <row r="74" spans="1:18" ht="30" x14ac:dyDescent="0.25">
      <c r="A74" s="9" t="s">
        <v>21</v>
      </c>
      <c r="B74" s="28">
        <f>IF(ISBLANK(A74),0,INDEX(txtstylestab[],MATCH(A74,txtstylestab[style_Name],0),1))</f>
        <v>0</v>
      </c>
      <c r="C74" s="28">
        <f t="shared" si="5"/>
        <v>3</v>
      </c>
      <c r="D74" s="28">
        <f t="shared" si="6"/>
        <v>3</v>
      </c>
      <c r="E74" s="28">
        <f t="shared" si="7"/>
        <v>0</v>
      </c>
      <c r="F74" s="59" t="str">
        <f t="shared" si="8"/>
        <v/>
      </c>
      <c r="G74" s="42" t="s">
        <v>1271</v>
      </c>
      <c r="H74" s="43" t="s">
        <v>1272</v>
      </c>
      <c r="I74" s="44" t="s">
        <v>1273</v>
      </c>
      <c r="J74" s="45" t="s">
        <v>1274</v>
      </c>
      <c r="K74" s="46" t="s">
        <v>1275</v>
      </c>
      <c r="L74" s="47" t="s">
        <v>3026</v>
      </c>
      <c r="M74" s="48" t="s">
        <v>3027</v>
      </c>
      <c r="N74" s="49"/>
      <c r="O74" s="49"/>
      <c r="P74" s="50"/>
      <c r="Q74" s="59"/>
      <c r="R74" s="13"/>
    </row>
    <row r="75" spans="1:18" ht="45" x14ac:dyDescent="0.25">
      <c r="A75" s="9" t="s">
        <v>21</v>
      </c>
      <c r="B75" s="28">
        <f>IF(ISBLANK(A75),0,INDEX(txtstylestab[],MATCH(A75,txtstylestab[style_Name],0),1))</f>
        <v>0</v>
      </c>
      <c r="C75" s="28">
        <f t="shared" si="5"/>
        <v>3</v>
      </c>
      <c r="D75" s="28">
        <f t="shared" si="6"/>
        <v>3</v>
      </c>
      <c r="E75" s="28">
        <f t="shared" si="7"/>
        <v>0</v>
      </c>
      <c r="F75" s="59" t="str">
        <f t="shared" si="8"/>
        <v/>
      </c>
      <c r="G75" s="42" t="s">
        <v>1308</v>
      </c>
      <c r="H75" s="43" t="s">
        <v>1277</v>
      </c>
      <c r="I75" s="44" t="s">
        <v>1309</v>
      </c>
      <c r="J75" s="45" t="s">
        <v>1342</v>
      </c>
      <c r="K75" s="46" t="s">
        <v>1310</v>
      </c>
      <c r="L75" s="47" t="s">
        <v>3028</v>
      </c>
      <c r="M75" s="48" t="s">
        <v>3029</v>
      </c>
      <c r="N75" s="49"/>
      <c r="O75" s="49"/>
      <c r="P75" s="50"/>
      <c r="Q75" s="59"/>
      <c r="R75" s="13"/>
    </row>
    <row r="76" spans="1:18" ht="30" x14ac:dyDescent="0.25">
      <c r="A76" s="9" t="s">
        <v>21</v>
      </c>
      <c r="B76" s="28">
        <f>IF(ISBLANK(A76),0,INDEX(txtstylestab[],MATCH(A76,txtstylestab[style_Name],0),1))</f>
        <v>0</v>
      </c>
      <c r="C76" s="28">
        <f t="shared" si="5"/>
        <v>3</v>
      </c>
      <c r="D76" s="28">
        <f t="shared" si="6"/>
        <v>3</v>
      </c>
      <c r="E76" s="28">
        <f t="shared" si="7"/>
        <v>0</v>
      </c>
      <c r="F76" s="59" t="str">
        <f t="shared" si="8"/>
        <v/>
      </c>
      <c r="G76" s="42" t="s">
        <v>183</v>
      </c>
      <c r="H76" s="43" t="s">
        <v>184</v>
      </c>
      <c r="I76" s="44" t="s">
        <v>1311</v>
      </c>
      <c r="J76" s="45" t="s">
        <v>1312</v>
      </c>
      <c r="K76" s="46" t="s">
        <v>1343</v>
      </c>
      <c r="L76" s="47" t="s">
        <v>2405</v>
      </c>
      <c r="M76" s="48" t="s">
        <v>2419</v>
      </c>
      <c r="N76" s="49"/>
      <c r="O76" s="49"/>
      <c r="P76" s="50"/>
      <c r="Q76" s="59"/>
      <c r="R76" s="13"/>
    </row>
    <row r="77" spans="1:18" x14ac:dyDescent="0.25">
      <c r="A77" s="9" t="s">
        <v>21</v>
      </c>
      <c r="B77" s="28">
        <f>IF(ISBLANK(A77),0,INDEX(txtstylestab[],MATCH(A77,txtstylestab[style_Name],0),1))</f>
        <v>0</v>
      </c>
      <c r="C77" s="28">
        <f t="shared" si="5"/>
        <v>3</v>
      </c>
      <c r="D77" s="28">
        <f t="shared" si="6"/>
        <v>3</v>
      </c>
      <c r="E77" s="28">
        <f t="shared" si="7"/>
        <v>0</v>
      </c>
      <c r="F77" s="59" t="str">
        <f t="shared" si="8"/>
        <v/>
      </c>
      <c r="G77" s="42" t="s">
        <v>186</v>
      </c>
      <c r="H77" s="43" t="s">
        <v>187</v>
      </c>
      <c r="I77" s="44" t="s">
        <v>1344</v>
      </c>
      <c r="J77" s="45" t="s">
        <v>1345</v>
      </c>
      <c r="K77" s="46" t="s">
        <v>1346</v>
      </c>
      <c r="L77" s="47" t="s">
        <v>2437</v>
      </c>
      <c r="M77" s="48" t="s">
        <v>2438</v>
      </c>
      <c r="N77" s="49"/>
      <c r="O77" s="49"/>
      <c r="P77" s="50"/>
      <c r="Q77" s="59"/>
      <c r="R77" s="13"/>
    </row>
    <row r="78" spans="1:18" x14ac:dyDescent="0.25">
      <c r="A78" s="9" t="s">
        <v>21</v>
      </c>
      <c r="B78" s="28">
        <f>IF(ISBLANK(A78),0,INDEX(txtstylestab[],MATCH(A78,txtstylestab[style_Name],0),1))</f>
        <v>0</v>
      </c>
      <c r="C78" s="28">
        <f t="shared" si="5"/>
        <v>3</v>
      </c>
      <c r="D78" s="28">
        <f t="shared" si="6"/>
        <v>3</v>
      </c>
      <c r="E78" s="28">
        <f t="shared" si="7"/>
        <v>0</v>
      </c>
      <c r="F78" s="59" t="str">
        <f t="shared" si="8"/>
        <v/>
      </c>
      <c r="G78" s="42" t="s">
        <v>191</v>
      </c>
      <c r="H78" s="43" t="s">
        <v>192</v>
      </c>
      <c r="I78" s="44" t="s">
        <v>1347</v>
      </c>
      <c r="J78" s="45" t="s">
        <v>1348</v>
      </c>
      <c r="K78" s="46" t="s">
        <v>1349</v>
      </c>
      <c r="L78" s="47" t="s">
        <v>2441</v>
      </c>
      <c r="M78" s="48" t="s">
        <v>2421</v>
      </c>
      <c r="N78" s="49"/>
      <c r="O78" s="49"/>
      <c r="P78" s="50"/>
      <c r="Q78" s="59"/>
      <c r="R78" s="13"/>
    </row>
    <row r="79" spans="1:18" ht="30" x14ac:dyDescent="0.25">
      <c r="A79" s="9" t="s">
        <v>21</v>
      </c>
      <c r="B79" s="28">
        <f>IF(ISBLANK(A79),0,INDEX(txtstylestab[],MATCH(A79,txtstylestab[style_Name],0),1))</f>
        <v>0</v>
      </c>
      <c r="C79" s="28">
        <f t="shared" si="5"/>
        <v>3</v>
      </c>
      <c r="D79" s="28">
        <f t="shared" si="6"/>
        <v>3</v>
      </c>
      <c r="E79" s="28">
        <f t="shared" si="7"/>
        <v>0</v>
      </c>
      <c r="F79" s="59" t="str">
        <f t="shared" si="8"/>
        <v/>
      </c>
      <c r="G79" s="42" t="s">
        <v>177</v>
      </c>
      <c r="H79" s="43" t="s">
        <v>196</v>
      </c>
      <c r="I79" s="44" t="s">
        <v>1319</v>
      </c>
      <c r="J79" s="45" t="s">
        <v>1285</v>
      </c>
      <c r="K79" s="46" t="s">
        <v>198</v>
      </c>
      <c r="L79" s="47" t="s">
        <v>2422</v>
      </c>
      <c r="M79" s="48" t="s">
        <v>2423</v>
      </c>
      <c r="N79" s="49"/>
      <c r="O79" s="49"/>
      <c r="P79" s="50"/>
      <c r="Q79" s="59"/>
      <c r="R79" s="13"/>
    </row>
    <row r="80" spans="1:18" ht="45" x14ac:dyDescent="0.25">
      <c r="A80" s="9" t="s">
        <v>21</v>
      </c>
      <c r="B80" s="28">
        <f>IF(ISBLANK(A80),0,INDEX(txtstylestab[],MATCH(A80,txtstylestab[style_Name],0),1))</f>
        <v>0</v>
      </c>
      <c r="C80" s="28">
        <f t="shared" si="5"/>
        <v>3</v>
      </c>
      <c r="D80" s="28">
        <f t="shared" si="6"/>
        <v>3</v>
      </c>
      <c r="E80" s="28">
        <f t="shared" si="7"/>
        <v>0</v>
      </c>
      <c r="F80" s="59" t="str">
        <f t="shared" si="8"/>
        <v/>
      </c>
      <c r="G80" s="42" t="s">
        <v>1286</v>
      </c>
      <c r="H80" s="43" t="s">
        <v>2151</v>
      </c>
      <c r="I80" s="44" t="s">
        <v>1758</v>
      </c>
      <c r="J80" s="45" t="s">
        <v>1570</v>
      </c>
      <c r="K80" s="46" t="s">
        <v>1350</v>
      </c>
      <c r="L80" s="47" t="s">
        <v>3054</v>
      </c>
      <c r="M80" s="48" t="s">
        <v>3055</v>
      </c>
      <c r="N80" s="49"/>
      <c r="O80" s="49"/>
      <c r="P80" s="50"/>
      <c r="Q80" s="59"/>
      <c r="R80" s="13"/>
    </row>
    <row r="81" spans="1:18" ht="75" x14ac:dyDescent="0.25">
      <c r="A81" s="9" t="s">
        <v>21</v>
      </c>
      <c r="B81" s="28">
        <f>IF(ISBLANK(A81),0,INDEX(txtstylestab[],MATCH(A81,txtstylestab[style_Name],0),1))</f>
        <v>0</v>
      </c>
      <c r="C81" s="28">
        <f t="shared" si="5"/>
        <v>3</v>
      </c>
      <c r="D81" s="28">
        <f t="shared" si="6"/>
        <v>3</v>
      </c>
      <c r="E81" s="28">
        <f t="shared" si="7"/>
        <v>0</v>
      </c>
      <c r="F81" s="59" t="str">
        <f t="shared" si="8"/>
        <v/>
      </c>
      <c r="G81" s="42" t="s">
        <v>1320</v>
      </c>
      <c r="H81" s="43" t="s">
        <v>1289</v>
      </c>
      <c r="I81" s="44" t="s">
        <v>1673</v>
      </c>
      <c r="J81" s="45" t="s">
        <v>1321</v>
      </c>
      <c r="K81" s="46" t="s">
        <v>1322</v>
      </c>
      <c r="L81" s="47" t="s">
        <v>3056</v>
      </c>
      <c r="M81" s="48" t="s">
        <v>3057</v>
      </c>
      <c r="N81" s="49"/>
      <c r="O81" s="49"/>
      <c r="P81" s="50"/>
      <c r="Q81" s="59"/>
      <c r="R81" s="13"/>
    </row>
    <row r="82" spans="1:18" x14ac:dyDescent="0.25">
      <c r="A82" s="9" t="s">
        <v>23</v>
      </c>
      <c r="B82" s="28">
        <f>IF(ISBLANK(A82),0,INDEX(txtstylestab[],MATCH(A82,txtstylestab[style_Name],0),1))</f>
        <v>5</v>
      </c>
      <c r="C82" s="28">
        <f t="shared" si="5"/>
        <v>3</v>
      </c>
      <c r="D82" s="28">
        <f t="shared" si="6"/>
        <v>3</v>
      </c>
      <c r="E82" s="28">
        <f t="shared" si="7"/>
        <v>0</v>
      </c>
      <c r="F82" s="56" t="str">
        <f t="shared" si="8"/>
        <v/>
      </c>
      <c r="G82" s="58" t="s">
        <v>1351</v>
      </c>
      <c r="H82" s="58"/>
      <c r="I82" s="58"/>
      <c r="J82" s="58"/>
      <c r="K82" s="58"/>
      <c r="L82" s="58"/>
      <c r="M82" s="58"/>
      <c r="N82" s="58"/>
      <c r="O82" s="58"/>
      <c r="P82" s="58"/>
      <c r="Q82" s="58"/>
      <c r="R82" s="13"/>
    </row>
    <row r="83" spans="1:18" ht="45" x14ac:dyDescent="0.25">
      <c r="A83" s="9" t="s">
        <v>21</v>
      </c>
      <c r="B83" s="28">
        <f>IF(ISBLANK(A83),0,INDEX(txtstylestab[],MATCH(A83,txtstylestab[style_Name],0),1))</f>
        <v>0</v>
      </c>
      <c r="C83" s="28">
        <f t="shared" si="5"/>
        <v>3</v>
      </c>
      <c r="D83" s="28">
        <f t="shared" si="6"/>
        <v>3</v>
      </c>
      <c r="E83" s="28">
        <f t="shared" si="7"/>
        <v>0</v>
      </c>
      <c r="F83" s="59" t="str">
        <f t="shared" si="8"/>
        <v/>
      </c>
      <c r="G83" s="42" t="s">
        <v>1294</v>
      </c>
      <c r="H83" s="43" t="s">
        <v>1295</v>
      </c>
      <c r="I83" s="44" t="s">
        <v>1668</v>
      </c>
      <c r="J83" s="45" t="s">
        <v>1296</v>
      </c>
      <c r="K83" s="46" t="s">
        <v>1297</v>
      </c>
      <c r="L83" s="47" t="s">
        <v>3036</v>
      </c>
      <c r="M83" s="48" t="s">
        <v>3037</v>
      </c>
      <c r="N83" s="49"/>
      <c r="O83" s="49"/>
      <c r="P83" s="50"/>
      <c r="Q83" s="59"/>
      <c r="R83" s="13"/>
    </row>
    <row r="84" spans="1:18" ht="75" x14ac:dyDescent="0.25">
      <c r="A84" s="9" t="s">
        <v>21</v>
      </c>
      <c r="B84" s="28">
        <f>IF(ISBLANK(A84),0,INDEX(txtstylestab[],MATCH(A84,txtstylestab[style_Name],0),1))</f>
        <v>0</v>
      </c>
      <c r="C84" s="28">
        <f t="shared" si="5"/>
        <v>3</v>
      </c>
      <c r="D84" s="28">
        <f t="shared" si="6"/>
        <v>3</v>
      </c>
      <c r="E84" s="28">
        <f t="shared" si="7"/>
        <v>0</v>
      </c>
      <c r="F84" s="59" t="str">
        <f t="shared" si="8"/>
        <v/>
      </c>
      <c r="G84" s="42" t="s">
        <v>1298</v>
      </c>
      <c r="H84" s="43" t="s">
        <v>1352</v>
      </c>
      <c r="I84" s="44" t="s">
        <v>1669</v>
      </c>
      <c r="J84" s="45" t="s">
        <v>1573</v>
      </c>
      <c r="K84" s="46" t="s">
        <v>1300</v>
      </c>
      <c r="L84" s="47" t="s">
        <v>3048</v>
      </c>
      <c r="M84" s="48" t="s">
        <v>3039</v>
      </c>
      <c r="N84" s="49"/>
      <c r="O84" s="49"/>
      <c r="P84" s="50"/>
      <c r="Q84" s="59"/>
      <c r="R84" s="13"/>
    </row>
    <row r="85" spans="1:18" x14ac:dyDescent="0.25">
      <c r="A85" s="9" t="s">
        <v>23</v>
      </c>
      <c r="B85" s="28">
        <f>IF(ISBLANK(A85),0,INDEX(txtstylestab[],MATCH(A85,txtstylestab[style_Name],0),1))</f>
        <v>5</v>
      </c>
      <c r="C85" s="28">
        <f t="shared" si="5"/>
        <v>3</v>
      </c>
      <c r="D85" s="28">
        <f t="shared" si="6"/>
        <v>3</v>
      </c>
      <c r="E85" s="28">
        <f t="shared" si="7"/>
        <v>0</v>
      </c>
      <c r="F85" s="56" t="str">
        <f t="shared" si="8"/>
        <v/>
      </c>
      <c r="G85" s="58" t="s">
        <v>1353</v>
      </c>
      <c r="H85" s="58"/>
      <c r="I85" s="58"/>
      <c r="J85" s="58"/>
      <c r="K85" s="58"/>
      <c r="L85" s="58"/>
      <c r="M85" s="58"/>
      <c r="N85" s="58"/>
      <c r="O85" s="58"/>
      <c r="P85" s="58"/>
      <c r="Q85" s="58"/>
      <c r="R85" s="13"/>
    </row>
    <row r="86" spans="1:18" ht="60" x14ac:dyDescent="0.25">
      <c r="A86" s="9" t="s">
        <v>21</v>
      </c>
      <c r="B86" s="28">
        <f>IF(ISBLANK(A86),0,INDEX(txtstylestab[],MATCH(A86,txtstylestab[style_Name],0),1))</f>
        <v>0</v>
      </c>
      <c r="C86" s="28">
        <f t="shared" si="5"/>
        <v>3</v>
      </c>
      <c r="D86" s="28">
        <f t="shared" si="6"/>
        <v>3</v>
      </c>
      <c r="E86" s="28">
        <f t="shared" si="7"/>
        <v>0</v>
      </c>
      <c r="F86" s="59" t="str">
        <f t="shared" si="8"/>
        <v/>
      </c>
      <c r="G86" s="42" t="s">
        <v>1354</v>
      </c>
      <c r="H86" s="43" t="s">
        <v>1303</v>
      </c>
      <c r="I86" s="44" t="s">
        <v>1674</v>
      </c>
      <c r="J86" s="45" t="s">
        <v>1355</v>
      </c>
      <c r="K86" s="46" t="s">
        <v>1304</v>
      </c>
      <c r="L86" s="47" t="s">
        <v>3050</v>
      </c>
      <c r="M86" s="48" t="s">
        <v>3051</v>
      </c>
      <c r="N86" s="49"/>
      <c r="O86" s="49"/>
      <c r="P86" s="50"/>
      <c r="Q86" s="59"/>
      <c r="R86" s="13"/>
    </row>
    <row r="87" spans="1:18" x14ac:dyDescent="0.25">
      <c r="A87" s="9" t="s">
        <v>23</v>
      </c>
      <c r="B87" s="28">
        <f>IF(ISBLANK(A87),0,INDEX(txtstylestab[],MATCH(A87,txtstylestab[style_Name],0),1))</f>
        <v>5</v>
      </c>
      <c r="C87" s="28">
        <f t="shared" si="5"/>
        <v>3</v>
      </c>
      <c r="D87" s="28">
        <f t="shared" si="6"/>
        <v>3</v>
      </c>
      <c r="E87" s="28">
        <f t="shared" si="7"/>
        <v>0</v>
      </c>
      <c r="F87" s="56" t="str">
        <f t="shared" si="8"/>
        <v/>
      </c>
      <c r="G87" s="58" t="s">
        <v>1356</v>
      </c>
      <c r="H87" s="58"/>
      <c r="I87" s="58"/>
      <c r="J87" s="58"/>
      <c r="K87" s="58"/>
      <c r="L87" s="58"/>
      <c r="M87" s="58"/>
      <c r="N87" s="58"/>
      <c r="O87" s="58"/>
      <c r="P87" s="58"/>
      <c r="Q87" s="58"/>
      <c r="R87" s="13"/>
    </row>
    <row r="88" spans="1:18" ht="90" x14ac:dyDescent="0.25">
      <c r="A88" s="9" t="s">
        <v>21</v>
      </c>
      <c r="B88" s="28">
        <f>IF(ISBLANK(A88),0,INDEX(txtstylestab[],MATCH(A88,txtstylestab[style_Name],0),1))</f>
        <v>0</v>
      </c>
      <c r="C88" s="28">
        <f t="shared" si="5"/>
        <v>3</v>
      </c>
      <c r="D88" s="28">
        <f t="shared" si="6"/>
        <v>3</v>
      </c>
      <c r="E88" s="28">
        <f t="shared" si="7"/>
        <v>0</v>
      </c>
      <c r="F88" s="59" t="str">
        <f t="shared" si="8"/>
        <v/>
      </c>
      <c r="G88" s="42" t="s">
        <v>1357</v>
      </c>
      <c r="H88" s="43" t="s">
        <v>1358</v>
      </c>
      <c r="I88" s="44" t="s">
        <v>1675</v>
      </c>
      <c r="J88" s="45" t="s">
        <v>1359</v>
      </c>
      <c r="K88" s="46" t="s">
        <v>1360</v>
      </c>
      <c r="L88" s="47" t="s">
        <v>3058</v>
      </c>
      <c r="M88" s="48" t="s">
        <v>3059</v>
      </c>
      <c r="N88" s="49"/>
      <c r="O88" s="49"/>
      <c r="P88" s="50"/>
      <c r="Q88" s="59"/>
      <c r="R88" s="13"/>
    </row>
    <row r="89" spans="1:18" x14ac:dyDescent="0.25">
      <c r="A89" s="9" t="s">
        <v>23</v>
      </c>
      <c r="B89" s="28">
        <f>IF(ISBLANK(A89),0,INDEX(txtstylestab[],MATCH(A89,txtstylestab[style_Name],0),1))</f>
        <v>5</v>
      </c>
      <c r="C89" s="28">
        <f t="shared" si="5"/>
        <v>3</v>
      </c>
      <c r="D89" s="28">
        <f t="shared" si="6"/>
        <v>3</v>
      </c>
      <c r="E89" s="28">
        <f t="shared" si="7"/>
        <v>0</v>
      </c>
      <c r="F89" s="56" t="str">
        <f t="shared" si="8"/>
        <v/>
      </c>
      <c r="G89" s="58" t="s">
        <v>1361</v>
      </c>
      <c r="H89" s="58"/>
      <c r="I89" s="58"/>
      <c r="J89" s="58"/>
      <c r="K89" s="58"/>
      <c r="L89" s="58"/>
      <c r="M89" s="58"/>
      <c r="N89" s="58"/>
      <c r="O89" s="58"/>
      <c r="P89" s="58"/>
      <c r="Q89" s="58"/>
      <c r="R89" s="13"/>
    </row>
    <row r="90" spans="1:18" ht="90" x14ac:dyDescent="0.25">
      <c r="A90" s="9" t="s">
        <v>21</v>
      </c>
      <c r="B90" s="28">
        <f>IF(ISBLANK(A90),0,INDEX(txtstylestab[],MATCH(A90,txtstylestab[style_Name],0),1))</f>
        <v>0</v>
      </c>
      <c r="C90" s="28">
        <f t="shared" si="5"/>
        <v>3</v>
      </c>
      <c r="D90" s="28">
        <f t="shared" si="6"/>
        <v>3</v>
      </c>
      <c r="E90" s="28">
        <f t="shared" si="7"/>
        <v>0</v>
      </c>
      <c r="F90" s="59" t="str">
        <f t="shared" si="8"/>
        <v/>
      </c>
      <c r="G90" s="42" t="s">
        <v>1362</v>
      </c>
      <c r="H90" s="43" t="s">
        <v>1363</v>
      </c>
      <c r="I90" s="44" t="s">
        <v>1676</v>
      </c>
      <c r="J90" s="45" t="s">
        <v>1574</v>
      </c>
      <c r="K90" s="46" t="s">
        <v>1364</v>
      </c>
      <c r="L90" s="47" t="s">
        <v>3060</v>
      </c>
      <c r="M90" s="48" t="s">
        <v>3061</v>
      </c>
      <c r="N90" s="49"/>
      <c r="O90" s="49"/>
      <c r="P90" s="50"/>
      <c r="Q90" s="59"/>
      <c r="R90" s="13"/>
    </row>
    <row r="91" spans="1:18" x14ac:dyDescent="0.25">
      <c r="A91" s="9" t="s">
        <v>22</v>
      </c>
      <c r="B91" s="28">
        <f>IF(ISBLANK(A91),0,INDEX(txtstylestab[],MATCH(A91,txtstylestab[style_Name],0),1))</f>
        <v>4</v>
      </c>
      <c r="C91" s="28">
        <f t="shared" si="5"/>
        <v>3</v>
      </c>
      <c r="D91" s="28">
        <f t="shared" si="6"/>
        <v>3</v>
      </c>
      <c r="E91" s="28">
        <f t="shared" si="7"/>
        <v>0</v>
      </c>
      <c r="F91" s="56" t="str">
        <f t="shared" si="8"/>
        <v/>
      </c>
      <c r="G91" s="53" t="s">
        <v>1790</v>
      </c>
      <c r="H91" s="53"/>
      <c r="I91" s="53"/>
      <c r="J91" s="53"/>
      <c r="K91" s="53"/>
      <c r="L91" s="53"/>
      <c r="M91" s="53"/>
      <c r="N91" s="53"/>
      <c r="O91" s="53"/>
      <c r="P91" s="53"/>
      <c r="Q91" s="53"/>
      <c r="R91" s="13"/>
    </row>
    <row r="92" spans="1:18" ht="30" x14ac:dyDescent="0.25">
      <c r="A92" s="9" t="s">
        <v>21</v>
      </c>
      <c r="B92" s="28">
        <f>IF(ISBLANK(A92),0,INDEX(txtstylestab[],MATCH(A92,txtstylestab[style_Name],0),1))</f>
        <v>0</v>
      </c>
      <c r="C92" s="28">
        <f t="shared" si="5"/>
        <v>3</v>
      </c>
      <c r="D92" s="28">
        <f t="shared" si="6"/>
        <v>3</v>
      </c>
      <c r="E92" s="28">
        <f t="shared" si="7"/>
        <v>0</v>
      </c>
      <c r="F92" s="59" t="str">
        <f t="shared" si="8"/>
        <v/>
      </c>
      <c r="G92" s="42" t="s">
        <v>1271</v>
      </c>
      <c r="H92" s="43" t="s">
        <v>1272</v>
      </c>
      <c r="I92" s="44" t="s">
        <v>1306</v>
      </c>
      <c r="J92" s="45" t="s">
        <v>1274</v>
      </c>
      <c r="K92" s="46" t="s">
        <v>1275</v>
      </c>
      <c r="L92" s="47" t="s">
        <v>3026</v>
      </c>
      <c r="M92" s="48" t="s">
        <v>3027</v>
      </c>
      <c r="N92" s="49"/>
      <c r="O92" s="49"/>
      <c r="P92" s="50"/>
      <c r="Q92" s="59"/>
      <c r="R92" s="13"/>
    </row>
    <row r="93" spans="1:18" ht="45" x14ac:dyDescent="0.25">
      <c r="A93" s="9" t="s">
        <v>21</v>
      </c>
      <c r="B93" s="28">
        <f>IF(ISBLANK(A93),0,INDEX(txtstylestab[],MATCH(A93,txtstylestab[style_Name],0),1))</f>
        <v>0</v>
      </c>
      <c r="C93" s="28">
        <f t="shared" si="5"/>
        <v>3</v>
      </c>
      <c r="D93" s="28">
        <f t="shared" si="6"/>
        <v>3</v>
      </c>
      <c r="E93" s="28">
        <f t="shared" si="7"/>
        <v>0</v>
      </c>
      <c r="F93" s="59" t="str">
        <f t="shared" si="8"/>
        <v/>
      </c>
      <c r="G93" s="42" t="s">
        <v>1308</v>
      </c>
      <c r="H93" s="43" t="s">
        <v>1277</v>
      </c>
      <c r="I93" s="44" t="s">
        <v>1365</v>
      </c>
      <c r="J93" s="45" t="s">
        <v>1366</v>
      </c>
      <c r="K93" s="46" t="s">
        <v>1280</v>
      </c>
      <c r="L93" s="47" t="s">
        <v>3028</v>
      </c>
      <c r="M93" s="48" t="s">
        <v>3029</v>
      </c>
      <c r="N93" s="49"/>
      <c r="O93" s="49"/>
      <c r="P93" s="50"/>
      <c r="Q93" s="59"/>
      <c r="R93" s="13"/>
    </row>
    <row r="94" spans="1:18" ht="30" x14ac:dyDescent="0.25">
      <c r="A94" s="9" t="s">
        <v>21</v>
      </c>
      <c r="B94" s="28">
        <f>IF(ISBLANK(A94),0,INDEX(txtstylestab[],MATCH(A94,txtstylestab[style_Name],0),1))</f>
        <v>0</v>
      </c>
      <c r="C94" s="28">
        <f t="shared" si="5"/>
        <v>3</v>
      </c>
      <c r="D94" s="28">
        <f t="shared" si="6"/>
        <v>3</v>
      </c>
      <c r="E94" s="28">
        <f t="shared" si="7"/>
        <v>0</v>
      </c>
      <c r="F94" s="59" t="str">
        <f t="shared" si="8"/>
        <v/>
      </c>
      <c r="G94" s="42" t="s">
        <v>1367</v>
      </c>
      <c r="H94" s="43" t="s">
        <v>235</v>
      </c>
      <c r="I94" s="44" t="s">
        <v>1368</v>
      </c>
      <c r="J94" s="45" t="s">
        <v>1369</v>
      </c>
      <c r="K94" s="46" t="s">
        <v>1370</v>
      </c>
      <c r="L94" s="47" t="s">
        <v>2449</v>
      </c>
      <c r="M94" s="48" t="s">
        <v>2450</v>
      </c>
      <c r="N94" s="49"/>
      <c r="O94" s="49"/>
      <c r="P94" s="50"/>
      <c r="Q94" s="59"/>
      <c r="R94" s="13"/>
    </row>
    <row r="95" spans="1:18" x14ac:dyDescent="0.25">
      <c r="A95" s="9" t="s">
        <v>21</v>
      </c>
      <c r="B95" s="28">
        <f>IF(ISBLANK(A95),0,INDEX(txtstylestab[],MATCH(A95,txtstylestab[style_Name],0),1))</f>
        <v>0</v>
      </c>
      <c r="C95" s="28">
        <f t="shared" si="5"/>
        <v>3</v>
      </c>
      <c r="D95" s="28">
        <f t="shared" si="6"/>
        <v>3</v>
      </c>
      <c r="E95" s="28">
        <f t="shared" si="7"/>
        <v>0</v>
      </c>
      <c r="F95" s="59" t="str">
        <f t="shared" si="8"/>
        <v/>
      </c>
      <c r="G95" s="42" t="s">
        <v>1575</v>
      </c>
      <c r="H95" s="43" t="s">
        <v>1371</v>
      </c>
      <c r="I95" s="44" t="s">
        <v>1372</v>
      </c>
      <c r="J95" s="45" t="s">
        <v>1373</v>
      </c>
      <c r="K95" s="46" t="s">
        <v>1374</v>
      </c>
      <c r="L95" s="47" t="s">
        <v>2451</v>
      </c>
      <c r="M95" s="48" t="s">
        <v>2452</v>
      </c>
      <c r="N95" s="49"/>
      <c r="O95" s="49"/>
      <c r="P95" s="50"/>
      <c r="Q95" s="59"/>
      <c r="R95" s="13"/>
    </row>
    <row r="96" spans="1:18" ht="30" x14ac:dyDescent="0.25">
      <c r="A96" s="9" t="s">
        <v>21</v>
      </c>
      <c r="B96" s="28">
        <f>IF(ISBLANK(A96),0,INDEX(txtstylestab[],MATCH(A96,txtstylestab[style_Name],0),1))</f>
        <v>0</v>
      </c>
      <c r="C96" s="28">
        <f t="shared" si="5"/>
        <v>3</v>
      </c>
      <c r="D96" s="28">
        <f t="shared" si="6"/>
        <v>3</v>
      </c>
      <c r="E96" s="28">
        <f t="shared" si="7"/>
        <v>0</v>
      </c>
      <c r="F96" s="59" t="str">
        <f t="shared" si="8"/>
        <v/>
      </c>
      <c r="G96" s="42" t="s">
        <v>1375</v>
      </c>
      <c r="H96" s="43" t="s">
        <v>244</v>
      </c>
      <c r="I96" s="44" t="s">
        <v>245</v>
      </c>
      <c r="J96" s="45" t="s">
        <v>1376</v>
      </c>
      <c r="K96" s="46" t="s">
        <v>247</v>
      </c>
      <c r="L96" s="47" t="s">
        <v>2453</v>
      </c>
      <c r="M96" s="48" t="s">
        <v>2454</v>
      </c>
      <c r="N96" s="49"/>
      <c r="O96" s="49"/>
      <c r="P96" s="50"/>
      <c r="Q96" s="59"/>
      <c r="R96" s="13"/>
    </row>
    <row r="97" spans="1:18" ht="45" x14ac:dyDescent="0.25">
      <c r="A97" s="9" t="s">
        <v>21</v>
      </c>
      <c r="B97" s="28">
        <f>IF(ISBLANK(A97),0,INDEX(txtstylestab[],MATCH(A97,txtstylestab[style_Name],0),1))</f>
        <v>0</v>
      </c>
      <c r="C97" s="28">
        <f t="shared" si="5"/>
        <v>3</v>
      </c>
      <c r="D97" s="28">
        <f t="shared" si="6"/>
        <v>3</v>
      </c>
      <c r="E97" s="28">
        <f t="shared" si="7"/>
        <v>0</v>
      </c>
      <c r="F97" s="59" t="str">
        <f t="shared" si="8"/>
        <v/>
      </c>
      <c r="G97" s="42" t="s">
        <v>1286</v>
      </c>
      <c r="H97" s="43" t="s">
        <v>2151</v>
      </c>
      <c r="I97" s="44" t="s">
        <v>1753</v>
      </c>
      <c r="J97" s="45" t="s">
        <v>1377</v>
      </c>
      <c r="K97" s="46" t="s">
        <v>1350</v>
      </c>
      <c r="L97" s="47" t="s">
        <v>3054</v>
      </c>
      <c r="M97" s="48" t="s">
        <v>3055</v>
      </c>
      <c r="N97" s="49"/>
      <c r="O97" s="49"/>
      <c r="P97" s="50"/>
      <c r="Q97" s="59"/>
      <c r="R97" s="13"/>
    </row>
    <row r="98" spans="1:18" ht="75" x14ac:dyDescent="0.25">
      <c r="A98" s="9" t="s">
        <v>21</v>
      </c>
      <c r="B98" s="28">
        <f>IF(ISBLANK(A98),0,INDEX(txtstylestab[],MATCH(A98,txtstylestab[style_Name],0),1))</f>
        <v>0</v>
      </c>
      <c r="C98" s="28">
        <f t="shared" si="5"/>
        <v>3</v>
      </c>
      <c r="D98" s="28">
        <f t="shared" si="6"/>
        <v>3</v>
      </c>
      <c r="E98" s="28">
        <f t="shared" si="7"/>
        <v>0</v>
      </c>
      <c r="F98" s="59" t="str">
        <f t="shared" si="8"/>
        <v/>
      </c>
      <c r="G98" s="42" t="s">
        <v>1378</v>
      </c>
      <c r="H98" s="43" t="s">
        <v>1289</v>
      </c>
      <c r="I98" s="44" t="s">
        <v>1379</v>
      </c>
      <c r="J98" s="45" t="s">
        <v>1321</v>
      </c>
      <c r="K98" s="46" t="s">
        <v>1322</v>
      </c>
      <c r="L98" s="47" t="s">
        <v>3056</v>
      </c>
      <c r="M98" s="48" t="s">
        <v>3057</v>
      </c>
      <c r="N98" s="49"/>
      <c r="O98" s="49"/>
      <c r="P98" s="50"/>
      <c r="Q98" s="59"/>
      <c r="R98" s="13"/>
    </row>
    <row r="99" spans="1:18" x14ac:dyDescent="0.25">
      <c r="A99" s="9" t="s">
        <v>23</v>
      </c>
      <c r="B99" s="28">
        <f>IF(ISBLANK(A99),0,INDEX(txtstylestab[],MATCH(A99,txtstylestab[style_Name],0),1))</f>
        <v>5</v>
      </c>
      <c r="C99" s="28">
        <f t="shared" si="5"/>
        <v>3</v>
      </c>
      <c r="D99" s="28">
        <f t="shared" si="6"/>
        <v>3</v>
      </c>
      <c r="E99" s="28">
        <f t="shared" si="7"/>
        <v>0</v>
      </c>
      <c r="F99" s="56" t="str">
        <f t="shared" si="8"/>
        <v/>
      </c>
      <c r="G99" s="58" t="s">
        <v>1293</v>
      </c>
      <c r="H99" s="58"/>
      <c r="I99" s="58"/>
      <c r="J99" s="58"/>
      <c r="K99" s="58"/>
      <c r="L99" s="58"/>
      <c r="M99" s="58"/>
      <c r="N99" s="58"/>
      <c r="O99" s="58"/>
      <c r="P99" s="58"/>
      <c r="Q99" s="58"/>
      <c r="R99" s="13"/>
    </row>
    <row r="100" spans="1:18" ht="45" x14ac:dyDescent="0.25">
      <c r="A100" s="9" t="s">
        <v>21</v>
      </c>
      <c r="B100" s="28">
        <f>IF(ISBLANK(A100),0,INDEX(txtstylestab[],MATCH(A100,txtstylestab[style_Name],0),1))</f>
        <v>0</v>
      </c>
      <c r="C100" s="28">
        <f t="shared" si="5"/>
        <v>3</v>
      </c>
      <c r="D100" s="28">
        <f t="shared" si="6"/>
        <v>3</v>
      </c>
      <c r="E100" s="28">
        <f t="shared" si="7"/>
        <v>0</v>
      </c>
      <c r="F100" s="59" t="str">
        <f t="shared" si="8"/>
        <v/>
      </c>
      <c r="G100" s="42" t="s">
        <v>1294</v>
      </c>
      <c r="H100" s="43" t="s">
        <v>1295</v>
      </c>
      <c r="I100" s="44" t="s">
        <v>1668</v>
      </c>
      <c r="J100" s="45" t="s">
        <v>1296</v>
      </c>
      <c r="K100" s="46" t="s">
        <v>1297</v>
      </c>
      <c r="L100" s="47" t="s">
        <v>3036</v>
      </c>
      <c r="M100" s="48" t="s">
        <v>3037</v>
      </c>
      <c r="N100" s="49"/>
      <c r="O100" s="49"/>
      <c r="P100" s="50"/>
      <c r="Q100" s="59"/>
      <c r="R100" s="13"/>
    </row>
    <row r="101" spans="1:18" ht="75" x14ac:dyDescent="0.25">
      <c r="A101" s="9" t="s">
        <v>21</v>
      </c>
      <c r="B101" s="28">
        <f>IF(ISBLANK(A101),0,INDEX(txtstylestab[],MATCH(A101,txtstylestab[style_Name],0),1))</f>
        <v>0</v>
      </c>
      <c r="C101" s="28">
        <f t="shared" si="5"/>
        <v>3</v>
      </c>
      <c r="D101" s="28">
        <f t="shared" si="6"/>
        <v>3</v>
      </c>
      <c r="E101" s="28">
        <f t="shared" si="7"/>
        <v>0</v>
      </c>
      <c r="F101" s="59" t="str">
        <f t="shared" si="8"/>
        <v/>
      </c>
      <c r="G101" s="42" t="s">
        <v>1298</v>
      </c>
      <c r="H101" s="43" t="s">
        <v>1352</v>
      </c>
      <c r="I101" s="44" t="s">
        <v>1669</v>
      </c>
      <c r="J101" s="45" t="s">
        <v>1380</v>
      </c>
      <c r="K101" s="46" t="s">
        <v>1300</v>
      </c>
      <c r="L101" s="47" t="s">
        <v>3048</v>
      </c>
      <c r="M101" s="48" t="s">
        <v>3039</v>
      </c>
      <c r="N101" s="49"/>
      <c r="O101" s="49"/>
      <c r="P101" s="50"/>
      <c r="Q101" s="59"/>
      <c r="R101" s="13"/>
    </row>
    <row r="102" spans="1:18" x14ac:dyDescent="0.25">
      <c r="A102" s="9" t="s">
        <v>23</v>
      </c>
      <c r="B102" s="28">
        <f>IF(ISBLANK(A102),0,INDEX(txtstylestab[],MATCH(A102,txtstylestab[style_Name],0),1))</f>
        <v>5</v>
      </c>
      <c r="C102" s="28">
        <f t="shared" si="5"/>
        <v>3</v>
      </c>
      <c r="D102" s="28">
        <f t="shared" si="6"/>
        <v>3</v>
      </c>
      <c r="E102" s="28">
        <f t="shared" si="7"/>
        <v>0</v>
      </c>
      <c r="F102" s="56" t="str">
        <f t="shared" si="8"/>
        <v/>
      </c>
      <c r="G102" s="58" t="s">
        <v>1301</v>
      </c>
      <c r="H102" s="58"/>
      <c r="I102" s="58"/>
      <c r="J102" s="58"/>
      <c r="K102" s="58"/>
      <c r="L102" s="58"/>
      <c r="M102" s="58"/>
      <c r="N102" s="58"/>
      <c r="O102" s="58"/>
      <c r="P102" s="58"/>
      <c r="Q102" s="58"/>
      <c r="R102" s="13"/>
    </row>
    <row r="103" spans="1:18" ht="90" x14ac:dyDescent="0.25">
      <c r="A103" s="9" t="s">
        <v>21</v>
      </c>
      <c r="B103" s="28">
        <f>IF(ISBLANK(A103),0,INDEX(txtstylestab[],MATCH(A103,txtstylestab[style_Name],0),1))</f>
        <v>0</v>
      </c>
      <c r="C103" s="28">
        <f t="shared" si="5"/>
        <v>3</v>
      </c>
      <c r="D103" s="28">
        <f t="shared" si="6"/>
        <v>3</v>
      </c>
      <c r="E103" s="28">
        <f t="shared" si="7"/>
        <v>0</v>
      </c>
      <c r="F103" s="59" t="str">
        <f t="shared" si="8"/>
        <v/>
      </c>
      <c r="G103" s="42" t="s">
        <v>1381</v>
      </c>
      <c r="H103" s="43" t="s">
        <v>1382</v>
      </c>
      <c r="I103" s="44" t="s">
        <v>1677</v>
      </c>
      <c r="J103" s="45" t="s">
        <v>1383</v>
      </c>
      <c r="K103" s="46" t="s">
        <v>1384</v>
      </c>
      <c r="L103" s="47" t="s">
        <v>3062</v>
      </c>
      <c r="M103" s="48" t="s">
        <v>3063</v>
      </c>
      <c r="N103" s="49"/>
      <c r="O103" s="49"/>
      <c r="P103" s="50"/>
      <c r="Q103" s="59"/>
      <c r="R103" s="13"/>
    </row>
    <row r="104" spans="1:18" ht="18" thickBot="1" x14ac:dyDescent="0.35">
      <c r="A104" s="9" t="s">
        <v>11</v>
      </c>
      <c r="B104" s="28">
        <f>IF(ISBLANK(A104),0,INDEX(txtstylestab[],MATCH(A104,txtstylestab[style_Name],0),1))</f>
        <v>2</v>
      </c>
      <c r="C104" s="28">
        <f t="shared" si="5"/>
        <v>3</v>
      </c>
      <c r="D104" s="28">
        <f t="shared" si="6"/>
        <v>4</v>
      </c>
      <c r="E104" s="28">
        <f t="shared" si="7"/>
        <v>0</v>
      </c>
      <c r="F104" s="54" t="str">
        <f t="shared" si="8"/>
        <v>3.4.</v>
      </c>
      <c r="G104" s="54" t="s">
        <v>1385</v>
      </c>
      <c r="H104" s="54"/>
      <c r="I104" s="54"/>
      <c r="J104" s="54"/>
      <c r="K104" s="54"/>
      <c r="L104" s="54"/>
      <c r="M104" s="54"/>
      <c r="N104" s="54"/>
      <c r="O104" s="54"/>
      <c r="P104" s="54"/>
      <c r="Q104" s="54"/>
      <c r="R104" s="13"/>
    </row>
    <row r="105" spans="1:18" ht="45.75" thickTop="1" x14ac:dyDescent="0.25">
      <c r="A105" s="9" t="s">
        <v>21</v>
      </c>
      <c r="B105" s="28">
        <f>IF(ISBLANK(A105),0,INDEX(txtstylestab[],MATCH(A105,txtstylestab[style_Name],0),1))</f>
        <v>0</v>
      </c>
      <c r="C105" s="28">
        <f t="shared" si="5"/>
        <v>3</v>
      </c>
      <c r="D105" s="28">
        <f t="shared" si="6"/>
        <v>4</v>
      </c>
      <c r="E105" s="28">
        <f t="shared" si="7"/>
        <v>0</v>
      </c>
      <c r="F105" s="59" t="str">
        <f t="shared" si="8"/>
        <v/>
      </c>
      <c r="G105" s="42" t="s">
        <v>297</v>
      </c>
      <c r="H105" s="43" t="s">
        <v>1386</v>
      </c>
      <c r="I105" s="44" t="s">
        <v>1678</v>
      </c>
      <c r="J105" s="45" t="s">
        <v>1387</v>
      </c>
      <c r="K105" s="46" t="s">
        <v>1388</v>
      </c>
      <c r="L105" s="47" t="s">
        <v>2473</v>
      </c>
      <c r="M105" s="48" t="s">
        <v>2474</v>
      </c>
      <c r="N105" s="49"/>
      <c r="O105" s="49"/>
      <c r="P105" s="50"/>
      <c r="Q105" s="59"/>
      <c r="R105" s="13"/>
    </row>
    <row r="106" spans="1:18" ht="75" x14ac:dyDescent="0.25">
      <c r="A106" s="9" t="s">
        <v>21</v>
      </c>
      <c r="B106" s="28">
        <f>IF(ISBLANK(A106),0,INDEX(txtstylestab[],MATCH(A106,txtstylestab[style_Name],0),1))</f>
        <v>0</v>
      </c>
      <c r="C106" s="28">
        <f t="shared" si="5"/>
        <v>3</v>
      </c>
      <c r="D106" s="28">
        <f t="shared" si="6"/>
        <v>4</v>
      </c>
      <c r="E106" s="28">
        <f t="shared" si="7"/>
        <v>0</v>
      </c>
      <c r="F106" s="59" t="str">
        <f t="shared" si="8"/>
        <v/>
      </c>
      <c r="G106" s="42" t="s">
        <v>1389</v>
      </c>
      <c r="H106" s="43" t="s">
        <v>1390</v>
      </c>
      <c r="I106" s="44" t="s">
        <v>1679</v>
      </c>
      <c r="J106" s="45" t="s">
        <v>1391</v>
      </c>
      <c r="K106" s="46" t="s">
        <v>1392</v>
      </c>
      <c r="L106" s="47" t="s">
        <v>3064</v>
      </c>
      <c r="M106" s="48" t="s">
        <v>3065</v>
      </c>
      <c r="N106" s="49"/>
      <c r="O106" s="49"/>
      <c r="P106" s="50"/>
      <c r="Q106" s="59"/>
      <c r="R106" s="13"/>
    </row>
    <row r="107" spans="1:18" ht="60" x14ac:dyDescent="0.25">
      <c r="A107" s="9" t="s">
        <v>21</v>
      </c>
      <c r="B107" s="28">
        <f>IF(ISBLANK(A107),0,INDEX(txtstylestab[],MATCH(A107,txtstylestab[style_Name],0),1))</f>
        <v>0</v>
      </c>
      <c r="C107" s="28">
        <f t="shared" si="5"/>
        <v>3</v>
      </c>
      <c r="D107" s="28">
        <f t="shared" si="6"/>
        <v>4</v>
      </c>
      <c r="E107" s="28">
        <f t="shared" si="7"/>
        <v>0</v>
      </c>
      <c r="F107" s="59" t="str">
        <f t="shared" si="8"/>
        <v/>
      </c>
      <c r="G107" s="42" t="s">
        <v>1393</v>
      </c>
      <c r="H107" s="43" t="s">
        <v>1394</v>
      </c>
      <c r="I107" s="44" t="s">
        <v>1680</v>
      </c>
      <c r="J107" s="45" t="s">
        <v>1395</v>
      </c>
      <c r="K107" s="46" t="s">
        <v>1396</v>
      </c>
      <c r="L107" s="47" t="s">
        <v>3066</v>
      </c>
      <c r="M107" s="48" t="s">
        <v>3067</v>
      </c>
      <c r="N107" s="49"/>
      <c r="O107" s="49"/>
      <c r="P107" s="50"/>
      <c r="Q107" s="59"/>
      <c r="R107" s="13"/>
    </row>
    <row r="108" spans="1:18" ht="60" x14ac:dyDescent="0.25">
      <c r="A108" s="9" t="s">
        <v>21</v>
      </c>
      <c r="B108" s="28">
        <f>IF(ISBLANK(A108),0,INDEX(txtstylestab[],MATCH(A108,txtstylestab[style_Name],0),1))</f>
        <v>0</v>
      </c>
      <c r="C108" s="28">
        <f t="shared" si="5"/>
        <v>3</v>
      </c>
      <c r="D108" s="28">
        <f t="shared" si="6"/>
        <v>4</v>
      </c>
      <c r="E108" s="28">
        <f t="shared" si="7"/>
        <v>0</v>
      </c>
      <c r="F108" s="59" t="str">
        <f t="shared" si="8"/>
        <v/>
      </c>
      <c r="G108" s="42" t="s">
        <v>1397</v>
      </c>
      <c r="H108" s="43" t="s">
        <v>1398</v>
      </c>
      <c r="I108" s="44" t="s">
        <v>1759</v>
      </c>
      <c r="J108" s="45" t="s">
        <v>1576</v>
      </c>
      <c r="K108" s="46" t="s">
        <v>1399</v>
      </c>
      <c r="L108" s="47" t="s">
        <v>3068</v>
      </c>
      <c r="M108" s="48" t="s">
        <v>3069</v>
      </c>
      <c r="N108" s="49"/>
      <c r="O108" s="49"/>
      <c r="P108" s="50"/>
      <c r="Q108" s="59"/>
      <c r="R108" s="13"/>
    </row>
    <row r="109" spans="1:18" ht="60" x14ac:dyDescent="0.25">
      <c r="A109" s="9" t="s">
        <v>21</v>
      </c>
      <c r="B109" s="28">
        <f>IF(ISBLANK(A109),0,INDEX(txtstylestab[],MATCH(A109,txtstylestab[style_Name],0),1))</f>
        <v>0</v>
      </c>
      <c r="C109" s="28">
        <f t="shared" si="5"/>
        <v>3</v>
      </c>
      <c r="D109" s="28">
        <f t="shared" si="6"/>
        <v>4</v>
      </c>
      <c r="E109" s="28">
        <f t="shared" si="7"/>
        <v>0</v>
      </c>
      <c r="F109" s="59" t="str">
        <f t="shared" si="8"/>
        <v/>
      </c>
      <c r="G109" s="42" t="s">
        <v>1400</v>
      </c>
      <c r="H109" s="43" t="s">
        <v>1401</v>
      </c>
      <c r="I109" s="44" t="s">
        <v>1402</v>
      </c>
      <c r="J109" s="45" t="s">
        <v>1403</v>
      </c>
      <c r="K109" s="46" t="s">
        <v>1404</v>
      </c>
      <c r="L109" s="47" t="s">
        <v>3070</v>
      </c>
      <c r="M109" s="48" t="s">
        <v>3071</v>
      </c>
      <c r="N109" s="49"/>
      <c r="O109" s="49"/>
      <c r="P109" s="50"/>
      <c r="Q109" s="59"/>
      <c r="R109" s="13"/>
    </row>
    <row r="110" spans="1:18" x14ac:dyDescent="0.25">
      <c r="A110" s="9" t="s">
        <v>22</v>
      </c>
      <c r="B110" s="28">
        <f>IF(ISBLANK(A110),0,INDEX(txtstylestab[],MATCH(A110,txtstylestab[style_Name],0),1))</f>
        <v>4</v>
      </c>
      <c r="C110" s="28">
        <f t="shared" si="5"/>
        <v>3</v>
      </c>
      <c r="D110" s="28">
        <f t="shared" si="6"/>
        <v>4</v>
      </c>
      <c r="E110" s="28">
        <f t="shared" si="7"/>
        <v>0</v>
      </c>
      <c r="F110" s="56" t="str">
        <f t="shared" si="8"/>
        <v/>
      </c>
      <c r="G110" s="53" t="s">
        <v>1405</v>
      </c>
      <c r="H110" s="53"/>
      <c r="I110" s="53"/>
      <c r="J110" s="53"/>
      <c r="K110" s="53"/>
      <c r="L110" s="53"/>
      <c r="M110" s="53"/>
      <c r="N110" s="53"/>
      <c r="O110" s="53"/>
      <c r="P110" s="53"/>
      <c r="Q110" s="53"/>
      <c r="R110" s="13"/>
    </row>
    <row r="111" spans="1:18" ht="75" x14ac:dyDescent="0.25">
      <c r="A111" s="9" t="s">
        <v>21</v>
      </c>
      <c r="B111" s="28">
        <f>IF(ISBLANK(A111),0,INDEX(txtstylestab[],MATCH(A111,txtstylestab[style_Name],0),1))</f>
        <v>0</v>
      </c>
      <c r="C111" s="28">
        <f t="shared" si="5"/>
        <v>3</v>
      </c>
      <c r="D111" s="28">
        <f t="shared" si="6"/>
        <v>4</v>
      </c>
      <c r="E111" s="28">
        <f t="shared" si="7"/>
        <v>0</v>
      </c>
      <c r="F111" s="59" t="str">
        <f t="shared" si="8"/>
        <v/>
      </c>
      <c r="G111" s="42" t="s">
        <v>1406</v>
      </c>
      <c r="H111" s="43" t="s">
        <v>1407</v>
      </c>
      <c r="I111" s="44" t="s">
        <v>1681</v>
      </c>
      <c r="J111" s="45" t="s">
        <v>1408</v>
      </c>
      <c r="K111" s="46" t="s">
        <v>1409</v>
      </c>
      <c r="L111" s="47" t="s">
        <v>3072</v>
      </c>
      <c r="M111" s="48" t="s">
        <v>3073</v>
      </c>
      <c r="N111" s="49"/>
      <c r="O111" s="49"/>
      <c r="P111" s="50"/>
      <c r="Q111" s="59"/>
      <c r="R111" s="13"/>
    </row>
    <row r="112" spans="1:18" ht="60" x14ac:dyDescent="0.25">
      <c r="A112" s="9" t="s">
        <v>21</v>
      </c>
      <c r="B112" s="28">
        <f>IF(ISBLANK(A112),0,INDEX(txtstylestab[],MATCH(A112,txtstylestab[style_Name],0),1))</f>
        <v>0</v>
      </c>
      <c r="C112" s="28">
        <f t="shared" si="5"/>
        <v>3</v>
      </c>
      <c r="D112" s="28">
        <f t="shared" si="6"/>
        <v>4</v>
      </c>
      <c r="E112" s="28">
        <f t="shared" si="7"/>
        <v>0</v>
      </c>
      <c r="F112" s="59" t="str">
        <f t="shared" si="8"/>
        <v/>
      </c>
      <c r="G112" s="42" t="s">
        <v>1400</v>
      </c>
      <c r="H112" s="43" t="s">
        <v>1401</v>
      </c>
      <c r="I112" s="44" t="s">
        <v>1402</v>
      </c>
      <c r="J112" s="45" t="s">
        <v>1403</v>
      </c>
      <c r="K112" s="46" t="s">
        <v>1404</v>
      </c>
      <c r="L112" s="47" t="s">
        <v>3070</v>
      </c>
      <c r="M112" s="48" t="s">
        <v>3071</v>
      </c>
      <c r="N112" s="49"/>
      <c r="O112" s="49"/>
      <c r="P112" s="50"/>
      <c r="Q112" s="59"/>
      <c r="R112" s="13"/>
    </row>
    <row r="113" spans="1:18" ht="18" thickBot="1" x14ac:dyDescent="0.35">
      <c r="A113" s="9" t="s">
        <v>11</v>
      </c>
      <c r="B113" s="28">
        <f>IF(ISBLANK(A113),0,INDEX(txtstylestab[],MATCH(A113,txtstylestab[style_Name],0),1))</f>
        <v>2</v>
      </c>
      <c r="C113" s="28">
        <f t="shared" si="5"/>
        <v>3</v>
      </c>
      <c r="D113" s="28">
        <f t="shared" si="6"/>
        <v>5</v>
      </c>
      <c r="E113" s="28">
        <f t="shared" si="7"/>
        <v>0</v>
      </c>
      <c r="F113" s="54" t="str">
        <f t="shared" si="8"/>
        <v>3.5.</v>
      </c>
      <c r="G113" s="54" t="s">
        <v>1410</v>
      </c>
      <c r="H113" s="54"/>
      <c r="I113" s="54"/>
      <c r="J113" s="54"/>
      <c r="K113" s="54"/>
      <c r="L113" s="54"/>
      <c r="M113" s="54"/>
      <c r="N113" s="54"/>
      <c r="O113" s="54"/>
      <c r="P113" s="54"/>
      <c r="Q113" s="54"/>
      <c r="R113" s="13"/>
    </row>
    <row r="114" spans="1:18" ht="60.75" thickTop="1" x14ac:dyDescent="0.25">
      <c r="A114" s="9" t="s">
        <v>21</v>
      </c>
      <c r="B114" s="28">
        <f>IF(ISBLANK(A114),0,INDEX(txtstylestab[],MATCH(A114,txtstylestab[style_Name],0),1))</f>
        <v>0</v>
      </c>
      <c r="C114" s="28">
        <f t="shared" si="5"/>
        <v>3</v>
      </c>
      <c r="D114" s="28">
        <f t="shared" si="6"/>
        <v>5</v>
      </c>
      <c r="E114" s="28">
        <f t="shared" si="7"/>
        <v>0</v>
      </c>
      <c r="F114" s="59" t="str">
        <f t="shared" si="8"/>
        <v/>
      </c>
      <c r="G114" s="42" t="s">
        <v>1411</v>
      </c>
      <c r="H114" s="43" t="s">
        <v>1412</v>
      </c>
      <c r="I114" s="44" t="s">
        <v>1760</v>
      </c>
      <c r="J114" s="45" t="s">
        <v>1413</v>
      </c>
      <c r="K114" s="46" t="s">
        <v>1414</v>
      </c>
      <c r="L114" s="47" t="s">
        <v>3074</v>
      </c>
      <c r="M114" s="48" t="s">
        <v>3075</v>
      </c>
      <c r="N114" s="49"/>
      <c r="O114" s="49"/>
      <c r="P114" s="50"/>
      <c r="Q114" s="59"/>
      <c r="R114" s="13"/>
    </row>
    <row r="115" spans="1:18" ht="75" x14ac:dyDescent="0.25">
      <c r="A115" s="9" t="s">
        <v>21</v>
      </c>
      <c r="B115" s="28">
        <f>IF(ISBLANK(A115),0,INDEX(txtstylestab[],MATCH(A115,txtstylestab[style_Name],0),1))</f>
        <v>0</v>
      </c>
      <c r="C115" s="28">
        <f t="shared" si="5"/>
        <v>3</v>
      </c>
      <c r="D115" s="28">
        <f t="shared" si="6"/>
        <v>5</v>
      </c>
      <c r="E115" s="28">
        <f t="shared" si="7"/>
        <v>0</v>
      </c>
      <c r="F115" s="59" t="str">
        <f t="shared" si="8"/>
        <v/>
      </c>
      <c r="G115" s="42" t="s">
        <v>1415</v>
      </c>
      <c r="H115" s="43" t="s">
        <v>2128</v>
      </c>
      <c r="I115" s="44" t="s">
        <v>1682</v>
      </c>
      <c r="J115" s="45" t="s">
        <v>1416</v>
      </c>
      <c r="K115" s="46" t="s">
        <v>1417</v>
      </c>
      <c r="L115" s="47" t="s">
        <v>3076</v>
      </c>
      <c r="M115" s="48" t="s">
        <v>3077</v>
      </c>
      <c r="N115" s="49"/>
      <c r="O115" s="49"/>
      <c r="P115" s="50"/>
      <c r="Q115" s="59"/>
      <c r="R115" s="13"/>
    </row>
    <row r="116" spans="1:18" x14ac:dyDescent="0.25">
      <c r="A116" s="9" t="s">
        <v>21</v>
      </c>
      <c r="B116" s="28">
        <f>IF(ISBLANK(A116),0,INDEX(txtstylestab[],MATCH(A116,txtstylestab[style_Name],0),1))</f>
        <v>0</v>
      </c>
      <c r="C116" s="28">
        <f t="shared" si="5"/>
        <v>3</v>
      </c>
      <c r="D116" s="28">
        <f t="shared" si="6"/>
        <v>5</v>
      </c>
      <c r="E116" s="28">
        <f t="shared" si="7"/>
        <v>0</v>
      </c>
      <c r="F116" s="59" t="str">
        <f t="shared" si="8"/>
        <v/>
      </c>
      <c r="G116" s="42" t="s">
        <v>1418</v>
      </c>
      <c r="H116" s="43" t="s">
        <v>1419</v>
      </c>
      <c r="I116" s="44" t="s">
        <v>1420</v>
      </c>
      <c r="J116" s="45" t="s">
        <v>1421</v>
      </c>
      <c r="K116" s="46" t="s">
        <v>1422</v>
      </c>
      <c r="L116" s="47" t="s">
        <v>3078</v>
      </c>
      <c r="M116" s="48" t="s">
        <v>3079</v>
      </c>
      <c r="N116" s="49"/>
      <c r="O116" s="49"/>
      <c r="P116" s="50"/>
      <c r="Q116" s="59"/>
      <c r="R116" s="13"/>
    </row>
    <row r="117" spans="1:18" ht="45" x14ac:dyDescent="0.25">
      <c r="A117" s="9" t="s">
        <v>21</v>
      </c>
      <c r="B117" s="28">
        <f>IF(ISBLANK(A117),0,INDEX(txtstylestab[],MATCH(A117,txtstylestab[style_Name],0),1))</f>
        <v>0</v>
      </c>
      <c r="C117" s="28">
        <f t="shared" si="5"/>
        <v>3</v>
      </c>
      <c r="D117" s="28">
        <f t="shared" si="6"/>
        <v>5</v>
      </c>
      <c r="E117" s="28">
        <f t="shared" si="7"/>
        <v>0</v>
      </c>
      <c r="F117" s="59" t="str">
        <f t="shared" si="8"/>
        <v/>
      </c>
      <c r="G117" s="42" t="s">
        <v>1423</v>
      </c>
      <c r="H117" s="43" t="s">
        <v>1424</v>
      </c>
      <c r="I117" s="44" t="s">
        <v>1683</v>
      </c>
      <c r="J117" s="45" t="s">
        <v>1577</v>
      </c>
      <c r="K117" s="46" t="s">
        <v>1425</v>
      </c>
      <c r="L117" s="47" t="s">
        <v>3080</v>
      </c>
      <c r="M117" s="48" t="s">
        <v>3081</v>
      </c>
      <c r="N117" s="49"/>
      <c r="O117" s="49"/>
      <c r="P117" s="50"/>
      <c r="Q117" s="59"/>
      <c r="R117" s="13"/>
    </row>
    <row r="118" spans="1:18" ht="30" x14ac:dyDescent="0.25">
      <c r="A118" s="9" t="s">
        <v>21</v>
      </c>
      <c r="B118" s="28">
        <f>IF(ISBLANK(A118),0,INDEX(txtstylestab[],MATCH(A118,txtstylestab[style_Name],0),1))</f>
        <v>0</v>
      </c>
      <c r="C118" s="28">
        <f t="shared" si="5"/>
        <v>3</v>
      </c>
      <c r="D118" s="28">
        <f t="shared" si="6"/>
        <v>5</v>
      </c>
      <c r="E118" s="28">
        <f t="shared" si="7"/>
        <v>0</v>
      </c>
      <c r="F118" s="59" t="str">
        <f t="shared" si="8"/>
        <v/>
      </c>
      <c r="G118" s="42" t="s">
        <v>1426</v>
      </c>
      <c r="H118" s="43" t="s">
        <v>1427</v>
      </c>
      <c r="I118" s="44" t="s">
        <v>1684</v>
      </c>
      <c r="J118" s="45" t="s">
        <v>1428</v>
      </c>
      <c r="K118" s="46" t="s">
        <v>1429</v>
      </c>
      <c r="L118" s="47" t="s">
        <v>3082</v>
      </c>
      <c r="M118" s="48" t="s">
        <v>3083</v>
      </c>
      <c r="N118" s="49"/>
      <c r="O118" s="49"/>
      <c r="P118" s="50"/>
      <c r="Q118" s="59"/>
      <c r="R118" s="13"/>
    </row>
    <row r="119" spans="1:18" ht="60" x14ac:dyDescent="0.25">
      <c r="A119" s="9" t="s">
        <v>21</v>
      </c>
      <c r="B119" s="28">
        <f>IF(ISBLANK(A119),0,INDEX(txtstylestab[],MATCH(A119,txtstylestab[style_Name],0),1))</f>
        <v>0</v>
      </c>
      <c r="C119" s="28">
        <f t="shared" si="5"/>
        <v>3</v>
      </c>
      <c r="D119" s="28">
        <f t="shared" si="6"/>
        <v>5</v>
      </c>
      <c r="E119" s="28">
        <f t="shared" si="7"/>
        <v>0</v>
      </c>
      <c r="F119" s="59" t="str">
        <f t="shared" si="8"/>
        <v/>
      </c>
      <c r="G119" s="42" t="s">
        <v>1430</v>
      </c>
      <c r="H119" s="43" t="s">
        <v>1431</v>
      </c>
      <c r="I119" s="44" t="s">
        <v>1685</v>
      </c>
      <c r="J119" s="45" t="s">
        <v>1432</v>
      </c>
      <c r="K119" s="46" t="s">
        <v>1433</v>
      </c>
      <c r="L119" s="47" t="s">
        <v>3084</v>
      </c>
      <c r="M119" s="48" t="s">
        <v>3085</v>
      </c>
      <c r="N119" s="49"/>
      <c r="O119" s="49"/>
      <c r="P119" s="50"/>
      <c r="Q119" s="59"/>
      <c r="R119" s="13"/>
    </row>
    <row r="120" spans="1:18" ht="60" x14ac:dyDescent="0.25">
      <c r="A120" s="9" t="s">
        <v>21</v>
      </c>
      <c r="B120" s="28">
        <f>IF(ISBLANK(A120),0,INDEX(txtstylestab[],MATCH(A120,txtstylestab[style_Name],0),1))</f>
        <v>0</v>
      </c>
      <c r="C120" s="28">
        <f t="shared" si="5"/>
        <v>3</v>
      </c>
      <c r="D120" s="28">
        <f t="shared" si="6"/>
        <v>5</v>
      </c>
      <c r="E120" s="28">
        <f t="shared" si="7"/>
        <v>0</v>
      </c>
      <c r="F120" s="59" t="str">
        <f t="shared" si="8"/>
        <v/>
      </c>
      <c r="G120" s="42" t="s">
        <v>1434</v>
      </c>
      <c r="H120" s="43" t="s">
        <v>1435</v>
      </c>
      <c r="I120" s="44" t="s">
        <v>1686</v>
      </c>
      <c r="J120" s="45" t="s">
        <v>1578</v>
      </c>
      <c r="K120" s="46" t="s">
        <v>1436</v>
      </c>
      <c r="L120" s="47" t="s">
        <v>3086</v>
      </c>
      <c r="M120" s="48" t="s">
        <v>3087</v>
      </c>
      <c r="N120" s="49"/>
      <c r="O120" s="49"/>
      <c r="P120" s="50"/>
      <c r="Q120" s="59"/>
      <c r="R120" s="13"/>
    </row>
    <row r="121" spans="1:18" ht="60" x14ac:dyDescent="0.25">
      <c r="A121" s="9" t="s">
        <v>21</v>
      </c>
      <c r="B121" s="28">
        <f>IF(ISBLANK(A121),0,INDEX(txtstylestab[],MATCH(A121,txtstylestab[style_Name],0),1))</f>
        <v>0</v>
      </c>
      <c r="C121" s="28">
        <f t="shared" si="5"/>
        <v>3</v>
      </c>
      <c r="D121" s="28">
        <f t="shared" si="6"/>
        <v>5</v>
      </c>
      <c r="E121" s="28">
        <f t="shared" si="7"/>
        <v>0</v>
      </c>
      <c r="F121" s="59" t="str">
        <f t="shared" si="8"/>
        <v/>
      </c>
      <c r="G121" s="42" t="s">
        <v>1437</v>
      </c>
      <c r="H121" s="43" t="s">
        <v>1438</v>
      </c>
      <c r="I121" s="44" t="s">
        <v>1687</v>
      </c>
      <c r="J121" s="45" t="s">
        <v>1439</v>
      </c>
      <c r="K121" s="46" t="s">
        <v>1440</v>
      </c>
      <c r="L121" s="47" t="s">
        <v>3088</v>
      </c>
      <c r="M121" s="48" t="s">
        <v>3089</v>
      </c>
      <c r="N121" s="49"/>
      <c r="O121" s="49"/>
      <c r="P121" s="50"/>
      <c r="Q121" s="59"/>
      <c r="R121" s="13"/>
    </row>
    <row r="122" spans="1:18" ht="60" x14ac:dyDescent="0.25">
      <c r="A122" s="9" t="s">
        <v>21</v>
      </c>
      <c r="B122" s="28">
        <f>IF(ISBLANK(A122),0,INDEX(txtstylestab[],MATCH(A122,txtstylestab[style_Name],0),1))</f>
        <v>0</v>
      </c>
      <c r="C122" s="28">
        <f t="shared" si="5"/>
        <v>3</v>
      </c>
      <c r="D122" s="28">
        <f t="shared" si="6"/>
        <v>5</v>
      </c>
      <c r="E122" s="28">
        <f t="shared" si="7"/>
        <v>0</v>
      </c>
      <c r="F122" s="59" t="str">
        <f t="shared" si="8"/>
        <v/>
      </c>
      <c r="G122" s="42" t="s">
        <v>1441</v>
      </c>
      <c r="H122" s="43" t="s">
        <v>1442</v>
      </c>
      <c r="I122" s="44" t="s">
        <v>1688</v>
      </c>
      <c r="J122" s="45" t="s">
        <v>1579</v>
      </c>
      <c r="K122" s="46" t="s">
        <v>1443</v>
      </c>
      <c r="L122" s="47" t="s">
        <v>3090</v>
      </c>
      <c r="M122" s="48" t="s">
        <v>3091</v>
      </c>
      <c r="N122" s="49"/>
      <c r="O122" s="49"/>
      <c r="P122" s="50"/>
      <c r="Q122" s="59"/>
      <c r="R122" s="13"/>
    </row>
    <row r="123" spans="1:18" ht="60" x14ac:dyDescent="0.25">
      <c r="A123" s="9" t="s">
        <v>21</v>
      </c>
      <c r="B123" s="28">
        <f>IF(ISBLANK(A123),0,INDEX(txtstylestab[],MATCH(A123,txtstylestab[style_Name],0),1))</f>
        <v>0</v>
      </c>
      <c r="C123" s="28">
        <f t="shared" si="5"/>
        <v>3</v>
      </c>
      <c r="D123" s="28">
        <f t="shared" si="6"/>
        <v>5</v>
      </c>
      <c r="E123" s="28">
        <f t="shared" si="7"/>
        <v>0</v>
      </c>
      <c r="F123" s="59" t="str">
        <f t="shared" si="8"/>
        <v/>
      </c>
      <c r="G123" s="42" t="s">
        <v>1444</v>
      </c>
      <c r="H123" s="43" t="s">
        <v>1445</v>
      </c>
      <c r="I123" s="44" t="s">
        <v>1689</v>
      </c>
      <c r="J123" s="45" t="s">
        <v>1446</v>
      </c>
      <c r="K123" s="46" t="s">
        <v>1447</v>
      </c>
      <c r="L123" s="47" t="s">
        <v>3092</v>
      </c>
      <c r="M123" s="48" t="s">
        <v>3093</v>
      </c>
      <c r="N123" s="49"/>
      <c r="O123" s="49"/>
      <c r="P123" s="50"/>
      <c r="Q123" s="59"/>
      <c r="R123" s="13"/>
    </row>
    <row r="124" spans="1:18" ht="18" thickBot="1" x14ac:dyDescent="0.35">
      <c r="A124" s="9" t="s">
        <v>11</v>
      </c>
      <c r="B124" s="28">
        <f>IF(ISBLANK(A124),0,INDEX(txtstylestab[],MATCH(A124,txtstylestab[style_Name],0),1))</f>
        <v>2</v>
      </c>
      <c r="C124" s="28">
        <f t="shared" si="5"/>
        <v>3</v>
      </c>
      <c r="D124" s="28">
        <f t="shared" si="6"/>
        <v>6</v>
      </c>
      <c r="E124" s="28">
        <f t="shared" si="7"/>
        <v>0</v>
      </c>
      <c r="F124" s="54" t="str">
        <f t="shared" si="8"/>
        <v>3.6.</v>
      </c>
      <c r="G124" s="54" t="s">
        <v>1448</v>
      </c>
      <c r="H124" s="54"/>
      <c r="I124" s="54"/>
      <c r="J124" s="54"/>
      <c r="K124" s="54"/>
      <c r="L124" s="54"/>
      <c r="M124" s="54"/>
      <c r="N124" s="54"/>
      <c r="O124" s="54"/>
      <c r="P124" s="54"/>
      <c r="Q124" s="54"/>
      <c r="R124" s="13"/>
    </row>
    <row r="125" spans="1:18" ht="15.75" thickTop="1" x14ac:dyDescent="0.25">
      <c r="A125" s="9" t="s">
        <v>22</v>
      </c>
      <c r="B125" s="28">
        <f>IF(ISBLANK(A125),0,INDEX(txtstylestab[],MATCH(A125,txtstylestab[style_Name],0),1))</f>
        <v>4</v>
      </c>
      <c r="C125" s="28">
        <f t="shared" si="5"/>
        <v>3</v>
      </c>
      <c r="D125" s="28">
        <f t="shared" si="6"/>
        <v>6</v>
      </c>
      <c r="E125" s="28">
        <f t="shared" si="7"/>
        <v>0</v>
      </c>
      <c r="F125" s="56" t="str">
        <f t="shared" si="8"/>
        <v/>
      </c>
      <c r="G125" s="53" t="s">
        <v>1449</v>
      </c>
      <c r="H125" s="53"/>
      <c r="I125" s="53"/>
      <c r="J125" s="53"/>
      <c r="K125" s="53"/>
      <c r="L125" s="53"/>
      <c r="M125" s="53"/>
      <c r="N125" s="53"/>
      <c r="O125" s="53"/>
      <c r="P125" s="53"/>
      <c r="Q125" s="53"/>
      <c r="R125" s="13"/>
    </row>
    <row r="126" spans="1:18" x14ac:dyDescent="0.25">
      <c r="A126" s="9" t="s">
        <v>23</v>
      </c>
      <c r="B126" s="28">
        <f>IF(ISBLANK(A126),0,INDEX(txtstylestab[],MATCH(A126,txtstylestab[style_Name],0),1))</f>
        <v>5</v>
      </c>
      <c r="C126" s="28">
        <f t="shared" si="5"/>
        <v>3</v>
      </c>
      <c r="D126" s="28">
        <f t="shared" si="6"/>
        <v>6</v>
      </c>
      <c r="E126" s="28">
        <f t="shared" si="7"/>
        <v>0</v>
      </c>
      <c r="F126" s="56" t="str">
        <f t="shared" si="8"/>
        <v/>
      </c>
      <c r="G126" s="58" t="s">
        <v>1450</v>
      </c>
      <c r="H126" s="58"/>
      <c r="I126" s="58"/>
      <c r="J126" s="58"/>
      <c r="K126" s="58"/>
      <c r="L126" s="58"/>
      <c r="M126" s="58"/>
      <c r="N126" s="58"/>
      <c r="O126" s="58"/>
      <c r="P126" s="58"/>
      <c r="Q126" s="58"/>
      <c r="R126" s="13"/>
    </row>
    <row r="127" spans="1:18" ht="75" x14ac:dyDescent="0.25">
      <c r="A127" s="9" t="s">
        <v>21</v>
      </c>
      <c r="B127" s="28">
        <f>IF(ISBLANK(A127),0,INDEX(txtstylestab[],MATCH(A127,txtstylestab[style_Name],0),1))</f>
        <v>0</v>
      </c>
      <c r="C127" s="28">
        <f t="shared" si="5"/>
        <v>3</v>
      </c>
      <c r="D127" s="28">
        <f t="shared" si="6"/>
        <v>6</v>
      </c>
      <c r="E127" s="28">
        <f t="shared" si="7"/>
        <v>0</v>
      </c>
      <c r="F127" s="59" t="str">
        <f t="shared" si="8"/>
        <v/>
      </c>
      <c r="G127" s="42" t="s">
        <v>1451</v>
      </c>
      <c r="H127" s="43" t="s">
        <v>1452</v>
      </c>
      <c r="I127" s="44" t="s">
        <v>1690</v>
      </c>
      <c r="J127" s="45" t="s">
        <v>1453</v>
      </c>
      <c r="K127" s="46" t="s">
        <v>1454</v>
      </c>
      <c r="L127" s="47" t="s">
        <v>3094</v>
      </c>
      <c r="M127" s="48" t="s">
        <v>3095</v>
      </c>
      <c r="N127" s="49"/>
      <c r="O127" s="49"/>
      <c r="P127" s="50"/>
      <c r="Q127" s="59"/>
      <c r="R127" s="13"/>
    </row>
    <row r="128" spans="1:18" x14ac:dyDescent="0.25">
      <c r="A128" s="9" t="s">
        <v>22</v>
      </c>
      <c r="B128" s="28">
        <f>IF(ISBLANK(A128),0,INDEX(txtstylestab[],MATCH(A128,txtstylestab[style_Name],0),1))</f>
        <v>4</v>
      </c>
      <c r="C128" s="28">
        <f t="shared" si="5"/>
        <v>3</v>
      </c>
      <c r="D128" s="28">
        <f t="shared" si="6"/>
        <v>6</v>
      </c>
      <c r="E128" s="28">
        <f t="shared" si="7"/>
        <v>0</v>
      </c>
      <c r="F128" s="56" t="str">
        <f t="shared" si="8"/>
        <v/>
      </c>
      <c r="G128" s="53" t="s">
        <v>1455</v>
      </c>
      <c r="H128" s="53"/>
      <c r="I128" s="53"/>
      <c r="J128" s="53"/>
      <c r="K128" s="53"/>
      <c r="L128" s="53"/>
      <c r="M128" s="53"/>
      <c r="N128" s="53"/>
      <c r="O128" s="53"/>
      <c r="P128" s="53"/>
      <c r="Q128" s="53"/>
      <c r="R128" s="13"/>
    </row>
    <row r="129" spans="1:18" x14ac:dyDescent="0.25">
      <c r="A129" s="9" t="s">
        <v>23</v>
      </c>
      <c r="B129" s="28">
        <f>IF(ISBLANK(A129),0,INDEX(txtstylestab[],MATCH(A129,txtstylestab[style_Name],0),1))</f>
        <v>5</v>
      </c>
      <c r="C129" s="28">
        <f t="shared" si="5"/>
        <v>3</v>
      </c>
      <c r="D129" s="28">
        <f t="shared" si="6"/>
        <v>6</v>
      </c>
      <c r="E129" s="28">
        <f t="shared" si="7"/>
        <v>0</v>
      </c>
      <c r="F129" s="56" t="str">
        <f t="shared" si="8"/>
        <v/>
      </c>
      <c r="G129" s="58" t="s">
        <v>1456</v>
      </c>
      <c r="H129" s="58"/>
      <c r="I129" s="58"/>
      <c r="J129" s="58"/>
      <c r="K129" s="58"/>
      <c r="L129" s="58"/>
      <c r="M129" s="58"/>
      <c r="N129" s="58"/>
      <c r="O129" s="58"/>
      <c r="P129" s="58"/>
      <c r="Q129" s="58"/>
      <c r="R129" s="13"/>
    </row>
    <row r="130" spans="1:18" ht="75" x14ac:dyDescent="0.25">
      <c r="A130" s="9" t="s">
        <v>21</v>
      </c>
      <c r="B130" s="28">
        <f>IF(ISBLANK(A130),0,INDEX(txtstylestab[],MATCH(A130,txtstylestab[style_Name],0),1))</f>
        <v>0</v>
      </c>
      <c r="C130" s="28">
        <f t="shared" si="5"/>
        <v>3</v>
      </c>
      <c r="D130" s="28">
        <f t="shared" si="6"/>
        <v>6</v>
      </c>
      <c r="E130" s="28">
        <f t="shared" si="7"/>
        <v>0</v>
      </c>
      <c r="F130" s="59" t="str">
        <f t="shared" si="8"/>
        <v/>
      </c>
      <c r="G130" s="42" t="s">
        <v>1451</v>
      </c>
      <c r="H130" s="43" t="s">
        <v>1452</v>
      </c>
      <c r="I130" s="44" t="s">
        <v>1691</v>
      </c>
      <c r="J130" s="45" t="s">
        <v>1453</v>
      </c>
      <c r="K130" s="46" t="s">
        <v>1454</v>
      </c>
      <c r="L130" s="47" t="s">
        <v>3094</v>
      </c>
      <c r="M130" s="48" t="s">
        <v>3095</v>
      </c>
      <c r="N130" s="49"/>
      <c r="O130" s="49"/>
      <c r="P130" s="50"/>
      <c r="Q130" s="59"/>
      <c r="R130" s="13"/>
    </row>
    <row r="131" spans="1:18" x14ac:dyDescent="0.25">
      <c r="A131" s="9" t="s">
        <v>23</v>
      </c>
      <c r="B131" s="28">
        <f>IF(ISBLANK(A131),0,INDEX(txtstylestab[],MATCH(A131,txtstylestab[style_Name],0),1))</f>
        <v>5</v>
      </c>
      <c r="C131" s="28">
        <f t="shared" si="5"/>
        <v>3</v>
      </c>
      <c r="D131" s="28">
        <f t="shared" si="6"/>
        <v>6</v>
      </c>
      <c r="E131" s="28">
        <f t="shared" si="7"/>
        <v>0</v>
      </c>
      <c r="F131" s="56" t="str">
        <f t="shared" si="8"/>
        <v/>
      </c>
      <c r="G131" s="58" t="s">
        <v>1457</v>
      </c>
      <c r="H131" s="58"/>
      <c r="I131" s="58"/>
      <c r="J131" s="58"/>
      <c r="K131" s="58"/>
      <c r="L131" s="58"/>
      <c r="M131" s="58"/>
      <c r="N131" s="58"/>
      <c r="O131" s="58"/>
      <c r="P131" s="58"/>
      <c r="Q131" s="58"/>
      <c r="R131" s="13"/>
    </row>
    <row r="132" spans="1:18" ht="90" x14ac:dyDescent="0.25">
      <c r="A132" s="9" t="s">
        <v>21</v>
      </c>
      <c r="B132" s="28">
        <f>IF(ISBLANK(A132),0,INDEX(txtstylestab[],MATCH(A132,txtstylestab[style_Name],0),1))</f>
        <v>0</v>
      </c>
      <c r="C132" s="28">
        <f t="shared" ref="C132:C190" si="9">IF(B132=1,C131+1,C131)</f>
        <v>3</v>
      </c>
      <c r="D132" s="28">
        <f t="shared" ref="D132:D190" si="10">IF(B132=1,0,IF(B132=2,D131+1,IF(AND(B132=3,D131=0),1,D131)))</f>
        <v>6</v>
      </c>
      <c r="E132" s="28">
        <f t="shared" ref="E132:E190" si="11">IF(OR(B132=1,B132=2),0,IF(B132=3,E131+1,E131))</f>
        <v>0</v>
      </c>
      <c r="F132" s="59" t="str">
        <f t="shared" ref="F132:F190" si="12">IF(OR(B132=1,B132=2,B132=3),TEXT(C132,"#")&amp;".","")&amp;IF(OR(B132=2,B132=3),TEXT(D132,"#")&amp;".","")&amp;IF(B132=3,TEXT(E132,"#")&amp;".","")</f>
        <v/>
      </c>
      <c r="G132" s="42" t="s">
        <v>1458</v>
      </c>
      <c r="H132" s="43" t="s">
        <v>1459</v>
      </c>
      <c r="I132" s="44" t="s">
        <v>1692</v>
      </c>
      <c r="J132" s="45" t="s">
        <v>1580</v>
      </c>
      <c r="K132" s="46" t="s">
        <v>1460</v>
      </c>
      <c r="L132" s="47" t="s">
        <v>3096</v>
      </c>
      <c r="M132" s="48" t="s">
        <v>3097</v>
      </c>
      <c r="N132" s="49"/>
      <c r="O132" s="49"/>
      <c r="P132" s="50"/>
      <c r="Q132" s="59"/>
      <c r="R132" s="13"/>
    </row>
    <row r="133" spans="1:18" x14ac:dyDescent="0.25">
      <c r="A133" s="9" t="s">
        <v>23</v>
      </c>
      <c r="B133" s="28">
        <f>IF(ISBLANK(A133),0,INDEX(txtstylestab[],MATCH(A133,txtstylestab[style_Name],0),1))</f>
        <v>5</v>
      </c>
      <c r="C133" s="28">
        <f t="shared" si="9"/>
        <v>3</v>
      </c>
      <c r="D133" s="28">
        <f t="shared" si="10"/>
        <v>6</v>
      </c>
      <c r="E133" s="28">
        <f t="shared" si="11"/>
        <v>0</v>
      </c>
      <c r="F133" s="56" t="str">
        <f t="shared" si="12"/>
        <v/>
      </c>
      <c r="G133" s="58" t="s">
        <v>1790</v>
      </c>
      <c r="H133" s="58"/>
      <c r="I133" s="58"/>
      <c r="J133" s="58"/>
      <c r="K133" s="58"/>
      <c r="L133" s="58"/>
      <c r="M133" s="58"/>
      <c r="N133" s="58"/>
      <c r="O133" s="58"/>
      <c r="P133" s="58"/>
      <c r="Q133" s="58"/>
      <c r="R133" s="13"/>
    </row>
    <row r="134" spans="1:18" ht="75" x14ac:dyDescent="0.25">
      <c r="A134" s="9" t="s">
        <v>21</v>
      </c>
      <c r="B134" s="28">
        <f>IF(ISBLANK(A134),0,INDEX(txtstylestab[],MATCH(A134,txtstylestab[style_Name],0),1))</f>
        <v>0</v>
      </c>
      <c r="C134" s="28">
        <f t="shared" si="9"/>
        <v>3</v>
      </c>
      <c r="D134" s="28">
        <f t="shared" si="10"/>
        <v>6</v>
      </c>
      <c r="E134" s="28">
        <f t="shared" si="11"/>
        <v>0</v>
      </c>
      <c r="F134" s="59" t="str">
        <f t="shared" si="12"/>
        <v/>
      </c>
      <c r="G134" s="42" t="s">
        <v>1461</v>
      </c>
      <c r="H134" s="43" t="s">
        <v>1462</v>
      </c>
      <c r="I134" s="44" t="s">
        <v>1693</v>
      </c>
      <c r="J134" s="45" t="s">
        <v>1581</v>
      </c>
      <c r="K134" s="46" t="s">
        <v>1463</v>
      </c>
      <c r="L134" s="47" t="s">
        <v>3096</v>
      </c>
      <c r="M134" s="48" t="s">
        <v>3097</v>
      </c>
      <c r="N134" s="49"/>
      <c r="O134" s="49"/>
      <c r="P134" s="50"/>
      <c r="Q134" s="59"/>
      <c r="R134" s="13"/>
    </row>
    <row r="135" spans="1:18" ht="18" thickBot="1" x14ac:dyDescent="0.35">
      <c r="A135" s="9" t="s">
        <v>11</v>
      </c>
      <c r="B135" s="28">
        <f>IF(ISBLANK(A135),0,INDEX(txtstylestab[],MATCH(A135,txtstylestab[style_Name],0),1))</f>
        <v>2</v>
      </c>
      <c r="C135" s="28">
        <f t="shared" si="9"/>
        <v>3</v>
      </c>
      <c r="D135" s="28">
        <f t="shared" si="10"/>
        <v>7</v>
      </c>
      <c r="E135" s="28">
        <f t="shared" si="11"/>
        <v>0</v>
      </c>
      <c r="F135" s="54" t="str">
        <f t="shared" si="12"/>
        <v>3.7.</v>
      </c>
      <c r="G135" s="54" t="s">
        <v>1464</v>
      </c>
      <c r="H135" s="54"/>
      <c r="I135" s="54"/>
      <c r="J135" s="54"/>
      <c r="K135" s="54"/>
      <c r="L135" s="54"/>
      <c r="M135" s="54"/>
      <c r="N135" s="54"/>
      <c r="O135" s="54"/>
      <c r="P135" s="54"/>
      <c r="Q135" s="54"/>
      <c r="R135" s="13"/>
    </row>
    <row r="136" spans="1:18" ht="105.75" thickTop="1" x14ac:dyDescent="0.25">
      <c r="A136" s="9" t="s">
        <v>21</v>
      </c>
      <c r="B136" s="28">
        <f>IF(ISBLANK(A136),0,INDEX(txtstylestab[],MATCH(A136,txtstylestab[style_Name],0),1))</f>
        <v>0</v>
      </c>
      <c r="C136" s="28">
        <f t="shared" si="9"/>
        <v>3</v>
      </c>
      <c r="D136" s="28">
        <f t="shared" si="10"/>
        <v>7</v>
      </c>
      <c r="E136" s="28">
        <f t="shared" si="11"/>
        <v>0</v>
      </c>
      <c r="F136" s="59" t="str">
        <f t="shared" si="12"/>
        <v/>
      </c>
      <c r="G136" s="42" t="s">
        <v>1465</v>
      </c>
      <c r="H136" s="43" t="s">
        <v>1466</v>
      </c>
      <c r="I136" s="44" t="s">
        <v>1694</v>
      </c>
      <c r="J136" s="45" t="s">
        <v>1582</v>
      </c>
      <c r="K136" s="46" t="s">
        <v>1467</v>
      </c>
      <c r="L136" s="47" t="s">
        <v>3098</v>
      </c>
      <c r="M136" s="48" t="s">
        <v>3099</v>
      </c>
      <c r="N136" s="49"/>
      <c r="O136" s="49"/>
      <c r="P136" s="50"/>
      <c r="Q136" s="59"/>
      <c r="R136" s="13"/>
    </row>
    <row r="137" spans="1:18" ht="18" thickBot="1" x14ac:dyDescent="0.35">
      <c r="A137" s="9" t="s">
        <v>11</v>
      </c>
      <c r="B137" s="28">
        <f>IF(ISBLANK(A137),0,INDEX(txtstylestab[],MATCH(A137,txtstylestab[style_Name],0),1))</f>
        <v>2</v>
      </c>
      <c r="C137" s="28">
        <f t="shared" si="9"/>
        <v>3</v>
      </c>
      <c r="D137" s="28">
        <f t="shared" si="10"/>
        <v>8</v>
      </c>
      <c r="E137" s="28">
        <f t="shared" si="11"/>
        <v>0</v>
      </c>
      <c r="F137" s="54" t="str">
        <f t="shared" si="12"/>
        <v>3.8.</v>
      </c>
      <c r="G137" s="54" t="s">
        <v>2124</v>
      </c>
      <c r="H137" s="54"/>
      <c r="I137" s="54"/>
      <c r="J137" s="54"/>
      <c r="K137" s="54"/>
      <c r="L137" s="54"/>
      <c r="M137" s="54"/>
      <c r="N137" s="54"/>
      <c r="O137" s="54"/>
      <c r="P137" s="54"/>
      <c r="Q137" s="54"/>
      <c r="R137" s="13"/>
    </row>
    <row r="138" spans="1:18" ht="45.75" thickTop="1" x14ac:dyDescent="0.25">
      <c r="A138" s="9" t="s">
        <v>21</v>
      </c>
      <c r="B138" s="28">
        <f>IF(ISBLANK(A138),0,INDEX(txtstylestab[],MATCH(A138,txtstylestab[style_Name],0),1))</f>
        <v>0</v>
      </c>
      <c r="C138" s="28">
        <f t="shared" si="9"/>
        <v>3</v>
      </c>
      <c r="D138" s="28">
        <f t="shared" si="10"/>
        <v>8</v>
      </c>
      <c r="E138" s="28">
        <f t="shared" si="11"/>
        <v>0</v>
      </c>
      <c r="F138" s="59" t="str">
        <f t="shared" si="12"/>
        <v/>
      </c>
      <c r="G138" s="42" t="s">
        <v>1468</v>
      </c>
      <c r="H138" s="43" t="s">
        <v>1469</v>
      </c>
      <c r="I138" s="44" t="s">
        <v>1695</v>
      </c>
      <c r="J138" s="45" t="s">
        <v>1470</v>
      </c>
      <c r="K138" s="46" t="s">
        <v>1471</v>
      </c>
      <c r="L138" s="47" t="s">
        <v>3100</v>
      </c>
      <c r="M138" s="48" t="s">
        <v>3103</v>
      </c>
      <c r="N138" s="49"/>
      <c r="O138" s="49"/>
      <c r="P138" s="50"/>
      <c r="Q138" s="59"/>
      <c r="R138" s="13"/>
    </row>
    <row r="139" spans="1:18" ht="60" x14ac:dyDescent="0.25">
      <c r="A139" s="9" t="s">
        <v>21</v>
      </c>
      <c r="B139" s="28">
        <f>IF(ISBLANK(A139),0,INDEX(txtstylestab[],MATCH(A139,txtstylestab[style_Name],0),1))</f>
        <v>0</v>
      </c>
      <c r="C139" s="28">
        <f t="shared" si="9"/>
        <v>3</v>
      </c>
      <c r="D139" s="28">
        <f t="shared" si="10"/>
        <v>8</v>
      </c>
      <c r="E139" s="28">
        <f t="shared" si="11"/>
        <v>0</v>
      </c>
      <c r="F139" s="59" t="str">
        <f t="shared" si="12"/>
        <v/>
      </c>
      <c r="G139" s="42" t="s">
        <v>1472</v>
      </c>
      <c r="H139" s="43" t="s">
        <v>1473</v>
      </c>
      <c r="I139" s="44" t="s">
        <v>1696</v>
      </c>
      <c r="J139" s="45" t="s">
        <v>1474</v>
      </c>
      <c r="K139" s="46" t="s">
        <v>1475</v>
      </c>
      <c r="L139" s="47" t="s">
        <v>3101</v>
      </c>
      <c r="M139" s="48" t="s">
        <v>3102</v>
      </c>
      <c r="N139" s="49"/>
      <c r="O139" s="49"/>
      <c r="P139" s="50"/>
      <c r="Q139" s="59"/>
      <c r="R139" s="13"/>
    </row>
    <row r="140" spans="1:18" x14ac:dyDescent="0.25">
      <c r="A140" s="9" t="s">
        <v>15</v>
      </c>
      <c r="B140" s="28">
        <f>IF(ISBLANK(A140),0,INDEX(txtstylestab[],MATCH(A140,txtstylestab[style_Name],0),1))</f>
        <v>8</v>
      </c>
      <c r="C140" s="28">
        <f t="shared" si="9"/>
        <v>3</v>
      </c>
      <c r="D140" s="28">
        <f t="shared" si="10"/>
        <v>8</v>
      </c>
      <c r="E140" s="28">
        <f t="shared" si="11"/>
        <v>0</v>
      </c>
      <c r="F140" s="60" t="str">
        <f t="shared" si="12"/>
        <v/>
      </c>
      <c r="G140" s="60" t="s">
        <v>1476</v>
      </c>
      <c r="H140" s="60"/>
      <c r="I140" s="60"/>
      <c r="J140" s="60"/>
      <c r="K140" s="60"/>
      <c r="L140" s="60"/>
      <c r="M140" s="60"/>
      <c r="N140" s="60"/>
      <c r="O140" s="60"/>
      <c r="P140" s="60"/>
      <c r="Q140" s="60"/>
      <c r="R140" s="13"/>
    </row>
    <row r="141" spans="1:18" x14ac:dyDescent="0.25">
      <c r="A141" s="9" t="s">
        <v>15</v>
      </c>
      <c r="B141" s="28">
        <f>IF(ISBLANK(A141),0,INDEX(txtstylestab[],MATCH(A141,txtstylestab[style_Name],0),1))</f>
        <v>8</v>
      </c>
      <c r="C141" s="28">
        <f t="shared" si="9"/>
        <v>3</v>
      </c>
      <c r="D141" s="28">
        <f t="shared" si="10"/>
        <v>8</v>
      </c>
      <c r="E141" s="28">
        <f t="shared" si="11"/>
        <v>0</v>
      </c>
      <c r="F141" s="60" t="str">
        <f t="shared" si="12"/>
        <v/>
      </c>
      <c r="G141" s="60" t="s">
        <v>1477</v>
      </c>
      <c r="H141" s="60"/>
      <c r="I141" s="60"/>
      <c r="J141" s="60"/>
      <c r="K141" s="60"/>
      <c r="L141" s="60"/>
      <c r="M141" s="60"/>
      <c r="N141" s="60"/>
      <c r="O141" s="60"/>
      <c r="P141" s="60"/>
      <c r="Q141" s="60"/>
      <c r="R141" s="13"/>
    </row>
    <row r="142" spans="1:18" x14ac:dyDescent="0.25">
      <c r="A142" s="9" t="s">
        <v>15</v>
      </c>
      <c r="B142" s="28">
        <f>IF(ISBLANK(A142),0,INDEX(txtstylestab[],MATCH(A142,txtstylestab[style_Name],0),1))</f>
        <v>8</v>
      </c>
      <c r="C142" s="28">
        <f t="shared" si="9"/>
        <v>3</v>
      </c>
      <c r="D142" s="28">
        <f t="shared" si="10"/>
        <v>8</v>
      </c>
      <c r="E142" s="28">
        <f t="shared" si="11"/>
        <v>0</v>
      </c>
      <c r="F142" s="60" t="str">
        <f t="shared" si="12"/>
        <v/>
      </c>
      <c r="G142" s="60" t="s">
        <v>1478</v>
      </c>
      <c r="H142" s="60"/>
      <c r="I142" s="60"/>
      <c r="J142" s="60"/>
      <c r="K142" s="60"/>
      <c r="L142" s="60"/>
      <c r="M142" s="60"/>
      <c r="N142" s="60"/>
      <c r="O142" s="60"/>
      <c r="P142" s="60"/>
      <c r="Q142" s="60"/>
      <c r="R142" s="13"/>
    </row>
    <row r="143" spans="1:18" x14ac:dyDescent="0.25">
      <c r="A143" s="9" t="s">
        <v>15</v>
      </c>
      <c r="B143" s="28">
        <f>IF(ISBLANK(A143),0,INDEX(txtstylestab[],MATCH(A143,txtstylestab[style_Name],0),1))</f>
        <v>8</v>
      </c>
      <c r="C143" s="28">
        <f t="shared" si="9"/>
        <v>3</v>
      </c>
      <c r="D143" s="28">
        <f t="shared" si="10"/>
        <v>8</v>
      </c>
      <c r="E143" s="28">
        <f t="shared" si="11"/>
        <v>0</v>
      </c>
      <c r="F143" s="60" t="str">
        <f t="shared" si="12"/>
        <v/>
      </c>
      <c r="G143" s="60" t="s">
        <v>1479</v>
      </c>
      <c r="H143" s="60"/>
      <c r="I143" s="60"/>
      <c r="J143" s="60"/>
      <c r="K143" s="60"/>
      <c r="L143" s="60"/>
      <c r="M143" s="60"/>
      <c r="N143" s="60"/>
      <c r="O143" s="60"/>
      <c r="P143" s="60"/>
      <c r="Q143" s="60"/>
      <c r="R143" s="13"/>
    </row>
    <row r="144" spans="1:18" x14ac:dyDescent="0.25">
      <c r="A144" s="9" t="s">
        <v>15</v>
      </c>
      <c r="B144" s="28">
        <f>IF(ISBLANK(A144),0,INDEX(txtstylestab[],MATCH(A144,txtstylestab[style_Name],0),1))</f>
        <v>8</v>
      </c>
      <c r="C144" s="28">
        <f t="shared" si="9"/>
        <v>3</v>
      </c>
      <c r="D144" s="28">
        <f t="shared" si="10"/>
        <v>8</v>
      </c>
      <c r="E144" s="28">
        <f t="shared" si="11"/>
        <v>0</v>
      </c>
      <c r="F144" s="60" t="str">
        <f t="shared" si="12"/>
        <v/>
      </c>
      <c r="G144" s="60" t="s">
        <v>1480</v>
      </c>
      <c r="H144" s="60"/>
      <c r="I144" s="60"/>
      <c r="J144" s="60"/>
      <c r="K144" s="60"/>
      <c r="L144" s="60"/>
      <c r="M144" s="60"/>
      <c r="N144" s="60"/>
      <c r="O144" s="60"/>
      <c r="P144" s="60"/>
      <c r="Q144" s="60"/>
      <c r="R144" s="13"/>
    </row>
    <row r="145" spans="1:18" x14ac:dyDescent="0.25">
      <c r="A145" s="9" t="s">
        <v>15</v>
      </c>
      <c r="B145" s="28">
        <f>IF(ISBLANK(A145),0,INDEX(txtstylestab[],MATCH(A145,txtstylestab[style_Name],0),1))</f>
        <v>8</v>
      </c>
      <c r="C145" s="28">
        <f t="shared" si="9"/>
        <v>3</v>
      </c>
      <c r="D145" s="28">
        <f t="shared" si="10"/>
        <v>8</v>
      </c>
      <c r="E145" s="28">
        <f t="shared" si="11"/>
        <v>0</v>
      </c>
      <c r="F145" s="60" t="str">
        <f t="shared" si="12"/>
        <v/>
      </c>
      <c r="G145" s="60" t="s">
        <v>2103</v>
      </c>
      <c r="H145" s="60"/>
      <c r="I145" s="60"/>
      <c r="J145" s="60"/>
      <c r="K145" s="60"/>
      <c r="L145" s="60"/>
      <c r="M145" s="60"/>
      <c r="N145" s="60"/>
      <c r="O145" s="60"/>
      <c r="P145" s="60"/>
      <c r="Q145" s="60"/>
      <c r="R145" s="13"/>
    </row>
    <row r="146" spans="1:18" x14ac:dyDescent="0.25">
      <c r="A146" s="9" t="s">
        <v>15</v>
      </c>
      <c r="B146" s="28">
        <f>IF(ISBLANK(A146),0,INDEX(txtstylestab[],MATCH(A146,txtstylestab[style_Name],0),1))</f>
        <v>8</v>
      </c>
      <c r="C146" s="28">
        <f t="shared" si="9"/>
        <v>3</v>
      </c>
      <c r="D146" s="28">
        <f t="shared" si="10"/>
        <v>8</v>
      </c>
      <c r="E146" s="28">
        <f t="shared" si="11"/>
        <v>0</v>
      </c>
      <c r="F146" s="60" t="str">
        <f t="shared" si="12"/>
        <v/>
      </c>
      <c r="G146" s="60" t="s">
        <v>1481</v>
      </c>
      <c r="H146" s="60"/>
      <c r="I146" s="60"/>
      <c r="J146" s="60"/>
      <c r="K146" s="60"/>
      <c r="L146" s="60"/>
      <c r="M146" s="60"/>
      <c r="N146" s="60"/>
      <c r="O146" s="60"/>
      <c r="P146" s="60"/>
      <c r="Q146" s="60"/>
      <c r="R146" s="13"/>
    </row>
    <row r="147" spans="1:18" x14ac:dyDescent="0.25">
      <c r="A147" s="9" t="s">
        <v>15</v>
      </c>
      <c r="B147" s="28">
        <f>IF(ISBLANK(A147),0,INDEX(txtstylestab[],MATCH(A147,txtstylestab[style_Name],0),1))</f>
        <v>8</v>
      </c>
      <c r="C147" s="28">
        <f t="shared" si="9"/>
        <v>3</v>
      </c>
      <c r="D147" s="28">
        <f t="shared" si="10"/>
        <v>8</v>
      </c>
      <c r="E147" s="28">
        <f t="shared" si="11"/>
        <v>0</v>
      </c>
      <c r="F147" s="60" t="str">
        <f t="shared" si="12"/>
        <v/>
      </c>
      <c r="G147" s="60" t="s">
        <v>1482</v>
      </c>
      <c r="H147" s="60"/>
      <c r="I147" s="60"/>
      <c r="J147" s="60"/>
      <c r="K147" s="60"/>
      <c r="L147" s="60"/>
      <c r="M147" s="60"/>
      <c r="N147" s="60"/>
      <c r="O147" s="60"/>
      <c r="P147" s="60"/>
      <c r="Q147" s="60"/>
      <c r="R147" s="13"/>
    </row>
    <row r="148" spans="1:18" x14ac:dyDescent="0.25">
      <c r="A148" s="9" t="s">
        <v>15</v>
      </c>
      <c r="B148" s="28">
        <f>IF(ISBLANK(A148),0,INDEX(txtstylestab[],MATCH(A148,txtstylestab[style_Name],0),1))</f>
        <v>8</v>
      </c>
      <c r="C148" s="28">
        <f t="shared" si="9"/>
        <v>3</v>
      </c>
      <c r="D148" s="28">
        <f t="shared" si="10"/>
        <v>8</v>
      </c>
      <c r="E148" s="28">
        <f t="shared" si="11"/>
        <v>0</v>
      </c>
      <c r="F148" s="60" t="str">
        <f t="shared" si="12"/>
        <v/>
      </c>
      <c r="G148" s="60" t="s">
        <v>1483</v>
      </c>
      <c r="H148" s="60"/>
      <c r="I148" s="60"/>
      <c r="J148" s="60"/>
      <c r="K148" s="60"/>
      <c r="L148" s="60"/>
      <c r="M148" s="60"/>
      <c r="N148" s="60"/>
      <c r="O148" s="60"/>
      <c r="P148" s="60"/>
      <c r="Q148" s="60"/>
      <c r="R148" s="13"/>
    </row>
    <row r="149" spans="1:18" ht="18" thickBot="1" x14ac:dyDescent="0.35">
      <c r="A149" s="9" t="s">
        <v>11</v>
      </c>
      <c r="B149" s="28">
        <f>IF(ISBLANK(A149),0,INDEX(txtstylestab[],MATCH(A149,txtstylestab[style_Name],0),1))</f>
        <v>2</v>
      </c>
      <c r="C149" s="28">
        <f t="shared" si="9"/>
        <v>3</v>
      </c>
      <c r="D149" s="28">
        <f t="shared" si="10"/>
        <v>9</v>
      </c>
      <c r="E149" s="28">
        <f t="shared" si="11"/>
        <v>0</v>
      </c>
      <c r="F149" s="54" t="str">
        <f t="shared" si="12"/>
        <v>3.9.</v>
      </c>
      <c r="G149" s="54" t="s">
        <v>1489</v>
      </c>
      <c r="H149" s="54"/>
      <c r="I149" s="54"/>
      <c r="J149" s="54"/>
      <c r="K149" s="54"/>
      <c r="L149" s="54"/>
      <c r="M149" s="54"/>
      <c r="N149" s="54"/>
      <c r="O149" s="54"/>
      <c r="P149" s="54"/>
      <c r="Q149" s="54"/>
      <c r="R149" s="13"/>
    </row>
    <row r="150" spans="1:18" ht="15.75" thickTop="1" x14ac:dyDescent="0.25">
      <c r="A150" s="9" t="s">
        <v>22</v>
      </c>
      <c r="B150" s="28">
        <f>IF(ISBLANK(A150),0,INDEX(txtstylestab[],MATCH(A150,txtstylestab[style_Name],0),1))</f>
        <v>4</v>
      </c>
      <c r="C150" s="28">
        <f t="shared" si="9"/>
        <v>3</v>
      </c>
      <c r="D150" s="28">
        <f t="shared" si="10"/>
        <v>9</v>
      </c>
      <c r="E150" s="28">
        <f t="shared" si="11"/>
        <v>0</v>
      </c>
      <c r="F150" s="56" t="str">
        <f t="shared" si="12"/>
        <v/>
      </c>
      <c r="G150" s="53" t="s">
        <v>1522</v>
      </c>
      <c r="H150" s="53"/>
      <c r="I150" s="53"/>
      <c r="J150" s="53"/>
      <c r="K150" s="53"/>
      <c r="L150" s="53"/>
      <c r="M150" s="53"/>
      <c r="N150" s="53"/>
      <c r="O150" s="53"/>
      <c r="P150" s="53"/>
      <c r="Q150" s="53"/>
      <c r="R150" s="13"/>
    </row>
    <row r="151" spans="1:18" x14ac:dyDescent="0.25">
      <c r="A151" s="9" t="s">
        <v>21</v>
      </c>
      <c r="B151" s="28">
        <f>IF(ISBLANK(A151),0,INDEX(txtstylestab[],MATCH(A151,txtstylestab[style_Name],0),1))</f>
        <v>0</v>
      </c>
      <c r="C151" s="28">
        <f t="shared" si="9"/>
        <v>3</v>
      </c>
      <c r="D151" s="28">
        <f t="shared" si="10"/>
        <v>9</v>
      </c>
      <c r="E151" s="28">
        <f t="shared" si="11"/>
        <v>0</v>
      </c>
      <c r="F151" s="59" t="str">
        <f t="shared" si="12"/>
        <v/>
      </c>
      <c r="G151" s="42" t="s">
        <v>82</v>
      </c>
      <c r="H151" s="43" t="s">
        <v>83</v>
      </c>
      <c r="I151" s="44" t="s">
        <v>84</v>
      </c>
      <c r="J151" s="45" t="s">
        <v>1209</v>
      </c>
      <c r="K151" s="46" t="s">
        <v>86</v>
      </c>
      <c r="L151" s="47" t="s">
        <v>2398</v>
      </c>
      <c r="M151" s="48" t="s">
        <v>2333</v>
      </c>
      <c r="N151" s="49"/>
      <c r="O151" s="49"/>
      <c r="P151" s="50"/>
      <c r="Q151" s="59"/>
      <c r="R151" s="13"/>
    </row>
    <row r="152" spans="1:18" ht="60" x14ac:dyDescent="0.25">
      <c r="A152" s="9" t="s">
        <v>21</v>
      </c>
      <c r="B152" s="28">
        <f>IF(ISBLANK(A152),0,INDEX(txtstylestab[],MATCH(A152,txtstylestab[style_Name],0),1))</f>
        <v>0</v>
      </c>
      <c r="C152" s="28">
        <f t="shared" si="9"/>
        <v>3</v>
      </c>
      <c r="D152" s="28">
        <f t="shared" si="10"/>
        <v>9</v>
      </c>
      <c r="E152" s="28">
        <f t="shared" si="11"/>
        <v>0</v>
      </c>
      <c r="F152" s="59" t="str">
        <f t="shared" si="12"/>
        <v/>
      </c>
      <c r="G152" s="42" t="s">
        <v>1490</v>
      </c>
      <c r="H152" s="43" t="s">
        <v>1491</v>
      </c>
      <c r="I152" s="44" t="s">
        <v>1761</v>
      </c>
      <c r="J152" s="45" t="s">
        <v>1492</v>
      </c>
      <c r="K152" s="46" t="s">
        <v>1493</v>
      </c>
      <c r="L152" s="47" t="s">
        <v>3104</v>
      </c>
      <c r="M152" s="48" t="s">
        <v>3105</v>
      </c>
      <c r="N152" s="49"/>
      <c r="O152" s="49"/>
      <c r="P152" s="50"/>
      <c r="Q152" s="59"/>
      <c r="R152" s="13"/>
    </row>
    <row r="153" spans="1:18" ht="60" x14ac:dyDescent="0.25">
      <c r="A153" s="9" t="s">
        <v>21</v>
      </c>
      <c r="B153" s="28">
        <f>IF(ISBLANK(A153),0,INDEX(txtstylestab[],MATCH(A153,txtstylestab[style_Name],0),1))</f>
        <v>0</v>
      </c>
      <c r="C153" s="28">
        <f t="shared" si="9"/>
        <v>3</v>
      </c>
      <c r="D153" s="28">
        <f t="shared" si="10"/>
        <v>9</v>
      </c>
      <c r="E153" s="28">
        <f t="shared" si="11"/>
        <v>0</v>
      </c>
      <c r="F153" s="59" t="str">
        <f t="shared" si="12"/>
        <v/>
      </c>
      <c r="G153" s="42" t="s">
        <v>1494</v>
      </c>
      <c r="H153" s="43" t="s">
        <v>1495</v>
      </c>
      <c r="I153" s="44" t="s">
        <v>1762</v>
      </c>
      <c r="J153" s="45" t="s">
        <v>1496</v>
      </c>
      <c r="K153" s="46" t="s">
        <v>1497</v>
      </c>
      <c r="L153" s="47" t="s">
        <v>3106</v>
      </c>
      <c r="M153" s="48" t="s">
        <v>3107</v>
      </c>
      <c r="N153" s="49"/>
      <c r="O153" s="49"/>
      <c r="P153" s="50"/>
      <c r="Q153" s="59"/>
      <c r="R153" s="13"/>
    </row>
    <row r="154" spans="1:18" ht="30" x14ac:dyDescent="0.25">
      <c r="A154" s="9" t="s">
        <v>21</v>
      </c>
      <c r="B154" s="28">
        <f>IF(ISBLANK(A154),0,INDEX(txtstylestab[],MATCH(A154,txtstylestab[style_Name],0),1))</f>
        <v>0</v>
      </c>
      <c r="C154" s="28">
        <f t="shared" si="9"/>
        <v>3</v>
      </c>
      <c r="D154" s="28">
        <f t="shared" si="10"/>
        <v>9</v>
      </c>
      <c r="E154" s="28">
        <f t="shared" si="11"/>
        <v>0</v>
      </c>
      <c r="F154" s="59" t="str">
        <f t="shared" si="12"/>
        <v/>
      </c>
      <c r="G154" s="42" t="s">
        <v>1498</v>
      </c>
      <c r="H154" s="43" t="s">
        <v>1499</v>
      </c>
      <c r="I154" s="44" t="s">
        <v>1763</v>
      </c>
      <c r="J154" s="45" t="s">
        <v>1500</v>
      </c>
      <c r="K154" s="46" t="s">
        <v>1501</v>
      </c>
      <c r="L154" s="47" t="s">
        <v>3108</v>
      </c>
      <c r="M154" s="48" t="s">
        <v>3109</v>
      </c>
      <c r="N154" s="49"/>
      <c r="O154" s="49"/>
      <c r="P154" s="50"/>
      <c r="Q154" s="59"/>
      <c r="R154" s="13"/>
    </row>
    <row r="155" spans="1:18" ht="45" x14ac:dyDescent="0.25">
      <c r="A155" s="9" t="s">
        <v>21</v>
      </c>
      <c r="B155" s="28">
        <f>IF(ISBLANK(A155),0,INDEX(txtstylestab[],MATCH(A155,txtstylestab[style_Name],0),1))</f>
        <v>0</v>
      </c>
      <c r="C155" s="28">
        <f t="shared" si="9"/>
        <v>3</v>
      </c>
      <c r="D155" s="28">
        <f t="shared" si="10"/>
        <v>9</v>
      </c>
      <c r="E155" s="28">
        <f t="shared" si="11"/>
        <v>0</v>
      </c>
      <c r="F155" s="59" t="str">
        <f t="shared" si="12"/>
        <v/>
      </c>
      <c r="G155" s="42" t="s">
        <v>1502</v>
      </c>
      <c r="H155" s="43" t="s">
        <v>1503</v>
      </c>
      <c r="I155" s="44" t="s">
        <v>1697</v>
      </c>
      <c r="J155" s="45" t="s">
        <v>1504</v>
      </c>
      <c r="K155" s="46" t="s">
        <v>1505</v>
      </c>
      <c r="L155" s="47" t="s">
        <v>3110</v>
      </c>
      <c r="M155" s="48" t="s">
        <v>3111</v>
      </c>
      <c r="N155" s="49"/>
      <c r="O155" s="49"/>
      <c r="P155" s="50"/>
      <c r="Q155" s="59"/>
      <c r="R155" s="13"/>
    </row>
    <row r="156" spans="1:18" ht="75" x14ac:dyDescent="0.25">
      <c r="A156" s="9" t="s">
        <v>21</v>
      </c>
      <c r="B156" s="28">
        <f>IF(ISBLANK(A156),0,INDEX(txtstylestab[],MATCH(A156,txtstylestab[style_Name],0),1))</f>
        <v>0</v>
      </c>
      <c r="C156" s="28">
        <f t="shared" si="9"/>
        <v>3</v>
      </c>
      <c r="D156" s="28">
        <f t="shared" si="10"/>
        <v>9</v>
      </c>
      <c r="E156" s="28">
        <f t="shared" si="11"/>
        <v>0</v>
      </c>
      <c r="F156" s="59" t="str">
        <f t="shared" si="12"/>
        <v/>
      </c>
      <c r="G156" s="42" t="s">
        <v>1506</v>
      </c>
      <c r="H156" s="43" t="s">
        <v>2327</v>
      </c>
      <c r="I156" s="44" t="s">
        <v>1698</v>
      </c>
      <c r="J156" s="45" t="s">
        <v>1507</v>
      </c>
      <c r="K156" s="46" t="s">
        <v>1508</v>
      </c>
      <c r="L156" s="47" t="s">
        <v>3112</v>
      </c>
      <c r="M156" s="48" t="s">
        <v>3113</v>
      </c>
      <c r="N156" s="49"/>
      <c r="O156" s="49"/>
      <c r="P156" s="50"/>
      <c r="Q156" s="59"/>
      <c r="R156" s="13"/>
    </row>
    <row r="157" spans="1:18" x14ac:dyDescent="0.25">
      <c r="A157" s="9" t="s">
        <v>22</v>
      </c>
      <c r="B157" s="28">
        <f>IF(ISBLANK(A157),0,INDEX(txtstylestab[],MATCH(A157,txtstylestab[style_Name],0),1))</f>
        <v>4</v>
      </c>
      <c r="C157" s="28">
        <f t="shared" si="9"/>
        <v>3</v>
      </c>
      <c r="D157" s="28">
        <f t="shared" si="10"/>
        <v>9</v>
      </c>
      <c r="E157" s="28">
        <f t="shared" si="11"/>
        <v>0</v>
      </c>
      <c r="F157" s="56" t="str">
        <f t="shared" si="12"/>
        <v/>
      </c>
      <c r="G157" s="53" t="s">
        <v>1523</v>
      </c>
      <c r="H157" s="53"/>
      <c r="I157" s="53"/>
      <c r="J157" s="53"/>
      <c r="K157" s="53"/>
      <c r="L157" s="53"/>
      <c r="M157" s="53"/>
      <c r="N157" s="53"/>
      <c r="O157" s="53"/>
      <c r="P157" s="53"/>
      <c r="Q157" s="53"/>
      <c r="R157" s="13"/>
    </row>
    <row r="158" spans="1:18" x14ac:dyDescent="0.25">
      <c r="A158" s="9" t="s">
        <v>21</v>
      </c>
      <c r="B158" s="28">
        <f>IF(ISBLANK(A158),0,INDEX(txtstylestab[],MATCH(A158,txtstylestab[style_Name],0),1))</f>
        <v>0</v>
      </c>
      <c r="C158" s="28">
        <f t="shared" si="9"/>
        <v>3</v>
      </c>
      <c r="D158" s="28">
        <f t="shared" si="10"/>
        <v>9</v>
      </c>
      <c r="E158" s="28">
        <f t="shared" si="11"/>
        <v>0</v>
      </c>
      <c r="F158" s="59" t="str">
        <f t="shared" si="12"/>
        <v/>
      </c>
      <c r="G158" s="42" t="s">
        <v>82</v>
      </c>
      <c r="H158" s="43" t="s">
        <v>83</v>
      </c>
      <c r="I158" s="44" t="s">
        <v>84</v>
      </c>
      <c r="J158" s="45" t="s">
        <v>1209</v>
      </c>
      <c r="K158" s="46" t="s">
        <v>86</v>
      </c>
      <c r="L158" s="47" t="s">
        <v>2398</v>
      </c>
      <c r="M158" s="48" t="s">
        <v>2333</v>
      </c>
      <c r="N158" s="48"/>
      <c r="O158" s="48"/>
      <c r="P158" s="49"/>
      <c r="Q158" s="50"/>
      <c r="R158" s="13"/>
    </row>
    <row r="159" spans="1:18" ht="105" x14ac:dyDescent="0.25">
      <c r="A159" s="9" t="s">
        <v>21</v>
      </c>
      <c r="B159" s="28">
        <f>IF(ISBLANK(A159),0,INDEX(txtstylestab[],MATCH(A159,txtstylestab[style_Name],0),1))</f>
        <v>0</v>
      </c>
      <c r="C159" s="28">
        <f t="shared" si="9"/>
        <v>3</v>
      </c>
      <c r="D159" s="28">
        <f t="shared" si="10"/>
        <v>9</v>
      </c>
      <c r="E159" s="28">
        <f t="shared" si="11"/>
        <v>0</v>
      </c>
      <c r="F159" s="59" t="str">
        <f t="shared" si="12"/>
        <v/>
      </c>
      <c r="G159" s="42" t="s">
        <v>2104</v>
      </c>
      <c r="H159" s="43" t="s">
        <v>2105</v>
      </c>
      <c r="I159" s="44" t="s">
        <v>2106</v>
      </c>
      <c r="J159" s="45" t="s">
        <v>2107</v>
      </c>
      <c r="K159" s="46" t="s">
        <v>2108</v>
      </c>
      <c r="L159" s="47" t="s">
        <v>3114</v>
      </c>
      <c r="M159" s="48" t="s">
        <v>3126</v>
      </c>
      <c r="N159" s="49"/>
      <c r="O159" s="49"/>
      <c r="P159" s="50"/>
      <c r="Q159" s="59"/>
      <c r="R159" s="13"/>
    </row>
    <row r="160" spans="1:18" ht="30" x14ac:dyDescent="0.25">
      <c r="A160" s="9" t="s">
        <v>14</v>
      </c>
      <c r="B160" s="28">
        <f>IF(ISBLANK(A160),0,INDEX(txtstylestab[],MATCH(A160,txtstylestab[style_Name],0),1))</f>
        <v>6</v>
      </c>
      <c r="C160" s="28">
        <f t="shared" si="9"/>
        <v>3</v>
      </c>
      <c r="D160" s="28">
        <f t="shared" si="10"/>
        <v>9</v>
      </c>
      <c r="E160" s="28">
        <f t="shared" si="11"/>
        <v>0</v>
      </c>
      <c r="F160" s="59" t="str">
        <f t="shared" si="12"/>
        <v/>
      </c>
      <c r="G160" s="42" t="s">
        <v>2109</v>
      </c>
      <c r="H160" s="43" t="s">
        <v>2113</v>
      </c>
      <c r="I160" s="44" t="s">
        <v>2110</v>
      </c>
      <c r="J160" s="45" t="s">
        <v>2111</v>
      </c>
      <c r="K160" s="46" t="s">
        <v>2112</v>
      </c>
      <c r="L160" s="47" t="s">
        <v>3115</v>
      </c>
      <c r="M160" s="48" t="s">
        <v>3116</v>
      </c>
      <c r="N160" s="49"/>
      <c r="O160" s="49"/>
      <c r="P160" s="50"/>
      <c r="Q160" s="59"/>
      <c r="R160" s="13"/>
    </row>
    <row r="161" spans="1:18" ht="30" x14ac:dyDescent="0.25">
      <c r="A161" s="9" t="s">
        <v>14</v>
      </c>
      <c r="B161" s="28">
        <f>IF(ISBLANK(A161),0,INDEX(txtstylestab[],MATCH(A161,txtstylestab[style_Name],0),1))</f>
        <v>6</v>
      </c>
      <c r="C161" s="28">
        <f t="shared" si="9"/>
        <v>3</v>
      </c>
      <c r="D161" s="28">
        <f t="shared" si="10"/>
        <v>9</v>
      </c>
      <c r="E161" s="28">
        <f t="shared" si="11"/>
        <v>0</v>
      </c>
      <c r="F161" s="59" t="str">
        <f t="shared" si="12"/>
        <v/>
      </c>
      <c r="G161" s="42" t="s">
        <v>1513</v>
      </c>
      <c r="H161" s="43" t="s">
        <v>1514</v>
      </c>
      <c r="I161" s="44" t="s">
        <v>1515</v>
      </c>
      <c r="J161" s="45" t="s">
        <v>1516</v>
      </c>
      <c r="K161" s="46" t="s">
        <v>1517</v>
      </c>
      <c r="L161" s="47" t="s">
        <v>3117</v>
      </c>
      <c r="M161" s="48" t="s">
        <v>3118</v>
      </c>
      <c r="N161" s="49"/>
      <c r="O161" s="49"/>
      <c r="P161" s="50"/>
      <c r="Q161" s="59"/>
      <c r="R161" s="13"/>
    </row>
    <row r="162" spans="1:18" ht="45" x14ac:dyDescent="0.25">
      <c r="A162" s="9" t="s">
        <v>21</v>
      </c>
      <c r="B162" s="28">
        <f>IF(ISBLANK(A162),0,INDEX(txtstylestab[],MATCH(A162,txtstylestab[style_Name],0),1))</f>
        <v>0</v>
      </c>
      <c r="C162" s="28">
        <f t="shared" si="9"/>
        <v>3</v>
      </c>
      <c r="D162" s="28">
        <f t="shared" si="10"/>
        <v>9</v>
      </c>
      <c r="E162" s="28">
        <f t="shared" si="11"/>
        <v>0</v>
      </c>
      <c r="F162" s="59" t="str">
        <f t="shared" si="12"/>
        <v/>
      </c>
      <c r="G162" s="42" t="s">
        <v>1509</v>
      </c>
      <c r="H162" s="43" t="s">
        <v>1510</v>
      </c>
      <c r="I162" s="44" t="s">
        <v>1699</v>
      </c>
      <c r="J162" s="45" t="s">
        <v>1511</v>
      </c>
      <c r="K162" s="46" t="s">
        <v>1512</v>
      </c>
      <c r="L162" s="47"/>
      <c r="M162" s="47"/>
      <c r="N162" s="48"/>
      <c r="O162" s="48"/>
      <c r="P162" s="49"/>
      <c r="Q162" s="50"/>
      <c r="R162" s="13"/>
    </row>
    <row r="163" spans="1:18" ht="30" x14ac:dyDescent="0.25">
      <c r="A163" s="9" t="s">
        <v>21</v>
      </c>
      <c r="B163" s="28">
        <f>IF(ISBLANK(A163),0,INDEX(txtstylestab[],MATCH(A163,txtstylestab[style_Name],0),1))</f>
        <v>0</v>
      </c>
      <c r="C163" s="28">
        <f t="shared" si="9"/>
        <v>3</v>
      </c>
      <c r="D163" s="28">
        <f t="shared" si="10"/>
        <v>9</v>
      </c>
      <c r="E163" s="28">
        <f t="shared" si="11"/>
        <v>0</v>
      </c>
      <c r="F163" s="59" t="str">
        <f t="shared" si="12"/>
        <v/>
      </c>
      <c r="G163" s="42" t="s">
        <v>1220</v>
      </c>
      <c r="H163" s="43" t="s">
        <v>1221</v>
      </c>
      <c r="I163" s="44" t="s">
        <v>1222</v>
      </c>
      <c r="J163" s="45" t="s">
        <v>1518</v>
      </c>
      <c r="K163" s="46" t="s">
        <v>1519</v>
      </c>
      <c r="L163" s="47"/>
      <c r="M163" s="47"/>
      <c r="N163" s="48"/>
      <c r="O163" s="48"/>
      <c r="P163" s="49"/>
      <c r="Q163" s="50"/>
      <c r="R163" s="13"/>
    </row>
    <row r="164" spans="1:18" x14ac:dyDescent="0.25">
      <c r="A164" s="9" t="s">
        <v>15</v>
      </c>
      <c r="B164" s="28">
        <f>IF(ISBLANK(A164),0,INDEX(txtstylestab[],MATCH(A164,txtstylestab[style_Name],0),1))</f>
        <v>8</v>
      </c>
      <c r="C164" s="28">
        <f t="shared" si="9"/>
        <v>3</v>
      </c>
      <c r="D164" s="28">
        <f t="shared" si="10"/>
        <v>9</v>
      </c>
      <c r="E164" s="28">
        <f t="shared" si="11"/>
        <v>0</v>
      </c>
      <c r="F164" s="60" t="str">
        <f t="shared" si="12"/>
        <v/>
      </c>
      <c r="G164" s="60" t="s">
        <v>1520</v>
      </c>
      <c r="H164" s="60"/>
      <c r="I164" s="60"/>
      <c r="J164" s="60"/>
      <c r="K164" s="60"/>
      <c r="L164" s="60"/>
      <c r="M164" s="60"/>
      <c r="N164" s="60"/>
      <c r="O164" s="60"/>
      <c r="P164" s="60"/>
      <c r="Q164" s="60"/>
      <c r="R164" s="13"/>
    </row>
    <row r="165" spans="1:18" x14ac:dyDescent="0.25">
      <c r="A165" s="9" t="s">
        <v>22</v>
      </c>
      <c r="B165" s="28">
        <f>IF(ISBLANK(A165),0,INDEX(txtstylestab[],MATCH(A165,txtstylestab[style_Name],0),1))</f>
        <v>4</v>
      </c>
      <c r="C165" s="28">
        <f t="shared" si="9"/>
        <v>3</v>
      </c>
      <c r="D165" s="28">
        <f t="shared" si="10"/>
        <v>9</v>
      </c>
      <c r="E165" s="28">
        <f t="shared" si="11"/>
        <v>0</v>
      </c>
      <c r="F165" s="56" t="str">
        <f t="shared" si="12"/>
        <v/>
      </c>
      <c r="G165" s="53" t="s">
        <v>1521</v>
      </c>
      <c r="H165" s="53"/>
      <c r="I165" s="53"/>
      <c r="J165" s="53"/>
      <c r="K165" s="53"/>
      <c r="L165" s="53"/>
      <c r="M165" s="53"/>
      <c r="N165" s="53"/>
      <c r="O165" s="53"/>
      <c r="P165" s="53"/>
      <c r="Q165" s="53"/>
      <c r="R165" s="13"/>
    </row>
    <row r="166" spans="1:18" x14ac:dyDescent="0.25">
      <c r="A166" s="9" t="s">
        <v>23</v>
      </c>
      <c r="B166" s="28">
        <f>IF(ISBLANK(A166),0,INDEX(txtstylestab[],MATCH(A166,txtstylestab[style_Name],0),1))</f>
        <v>5</v>
      </c>
      <c r="C166" s="28">
        <f t="shared" si="9"/>
        <v>3</v>
      </c>
      <c r="D166" s="28">
        <f t="shared" si="10"/>
        <v>9</v>
      </c>
      <c r="E166" s="28">
        <f t="shared" si="11"/>
        <v>0</v>
      </c>
      <c r="F166" s="56" t="str">
        <f t="shared" si="12"/>
        <v/>
      </c>
      <c r="G166" s="58" t="s">
        <v>1734</v>
      </c>
      <c r="H166" s="58"/>
      <c r="I166" s="58"/>
      <c r="J166" s="58"/>
      <c r="K166" s="58"/>
      <c r="L166" s="58"/>
      <c r="M166" s="58"/>
      <c r="N166" s="58"/>
      <c r="O166" s="58"/>
      <c r="P166" s="58"/>
      <c r="Q166" s="58"/>
      <c r="R166" s="13"/>
    </row>
    <row r="167" spans="1:18" x14ac:dyDescent="0.25">
      <c r="A167" s="9" t="s">
        <v>21</v>
      </c>
      <c r="B167" s="28">
        <f>IF(ISBLANK(A167),0,INDEX(txtstylestab[],MATCH(A167,txtstylestab[style_Name],0),1))</f>
        <v>0</v>
      </c>
      <c r="C167" s="28">
        <f t="shared" si="9"/>
        <v>3</v>
      </c>
      <c r="D167" s="28">
        <f t="shared" si="10"/>
        <v>9</v>
      </c>
      <c r="E167" s="28">
        <f t="shared" si="11"/>
        <v>0</v>
      </c>
      <c r="F167" s="59" t="str">
        <f t="shared" si="12"/>
        <v/>
      </c>
      <c r="G167" s="42" t="s">
        <v>82</v>
      </c>
      <c r="H167" s="43" t="s">
        <v>83</v>
      </c>
      <c r="I167" s="44" t="s">
        <v>84</v>
      </c>
      <c r="J167" s="45" t="s">
        <v>1524</v>
      </c>
      <c r="K167" s="46" t="s">
        <v>86</v>
      </c>
      <c r="L167" s="47" t="s">
        <v>2398</v>
      </c>
      <c r="M167" s="48" t="s">
        <v>2333</v>
      </c>
      <c r="N167" s="49"/>
      <c r="O167" s="49"/>
      <c r="P167" s="50"/>
      <c r="Q167" s="59"/>
      <c r="R167" s="13"/>
    </row>
    <row r="168" spans="1:18" ht="45" x14ac:dyDescent="0.25">
      <c r="A168" s="9" t="s">
        <v>21</v>
      </c>
      <c r="B168" s="28">
        <f>IF(ISBLANK(A168),0,INDEX(txtstylestab[],MATCH(A168,txtstylestab[style_Name],0),1))</f>
        <v>0</v>
      </c>
      <c r="C168" s="28">
        <f t="shared" si="9"/>
        <v>3</v>
      </c>
      <c r="D168" s="28">
        <f t="shared" si="10"/>
        <v>9</v>
      </c>
      <c r="E168" s="28">
        <f t="shared" si="11"/>
        <v>0</v>
      </c>
      <c r="F168" s="59" t="str">
        <f t="shared" si="12"/>
        <v/>
      </c>
      <c r="G168" s="42" t="s">
        <v>1735</v>
      </c>
      <c r="H168" s="43" t="s">
        <v>1736</v>
      </c>
      <c r="I168" s="44" t="s">
        <v>1737</v>
      </c>
      <c r="J168" s="45" t="s">
        <v>1738</v>
      </c>
      <c r="K168" s="46" t="s">
        <v>1739</v>
      </c>
      <c r="L168" s="47" t="s">
        <v>3127</v>
      </c>
      <c r="M168" s="48" t="s">
        <v>3128</v>
      </c>
      <c r="N168" s="49"/>
      <c r="O168" s="49"/>
      <c r="P168" s="50"/>
      <c r="Q168" s="59"/>
      <c r="R168" s="13"/>
    </row>
    <row r="169" spans="1:18" ht="90" x14ac:dyDescent="0.25">
      <c r="A169" s="9" t="s">
        <v>21</v>
      </c>
      <c r="B169" s="28">
        <f>IF(ISBLANK(A169),0,INDEX(txtstylestab[],MATCH(A169,txtstylestab[style_Name],0),1))</f>
        <v>0</v>
      </c>
      <c r="C169" s="28">
        <f t="shared" si="9"/>
        <v>3</v>
      </c>
      <c r="D169" s="28">
        <f t="shared" si="10"/>
        <v>9</v>
      </c>
      <c r="E169" s="28">
        <f t="shared" si="11"/>
        <v>0</v>
      </c>
      <c r="F169" s="59" t="str">
        <f t="shared" si="12"/>
        <v/>
      </c>
      <c r="G169" s="42" t="s">
        <v>2114</v>
      </c>
      <c r="H169" s="43" t="s">
        <v>2152</v>
      </c>
      <c r="I169" s="44" t="s">
        <v>2307</v>
      </c>
      <c r="J169" s="45" t="s">
        <v>2115</v>
      </c>
      <c r="K169" s="46" t="s">
        <v>2116</v>
      </c>
      <c r="L169" s="47" t="s">
        <v>3119</v>
      </c>
      <c r="M169" s="48" t="s">
        <v>3129</v>
      </c>
      <c r="N169" s="49"/>
      <c r="O169" s="49"/>
      <c r="P169" s="50"/>
      <c r="Q169" s="59"/>
      <c r="R169" s="13"/>
    </row>
    <row r="170" spans="1:18" ht="45" x14ac:dyDescent="0.25">
      <c r="A170" s="9" t="s">
        <v>14</v>
      </c>
      <c r="B170" s="28">
        <f>IF(ISBLANK(A170),0,INDEX(txtstylestab[],MATCH(A170,txtstylestab[style_Name],0),1))</f>
        <v>6</v>
      </c>
      <c r="C170" s="28">
        <f t="shared" si="9"/>
        <v>3</v>
      </c>
      <c r="D170" s="28">
        <f t="shared" si="10"/>
        <v>9</v>
      </c>
      <c r="E170" s="28">
        <f t="shared" si="11"/>
        <v>0</v>
      </c>
      <c r="F170" s="59" t="str">
        <f t="shared" si="12"/>
        <v/>
      </c>
      <c r="G170" s="42" t="s">
        <v>2117</v>
      </c>
      <c r="H170" s="43" t="s">
        <v>2118</v>
      </c>
      <c r="I170" s="44" t="s">
        <v>2119</v>
      </c>
      <c r="J170" s="45" t="s">
        <v>2120</v>
      </c>
      <c r="K170" s="46" t="s">
        <v>2121</v>
      </c>
      <c r="L170" s="47" t="s">
        <v>3120</v>
      </c>
      <c r="M170" s="48" t="s">
        <v>3121</v>
      </c>
      <c r="N170" s="49"/>
      <c r="O170" s="49"/>
      <c r="P170" s="50"/>
      <c r="Q170" s="59"/>
      <c r="R170" s="13"/>
    </row>
    <row r="171" spans="1:18" ht="45" x14ac:dyDescent="0.25">
      <c r="A171" s="9" t="s">
        <v>14</v>
      </c>
      <c r="B171" s="28">
        <f>IF(ISBLANK(A171),0,INDEX(txtstylestab[],MATCH(A171,txtstylestab[style_Name],0),1))</f>
        <v>6</v>
      </c>
      <c r="C171" s="28">
        <f t="shared" si="9"/>
        <v>3</v>
      </c>
      <c r="D171" s="28">
        <f t="shared" si="10"/>
        <v>9</v>
      </c>
      <c r="E171" s="28">
        <f t="shared" si="11"/>
        <v>0</v>
      </c>
      <c r="F171" s="59" t="str">
        <f t="shared" si="12"/>
        <v/>
      </c>
      <c r="G171" s="42" t="s">
        <v>1530</v>
      </c>
      <c r="H171" s="43" t="s">
        <v>1531</v>
      </c>
      <c r="I171" s="44" t="s">
        <v>1700</v>
      </c>
      <c r="J171" s="45" t="s">
        <v>1532</v>
      </c>
      <c r="K171" s="46" t="s">
        <v>1533</v>
      </c>
      <c r="L171" s="47" t="s">
        <v>3122</v>
      </c>
      <c r="M171" s="48" t="s">
        <v>3123</v>
      </c>
      <c r="N171" s="49"/>
      <c r="O171" s="49"/>
      <c r="P171" s="50"/>
      <c r="Q171" s="59"/>
      <c r="R171" s="13"/>
    </row>
    <row r="172" spans="1:18" ht="45" x14ac:dyDescent="0.25">
      <c r="A172" s="9" t="s">
        <v>21</v>
      </c>
      <c r="B172" s="28">
        <f>IF(ISBLANK(A172),0,INDEX(txtstylestab[],MATCH(A172,txtstylestab[style_Name],0),1))</f>
        <v>0</v>
      </c>
      <c r="C172" s="28">
        <f t="shared" si="9"/>
        <v>3</v>
      </c>
      <c r="D172" s="28">
        <f t="shared" si="10"/>
        <v>9</v>
      </c>
      <c r="E172" s="28">
        <f t="shared" si="11"/>
        <v>0</v>
      </c>
      <c r="F172" s="59" t="str">
        <f t="shared" si="12"/>
        <v/>
      </c>
      <c r="G172" s="42" t="s">
        <v>1525</v>
      </c>
      <c r="H172" s="43" t="s">
        <v>1526</v>
      </c>
      <c r="I172" s="44" t="s">
        <v>1527</v>
      </c>
      <c r="J172" s="45" t="s">
        <v>1528</v>
      </c>
      <c r="K172" s="46" t="s">
        <v>1529</v>
      </c>
      <c r="L172" s="47" t="s">
        <v>3124</v>
      </c>
      <c r="M172" s="48" t="s">
        <v>3125</v>
      </c>
      <c r="N172" s="49"/>
      <c r="O172" s="49"/>
      <c r="P172" s="50"/>
      <c r="Q172" s="59"/>
      <c r="R172" s="13"/>
    </row>
    <row r="173" spans="1:18" ht="18" thickBot="1" x14ac:dyDescent="0.35">
      <c r="A173" s="9" t="s">
        <v>11</v>
      </c>
      <c r="B173" s="28">
        <f>IF(ISBLANK(A173),0,INDEX(txtstylestab[],MATCH(A173,txtstylestab[style_Name],0),1))</f>
        <v>2</v>
      </c>
      <c r="C173" s="28">
        <f t="shared" si="9"/>
        <v>3</v>
      </c>
      <c r="D173" s="28">
        <f t="shared" si="10"/>
        <v>10</v>
      </c>
      <c r="E173" s="28">
        <f t="shared" si="11"/>
        <v>0</v>
      </c>
      <c r="F173" s="54" t="str">
        <f t="shared" si="12"/>
        <v>3.10.</v>
      </c>
      <c r="G173" s="54" t="s">
        <v>1534</v>
      </c>
      <c r="H173" s="54"/>
      <c r="I173" s="54"/>
      <c r="J173" s="54"/>
      <c r="K173" s="54"/>
      <c r="L173" s="54"/>
      <c r="M173" s="54"/>
      <c r="N173" s="54"/>
      <c r="O173" s="54"/>
      <c r="P173" s="54"/>
      <c r="Q173" s="54"/>
      <c r="R173" s="13"/>
    </row>
    <row r="174" spans="1:18" ht="15.75" thickTop="1" x14ac:dyDescent="0.25">
      <c r="A174" s="9" t="s">
        <v>21</v>
      </c>
      <c r="B174" s="28">
        <f>IF(ISBLANK(A174),0,INDEX(txtstylestab[],MATCH(A174,txtstylestab[style_Name],0),1))</f>
        <v>0</v>
      </c>
      <c r="C174" s="28">
        <f t="shared" si="9"/>
        <v>3</v>
      </c>
      <c r="D174" s="28">
        <f t="shared" si="10"/>
        <v>10</v>
      </c>
      <c r="E174" s="28">
        <f t="shared" si="11"/>
        <v>0</v>
      </c>
      <c r="F174" s="59" t="str">
        <f t="shared" si="12"/>
        <v/>
      </c>
      <c r="G174" s="42" t="s">
        <v>82</v>
      </c>
      <c r="H174" s="43" t="s">
        <v>83</v>
      </c>
      <c r="I174" s="44" t="s">
        <v>84</v>
      </c>
      <c r="J174" s="45" t="s">
        <v>1209</v>
      </c>
      <c r="K174" s="46" t="s">
        <v>86</v>
      </c>
      <c r="L174" s="47" t="s">
        <v>2398</v>
      </c>
      <c r="M174" s="48" t="s">
        <v>2333</v>
      </c>
      <c r="N174" s="49"/>
      <c r="O174" s="49"/>
      <c r="P174" s="50"/>
      <c r="Q174" s="59"/>
      <c r="R174" s="13"/>
    </row>
    <row r="175" spans="1:18" ht="45" x14ac:dyDescent="0.25">
      <c r="A175" s="9" t="s">
        <v>21</v>
      </c>
      <c r="B175" s="28">
        <f>IF(ISBLANK(A175),0,INDEX(txtstylestab[],MATCH(A175,txtstylestab[style_Name],0),1))</f>
        <v>0</v>
      </c>
      <c r="C175" s="28">
        <f t="shared" si="9"/>
        <v>3</v>
      </c>
      <c r="D175" s="28">
        <f t="shared" si="10"/>
        <v>10</v>
      </c>
      <c r="E175" s="28">
        <f t="shared" si="11"/>
        <v>0</v>
      </c>
      <c r="F175" s="59" t="str">
        <f t="shared" si="12"/>
        <v/>
      </c>
      <c r="G175" s="42" t="s">
        <v>1543</v>
      </c>
      <c r="H175" s="43" t="s">
        <v>1544</v>
      </c>
      <c r="I175" s="44" t="s">
        <v>1545</v>
      </c>
      <c r="J175" s="45" t="s">
        <v>1546</v>
      </c>
      <c r="K175" s="46" t="s">
        <v>1547</v>
      </c>
      <c r="L175" s="47" t="s">
        <v>3130</v>
      </c>
      <c r="M175" s="48" t="s">
        <v>3137</v>
      </c>
      <c r="N175" s="49"/>
      <c r="O175" s="49"/>
      <c r="P175" s="50"/>
      <c r="Q175" s="59"/>
      <c r="R175" s="13"/>
    </row>
    <row r="176" spans="1:18" ht="60" x14ac:dyDescent="0.25">
      <c r="A176" s="9" t="s">
        <v>21</v>
      </c>
      <c r="B176" s="28">
        <f>IF(ISBLANK(A176),0,INDEX(txtstylestab[],MATCH(A176,txtstylestab[style_Name],0),1))</f>
        <v>0</v>
      </c>
      <c r="C176" s="28">
        <f t="shared" si="9"/>
        <v>3</v>
      </c>
      <c r="D176" s="28">
        <f t="shared" si="10"/>
        <v>10</v>
      </c>
      <c r="E176" s="28">
        <f t="shared" si="11"/>
        <v>0</v>
      </c>
      <c r="F176" s="59" t="str">
        <f t="shared" si="12"/>
        <v/>
      </c>
      <c r="G176" s="42" t="s">
        <v>1535</v>
      </c>
      <c r="H176" s="43" t="s">
        <v>1536</v>
      </c>
      <c r="I176" s="44" t="s">
        <v>1701</v>
      </c>
      <c r="J176" s="45" t="s">
        <v>1583</v>
      </c>
      <c r="K176" s="46" t="s">
        <v>1537</v>
      </c>
      <c r="L176" s="47" t="s">
        <v>3131</v>
      </c>
      <c r="M176" s="48" t="s">
        <v>3132</v>
      </c>
      <c r="N176" s="49"/>
      <c r="O176" s="49"/>
      <c r="P176" s="50"/>
      <c r="Q176" s="59"/>
      <c r="R176" s="13"/>
    </row>
    <row r="177" spans="1:18" x14ac:dyDescent="0.25">
      <c r="A177" s="9" t="s">
        <v>21</v>
      </c>
      <c r="B177" s="28">
        <f>IF(ISBLANK(A177),0,INDEX(txtstylestab[],MATCH(A177,txtstylestab[style_Name],0),1))</f>
        <v>0</v>
      </c>
      <c r="C177" s="28">
        <f t="shared" si="9"/>
        <v>3</v>
      </c>
      <c r="D177" s="28">
        <f t="shared" si="10"/>
        <v>10</v>
      </c>
      <c r="E177" s="28">
        <f t="shared" si="11"/>
        <v>0</v>
      </c>
      <c r="F177" s="59" t="str">
        <f t="shared" si="12"/>
        <v/>
      </c>
      <c r="G177" s="42" t="s">
        <v>1234</v>
      </c>
      <c r="H177" s="43" t="s">
        <v>1538</v>
      </c>
      <c r="I177" s="44" t="s">
        <v>1702</v>
      </c>
      <c r="J177" s="45" t="s">
        <v>1564</v>
      </c>
      <c r="K177" s="46" t="s">
        <v>1539</v>
      </c>
      <c r="L177" s="47" t="s">
        <v>3133</v>
      </c>
      <c r="M177" s="48" t="s">
        <v>3134</v>
      </c>
      <c r="N177" s="49"/>
      <c r="O177" s="49"/>
      <c r="P177" s="50"/>
      <c r="Q177" s="59"/>
      <c r="R177" s="13"/>
    </row>
    <row r="178" spans="1:18" ht="75" x14ac:dyDescent="0.25">
      <c r="A178" s="9" t="s">
        <v>21</v>
      </c>
      <c r="B178" s="28">
        <f>IF(ISBLANK(A178),0,INDEX(txtstylestab[],MATCH(A178,txtstylestab[style_Name],0),1))</f>
        <v>0</v>
      </c>
      <c r="C178" s="28">
        <f t="shared" si="9"/>
        <v>3</v>
      </c>
      <c r="D178" s="28">
        <f t="shared" si="10"/>
        <v>10</v>
      </c>
      <c r="E178" s="28">
        <f t="shared" si="11"/>
        <v>0</v>
      </c>
      <c r="F178" s="59" t="str">
        <f t="shared" si="12"/>
        <v/>
      </c>
      <c r="G178" s="42" t="s">
        <v>1540</v>
      </c>
      <c r="H178" s="43" t="s">
        <v>1541</v>
      </c>
      <c r="I178" s="44" t="s">
        <v>1703</v>
      </c>
      <c r="J178" s="45" t="s">
        <v>1584</v>
      </c>
      <c r="K178" s="46" t="s">
        <v>1542</v>
      </c>
      <c r="L178" s="47" t="s">
        <v>3135</v>
      </c>
      <c r="M178" s="48" t="s">
        <v>3136</v>
      </c>
      <c r="N178" s="49"/>
      <c r="O178" s="49"/>
      <c r="P178" s="50"/>
      <c r="Q178" s="59"/>
      <c r="R178" s="13"/>
    </row>
    <row r="179" spans="1:18" ht="18" thickBot="1" x14ac:dyDescent="0.35">
      <c r="A179" s="9" t="s">
        <v>11</v>
      </c>
      <c r="B179" s="28">
        <f>IF(ISBLANK(A179),0,INDEX(txtstylestab[],MATCH(A179,txtstylestab[style_Name],0),1))</f>
        <v>2</v>
      </c>
      <c r="C179" s="28">
        <f t="shared" si="9"/>
        <v>3</v>
      </c>
      <c r="D179" s="28">
        <f t="shared" si="10"/>
        <v>11</v>
      </c>
      <c r="E179" s="28">
        <f t="shared" si="11"/>
        <v>0</v>
      </c>
      <c r="F179" s="54" t="str">
        <f t="shared" si="12"/>
        <v>3.11.</v>
      </c>
      <c r="G179" s="54" t="s">
        <v>1548</v>
      </c>
      <c r="H179" s="54"/>
      <c r="I179" s="54"/>
      <c r="J179" s="54"/>
      <c r="K179" s="54"/>
      <c r="L179" s="54"/>
      <c r="M179" s="54"/>
      <c r="N179" s="54"/>
      <c r="O179" s="54"/>
      <c r="P179" s="54"/>
      <c r="Q179" s="54"/>
      <c r="R179" s="13"/>
    </row>
    <row r="180" spans="1:18" ht="15.75" thickTop="1" x14ac:dyDescent="0.25">
      <c r="A180" s="9" t="s">
        <v>21</v>
      </c>
      <c r="B180" s="28">
        <f>IF(ISBLANK(A180),0,INDEX(txtstylestab[],MATCH(A180,txtstylestab[style_Name],0),1))</f>
        <v>0</v>
      </c>
      <c r="C180" s="28">
        <f t="shared" si="9"/>
        <v>3</v>
      </c>
      <c r="D180" s="28">
        <f t="shared" si="10"/>
        <v>11</v>
      </c>
      <c r="E180" s="28">
        <f t="shared" si="11"/>
        <v>0</v>
      </c>
      <c r="F180" s="59" t="str">
        <f t="shared" si="12"/>
        <v/>
      </c>
      <c r="G180" s="42" t="s">
        <v>82</v>
      </c>
      <c r="H180" s="43" t="s">
        <v>83</v>
      </c>
      <c r="I180" s="44" t="s">
        <v>84</v>
      </c>
      <c r="J180" s="45" t="s">
        <v>85</v>
      </c>
      <c r="K180" s="46" t="s">
        <v>86</v>
      </c>
      <c r="L180" s="47" t="s">
        <v>2398</v>
      </c>
      <c r="M180" s="48" t="s">
        <v>2333</v>
      </c>
      <c r="N180" s="49"/>
      <c r="O180" s="49"/>
      <c r="P180" s="50"/>
      <c r="Q180" s="59"/>
      <c r="R180" s="13"/>
    </row>
    <row r="181" spans="1:18" ht="30" x14ac:dyDescent="0.25">
      <c r="A181" s="9" t="s">
        <v>21</v>
      </c>
      <c r="B181" s="28">
        <f>IF(ISBLANK(A181),0,INDEX(txtstylestab[],MATCH(A181,txtstylestab[style_Name],0),1))</f>
        <v>0</v>
      </c>
      <c r="C181" s="28">
        <f t="shared" si="9"/>
        <v>3</v>
      </c>
      <c r="D181" s="28">
        <f t="shared" si="10"/>
        <v>11</v>
      </c>
      <c r="E181" s="28">
        <f t="shared" si="11"/>
        <v>0</v>
      </c>
      <c r="F181" s="59" t="str">
        <f t="shared" si="12"/>
        <v/>
      </c>
      <c r="G181" s="42" t="s">
        <v>823</v>
      </c>
      <c r="H181" s="43" t="s">
        <v>409</v>
      </c>
      <c r="I181" s="44" t="s">
        <v>2122</v>
      </c>
      <c r="J181" s="45" t="s">
        <v>1619</v>
      </c>
      <c r="K181" s="46" t="s">
        <v>824</v>
      </c>
      <c r="L181" s="47" t="s">
        <v>3138</v>
      </c>
      <c r="M181" s="48" t="s">
        <v>3146</v>
      </c>
      <c r="N181" s="49"/>
      <c r="O181" s="49"/>
      <c r="P181" s="50"/>
      <c r="Q181" s="59"/>
      <c r="R181" s="13"/>
    </row>
    <row r="182" spans="1:18" ht="45" x14ac:dyDescent="0.25">
      <c r="A182" s="9" t="s">
        <v>21</v>
      </c>
      <c r="B182" s="28">
        <f>IF(ISBLANK(A182),0,INDEX(txtstylestab[],MATCH(A182,txtstylestab[style_Name],0),1))</f>
        <v>0</v>
      </c>
      <c r="C182" s="28">
        <f t="shared" si="9"/>
        <v>3</v>
      </c>
      <c r="D182" s="28">
        <f t="shared" si="10"/>
        <v>11</v>
      </c>
      <c r="E182" s="28">
        <f t="shared" si="11"/>
        <v>0</v>
      </c>
      <c r="F182" s="59" t="str">
        <f t="shared" si="12"/>
        <v/>
      </c>
      <c r="G182" s="42" t="s">
        <v>1549</v>
      </c>
      <c r="H182" s="43" t="s">
        <v>1550</v>
      </c>
      <c r="I182" s="44" t="s">
        <v>1704</v>
      </c>
      <c r="J182" s="45" t="s">
        <v>1551</v>
      </c>
      <c r="K182" s="46" t="s">
        <v>1552</v>
      </c>
      <c r="L182" s="47" t="s">
        <v>3139</v>
      </c>
      <c r="M182" s="48" t="s">
        <v>3140</v>
      </c>
      <c r="N182" s="49"/>
      <c r="O182" s="49"/>
      <c r="P182" s="50"/>
      <c r="Q182" s="59"/>
      <c r="R182" s="13"/>
    </row>
    <row r="183" spans="1:18" ht="18" thickBot="1" x14ac:dyDescent="0.35">
      <c r="A183" s="9" t="s">
        <v>11</v>
      </c>
      <c r="B183" s="28">
        <f>IF(ISBLANK(A183),0,INDEX(txtstylestab[],MATCH(A183,txtstylestab[style_Name],0),1))</f>
        <v>2</v>
      </c>
      <c r="C183" s="28">
        <f t="shared" si="9"/>
        <v>3</v>
      </c>
      <c r="D183" s="28">
        <f t="shared" si="10"/>
        <v>12</v>
      </c>
      <c r="E183" s="28">
        <f t="shared" si="11"/>
        <v>0</v>
      </c>
      <c r="F183" s="54" t="str">
        <f t="shared" si="12"/>
        <v>3.12.</v>
      </c>
      <c r="G183" s="54" t="s">
        <v>1553</v>
      </c>
      <c r="H183" s="54"/>
      <c r="I183" s="54"/>
      <c r="J183" s="54"/>
      <c r="K183" s="54"/>
      <c r="L183" s="54"/>
      <c r="M183" s="54"/>
      <c r="N183" s="54"/>
      <c r="O183" s="54"/>
      <c r="P183" s="54"/>
      <c r="Q183" s="54"/>
      <c r="R183" s="13"/>
    </row>
    <row r="184" spans="1:18" ht="30.75" thickTop="1" x14ac:dyDescent="0.25">
      <c r="A184" s="9" t="s">
        <v>21</v>
      </c>
      <c r="B184" s="28">
        <f>IF(ISBLANK(A184),0,INDEX(txtstylestab[],MATCH(A184,txtstylestab[style_Name],0),1))</f>
        <v>0</v>
      </c>
      <c r="C184" s="28">
        <f t="shared" si="9"/>
        <v>3</v>
      </c>
      <c r="D184" s="28">
        <f t="shared" si="10"/>
        <v>12</v>
      </c>
      <c r="E184" s="28">
        <f t="shared" si="11"/>
        <v>0</v>
      </c>
      <c r="F184" s="59" t="str">
        <f t="shared" si="12"/>
        <v/>
      </c>
      <c r="G184" s="42" t="s">
        <v>1894</v>
      </c>
      <c r="H184" s="43" t="s">
        <v>1895</v>
      </c>
      <c r="I184" s="44" t="s">
        <v>1896</v>
      </c>
      <c r="J184" s="45" t="s">
        <v>2123</v>
      </c>
      <c r="K184" s="46" t="s">
        <v>1898</v>
      </c>
      <c r="L184" s="47" t="s">
        <v>3147</v>
      </c>
      <c r="M184" s="48" t="s">
        <v>3141</v>
      </c>
      <c r="N184" s="49"/>
      <c r="O184" s="49"/>
      <c r="P184" s="50"/>
      <c r="Q184" s="59"/>
      <c r="R184" s="13"/>
    </row>
    <row r="185" spans="1:18" ht="45" x14ac:dyDescent="0.25">
      <c r="A185" s="9" t="s">
        <v>14</v>
      </c>
      <c r="B185" s="28">
        <f>IF(ISBLANK(A185),0,INDEX(txtstylestab[],MATCH(A185,txtstylestab[style_Name],0),1))</f>
        <v>6</v>
      </c>
      <c r="C185" s="28">
        <f t="shared" si="9"/>
        <v>3</v>
      </c>
      <c r="D185" s="28">
        <f t="shared" si="10"/>
        <v>12</v>
      </c>
      <c r="E185" s="28">
        <f t="shared" si="11"/>
        <v>0</v>
      </c>
      <c r="F185" s="59" t="str">
        <f t="shared" si="12"/>
        <v/>
      </c>
      <c r="G185" s="42" t="s">
        <v>1554</v>
      </c>
      <c r="H185" s="43" t="s">
        <v>1555</v>
      </c>
      <c r="I185" s="44" t="s">
        <v>1705</v>
      </c>
      <c r="J185" s="45" t="s">
        <v>1585</v>
      </c>
      <c r="K185" s="46" t="s">
        <v>1556</v>
      </c>
      <c r="L185" s="47" t="s">
        <v>3142</v>
      </c>
      <c r="M185" s="48" t="s">
        <v>3143</v>
      </c>
      <c r="N185" s="49"/>
      <c r="O185" s="49"/>
      <c r="P185" s="50"/>
      <c r="Q185" s="59"/>
      <c r="R185" s="13"/>
    </row>
    <row r="186" spans="1:18" ht="45" x14ac:dyDescent="0.25">
      <c r="A186" s="9" t="s">
        <v>14</v>
      </c>
      <c r="B186" s="28">
        <f>IF(ISBLANK(A186),0,INDEX(txtstylestab[],MATCH(A186,txtstylestab[style_Name],0),1))</f>
        <v>6</v>
      </c>
      <c r="C186" s="28">
        <f t="shared" si="9"/>
        <v>3</v>
      </c>
      <c r="D186" s="28">
        <f t="shared" si="10"/>
        <v>12</v>
      </c>
      <c r="E186" s="28">
        <f t="shared" si="11"/>
        <v>0</v>
      </c>
      <c r="F186" s="59" t="str">
        <f t="shared" si="12"/>
        <v/>
      </c>
      <c r="G186" s="42" t="s">
        <v>1557</v>
      </c>
      <c r="H186" s="43" t="s">
        <v>1558</v>
      </c>
      <c r="I186" s="44" t="s">
        <v>1706</v>
      </c>
      <c r="J186" s="45" t="s">
        <v>1586</v>
      </c>
      <c r="K186" s="46" t="s">
        <v>1559</v>
      </c>
      <c r="L186" s="47" t="s">
        <v>3144</v>
      </c>
      <c r="M186" s="48" t="s">
        <v>3145</v>
      </c>
      <c r="N186" s="49"/>
      <c r="O186" s="49"/>
      <c r="P186" s="50"/>
      <c r="Q186" s="59"/>
      <c r="R186" s="13"/>
    </row>
    <row r="187" spans="1:18" x14ac:dyDescent="0.25">
      <c r="A187" s="9" t="s">
        <v>21</v>
      </c>
      <c r="B187" s="28">
        <f>IF(ISBLANK(A187),0,INDEX(txtstylestab[],MATCH(A187,txtstylestab[style_Name],0),1))</f>
        <v>0</v>
      </c>
      <c r="C187" s="28">
        <f t="shared" si="9"/>
        <v>3</v>
      </c>
      <c r="D187" s="28">
        <f t="shared" si="10"/>
        <v>12</v>
      </c>
      <c r="E187" s="28">
        <f t="shared" si="11"/>
        <v>0</v>
      </c>
      <c r="F187" s="59" t="str">
        <f t="shared" si="12"/>
        <v/>
      </c>
      <c r="G187" s="42"/>
      <c r="H187" s="43"/>
      <c r="I187" s="44"/>
      <c r="J187" s="45"/>
      <c r="K187" s="46"/>
      <c r="L187" s="47"/>
      <c r="M187" s="47"/>
      <c r="N187" s="48"/>
      <c r="O187" s="48"/>
      <c r="P187" s="49"/>
      <c r="Q187" s="50"/>
      <c r="R187" s="13"/>
    </row>
    <row r="188" spans="1:18" x14ac:dyDescent="0.25">
      <c r="A188" s="9" t="s">
        <v>21</v>
      </c>
      <c r="B188" s="28">
        <f>IF(ISBLANK(A188),0,INDEX(txtstylestab[],MATCH(A188,txtstylestab[style_Name],0),1))</f>
        <v>0</v>
      </c>
      <c r="C188" s="28">
        <f t="shared" si="9"/>
        <v>3</v>
      </c>
      <c r="D188" s="28">
        <f t="shared" si="10"/>
        <v>12</v>
      </c>
      <c r="E188" s="28">
        <f t="shared" si="11"/>
        <v>0</v>
      </c>
      <c r="F188" s="59" t="str">
        <f t="shared" si="12"/>
        <v/>
      </c>
      <c r="G188" s="42"/>
      <c r="H188" s="43"/>
      <c r="I188" s="44"/>
      <c r="J188" s="45"/>
      <c r="K188" s="46"/>
      <c r="L188" s="47"/>
      <c r="M188" s="48"/>
      <c r="N188" s="49"/>
      <c r="O188" s="50"/>
      <c r="P188" s="59"/>
      <c r="Q188" s="59"/>
      <c r="R188" s="13"/>
    </row>
    <row r="189" spans="1:18" x14ac:dyDescent="0.25">
      <c r="A189" s="9" t="s">
        <v>21</v>
      </c>
      <c r="B189" s="28">
        <f>IF(ISBLANK(A189),0,INDEX(txtstylestab[],MATCH(A189,txtstylestab[style_Name],0),1))</f>
        <v>0</v>
      </c>
      <c r="C189" s="28">
        <f t="shared" si="9"/>
        <v>3</v>
      </c>
      <c r="D189" s="28">
        <f t="shared" si="10"/>
        <v>12</v>
      </c>
      <c r="E189" s="28">
        <f t="shared" si="11"/>
        <v>0</v>
      </c>
      <c r="F189" s="59" t="str">
        <f t="shared" si="12"/>
        <v/>
      </c>
      <c r="G189" s="42"/>
      <c r="H189" s="43"/>
      <c r="I189" s="44"/>
      <c r="J189" s="45"/>
      <c r="K189" s="46"/>
      <c r="L189" s="47"/>
      <c r="M189" s="47"/>
      <c r="N189" s="48"/>
      <c r="O189" s="48"/>
      <c r="P189" s="49"/>
      <c r="Q189" s="50"/>
      <c r="R189" s="13"/>
    </row>
    <row r="190" spans="1:18" x14ac:dyDescent="0.25">
      <c r="A190" s="9" t="s">
        <v>21</v>
      </c>
      <c r="B190" s="28">
        <f>IF(ISBLANK(A190),0,INDEX(txtstylestab[],MATCH(A190,txtstylestab[style_Name],0),1))</f>
        <v>0</v>
      </c>
      <c r="C190" s="28">
        <f t="shared" si="9"/>
        <v>3</v>
      </c>
      <c r="D190" s="28">
        <f t="shared" si="10"/>
        <v>12</v>
      </c>
      <c r="E190" s="28">
        <f t="shared" si="11"/>
        <v>0</v>
      </c>
      <c r="F190" s="59" t="str">
        <f t="shared" si="12"/>
        <v/>
      </c>
      <c r="G190" s="42"/>
      <c r="H190" s="43"/>
      <c r="I190" s="44"/>
      <c r="J190" s="45"/>
      <c r="K190" s="46"/>
      <c r="L190" s="47"/>
      <c r="M190" s="47"/>
      <c r="N190" s="48"/>
      <c r="O190" s="48"/>
      <c r="P190" s="49"/>
      <c r="Q190" s="50"/>
      <c r="R190" s="13"/>
    </row>
    <row r="191" spans="1:18" s="20" customFormat="1" x14ac:dyDescent="0.25">
      <c r="A191" s="9"/>
      <c r="B191" s="28"/>
      <c r="C191" s="28"/>
      <c r="D191" s="28"/>
      <c r="E191" s="28"/>
      <c r="F191" s="31"/>
      <c r="G191" s="21"/>
      <c r="H191" s="22"/>
      <c r="I191" s="23"/>
      <c r="J191" s="24"/>
      <c r="K191" s="25"/>
      <c r="L191" s="23"/>
      <c r="M191" s="23"/>
      <c r="N191" s="24"/>
      <c r="O191" s="24"/>
      <c r="P191" s="25"/>
      <c r="Q191" s="25"/>
    </row>
    <row r="192" spans="1:18" s="20" customFormat="1" x14ac:dyDescent="0.25">
      <c r="A192" s="9"/>
      <c r="B192" s="28"/>
      <c r="C192" s="28"/>
      <c r="D192" s="28"/>
      <c r="E192" s="28"/>
      <c r="F192" s="31"/>
      <c r="G192" s="21"/>
      <c r="H192" s="22"/>
      <c r="I192" s="23"/>
      <c r="J192" s="24"/>
      <c r="K192" s="25"/>
      <c r="L192" s="23"/>
      <c r="M192" s="23"/>
      <c r="N192" s="24"/>
      <c r="O192" s="24"/>
      <c r="P192" s="25"/>
      <c r="Q192" s="25"/>
    </row>
    <row r="193" spans="1:17" s="20" customFormat="1" x14ac:dyDescent="0.25">
      <c r="A193" s="9"/>
      <c r="B193" s="28"/>
      <c r="C193" s="28"/>
      <c r="D193" s="28"/>
      <c r="E193" s="28"/>
      <c r="F193" s="31"/>
      <c r="G193" s="21"/>
      <c r="H193" s="22"/>
      <c r="I193" s="23"/>
      <c r="J193" s="24"/>
      <c r="K193" s="25"/>
      <c r="L193" s="23"/>
      <c r="M193" s="23"/>
      <c r="N193" s="24"/>
      <c r="O193" s="24"/>
      <c r="P193" s="25"/>
      <c r="Q193" s="25"/>
    </row>
    <row r="194" spans="1:17" s="20" customFormat="1" x14ac:dyDescent="0.25">
      <c r="A194" s="9"/>
      <c r="B194" s="28"/>
      <c r="C194" s="28"/>
      <c r="D194" s="28"/>
      <c r="E194" s="28"/>
      <c r="F194" s="31"/>
      <c r="G194" s="21"/>
      <c r="H194" s="22"/>
      <c r="I194" s="23"/>
      <c r="J194" s="24"/>
      <c r="K194" s="25"/>
      <c r="L194" s="23"/>
      <c r="M194" s="23"/>
      <c r="N194" s="24"/>
      <c r="O194" s="24"/>
      <c r="P194" s="25"/>
      <c r="Q194" s="25"/>
    </row>
    <row r="195" spans="1:17" s="20" customFormat="1" x14ac:dyDescent="0.25">
      <c r="A195" s="9"/>
      <c r="B195" s="28"/>
      <c r="C195" s="28"/>
      <c r="D195" s="28"/>
      <c r="E195" s="28"/>
      <c r="F195" s="31"/>
      <c r="G195" s="21"/>
      <c r="H195" s="22"/>
      <c r="I195" s="23"/>
      <c r="J195" s="24"/>
      <c r="K195" s="25"/>
      <c r="L195" s="23"/>
      <c r="M195" s="23"/>
      <c r="N195" s="24"/>
      <c r="O195" s="24"/>
      <c r="P195" s="25"/>
      <c r="Q195" s="25"/>
    </row>
    <row r="196" spans="1:17" s="20" customFormat="1" x14ac:dyDescent="0.25">
      <c r="A196" s="9"/>
      <c r="B196" s="28"/>
      <c r="C196" s="28"/>
      <c r="D196" s="28"/>
      <c r="E196" s="28"/>
      <c r="F196" s="31"/>
      <c r="G196" s="21"/>
      <c r="H196" s="22"/>
      <c r="I196" s="23"/>
      <c r="J196" s="24"/>
      <c r="K196" s="25"/>
      <c r="L196" s="23"/>
      <c r="M196" s="23"/>
      <c r="N196" s="24"/>
      <c r="O196" s="24"/>
      <c r="P196" s="25"/>
      <c r="Q196" s="25"/>
    </row>
    <row r="197" spans="1:17" s="20" customFormat="1" x14ac:dyDescent="0.25">
      <c r="A197" s="9"/>
      <c r="B197" s="28"/>
      <c r="C197" s="28"/>
      <c r="D197" s="28"/>
      <c r="E197" s="28"/>
      <c r="F197" s="31"/>
      <c r="G197" s="21"/>
      <c r="H197" s="22"/>
      <c r="I197" s="23"/>
      <c r="J197" s="24"/>
      <c r="K197" s="25"/>
      <c r="L197" s="23"/>
      <c r="M197" s="23"/>
      <c r="N197" s="24"/>
      <c r="O197" s="24"/>
      <c r="P197" s="25"/>
      <c r="Q197" s="25"/>
    </row>
    <row r="198" spans="1:17" s="20" customFormat="1" x14ac:dyDescent="0.25">
      <c r="A198" s="9"/>
      <c r="B198" s="28"/>
      <c r="C198" s="28"/>
      <c r="D198" s="28"/>
      <c r="E198" s="28"/>
      <c r="F198" s="31"/>
      <c r="G198" s="21"/>
      <c r="H198" s="22"/>
      <c r="I198" s="23"/>
      <c r="J198" s="24"/>
      <c r="K198" s="25"/>
      <c r="L198" s="23"/>
      <c r="M198" s="23"/>
      <c r="N198" s="24"/>
      <c r="O198" s="24"/>
      <c r="P198" s="25"/>
      <c r="Q198" s="25"/>
    </row>
    <row r="199" spans="1:17" s="20" customFormat="1" x14ac:dyDescent="0.25">
      <c r="A199" s="9"/>
      <c r="B199" s="28"/>
      <c r="C199" s="28"/>
      <c r="D199" s="28"/>
      <c r="E199" s="28"/>
      <c r="F199" s="31"/>
      <c r="G199" s="21"/>
      <c r="H199" s="22"/>
      <c r="I199" s="23"/>
      <c r="J199" s="24"/>
      <c r="K199" s="25"/>
      <c r="L199" s="23"/>
      <c r="M199" s="23"/>
      <c r="N199" s="24"/>
      <c r="O199" s="24"/>
      <c r="P199" s="25"/>
      <c r="Q199" s="25"/>
    </row>
    <row r="200" spans="1:17" s="20" customFormat="1" x14ac:dyDescent="0.25">
      <c r="A200" s="9"/>
      <c r="B200" s="28"/>
      <c r="C200" s="28"/>
      <c r="D200" s="28"/>
      <c r="E200" s="28"/>
      <c r="F200" s="31"/>
      <c r="G200" s="21"/>
      <c r="H200" s="22"/>
      <c r="I200" s="23"/>
      <c r="J200" s="24"/>
      <c r="K200" s="25"/>
      <c r="L200" s="23"/>
      <c r="M200" s="23"/>
      <c r="N200" s="24"/>
      <c r="O200" s="24"/>
      <c r="P200" s="25"/>
      <c r="Q200" s="25"/>
    </row>
    <row r="201" spans="1:17" s="20" customFormat="1" x14ac:dyDescent="0.25">
      <c r="A201" s="9"/>
      <c r="B201" s="28"/>
      <c r="C201" s="28"/>
      <c r="D201" s="28"/>
      <c r="E201" s="28"/>
      <c r="F201" s="31"/>
      <c r="G201" s="21"/>
      <c r="H201" s="22"/>
      <c r="I201" s="23"/>
      <c r="J201" s="24"/>
      <c r="K201" s="25"/>
      <c r="L201" s="23"/>
      <c r="M201" s="23"/>
      <c r="N201" s="24"/>
      <c r="O201" s="24"/>
      <c r="P201" s="25"/>
      <c r="Q201" s="25"/>
    </row>
    <row r="202" spans="1:17" s="20" customFormat="1" x14ac:dyDescent="0.25">
      <c r="A202" s="9"/>
      <c r="B202" s="28"/>
      <c r="C202" s="28"/>
      <c r="D202" s="28"/>
      <c r="E202" s="28"/>
      <c r="F202" s="31"/>
      <c r="G202" s="21"/>
      <c r="H202" s="22"/>
      <c r="I202" s="23"/>
      <c r="J202" s="24"/>
      <c r="K202" s="25"/>
      <c r="L202" s="23"/>
      <c r="M202" s="23"/>
      <c r="N202" s="24"/>
      <c r="O202" s="24"/>
      <c r="P202" s="25"/>
      <c r="Q202" s="25"/>
    </row>
    <row r="203" spans="1:17" s="20" customFormat="1" x14ac:dyDescent="0.25">
      <c r="A203" s="9"/>
      <c r="B203" s="28"/>
      <c r="C203" s="28"/>
      <c r="D203" s="28"/>
      <c r="E203" s="28"/>
      <c r="F203" s="31"/>
      <c r="G203" s="21"/>
      <c r="H203" s="22"/>
      <c r="I203" s="23"/>
      <c r="J203" s="24"/>
      <c r="K203" s="25"/>
      <c r="L203" s="23"/>
      <c r="M203" s="23"/>
      <c r="N203" s="24"/>
      <c r="O203" s="24"/>
      <c r="P203" s="25"/>
      <c r="Q203" s="25"/>
    </row>
    <row r="204" spans="1:17" s="20" customFormat="1" x14ac:dyDescent="0.25">
      <c r="A204" s="9"/>
      <c r="B204" s="28"/>
      <c r="C204" s="28"/>
      <c r="D204" s="28"/>
      <c r="E204" s="28"/>
      <c r="F204" s="31"/>
      <c r="G204" s="21"/>
      <c r="H204" s="22"/>
      <c r="I204" s="23"/>
      <c r="J204" s="24"/>
      <c r="K204" s="25"/>
      <c r="L204" s="23"/>
      <c r="M204" s="23"/>
      <c r="N204" s="24"/>
      <c r="O204" s="24"/>
      <c r="P204" s="25"/>
      <c r="Q204" s="25"/>
    </row>
    <row r="205" spans="1:17" s="20" customFormat="1" x14ac:dyDescent="0.25">
      <c r="A205" s="9"/>
      <c r="B205" s="28"/>
      <c r="C205" s="28"/>
      <c r="D205" s="28"/>
      <c r="E205" s="28"/>
      <c r="F205" s="31"/>
      <c r="G205" s="21"/>
      <c r="H205" s="22"/>
      <c r="I205" s="23"/>
      <c r="J205" s="24"/>
      <c r="K205" s="25"/>
      <c r="L205" s="23"/>
      <c r="M205" s="23"/>
      <c r="N205" s="24"/>
      <c r="O205" s="24"/>
      <c r="P205" s="25"/>
      <c r="Q205" s="25"/>
    </row>
    <row r="206" spans="1:17" s="20" customFormat="1" x14ac:dyDescent="0.25">
      <c r="A206" s="9"/>
      <c r="B206" s="28"/>
      <c r="C206" s="28"/>
      <c r="D206" s="28"/>
      <c r="E206" s="28"/>
      <c r="F206" s="31"/>
      <c r="G206" s="21"/>
      <c r="H206" s="22"/>
      <c r="I206" s="23"/>
      <c r="J206" s="24"/>
      <c r="K206" s="25"/>
      <c r="L206" s="23"/>
      <c r="M206" s="23"/>
      <c r="N206" s="24"/>
      <c r="O206" s="24"/>
      <c r="P206" s="25"/>
      <c r="Q206" s="25"/>
    </row>
    <row r="207" spans="1:17" s="20" customFormat="1" x14ac:dyDescent="0.25">
      <c r="A207" s="9"/>
      <c r="B207" s="28"/>
      <c r="C207" s="28"/>
      <c r="D207" s="28"/>
      <c r="E207" s="28"/>
      <c r="F207" s="31"/>
      <c r="G207" s="21"/>
      <c r="H207" s="22"/>
      <c r="I207" s="23"/>
      <c r="J207" s="24"/>
      <c r="K207" s="25"/>
      <c r="L207" s="23"/>
      <c r="M207" s="23"/>
      <c r="N207" s="24"/>
      <c r="O207" s="24"/>
      <c r="P207" s="25"/>
      <c r="Q207" s="25"/>
    </row>
    <row r="208" spans="1:17" s="20" customFormat="1" x14ac:dyDescent="0.25">
      <c r="A208" s="9"/>
      <c r="B208" s="28"/>
      <c r="C208" s="28"/>
      <c r="D208" s="28"/>
      <c r="E208" s="28"/>
      <c r="F208" s="31"/>
      <c r="G208" s="21"/>
      <c r="H208" s="22"/>
      <c r="I208" s="23"/>
      <c r="J208" s="24"/>
      <c r="K208" s="25"/>
      <c r="L208" s="23"/>
      <c r="M208" s="23"/>
      <c r="N208" s="24"/>
      <c r="O208" s="24"/>
      <c r="P208" s="25"/>
      <c r="Q208" s="25"/>
    </row>
    <row r="209" spans="1:17" s="20" customFormat="1" x14ac:dyDescent="0.25">
      <c r="A209" s="9"/>
      <c r="B209" s="28"/>
      <c r="C209" s="28"/>
      <c r="D209" s="28"/>
      <c r="E209" s="28"/>
      <c r="F209" s="31"/>
      <c r="G209" s="21"/>
      <c r="H209" s="22"/>
      <c r="I209" s="23"/>
      <c r="J209" s="24"/>
      <c r="K209" s="25"/>
      <c r="L209" s="23"/>
      <c r="M209" s="23"/>
      <c r="N209" s="24"/>
      <c r="O209" s="24"/>
      <c r="P209" s="25"/>
      <c r="Q209" s="25"/>
    </row>
    <row r="210" spans="1:17" s="20" customFormat="1" x14ac:dyDescent="0.25">
      <c r="A210" s="9"/>
      <c r="B210" s="28"/>
      <c r="C210" s="28"/>
      <c r="D210" s="28"/>
      <c r="E210" s="28"/>
      <c r="F210" s="31"/>
      <c r="G210" s="21"/>
      <c r="H210" s="22"/>
      <c r="I210" s="23"/>
      <c r="J210" s="24"/>
      <c r="K210" s="25"/>
      <c r="L210" s="23"/>
      <c r="M210" s="23"/>
      <c r="N210" s="24"/>
      <c r="O210" s="24"/>
      <c r="P210" s="25"/>
      <c r="Q210" s="25"/>
    </row>
    <row r="211" spans="1:17" s="20" customFormat="1" x14ac:dyDescent="0.25">
      <c r="A211" s="9"/>
      <c r="B211" s="28"/>
      <c r="C211" s="28"/>
      <c r="D211" s="28"/>
      <c r="E211" s="28"/>
      <c r="F211" s="31"/>
      <c r="G211" s="21"/>
      <c r="H211" s="22"/>
      <c r="I211" s="23"/>
      <c r="J211" s="24"/>
      <c r="K211" s="25"/>
      <c r="L211" s="23"/>
      <c r="M211" s="23"/>
      <c r="N211" s="24"/>
      <c r="O211" s="24"/>
      <c r="P211" s="25"/>
      <c r="Q211" s="25"/>
    </row>
    <row r="212" spans="1:17" s="20" customFormat="1" x14ac:dyDescent="0.25">
      <c r="A212" s="9"/>
      <c r="B212" s="28"/>
      <c r="C212" s="28"/>
      <c r="D212" s="28"/>
      <c r="E212" s="28"/>
      <c r="F212" s="31"/>
      <c r="G212" s="21"/>
      <c r="H212" s="22"/>
      <c r="I212" s="23"/>
      <c r="J212" s="24"/>
      <c r="K212" s="25"/>
      <c r="L212" s="23"/>
      <c r="M212" s="23"/>
      <c r="N212" s="24"/>
      <c r="O212" s="24"/>
      <c r="P212" s="25"/>
      <c r="Q212" s="25"/>
    </row>
    <row r="213" spans="1:17" s="20" customFormat="1" x14ac:dyDescent="0.25">
      <c r="A213" s="9"/>
      <c r="B213" s="28"/>
      <c r="C213" s="28"/>
      <c r="D213" s="28"/>
      <c r="E213" s="28"/>
      <c r="F213" s="31"/>
      <c r="G213" s="21"/>
      <c r="H213" s="22"/>
      <c r="I213" s="23"/>
      <c r="J213" s="24"/>
      <c r="K213" s="25"/>
      <c r="L213" s="23"/>
      <c r="M213" s="23"/>
      <c r="N213" s="24"/>
      <c r="O213" s="24"/>
      <c r="P213" s="25"/>
      <c r="Q213" s="25"/>
    </row>
    <row r="214" spans="1:17" s="20" customFormat="1" x14ac:dyDescent="0.25">
      <c r="A214" s="9"/>
      <c r="B214" s="28"/>
      <c r="C214" s="28"/>
      <c r="D214" s="28"/>
      <c r="E214" s="28"/>
      <c r="F214" s="31"/>
      <c r="G214" s="21"/>
      <c r="H214" s="22"/>
      <c r="I214" s="23"/>
      <c r="J214" s="24"/>
      <c r="K214" s="25"/>
      <c r="L214" s="23"/>
      <c r="M214" s="23"/>
      <c r="N214" s="24"/>
      <c r="O214" s="24"/>
      <c r="P214" s="25"/>
      <c r="Q214" s="25"/>
    </row>
    <row r="215" spans="1:17" s="20" customFormat="1" x14ac:dyDescent="0.25">
      <c r="A215" s="9"/>
      <c r="B215" s="28"/>
      <c r="C215" s="28"/>
      <c r="D215" s="28"/>
      <c r="E215" s="28"/>
      <c r="F215" s="31"/>
      <c r="G215" s="21"/>
      <c r="H215" s="22"/>
      <c r="I215" s="23"/>
      <c r="J215" s="24"/>
      <c r="K215" s="25"/>
      <c r="L215" s="23"/>
      <c r="M215" s="23"/>
      <c r="N215" s="24"/>
      <c r="O215" s="24"/>
      <c r="P215" s="25"/>
      <c r="Q215" s="25"/>
    </row>
    <row r="216" spans="1:17" s="20" customFormat="1" x14ac:dyDescent="0.25">
      <c r="A216" s="9"/>
      <c r="B216" s="28"/>
      <c r="C216" s="28"/>
      <c r="D216" s="28"/>
      <c r="E216" s="28"/>
      <c r="F216" s="31"/>
      <c r="G216" s="21"/>
      <c r="H216" s="22"/>
      <c r="I216" s="23"/>
      <c r="J216" s="24"/>
      <c r="K216" s="25"/>
      <c r="L216" s="23"/>
      <c r="M216" s="23"/>
      <c r="N216" s="24"/>
      <c r="O216" s="24"/>
      <c r="P216" s="25"/>
      <c r="Q216" s="25"/>
    </row>
    <row r="217" spans="1:17" s="20" customFormat="1" x14ac:dyDescent="0.25">
      <c r="A217" s="9"/>
      <c r="B217" s="28"/>
      <c r="C217" s="28"/>
      <c r="D217" s="28"/>
      <c r="E217" s="28"/>
      <c r="F217" s="31"/>
      <c r="G217" s="21"/>
      <c r="H217" s="22"/>
      <c r="I217" s="23"/>
      <c r="J217" s="24"/>
      <c r="K217" s="25"/>
      <c r="L217" s="23"/>
      <c r="M217" s="23"/>
      <c r="N217" s="24"/>
      <c r="O217" s="24"/>
      <c r="P217" s="25"/>
      <c r="Q217" s="25"/>
    </row>
    <row r="218" spans="1:17" s="20" customFormat="1" x14ac:dyDescent="0.25">
      <c r="A218" s="9"/>
      <c r="B218" s="28"/>
      <c r="C218" s="28"/>
      <c r="D218" s="28"/>
      <c r="E218" s="28"/>
      <c r="F218" s="31"/>
      <c r="G218" s="21"/>
      <c r="H218" s="22"/>
      <c r="I218" s="23"/>
      <c r="J218" s="24"/>
      <c r="K218" s="25"/>
      <c r="L218" s="23"/>
      <c r="M218" s="23"/>
      <c r="N218" s="24"/>
      <c r="O218" s="24"/>
      <c r="P218" s="25"/>
      <c r="Q218" s="25"/>
    </row>
    <row r="219" spans="1:17" s="20" customFormat="1" x14ac:dyDescent="0.25">
      <c r="A219" s="9"/>
      <c r="B219" s="28"/>
      <c r="C219" s="28"/>
      <c r="D219" s="28"/>
      <c r="E219" s="28"/>
      <c r="F219" s="31"/>
      <c r="G219" s="21"/>
      <c r="H219" s="22"/>
      <c r="I219" s="23"/>
      <c r="J219" s="24"/>
      <c r="K219" s="25"/>
      <c r="L219" s="23"/>
      <c r="M219" s="23"/>
      <c r="N219" s="24"/>
      <c r="O219" s="24"/>
      <c r="P219" s="25"/>
      <c r="Q219" s="25"/>
    </row>
    <row r="220" spans="1:17" s="20" customFormat="1" x14ac:dyDescent="0.25">
      <c r="A220" s="9"/>
      <c r="B220" s="28"/>
      <c r="C220" s="28"/>
      <c r="D220" s="28"/>
      <c r="E220" s="28"/>
      <c r="F220" s="31"/>
      <c r="G220" s="21"/>
      <c r="H220" s="22"/>
      <c r="I220" s="23"/>
      <c r="J220" s="24"/>
      <c r="K220" s="25"/>
      <c r="L220" s="23"/>
      <c r="M220" s="23"/>
      <c r="N220" s="24"/>
      <c r="O220" s="24"/>
      <c r="P220" s="25"/>
      <c r="Q220" s="25"/>
    </row>
    <row r="221" spans="1:17" s="20" customFormat="1" x14ac:dyDescent="0.25">
      <c r="A221" s="9"/>
      <c r="B221" s="28"/>
      <c r="C221" s="28"/>
      <c r="D221" s="28"/>
      <c r="E221" s="28"/>
      <c r="F221" s="31"/>
      <c r="G221" s="21"/>
      <c r="H221" s="22"/>
      <c r="I221" s="23"/>
      <c r="J221" s="24"/>
      <c r="K221" s="25"/>
      <c r="L221" s="23"/>
      <c r="M221" s="23"/>
      <c r="N221" s="24"/>
      <c r="O221" s="24"/>
      <c r="P221" s="25"/>
      <c r="Q221" s="25"/>
    </row>
    <row r="222" spans="1:17" s="20" customFormat="1" x14ac:dyDescent="0.25">
      <c r="A222" s="9"/>
      <c r="B222" s="28"/>
      <c r="C222" s="28"/>
      <c r="D222" s="28"/>
      <c r="E222" s="28"/>
      <c r="F222" s="31"/>
      <c r="G222" s="21"/>
      <c r="H222" s="22"/>
      <c r="I222" s="23"/>
      <c r="J222" s="24"/>
      <c r="K222" s="25"/>
      <c r="L222" s="23"/>
      <c r="M222" s="23"/>
      <c r="N222" s="24"/>
      <c r="O222" s="24"/>
      <c r="P222" s="25"/>
      <c r="Q222" s="25"/>
    </row>
    <row r="223" spans="1:17" s="20" customFormat="1" x14ac:dyDescent="0.25">
      <c r="A223" s="9"/>
      <c r="B223" s="28"/>
      <c r="C223" s="28"/>
      <c r="D223" s="28"/>
      <c r="E223" s="28"/>
      <c r="F223" s="31"/>
      <c r="G223" s="21"/>
      <c r="H223" s="22"/>
      <c r="I223" s="23"/>
      <c r="J223" s="24"/>
      <c r="K223" s="25"/>
      <c r="L223" s="23"/>
      <c r="M223" s="23"/>
      <c r="N223" s="24"/>
      <c r="O223" s="24"/>
      <c r="P223" s="25"/>
      <c r="Q223" s="25"/>
    </row>
    <row r="224" spans="1:17" s="20" customFormat="1" x14ac:dyDescent="0.25">
      <c r="A224" s="9"/>
      <c r="B224" s="28"/>
      <c r="C224" s="28"/>
      <c r="D224" s="28"/>
      <c r="E224" s="28"/>
      <c r="F224" s="31"/>
      <c r="G224" s="21"/>
      <c r="H224" s="22"/>
      <c r="I224" s="23"/>
      <c r="J224" s="24"/>
      <c r="K224" s="25"/>
      <c r="L224" s="23"/>
      <c r="M224" s="23"/>
      <c r="N224" s="24"/>
      <c r="O224" s="24"/>
      <c r="P224" s="25"/>
      <c r="Q224" s="25"/>
    </row>
    <row r="225" spans="1:17" s="20" customFormat="1" x14ac:dyDescent="0.25">
      <c r="A225" s="9"/>
      <c r="B225" s="28"/>
      <c r="C225" s="28"/>
      <c r="D225" s="28"/>
      <c r="E225" s="28"/>
      <c r="F225" s="31"/>
      <c r="G225" s="21"/>
      <c r="H225" s="22"/>
      <c r="I225" s="23"/>
      <c r="J225" s="24"/>
      <c r="K225" s="25"/>
      <c r="L225" s="23"/>
      <c r="M225" s="23"/>
      <c r="N225" s="24"/>
      <c r="O225" s="24"/>
      <c r="P225" s="25"/>
      <c r="Q225" s="25"/>
    </row>
    <row r="226" spans="1:17" s="20" customFormat="1" x14ac:dyDescent="0.25">
      <c r="A226" s="9"/>
      <c r="B226" s="28"/>
      <c r="C226" s="28"/>
      <c r="D226" s="28"/>
      <c r="E226" s="28"/>
      <c r="F226" s="31"/>
      <c r="G226" s="21"/>
      <c r="H226" s="22"/>
      <c r="I226" s="23"/>
      <c r="J226" s="24"/>
      <c r="K226" s="25"/>
      <c r="L226" s="23"/>
      <c r="M226" s="23"/>
      <c r="N226" s="24"/>
      <c r="O226" s="24"/>
      <c r="P226" s="25"/>
      <c r="Q226" s="25"/>
    </row>
    <row r="227" spans="1:17" s="20" customFormat="1" x14ac:dyDescent="0.25">
      <c r="A227" s="9"/>
      <c r="B227" s="28"/>
      <c r="C227" s="28"/>
      <c r="D227" s="28"/>
      <c r="E227" s="28"/>
      <c r="F227" s="31"/>
      <c r="G227" s="21"/>
      <c r="H227" s="22"/>
      <c r="I227" s="23"/>
      <c r="J227" s="24"/>
      <c r="K227" s="25"/>
      <c r="L227" s="23"/>
      <c r="M227" s="23"/>
      <c r="N227" s="24"/>
      <c r="O227" s="24"/>
      <c r="P227" s="25"/>
      <c r="Q227" s="25"/>
    </row>
    <row r="228" spans="1:17" s="20" customFormat="1" x14ac:dyDescent="0.25">
      <c r="A228" s="9"/>
      <c r="B228" s="28"/>
      <c r="C228" s="28"/>
      <c r="D228" s="28"/>
      <c r="E228" s="28"/>
      <c r="F228" s="31"/>
      <c r="G228" s="21"/>
      <c r="H228" s="22"/>
      <c r="I228" s="23"/>
      <c r="J228" s="24"/>
      <c r="K228" s="25"/>
      <c r="L228" s="23"/>
      <c r="M228" s="23"/>
      <c r="N228" s="24"/>
      <c r="O228" s="24"/>
      <c r="P228" s="25"/>
      <c r="Q228" s="25"/>
    </row>
    <row r="229" spans="1:17" s="20" customFormat="1" x14ac:dyDescent="0.25">
      <c r="A229" s="9"/>
      <c r="B229" s="28"/>
      <c r="C229" s="28"/>
      <c r="D229" s="28"/>
      <c r="E229" s="28"/>
      <c r="F229" s="31"/>
      <c r="G229" s="21"/>
      <c r="H229" s="22"/>
      <c r="I229" s="23"/>
      <c r="J229" s="24"/>
      <c r="K229" s="25"/>
      <c r="L229" s="23"/>
      <c r="M229" s="23"/>
      <c r="N229" s="24"/>
      <c r="O229" s="24"/>
      <c r="P229" s="25"/>
      <c r="Q229" s="25"/>
    </row>
    <row r="230" spans="1:17" s="20" customFormat="1" x14ac:dyDescent="0.25">
      <c r="A230" s="9"/>
      <c r="B230" s="28"/>
      <c r="C230" s="28"/>
      <c r="D230" s="28"/>
      <c r="E230" s="28"/>
      <c r="F230" s="31"/>
      <c r="G230" s="21"/>
      <c r="H230" s="22"/>
      <c r="I230" s="23"/>
      <c r="J230" s="24"/>
      <c r="K230" s="25"/>
      <c r="L230" s="23"/>
      <c r="M230" s="23"/>
      <c r="N230" s="24"/>
      <c r="O230" s="24"/>
      <c r="P230" s="25"/>
      <c r="Q230" s="25"/>
    </row>
    <row r="231" spans="1:17" s="20" customFormat="1" x14ac:dyDescent="0.25">
      <c r="A231" s="9"/>
      <c r="B231" s="28"/>
      <c r="C231" s="28"/>
      <c r="D231" s="28"/>
      <c r="E231" s="28"/>
      <c r="F231" s="31"/>
      <c r="G231" s="21"/>
      <c r="H231" s="22"/>
      <c r="I231" s="23"/>
      <c r="J231" s="24"/>
      <c r="K231" s="25"/>
      <c r="L231" s="23"/>
      <c r="M231" s="23"/>
      <c r="N231" s="24"/>
      <c r="O231" s="24"/>
      <c r="P231" s="25"/>
      <c r="Q231" s="25"/>
    </row>
    <row r="232" spans="1:17" s="20" customFormat="1" x14ac:dyDescent="0.25">
      <c r="A232" s="9"/>
      <c r="B232" s="28"/>
      <c r="C232" s="28"/>
      <c r="D232" s="28"/>
      <c r="E232" s="28"/>
      <c r="F232" s="31"/>
      <c r="G232" s="21"/>
      <c r="H232" s="22"/>
      <c r="I232" s="23"/>
      <c r="J232" s="24"/>
      <c r="K232" s="25"/>
      <c r="L232" s="23"/>
      <c r="M232" s="23"/>
      <c r="N232" s="24"/>
      <c r="O232" s="24"/>
      <c r="P232" s="25"/>
      <c r="Q232" s="25"/>
    </row>
    <row r="233" spans="1:17" s="20" customFormat="1" x14ac:dyDescent="0.25">
      <c r="A233" s="9"/>
      <c r="B233" s="28"/>
      <c r="C233" s="28"/>
      <c r="D233" s="28"/>
      <c r="E233" s="28"/>
      <c r="F233" s="31"/>
      <c r="G233" s="21"/>
      <c r="H233" s="22"/>
      <c r="I233" s="23"/>
      <c r="J233" s="24"/>
      <c r="K233" s="25"/>
      <c r="L233" s="23"/>
      <c r="M233" s="23"/>
      <c r="N233" s="24"/>
      <c r="O233" s="24"/>
      <c r="P233" s="25"/>
      <c r="Q233" s="25"/>
    </row>
    <row r="234" spans="1:17" s="20" customFormat="1" x14ac:dyDescent="0.25">
      <c r="A234" s="9"/>
      <c r="B234" s="28"/>
      <c r="C234" s="28"/>
      <c r="D234" s="28"/>
      <c r="E234" s="28"/>
      <c r="F234" s="31"/>
      <c r="G234" s="21"/>
      <c r="H234" s="22"/>
      <c r="I234" s="23"/>
      <c r="J234" s="24"/>
      <c r="K234" s="25"/>
      <c r="L234" s="23"/>
      <c r="M234" s="23"/>
      <c r="N234" s="24"/>
      <c r="O234" s="24"/>
      <c r="P234" s="25"/>
      <c r="Q234" s="25"/>
    </row>
    <row r="235" spans="1:17" s="20" customFormat="1" x14ac:dyDescent="0.25">
      <c r="A235" s="9"/>
      <c r="B235" s="28"/>
      <c r="C235" s="28"/>
      <c r="D235" s="28"/>
      <c r="E235" s="28"/>
      <c r="F235" s="31"/>
      <c r="G235" s="21"/>
      <c r="H235" s="22"/>
      <c r="I235" s="23"/>
      <c r="J235" s="24"/>
      <c r="K235" s="25"/>
      <c r="L235" s="23"/>
      <c r="M235" s="23"/>
      <c r="N235" s="24"/>
      <c r="O235" s="24"/>
      <c r="P235" s="25"/>
      <c r="Q235" s="25"/>
    </row>
    <row r="236" spans="1:17" s="20" customFormat="1" x14ac:dyDescent="0.25">
      <c r="A236" s="9"/>
      <c r="B236" s="28"/>
      <c r="C236" s="28"/>
      <c r="D236" s="28"/>
      <c r="E236" s="28"/>
      <c r="F236" s="31"/>
      <c r="G236" s="21"/>
      <c r="H236" s="22"/>
      <c r="I236" s="23"/>
      <c r="J236" s="24"/>
      <c r="K236" s="25"/>
      <c r="L236" s="23"/>
      <c r="M236" s="23"/>
      <c r="N236" s="24"/>
      <c r="O236" s="24"/>
      <c r="P236" s="25"/>
      <c r="Q236" s="25"/>
    </row>
    <row r="237" spans="1:17" s="20" customFormat="1" x14ac:dyDescent="0.25">
      <c r="A237" s="9"/>
      <c r="B237" s="28"/>
      <c r="C237" s="28"/>
      <c r="D237" s="28"/>
      <c r="E237" s="28"/>
      <c r="F237" s="31"/>
      <c r="G237" s="21"/>
      <c r="H237" s="22"/>
      <c r="I237" s="23"/>
      <c r="J237" s="24"/>
      <c r="K237" s="25"/>
      <c r="L237" s="23"/>
      <c r="M237" s="23"/>
      <c r="N237" s="24"/>
      <c r="O237" s="24"/>
      <c r="P237" s="25"/>
      <c r="Q237" s="25"/>
    </row>
    <row r="238" spans="1:17" s="20" customFormat="1" x14ac:dyDescent="0.25">
      <c r="A238" s="9"/>
      <c r="B238" s="28"/>
      <c r="C238" s="28"/>
      <c r="D238" s="28"/>
      <c r="E238" s="28"/>
      <c r="F238" s="31"/>
      <c r="G238" s="21"/>
      <c r="H238" s="22"/>
      <c r="I238" s="23"/>
      <c r="J238" s="24"/>
      <c r="K238" s="25"/>
      <c r="L238" s="23"/>
      <c r="M238" s="23"/>
      <c r="N238" s="24"/>
      <c r="O238" s="24"/>
      <c r="P238" s="25"/>
      <c r="Q238" s="25"/>
    </row>
    <row r="239" spans="1:17" s="20" customFormat="1" x14ac:dyDescent="0.25">
      <c r="A239" s="9"/>
      <c r="B239" s="28"/>
      <c r="C239" s="28"/>
      <c r="D239" s="28"/>
      <c r="E239" s="28"/>
      <c r="F239" s="31"/>
      <c r="G239" s="21"/>
      <c r="H239" s="22"/>
      <c r="I239" s="23"/>
      <c r="J239" s="24"/>
      <c r="K239" s="25"/>
      <c r="L239" s="23"/>
      <c r="M239" s="23"/>
      <c r="N239" s="24"/>
      <c r="O239" s="24"/>
      <c r="P239" s="25"/>
      <c r="Q239" s="25"/>
    </row>
    <row r="240" spans="1:17" s="20" customFormat="1" x14ac:dyDescent="0.25">
      <c r="A240" s="9"/>
      <c r="B240" s="28"/>
      <c r="C240" s="28"/>
      <c r="D240" s="28"/>
      <c r="E240" s="28"/>
      <c r="F240" s="31"/>
      <c r="G240" s="21"/>
      <c r="H240" s="22"/>
      <c r="I240" s="23"/>
      <c r="J240" s="24"/>
      <c r="K240" s="25"/>
      <c r="L240" s="23"/>
      <c r="M240" s="23"/>
      <c r="N240" s="24"/>
      <c r="O240" s="24"/>
      <c r="P240" s="25"/>
      <c r="Q240" s="25"/>
    </row>
    <row r="241" spans="1:17" s="20" customFormat="1" x14ac:dyDescent="0.25">
      <c r="A241" s="9"/>
      <c r="B241" s="28"/>
      <c r="C241" s="28"/>
      <c r="D241" s="28"/>
      <c r="E241" s="28"/>
      <c r="F241" s="31"/>
      <c r="G241" s="21"/>
      <c r="H241" s="22"/>
      <c r="I241" s="23"/>
      <c r="J241" s="24"/>
      <c r="K241" s="25"/>
      <c r="L241" s="23"/>
      <c r="M241" s="23"/>
      <c r="N241" s="24"/>
      <c r="O241" s="24"/>
      <c r="P241" s="25"/>
      <c r="Q241" s="25"/>
    </row>
    <row r="242" spans="1:17" s="20" customFormat="1" x14ac:dyDescent="0.25">
      <c r="A242" s="9"/>
      <c r="B242" s="28"/>
      <c r="C242" s="28"/>
      <c r="D242" s="28"/>
      <c r="E242" s="28"/>
      <c r="F242" s="31"/>
      <c r="G242" s="21"/>
      <c r="H242" s="22"/>
      <c r="I242" s="23"/>
      <c r="J242" s="24"/>
      <c r="K242" s="25"/>
      <c r="L242" s="23"/>
      <c r="M242" s="23"/>
      <c r="N242" s="24"/>
      <c r="O242" s="24"/>
      <c r="P242" s="25"/>
      <c r="Q242" s="25"/>
    </row>
    <row r="243" spans="1:17" s="20" customFormat="1" x14ac:dyDescent="0.25">
      <c r="A243" s="9"/>
      <c r="B243" s="28"/>
      <c r="C243" s="28"/>
      <c r="D243" s="28"/>
      <c r="E243" s="28"/>
      <c r="F243" s="31"/>
      <c r="G243" s="21"/>
      <c r="H243" s="22"/>
      <c r="I243" s="23"/>
      <c r="J243" s="24"/>
      <c r="K243" s="25"/>
      <c r="L243" s="23"/>
      <c r="M243" s="23"/>
      <c r="N243" s="24"/>
      <c r="O243" s="24"/>
      <c r="P243" s="25"/>
      <c r="Q243" s="25"/>
    </row>
    <row r="244" spans="1:17" s="20" customFormat="1" x14ac:dyDescent="0.25">
      <c r="A244" s="9"/>
      <c r="B244" s="28"/>
      <c r="C244" s="28"/>
      <c r="D244" s="28"/>
      <c r="E244" s="28"/>
      <c r="F244" s="31"/>
      <c r="G244" s="21"/>
      <c r="H244" s="22"/>
      <c r="I244" s="23"/>
      <c r="J244" s="24"/>
      <c r="K244" s="25"/>
      <c r="L244" s="23"/>
      <c r="M244" s="23"/>
      <c r="N244" s="24"/>
      <c r="O244" s="24"/>
      <c r="P244" s="25"/>
      <c r="Q244" s="25"/>
    </row>
    <row r="245" spans="1:17" s="20" customFormat="1" x14ac:dyDescent="0.25">
      <c r="A245" s="9"/>
      <c r="B245" s="28"/>
      <c r="C245" s="28"/>
      <c r="D245" s="28"/>
      <c r="E245" s="28"/>
      <c r="F245" s="31"/>
      <c r="G245" s="21"/>
      <c r="H245" s="22"/>
      <c r="I245" s="23"/>
      <c r="J245" s="24"/>
      <c r="K245" s="25"/>
      <c r="L245" s="23"/>
      <c r="M245" s="23"/>
      <c r="N245" s="24"/>
      <c r="O245" s="24"/>
      <c r="P245" s="25"/>
      <c r="Q245" s="25"/>
    </row>
    <row r="246" spans="1:17" s="20" customFormat="1" x14ac:dyDescent="0.25">
      <c r="A246" s="9"/>
      <c r="B246" s="28"/>
      <c r="C246" s="28"/>
      <c r="D246" s="28"/>
      <c r="E246" s="28"/>
      <c r="F246" s="31"/>
      <c r="G246" s="21"/>
      <c r="H246" s="22"/>
      <c r="I246" s="23"/>
      <c r="J246" s="24"/>
      <c r="K246" s="25"/>
      <c r="L246" s="23"/>
      <c r="M246" s="23"/>
      <c r="N246" s="24"/>
      <c r="O246" s="24"/>
      <c r="P246" s="25"/>
      <c r="Q246" s="25"/>
    </row>
    <row r="247" spans="1:17" s="20" customFormat="1" x14ac:dyDescent="0.25">
      <c r="A247" s="9"/>
      <c r="B247" s="28"/>
      <c r="C247" s="28"/>
      <c r="D247" s="28"/>
      <c r="E247" s="28"/>
      <c r="F247" s="31"/>
      <c r="G247" s="21"/>
      <c r="H247" s="22"/>
      <c r="I247" s="23"/>
      <c r="J247" s="24"/>
      <c r="K247" s="25"/>
      <c r="L247" s="23"/>
      <c r="M247" s="23"/>
      <c r="N247" s="24"/>
      <c r="O247" s="24"/>
      <c r="P247" s="25"/>
      <c r="Q247" s="25"/>
    </row>
    <row r="248" spans="1:17" s="20" customFormat="1" x14ac:dyDescent="0.25">
      <c r="A248" s="9"/>
      <c r="B248" s="28"/>
      <c r="C248" s="28"/>
      <c r="D248" s="28"/>
      <c r="E248" s="28"/>
      <c r="F248" s="31"/>
      <c r="G248" s="21"/>
      <c r="H248" s="22"/>
      <c r="I248" s="23"/>
      <c r="J248" s="24"/>
      <c r="K248" s="25"/>
      <c r="L248" s="23"/>
      <c r="M248" s="23"/>
      <c r="N248" s="24"/>
      <c r="O248" s="24"/>
      <c r="P248" s="25"/>
      <c r="Q248" s="25"/>
    </row>
    <row r="249" spans="1:17" s="20" customFormat="1" x14ac:dyDescent="0.25">
      <c r="A249" s="9"/>
      <c r="B249" s="28"/>
      <c r="C249" s="28"/>
      <c r="D249" s="28"/>
      <c r="E249" s="28"/>
      <c r="F249" s="31"/>
      <c r="G249" s="21"/>
      <c r="H249" s="22"/>
      <c r="I249" s="23"/>
      <c r="J249" s="24"/>
      <c r="K249" s="25"/>
      <c r="L249" s="23"/>
      <c r="M249" s="23"/>
      <c r="N249" s="24"/>
      <c r="O249" s="24"/>
      <c r="P249" s="25"/>
      <c r="Q249" s="25"/>
    </row>
    <row r="250" spans="1:17" s="20" customFormat="1" x14ac:dyDescent="0.25">
      <c r="A250" s="9"/>
      <c r="B250" s="28"/>
      <c r="C250" s="28"/>
      <c r="D250" s="28"/>
      <c r="E250" s="28"/>
      <c r="F250" s="31"/>
      <c r="G250" s="21"/>
      <c r="H250" s="22"/>
      <c r="I250" s="23"/>
      <c r="J250" s="24"/>
      <c r="K250" s="25"/>
      <c r="L250" s="23"/>
      <c r="M250" s="23"/>
      <c r="N250" s="24"/>
      <c r="O250" s="24"/>
      <c r="P250" s="25"/>
      <c r="Q250" s="25"/>
    </row>
    <row r="251" spans="1:17" s="20" customFormat="1" x14ac:dyDescent="0.25">
      <c r="A251" s="9"/>
      <c r="B251" s="28"/>
      <c r="C251" s="28"/>
      <c r="D251" s="28"/>
      <c r="E251" s="28"/>
      <c r="F251" s="31"/>
      <c r="G251" s="21"/>
      <c r="H251" s="22"/>
      <c r="I251" s="23"/>
      <c r="J251" s="24"/>
      <c r="K251" s="25"/>
      <c r="L251" s="23"/>
      <c r="M251" s="23"/>
      <c r="N251" s="24"/>
      <c r="O251" s="24"/>
      <c r="P251" s="25"/>
      <c r="Q251" s="25"/>
    </row>
    <row r="252" spans="1:17" s="20" customFormat="1" x14ac:dyDescent="0.25">
      <c r="A252" s="9"/>
      <c r="B252" s="28"/>
      <c r="C252" s="28"/>
      <c r="D252" s="28"/>
      <c r="E252" s="28"/>
      <c r="F252" s="31"/>
      <c r="G252" s="21"/>
      <c r="H252" s="22"/>
      <c r="I252" s="23"/>
      <c r="J252" s="24"/>
      <c r="K252" s="25"/>
      <c r="L252" s="23"/>
      <c r="M252" s="23"/>
      <c r="N252" s="24"/>
      <c r="O252" s="24"/>
      <c r="P252" s="25"/>
      <c r="Q252" s="25"/>
    </row>
    <row r="253" spans="1:17" s="20" customFormat="1" x14ac:dyDescent="0.25">
      <c r="A253" s="9"/>
      <c r="B253" s="28"/>
      <c r="C253" s="28"/>
      <c r="D253" s="28"/>
      <c r="E253" s="28"/>
      <c r="F253" s="31"/>
      <c r="G253" s="21"/>
      <c r="H253" s="22"/>
      <c r="I253" s="23"/>
      <c r="J253" s="24"/>
      <c r="K253" s="25"/>
      <c r="L253" s="23"/>
      <c r="M253" s="23"/>
      <c r="N253" s="24"/>
      <c r="O253" s="24"/>
      <c r="P253" s="25"/>
      <c r="Q253" s="25"/>
    </row>
    <row r="254" spans="1:17" s="20" customFormat="1" x14ac:dyDescent="0.25">
      <c r="A254" s="9"/>
      <c r="B254" s="28"/>
      <c r="C254" s="28"/>
      <c r="D254" s="28"/>
      <c r="E254" s="28"/>
      <c r="F254" s="31"/>
      <c r="G254" s="21"/>
      <c r="H254" s="22"/>
      <c r="I254" s="23"/>
      <c r="J254" s="24"/>
      <c r="K254" s="25"/>
      <c r="L254" s="23"/>
      <c r="M254" s="23"/>
      <c r="N254" s="24"/>
      <c r="O254" s="24"/>
      <c r="P254" s="25"/>
      <c r="Q254" s="25"/>
    </row>
    <row r="255" spans="1:17" s="20" customFormat="1" x14ac:dyDescent="0.25">
      <c r="A255" s="9"/>
      <c r="B255" s="28"/>
      <c r="C255" s="28"/>
      <c r="D255" s="28"/>
      <c r="E255" s="28"/>
      <c r="F255" s="31"/>
      <c r="G255" s="21"/>
      <c r="H255" s="22"/>
      <c r="I255" s="23"/>
      <c r="J255" s="24"/>
      <c r="K255" s="25"/>
      <c r="L255" s="23"/>
      <c r="M255" s="23"/>
      <c r="N255" s="24"/>
      <c r="O255" s="24"/>
      <c r="P255" s="25"/>
      <c r="Q255" s="25"/>
    </row>
    <row r="256" spans="1:17"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G268" s="21"/>
      <c r="H268" s="22"/>
      <c r="I268" s="23"/>
      <c r="J268" s="24"/>
      <c r="K268" s="25"/>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sheetData>
  <sheetProtection formatCells="0" insertRows="0"/>
  <conditionalFormatting sqref="G182:G186 L164:Q166 G159:G179 G2:Q7 L42:Q42 H41:Q41 G1:L1 N1:Q1 G23:Q25 G8:K22 N8:Q22 G27:K40 N27:Q40 L54:Q54 N43:Q53 L66:Q66 N55:Q65 L73:Q73 N67:Q72 L91:Q91 G52:G73 N75:Q90 H42:K73 G75:K157 L75:M75 G74:Q74 G187:Q1048576 L104:Q104 N92:Q103 L113:Q113 N105:Q112 L124:Q126 N114:Q123 L128:Q129 N127:Q127 L131:Q131 N130:Q130 L133:Q133 N132:Q132 L135:Q135 N134:Q134 L137:Q137 N136:Q136 L140:Q150 N138:Q139 L157:Q157 N151:Q156 N159:Q163 L173:Q173 N167:Q172 L179:Q179 N174:Q178 N180:Q186">
    <cfRule type="expression" dxfId="91" priority="75">
      <formula>($B1=6)</formula>
    </cfRule>
  </conditionalFormatting>
  <conditionalFormatting sqref="G180:G181">
    <cfRule type="expression" dxfId="90" priority="74">
      <formula>($B180=6)</formula>
    </cfRule>
  </conditionalFormatting>
  <conditionalFormatting sqref="H182:K186 H159:K179">
    <cfRule type="expression" dxfId="89" priority="73">
      <formula>($B159=6)</formula>
    </cfRule>
  </conditionalFormatting>
  <conditionalFormatting sqref="H180:K181">
    <cfRule type="expression" dxfId="88" priority="72">
      <formula>($B180=6)</formula>
    </cfRule>
  </conditionalFormatting>
  <conditionalFormatting sqref="G158 N158:Q158">
    <cfRule type="expression" dxfId="87" priority="71">
      <formula>($B158=6)</formula>
    </cfRule>
  </conditionalFormatting>
  <conditionalFormatting sqref="H158:K158">
    <cfRule type="expression" dxfId="86" priority="70">
      <formula>($B158=6)</formula>
    </cfRule>
  </conditionalFormatting>
  <conditionalFormatting sqref="G26 L26:Q26">
    <cfRule type="expression" dxfId="85" priority="69">
      <formula>($B26=6)</formula>
    </cfRule>
  </conditionalFormatting>
  <conditionalFormatting sqref="H26:K26">
    <cfRule type="expression" dxfId="84" priority="68">
      <formula>($B26=6)</formula>
    </cfRule>
  </conditionalFormatting>
  <conditionalFormatting sqref="M80">
    <cfRule type="expression" dxfId="83" priority="41">
      <formula>($B80=6)</formula>
    </cfRule>
  </conditionalFormatting>
  <conditionalFormatting sqref="M1">
    <cfRule type="expression" dxfId="82" priority="63">
      <formula>($B1=6)</formula>
    </cfRule>
  </conditionalFormatting>
  <conditionalFormatting sqref="L9:M22">
    <cfRule type="expression" dxfId="81" priority="62">
      <formula>($B9=6)</formula>
    </cfRule>
  </conditionalFormatting>
  <conditionalFormatting sqref="L8">
    <cfRule type="expression" dxfId="80" priority="61">
      <formula>($B8=6)</formula>
    </cfRule>
  </conditionalFormatting>
  <conditionalFormatting sqref="M8">
    <cfRule type="expression" dxfId="79" priority="60">
      <formula>($B8=6)</formula>
    </cfRule>
  </conditionalFormatting>
  <conditionalFormatting sqref="L28:M40">
    <cfRule type="expression" dxfId="78" priority="59">
      <formula>($B28=6)</formula>
    </cfRule>
  </conditionalFormatting>
  <conditionalFormatting sqref="L27">
    <cfRule type="expression" dxfId="77" priority="58">
      <formula>($B27=6)</formula>
    </cfRule>
  </conditionalFormatting>
  <conditionalFormatting sqref="M27">
    <cfRule type="expression" dxfId="76" priority="57">
      <formula>($B27=6)</formula>
    </cfRule>
  </conditionalFormatting>
  <conditionalFormatting sqref="L43:M53">
    <cfRule type="expression" dxfId="75" priority="56">
      <formula>($B43=6)</formula>
    </cfRule>
  </conditionalFormatting>
  <conditionalFormatting sqref="L55:M65">
    <cfRule type="expression" dxfId="74" priority="55">
      <formula>($B55=6)</formula>
    </cfRule>
  </conditionalFormatting>
  <conditionalFormatting sqref="L67:M72">
    <cfRule type="expression" dxfId="73" priority="54">
      <formula>($B67=6)</formula>
    </cfRule>
  </conditionalFormatting>
  <conditionalFormatting sqref="L82:M90">
    <cfRule type="expression" dxfId="72" priority="53">
      <formula>($B82=6)</formula>
    </cfRule>
  </conditionalFormatting>
  <conditionalFormatting sqref="L76">
    <cfRule type="expression" dxfId="71" priority="52">
      <formula>($B76=6)</formula>
    </cfRule>
  </conditionalFormatting>
  <conditionalFormatting sqref="M76">
    <cfRule type="expression" dxfId="70" priority="51">
      <formula>($B76=6)</formula>
    </cfRule>
  </conditionalFormatting>
  <conditionalFormatting sqref="L77">
    <cfRule type="expression" dxfId="69" priority="50">
      <formula>($B77=6)</formula>
    </cfRule>
  </conditionalFormatting>
  <conditionalFormatting sqref="M77">
    <cfRule type="expression" dxfId="68" priority="49">
      <formula>($B77=6)</formula>
    </cfRule>
  </conditionalFormatting>
  <conditionalFormatting sqref="L78">
    <cfRule type="expression" dxfId="67" priority="48">
      <formula>($B78=6)</formula>
    </cfRule>
  </conditionalFormatting>
  <conditionalFormatting sqref="M78">
    <cfRule type="expression" dxfId="66" priority="47">
      <formula>($B78=6)</formula>
    </cfRule>
  </conditionalFormatting>
  <conditionalFormatting sqref="L79">
    <cfRule type="expression" dxfId="65" priority="46">
      <formula>($B79=6)</formula>
    </cfRule>
  </conditionalFormatting>
  <conditionalFormatting sqref="M79">
    <cfRule type="expression" dxfId="64" priority="45">
      <formula>($B79=6)</formula>
    </cfRule>
  </conditionalFormatting>
  <conditionalFormatting sqref="L81">
    <cfRule type="expression" dxfId="63" priority="44">
      <formula>($B81=6)</formula>
    </cfRule>
  </conditionalFormatting>
  <conditionalFormatting sqref="M81">
    <cfRule type="expression" dxfId="62" priority="43">
      <formula>($B81=6)</formula>
    </cfRule>
  </conditionalFormatting>
  <conditionalFormatting sqref="L80">
    <cfRule type="expression" dxfId="61" priority="42">
      <formula>($B80=6)</formula>
    </cfRule>
  </conditionalFormatting>
  <conditionalFormatting sqref="L92:M93 L99:M103">
    <cfRule type="expression" dxfId="60" priority="40">
      <formula>($B92=6)</formula>
    </cfRule>
  </conditionalFormatting>
  <conditionalFormatting sqref="L94">
    <cfRule type="expression" dxfId="59" priority="39">
      <formula>($B94=6)</formula>
    </cfRule>
  </conditionalFormatting>
  <conditionalFormatting sqref="M94">
    <cfRule type="expression" dxfId="58" priority="38">
      <formula>($B94=6)</formula>
    </cfRule>
  </conditionalFormatting>
  <conditionalFormatting sqref="L95">
    <cfRule type="expression" dxfId="57" priority="37">
      <formula>($B95=6)</formula>
    </cfRule>
  </conditionalFormatting>
  <conditionalFormatting sqref="M95">
    <cfRule type="expression" dxfId="56" priority="36">
      <formula>($B95=6)</formula>
    </cfRule>
  </conditionalFormatting>
  <conditionalFormatting sqref="L96">
    <cfRule type="expression" dxfId="55" priority="35">
      <formula>($B96=6)</formula>
    </cfRule>
  </conditionalFormatting>
  <conditionalFormatting sqref="M96">
    <cfRule type="expression" dxfId="54" priority="34">
      <formula>($B96=6)</formula>
    </cfRule>
  </conditionalFormatting>
  <conditionalFormatting sqref="L97">
    <cfRule type="expression" dxfId="53" priority="33">
      <formula>($B97=6)</formula>
    </cfRule>
  </conditionalFormatting>
  <conditionalFormatting sqref="M97">
    <cfRule type="expression" dxfId="52" priority="32">
      <formula>($B97=6)</formula>
    </cfRule>
  </conditionalFormatting>
  <conditionalFormatting sqref="L98">
    <cfRule type="expression" dxfId="51" priority="31">
      <formula>($B98=6)</formula>
    </cfRule>
  </conditionalFormatting>
  <conditionalFormatting sqref="M98">
    <cfRule type="expression" dxfId="50" priority="30">
      <formula>($B98=6)</formula>
    </cfRule>
  </conditionalFormatting>
  <conditionalFormatting sqref="L106:M106 L109:M112">
    <cfRule type="expression" dxfId="49" priority="29">
      <formula>($B106=6)</formula>
    </cfRule>
  </conditionalFormatting>
  <conditionalFormatting sqref="L105">
    <cfRule type="expression" dxfId="48" priority="28">
      <formula>($B105=6)</formula>
    </cfRule>
  </conditionalFormatting>
  <conditionalFormatting sqref="M105">
    <cfRule type="expression" dxfId="47" priority="27">
      <formula>($B105=6)</formula>
    </cfRule>
  </conditionalFormatting>
  <conditionalFormatting sqref="L107">
    <cfRule type="expression" dxfId="46" priority="26">
      <formula>($B107=6)</formula>
    </cfRule>
  </conditionalFormatting>
  <conditionalFormatting sqref="M107">
    <cfRule type="expression" dxfId="45" priority="25">
      <formula>($B107=6)</formula>
    </cfRule>
  </conditionalFormatting>
  <conditionalFormatting sqref="L108">
    <cfRule type="expression" dxfId="44" priority="24">
      <formula>($B108=6)</formula>
    </cfRule>
  </conditionalFormatting>
  <conditionalFormatting sqref="M108">
    <cfRule type="expression" dxfId="43" priority="23">
      <formula>($B108=6)</formula>
    </cfRule>
  </conditionalFormatting>
  <conditionalFormatting sqref="L114:M123">
    <cfRule type="expression" dxfId="42" priority="22">
      <formula>($B114=6)</formula>
    </cfRule>
  </conditionalFormatting>
  <conditionalFormatting sqref="L127:M127">
    <cfRule type="expression" dxfId="41" priority="21">
      <formula>($B127=6)</formula>
    </cfRule>
  </conditionalFormatting>
  <conditionalFormatting sqref="L130:M130">
    <cfRule type="expression" dxfId="40" priority="20">
      <formula>($B130=6)</formula>
    </cfRule>
  </conditionalFormatting>
  <conditionalFormatting sqref="L132:M132">
    <cfRule type="expression" dxfId="39" priority="19">
      <formula>($B132=6)</formula>
    </cfRule>
  </conditionalFormatting>
  <conditionalFormatting sqref="L134:M134">
    <cfRule type="expression" dxfId="38" priority="18">
      <formula>($B134=6)</formula>
    </cfRule>
  </conditionalFormatting>
  <conditionalFormatting sqref="L136:M136">
    <cfRule type="expression" dxfId="37" priority="17">
      <formula>($B136=6)</formula>
    </cfRule>
  </conditionalFormatting>
  <conditionalFormatting sqref="L138:M139">
    <cfRule type="expression" dxfId="36" priority="16">
      <formula>($B138=6)</formula>
    </cfRule>
  </conditionalFormatting>
  <conditionalFormatting sqref="L152:M156">
    <cfRule type="expression" dxfId="35" priority="15">
      <formula>($B152=6)</formula>
    </cfRule>
  </conditionalFormatting>
  <conditionalFormatting sqref="L151">
    <cfRule type="expression" dxfId="34" priority="14">
      <formula>($B151=6)</formula>
    </cfRule>
  </conditionalFormatting>
  <conditionalFormatting sqref="M151">
    <cfRule type="expression" dxfId="33" priority="13">
      <formula>($B151=6)</formula>
    </cfRule>
  </conditionalFormatting>
  <conditionalFormatting sqref="L159:M163">
    <cfRule type="expression" dxfId="32" priority="12">
      <formula>($B159=6)</formula>
    </cfRule>
  </conditionalFormatting>
  <conditionalFormatting sqref="L158">
    <cfRule type="expression" dxfId="31" priority="11">
      <formula>($B158=6)</formula>
    </cfRule>
  </conditionalFormatting>
  <conditionalFormatting sqref="M158">
    <cfRule type="expression" dxfId="30" priority="10">
      <formula>($B158=6)</formula>
    </cfRule>
  </conditionalFormatting>
  <conditionalFormatting sqref="L168:M172">
    <cfRule type="expression" dxfId="29" priority="9">
      <formula>($B168=6)</formula>
    </cfRule>
  </conditionalFormatting>
  <conditionalFormatting sqref="L167">
    <cfRule type="expression" dxfId="28" priority="8">
      <formula>($B167=6)</formula>
    </cfRule>
  </conditionalFormatting>
  <conditionalFormatting sqref="M167">
    <cfRule type="expression" dxfId="27" priority="7">
      <formula>($B167=6)</formula>
    </cfRule>
  </conditionalFormatting>
  <conditionalFormatting sqref="L175:M178">
    <cfRule type="expression" dxfId="26" priority="6">
      <formula>($B175=6)</formula>
    </cfRule>
  </conditionalFormatting>
  <conditionalFormatting sqref="L174">
    <cfRule type="expression" dxfId="25" priority="5">
      <formula>($B174=6)</formula>
    </cfRule>
  </conditionalFormatting>
  <conditionalFormatting sqref="M174">
    <cfRule type="expression" dxfId="24" priority="4">
      <formula>($B174=6)</formula>
    </cfRule>
  </conditionalFormatting>
  <conditionalFormatting sqref="L181:M186">
    <cfRule type="expression" dxfId="23" priority="3">
      <formula>($B181=6)</formula>
    </cfRule>
  </conditionalFormatting>
  <conditionalFormatting sqref="L180">
    <cfRule type="expression" dxfId="22" priority="2">
      <formula>($B180=6)</formula>
    </cfRule>
  </conditionalFormatting>
  <conditionalFormatting sqref="M180">
    <cfRule type="expression" dxfId="21" priority="1">
      <formula>($B180=6)</formula>
    </cfRule>
  </conditionalFormatting>
  <dataValidations count="1">
    <dataValidation type="list" showInputMessage="1" showErrorMessage="1" sqref="A2:A190">
      <formula1>INDIRECT("txtstylestab[style_Name]")</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E27"/>
  <sheetViews>
    <sheetView workbookViewId="0">
      <selection activeCell="C26" sqref="C26:E26"/>
    </sheetView>
  </sheetViews>
  <sheetFormatPr defaultRowHeight="15" x14ac:dyDescent="0.25"/>
  <cols>
    <col min="1" max="1" width="10.42578125" customWidth="1"/>
    <col min="2" max="2" width="33.140625" customWidth="1"/>
    <col min="3" max="3" width="9.140625" customWidth="1"/>
  </cols>
  <sheetData>
    <row r="1" spans="1:5" x14ac:dyDescent="0.25">
      <c r="A1" t="s">
        <v>8</v>
      </c>
      <c r="B1" t="s">
        <v>9</v>
      </c>
    </row>
    <row r="2" spans="1:5" x14ac:dyDescent="0.25">
      <c r="A2">
        <v>0</v>
      </c>
      <c r="B2" t="s">
        <v>21</v>
      </c>
    </row>
    <row r="3" spans="1:5" x14ac:dyDescent="0.25">
      <c r="A3">
        <v>1</v>
      </c>
      <c r="B3" t="s">
        <v>10</v>
      </c>
    </row>
    <row r="4" spans="1:5" x14ac:dyDescent="0.25">
      <c r="A4">
        <v>2</v>
      </c>
      <c r="B4" t="s">
        <v>11</v>
      </c>
    </row>
    <row r="5" spans="1:5" x14ac:dyDescent="0.25">
      <c r="A5">
        <v>3</v>
      </c>
      <c r="B5" t="s">
        <v>12</v>
      </c>
    </row>
    <row r="6" spans="1:5" x14ac:dyDescent="0.25">
      <c r="A6">
        <v>4</v>
      </c>
      <c r="B6" t="s">
        <v>22</v>
      </c>
    </row>
    <row r="7" spans="1:5" x14ac:dyDescent="0.25">
      <c r="A7">
        <v>5</v>
      </c>
      <c r="B7" t="s">
        <v>23</v>
      </c>
    </row>
    <row r="8" spans="1:5" x14ac:dyDescent="0.25">
      <c r="A8">
        <v>6</v>
      </c>
      <c r="B8" t="s">
        <v>14</v>
      </c>
    </row>
    <row r="9" spans="1:5" x14ac:dyDescent="0.25">
      <c r="A9">
        <v>7</v>
      </c>
      <c r="B9" t="s">
        <v>13</v>
      </c>
    </row>
    <row r="10" spans="1:5" x14ac:dyDescent="0.25">
      <c r="A10">
        <v>8</v>
      </c>
      <c r="B10" t="s">
        <v>15</v>
      </c>
    </row>
    <row r="14" spans="1:5" x14ac:dyDescent="0.25">
      <c r="A14" t="s">
        <v>3497</v>
      </c>
      <c r="B14" t="s">
        <v>3498</v>
      </c>
      <c r="C14" t="s">
        <v>3499</v>
      </c>
      <c r="D14" t="s">
        <v>3500</v>
      </c>
      <c r="E14" t="s">
        <v>3501</v>
      </c>
    </row>
    <row r="15" spans="1:5" x14ac:dyDescent="0.25">
      <c r="A15">
        <v>0</v>
      </c>
      <c r="B15" s="79" t="s">
        <v>1</v>
      </c>
      <c r="C15">
        <v>0</v>
      </c>
      <c r="D15">
        <v>0</v>
      </c>
      <c r="E15">
        <v>0</v>
      </c>
    </row>
    <row r="16" spans="1:5" x14ac:dyDescent="0.25">
      <c r="A16">
        <v>1</v>
      </c>
      <c r="B16" s="79" t="s">
        <v>64</v>
      </c>
      <c r="C16">
        <v>0</v>
      </c>
      <c r="D16">
        <v>0</v>
      </c>
      <c r="E16">
        <v>0</v>
      </c>
    </row>
    <row r="17" spans="1:5" x14ac:dyDescent="0.25">
      <c r="A17">
        <v>2</v>
      </c>
      <c r="B17" s="80" t="s">
        <v>65</v>
      </c>
      <c r="C17">
        <v>83</v>
      </c>
      <c r="D17">
        <v>141</v>
      </c>
      <c r="E17">
        <v>213</v>
      </c>
    </row>
    <row r="18" spans="1:5" x14ac:dyDescent="0.25">
      <c r="A18">
        <v>3</v>
      </c>
      <c r="B18" s="81" t="s">
        <v>66</v>
      </c>
      <c r="C18">
        <v>150</v>
      </c>
      <c r="D18">
        <v>54</v>
      </c>
      <c r="E18">
        <v>52</v>
      </c>
    </row>
    <row r="19" spans="1:5" x14ac:dyDescent="0.25">
      <c r="A19">
        <v>4</v>
      </c>
      <c r="B19" s="82" t="s">
        <v>67</v>
      </c>
      <c r="C19">
        <v>118</v>
      </c>
      <c r="D19">
        <v>147</v>
      </c>
      <c r="E19">
        <v>60</v>
      </c>
    </row>
    <row r="20" spans="1:5" x14ac:dyDescent="0.25">
      <c r="A20">
        <v>5</v>
      </c>
      <c r="B20" s="83" t="s">
        <v>68</v>
      </c>
      <c r="C20">
        <v>151</v>
      </c>
      <c r="D20">
        <v>71</v>
      </c>
      <c r="E20">
        <v>6</v>
      </c>
    </row>
    <row r="21" spans="1:5" x14ac:dyDescent="0.25">
      <c r="A21">
        <v>6</v>
      </c>
      <c r="B21" s="84" t="s">
        <v>69</v>
      </c>
      <c r="C21">
        <v>24</v>
      </c>
      <c r="D21">
        <v>120</v>
      </c>
      <c r="E21">
        <v>32</v>
      </c>
    </row>
    <row r="22" spans="1:5" x14ac:dyDescent="0.25">
      <c r="A22">
        <v>7</v>
      </c>
      <c r="B22" s="85" t="s">
        <v>2331</v>
      </c>
      <c r="C22">
        <v>128</v>
      </c>
      <c r="D22">
        <v>24</v>
      </c>
      <c r="E22">
        <v>192</v>
      </c>
    </row>
    <row r="23" spans="1:5" x14ac:dyDescent="0.25">
      <c r="A23">
        <v>8</v>
      </c>
      <c r="B23" s="86" t="s">
        <v>70</v>
      </c>
      <c r="C23">
        <v>102</v>
      </c>
      <c r="D23">
        <v>80</v>
      </c>
      <c r="E23">
        <v>0</v>
      </c>
    </row>
    <row r="24" spans="1:5" x14ac:dyDescent="0.25">
      <c r="A24">
        <v>9</v>
      </c>
      <c r="B24" s="87" t="s">
        <v>3165</v>
      </c>
      <c r="C24">
        <v>0</v>
      </c>
      <c r="D24">
        <v>160</v>
      </c>
      <c r="E24">
        <v>156</v>
      </c>
    </row>
    <row r="25" spans="1:5" x14ac:dyDescent="0.25">
      <c r="A25">
        <v>10</v>
      </c>
      <c r="B25" s="86" t="s">
        <v>71</v>
      </c>
      <c r="C25">
        <v>102</v>
      </c>
      <c r="D25">
        <v>80</v>
      </c>
      <c r="E25">
        <v>0</v>
      </c>
    </row>
    <row r="26" spans="1:5" x14ac:dyDescent="0.25">
      <c r="A26">
        <v>11</v>
      </c>
      <c r="B26" s="85" t="s">
        <v>72</v>
      </c>
      <c r="C26">
        <v>128</v>
      </c>
      <c r="D26">
        <v>24</v>
      </c>
      <c r="E26">
        <v>192</v>
      </c>
    </row>
    <row r="27" spans="1:5" x14ac:dyDescent="0.25">
      <c r="A27">
        <v>12</v>
      </c>
      <c r="B27" s="79" t="s">
        <v>3502</v>
      </c>
      <c r="C27">
        <v>0</v>
      </c>
      <c r="D27">
        <v>0</v>
      </c>
      <c r="E27">
        <v>0</v>
      </c>
    </row>
  </sheetData>
  <pageMargins left="0.7" right="0.7" top="0.75" bottom="0.75" header="0.3" footer="0.3"/>
  <pageSetup paperSize="9" orientation="portrait" horizontalDpi="1200" verticalDpi="1200"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Основные</vt:lpstr>
      <vt:lpstr>Дополнительные</vt:lpstr>
      <vt:lpstr>Аварийные</vt:lpstr>
      <vt:lpstr>TxtStyles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Богданов Станислав Олегович</dc:creator>
  <cp:lastModifiedBy>Stanislav</cp:lastModifiedBy>
  <dcterms:created xsi:type="dcterms:W3CDTF">2015-04-01T12:41:37Z</dcterms:created>
  <dcterms:modified xsi:type="dcterms:W3CDTF">2016-02-26T21:44:46Z</dcterms:modified>
</cp:coreProperties>
</file>