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240" yWindow="75" windowWidth="15315" windowHeight="10035"/>
  </bookViews>
  <sheets>
    <sheet name="Основные" sheetId="1" r:id="rId1"/>
    <sheet name="Дополнительные" sheetId="5" r:id="rId2"/>
    <sheet name="Аварийные" sheetId="4" r:id="rId3"/>
    <sheet name="TxtStyles" sheetId="2" r:id="rId4"/>
  </sheets>
  <functionGroups builtInGroupCount="17"/>
  <calcPr calcId="145621" concurrentCalc="0"/>
</workbook>
</file>

<file path=xl/calcChain.xml><?xml version="1.0" encoding="utf-8"?>
<calcChain xmlns="http://schemas.openxmlformats.org/spreadsheetml/2006/main">
  <c r="B4" i="1" l="1"/>
  <c r="C4" i="1"/>
  <c r="D4" i="1"/>
  <c r="E4" i="1"/>
  <c r="F4" i="1"/>
  <c r="B5" i="1"/>
  <c r="C5" i="1"/>
  <c r="D5" i="1"/>
  <c r="E5" i="1"/>
  <c r="F5" i="1"/>
  <c r="B6" i="1"/>
  <c r="C6" i="1"/>
  <c r="D6" i="1"/>
  <c r="E6" i="1"/>
  <c r="F6" i="1"/>
  <c r="B7" i="1"/>
  <c r="C7" i="1"/>
  <c r="D7" i="1"/>
  <c r="E7" i="1"/>
  <c r="F7" i="1"/>
  <c r="B8" i="1"/>
  <c r="C8" i="1"/>
  <c r="D8" i="1"/>
  <c r="E8" i="1"/>
  <c r="F8" i="1"/>
  <c r="B9" i="1"/>
  <c r="C9" i="1"/>
  <c r="D9" i="1"/>
  <c r="E9" i="1"/>
  <c r="F9" i="1"/>
  <c r="B10" i="1"/>
  <c r="C10" i="1"/>
  <c r="D10" i="1"/>
  <c r="E10" i="1"/>
  <c r="F10" i="1"/>
  <c r="B11" i="1"/>
  <c r="C11" i="1"/>
  <c r="D11" i="1"/>
  <c r="E11" i="1"/>
  <c r="F11" i="1"/>
  <c r="B12" i="1"/>
  <c r="C12" i="1"/>
  <c r="D12" i="1"/>
  <c r="E12" i="1"/>
  <c r="F12" i="1"/>
  <c r="B13" i="1"/>
  <c r="C13" i="1"/>
  <c r="D13" i="1"/>
  <c r="E13" i="1"/>
  <c r="F13" i="1"/>
  <c r="B14" i="1"/>
  <c r="C14" i="1"/>
  <c r="D14" i="1"/>
  <c r="E14" i="1"/>
  <c r="F14" i="1"/>
  <c r="B15" i="1"/>
  <c r="C15" i="1"/>
  <c r="D15" i="1"/>
  <c r="E15" i="1"/>
  <c r="F15" i="1"/>
  <c r="B16" i="1"/>
  <c r="C16" i="1"/>
  <c r="D16" i="1"/>
  <c r="E16" i="1"/>
  <c r="F16" i="1"/>
  <c r="B17" i="1"/>
  <c r="C17" i="1"/>
  <c r="D17" i="1"/>
  <c r="E17" i="1"/>
  <c r="F17" i="1"/>
  <c r="B18" i="1"/>
  <c r="C18" i="1"/>
  <c r="D18" i="1"/>
  <c r="E18" i="1"/>
  <c r="F18" i="1"/>
  <c r="B19" i="1"/>
  <c r="C19" i="1"/>
  <c r="D19" i="1"/>
  <c r="E19" i="1"/>
  <c r="F19" i="1"/>
  <c r="B20" i="1"/>
  <c r="C20" i="1"/>
  <c r="D20" i="1"/>
  <c r="E20" i="1"/>
  <c r="F20" i="1"/>
  <c r="B21" i="1"/>
  <c r="C21" i="1"/>
  <c r="D21" i="1"/>
  <c r="E21" i="1"/>
  <c r="F21" i="1"/>
  <c r="B22" i="1"/>
  <c r="C22" i="1"/>
  <c r="D22" i="1"/>
  <c r="E22" i="1"/>
  <c r="F22" i="1"/>
  <c r="B23" i="1"/>
  <c r="C23" i="1"/>
  <c r="D23" i="1"/>
  <c r="E23" i="1"/>
  <c r="F23" i="1"/>
  <c r="B24" i="1"/>
  <c r="C24" i="1"/>
  <c r="D24" i="1"/>
  <c r="E24" i="1"/>
  <c r="F24" i="1"/>
  <c r="B25" i="1"/>
  <c r="C25" i="1"/>
  <c r="D25" i="1"/>
  <c r="E25" i="1"/>
  <c r="F25" i="1"/>
  <c r="B26" i="1"/>
  <c r="C26" i="1"/>
  <c r="D26" i="1"/>
  <c r="E26" i="1"/>
  <c r="F26" i="1"/>
  <c r="B27" i="1"/>
  <c r="C27" i="1"/>
  <c r="D27" i="1"/>
  <c r="E27" i="1"/>
  <c r="F27" i="1"/>
  <c r="B28" i="1"/>
  <c r="C28" i="1"/>
  <c r="D28" i="1"/>
  <c r="E28" i="1"/>
  <c r="F28" i="1"/>
  <c r="B29" i="1"/>
  <c r="C29" i="1"/>
  <c r="D29" i="1"/>
  <c r="E29" i="1"/>
  <c r="F29" i="1"/>
  <c r="B30" i="1"/>
  <c r="C30" i="1"/>
  <c r="D30" i="1"/>
  <c r="E30" i="1"/>
  <c r="F30" i="1"/>
  <c r="B31" i="1"/>
  <c r="C31" i="1"/>
  <c r="D31" i="1"/>
  <c r="E31" i="1"/>
  <c r="F31" i="1"/>
  <c r="B32" i="1"/>
  <c r="C32" i="1"/>
  <c r="D32" i="1"/>
  <c r="E32" i="1"/>
  <c r="F32" i="1"/>
  <c r="B33" i="1"/>
  <c r="C33" i="1"/>
  <c r="D33" i="1"/>
  <c r="E33" i="1"/>
  <c r="F33" i="1"/>
  <c r="B34" i="1"/>
  <c r="C34" i="1"/>
  <c r="D34" i="1"/>
  <c r="E34" i="1"/>
  <c r="F34" i="1"/>
  <c r="B35" i="1"/>
  <c r="C35" i="1"/>
  <c r="D35" i="1"/>
  <c r="E35" i="1"/>
  <c r="F35" i="1"/>
  <c r="B36" i="1"/>
  <c r="C36" i="1"/>
  <c r="D36" i="1"/>
  <c r="E36" i="1"/>
  <c r="F36" i="1"/>
  <c r="B37" i="1"/>
  <c r="C37" i="1"/>
  <c r="D37" i="1"/>
  <c r="E37" i="1"/>
  <c r="F37" i="1"/>
  <c r="B38" i="1"/>
  <c r="C38" i="1"/>
  <c r="D38" i="1"/>
  <c r="E38" i="1"/>
  <c r="F38" i="1"/>
  <c r="B39" i="1"/>
  <c r="C39" i="1"/>
  <c r="D39" i="1"/>
  <c r="E39" i="1"/>
  <c r="F39" i="1"/>
  <c r="B40" i="1"/>
  <c r="C40" i="1"/>
  <c r="D40" i="1"/>
  <c r="E40" i="1"/>
  <c r="F40" i="1"/>
  <c r="B41" i="1"/>
  <c r="C41" i="1"/>
  <c r="D41" i="1"/>
  <c r="E41" i="1"/>
  <c r="F41" i="1"/>
  <c r="B42" i="1"/>
  <c r="C42" i="1"/>
  <c r="D42" i="1"/>
  <c r="E42" i="1"/>
  <c r="F42" i="1"/>
  <c r="B43" i="1"/>
  <c r="C43" i="1"/>
  <c r="D43" i="1"/>
  <c r="E43" i="1"/>
  <c r="F43" i="1"/>
  <c r="B44" i="1"/>
  <c r="C44" i="1"/>
  <c r="D44" i="1"/>
  <c r="E44" i="1"/>
  <c r="F44" i="1"/>
  <c r="B45" i="1"/>
  <c r="C45" i="1"/>
  <c r="D45" i="1"/>
  <c r="E45" i="1"/>
  <c r="F45" i="1"/>
  <c r="B46" i="1"/>
  <c r="C46" i="1"/>
  <c r="D46" i="1"/>
  <c r="E46" i="1"/>
  <c r="F46" i="1"/>
  <c r="B47" i="1"/>
  <c r="C47" i="1"/>
  <c r="D47" i="1"/>
  <c r="E47" i="1"/>
  <c r="F47" i="1"/>
  <c r="B48" i="1"/>
  <c r="C48" i="1"/>
  <c r="D48" i="1"/>
  <c r="E48" i="1"/>
  <c r="F48" i="1"/>
  <c r="B49" i="1"/>
  <c r="C49" i="1"/>
  <c r="D49" i="1"/>
  <c r="E49" i="1"/>
  <c r="F49" i="1"/>
  <c r="B50" i="1"/>
  <c r="C50" i="1"/>
  <c r="D50" i="1"/>
  <c r="E50" i="1"/>
  <c r="F50" i="1"/>
  <c r="B51" i="1"/>
  <c r="C51" i="1"/>
  <c r="D51" i="1"/>
  <c r="E51" i="1"/>
  <c r="F51" i="1"/>
  <c r="B52" i="1"/>
  <c r="C52" i="1"/>
  <c r="D52" i="1"/>
  <c r="E52" i="1"/>
  <c r="F52" i="1"/>
  <c r="B53" i="1"/>
  <c r="C53" i="1"/>
  <c r="D53" i="1"/>
  <c r="E53" i="1"/>
  <c r="F53" i="1"/>
  <c r="B54" i="1"/>
  <c r="C54" i="1"/>
  <c r="D54" i="1"/>
  <c r="E54" i="1"/>
  <c r="F54" i="1"/>
  <c r="B55" i="1"/>
  <c r="C55" i="1"/>
  <c r="D55" i="1"/>
  <c r="E55" i="1"/>
  <c r="F55" i="1"/>
  <c r="B56" i="1"/>
  <c r="C56" i="1"/>
  <c r="D56" i="1"/>
  <c r="E56" i="1"/>
  <c r="F56" i="1"/>
  <c r="B57" i="1"/>
  <c r="C57" i="1"/>
  <c r="D57" i="1"/>
  <c r="E57" i="1"/>
  <c r="F57" i="1"/>
  <c r="B58" i="1"/>
  <c r="C58" i="1"/>
  <c r="D58" i="1"/>
  <c r="E58" i="1"/>
  <c r="F58" i="1"/>
  <c r="B59" i="1"/>
  <c r="C59" i="1"/>
  <c r="D59" i="1"/>
  <c r="E59" i="1"/>
  <c r="F59" i="1"/>
  <c r="B60" i="1"/>
  <c r="C60" i="1"/>
  <c r="D60" i="1"/>
  <c r="E60" i="1"/>
  <c r="F60" i="1"/>
  <c r="B61" i="1"/>
  <c r="C61" i="1"/>
  <c r="D61" i="1"/>
  <c r="E61" i="1"/>
  <c r="F61" i="1"/>
  <c r="B62" i="1"/>
  <c r="C62" i="1"/>
  <c r="D62" i="1"/>
  <c r="E62" i="1"/>
  <c r="F62" i="1"/>
  <c r="B63" i="1"/>
  <c r="C63" i="1"/>
  <c r="D63" i="1"/>
  <c r="E63" i="1"/>
  <c r="F63" i="1"/>
  <c r="B64" i="1"/>
  <c r="C64" i="1"/>
  <c r="D64" i="1"/>
  <c r="E64" i="1"/>
  <c r="F64" i="1"/>
  <c r="B65" i="1"/>
  <c r="C65" i="1"/>
  <c r="D65" i="1"/>
  <c r="E65" i="1"/>
  <c r="F65" i="1"/>
  <c r="B66" i="1"/>
  <c r="C66" i="1"/>
  <c r="D66" i="1"/>
  <c r="E66" i="1"/>
  <c r="F66" i="1"/>
  <c r="B67" i="1"/>
  <c r="C67" i="1"/>
  <c r="D67" i="1"/>
  <c r="E67" i="1"/>
  <c r="F67" i="1"/>
  <c r="B68" i="1"/>
  <c r="C68" i="1"/>
  <c r="D68" i="1"/>
  <c r="E68" i="1"/>
  <c r="F68" i="1"/>
  <c r="B69" i="1"/>
  <c r="C69" i="1"/>
  <c r="D69" i="1"/>
  <c r="E69" i="1"/>
  <c r="F69" i="1"/>
  <c r="B70" i="1"/>
  <c r="C70" i="1"/>
  <c r="D70" i="1"/>
  <c r="E70" i="1"/>
  <c r="F70" i="1"/>
  <c r="B71" i="1"/>
  <c r="C71" i="1"/>
  <c r="D71" i="1"/>
  <c r="E71" i="1"/>
  <c r="F71" i="1"/>
  <c r="B72" i="1"/>
  <c r="C72" i="1"/>
  <c r="D72" i="1"/>
  <c r="E72" i="1"/>
  <c r="F72" i="1"/>
  <c r="B73" i="1"/>
  <c r="C73" i="1"/>
  <c r="D73" i="1"/>
  <c r="E73" i="1"/>
  <c r="F73" i="1"/>
  <c r="B74" i="1"/>
  <c r="C74" i="1"/>
  <c r="D74" i="1"/>
  <c r="E74" i="1"/>
  <c r="F74" i="1"/>
  <c r="B75" i="1"/>
  <c r="C75" i="1"/>
  <c r="D75" i="1"/>
  <c r="E75" i="1"/>
  <c r="F75" i="1"/>
  <c r="B76" i="1"/>
  <c r="C76" i="1"/>
  <c r="D76" i="1"/>
  <c r="E76" i="1"/>
  <c r="F76" i="1"/>
  <c r="B77" i="1"/>
  <c r="C77" i="1"/>
  <c r="D77" i="1"/>
  <c r="E77" i="1"/>
  <c r="F77" i="1"/>
  <c r="B78" i="1"/>
  <c r="C78" i="1"/>
  <c r="D78" i="1"/>
  <c r="E78" i="1"/>
  <c r="F78" i="1"/>
  <c r="B79" i="1"/>
  <c r="C79" i="1"/>
  <c r="D79" i="1"/>
  <c r="E79" i="1"/>
  <c r="F79" i="1"/>
  <c r="B80" i="1"/>
  <c r="C80" i="1"/>
  <c r="D80" i="1"/>
  <c r="E80" i="1"/>
  <c r="F80" i="1"/>
  <c r="B81" i="1"/>
  <c r="C81" i="1"/>
  <c r="D81" i="1"/>
  <c r="E81" i="1"/>
  <c r="F81" i="1"/>
  <c r="B82" i="1"/>
  <c r="C82" i="1"/>
  <c r="D82" i="1"/>
  <c r="E82" i="1"/>
  <c r="F82" i="1"/>
  <c r="B83" i="1"/>
  <c r="C83" i="1"/>
  <c r="D83" i="1"/>
  <c r="E83" i="1"/>
  <c r="F83" i="1"/>
  <c r="B84" i="1"/>
  <c r="C84" i="1"/>
  <c r="D84" i="1"/>
  <c r="E84" i="1"/>
  <c r="F84" i="1"/>
  <c r="B85" i="1"/>
  <c r="C85" i="1"/>
  <c r="D85" i="1"/>
  <c r="E85" i="1"/>
  <c r="F85" i="1"/>
  <c r="B86" i="1"/>
  <c r="C86" i="1"/>
  <c r="D86" i="1"/>
  <c r="E86" i="1"/>
  <c r="F86" i="1"/>
  <c r="B87" i="1"/>
  <c r="C87" i="1"/>
  <c r="D87" i="1"/>
  <c r="E87" i="1"/>
  <c r="F87" i="1"/>
  <c r="B88" i="1"/>
  <c r="C88" i="1"/>
  <c r="D88" i="1"/>
  <c r="E88" i="1"/>
  <c r="F88" i="1"/>
  <c r="B89" i="1"/>
  <c r="C89" i="1"/>
  <c r="D89" i="1"/>
  <c r="E89" i="1"/>
  <c r="F89" i="1"/>
  <c r="B90" i="1"/>
  <c r="C90" i="1"/>
  <c r="D90" i="1"/>
  <c r="E90" i="1"/>
  <c r="F90" i="1"/>
  <c r="B91" i="1"/>
  <c r="C91" i="1"/>
  <c r="D91" i="1"/>
  <c r="E91" i="1"/>
  <c r="F91" i="1"/>
  <c r="B92" i="1"/>
  <c r="C92" i="1"/>
  <c r="D92" i="1"/>
  <c r="E92" i="1"/>
  <c r="F92" i="1"/>
  <c r="B93" i="1"/>
  <c r="C93" i="1"/>
  <c r="D93" i="1"/>
  <c r="E93" i="1"/>
  <c r="F93" i="1"/>
  <c r="B94" i="1"/>
  <c r="C94" i="1"/>
  <c r="D94" i="1"/>
  <c r="E94" i="1"/>
  <c r="F94" i="1"/>
  <c r="B95" i="1"/>
  <c r="C95" i="1"/>
  <c r="D95" i="1"/>
  <c r="E95" i="1"/>
  <c r="F95" i="1"/>
  <c r="B96" i="1"/>
  <c r="C96" i="1"/>
  <c r="D96" i="1"/>
  <c r="E96" i="1"/>
  <c r="F96" i="1"/>
  <c r="B97" i="1"/>
  <c r="C97" i="1"/>
  <c r="D97" i="1"/>
  <c r="E97" i="1"/>
  <c r="F97" i="1"/>
  <c r="B98" i="1"/>
  <c r="C98" i="1"/>
  <c r="D98" i="1"/>
  <c r="E98" i="1"/>
  <c r="F98" i="1"/>
  <c r="B99" i="1"/>
  <c r="C99" i="1"/>
  <c r="D99" i="1"/>
  <c r="E99" i="1"/>
  <c r="F99" i="1"/>
  <c r="B100" i="1"/>
  <c r="C100" i="1"/>
  <c r="D100" i="1"/>
  <c r="E100" i="1"/>
  <c r="F100" i="1"/>
  <c r="B101" i="1"/>
  <c r="C101" i="1"/>
  <c r="D101" i="1"/>
  <c r="E101" i="1"/>
  <c r="F101" i="1"/>
  <c r="B102" i="1"/>
  <c r="C102" i="1"/>
  <c r="D102" i="1"/>
  <c r="E102" i="1"/>
  <c r="F102" i="1"/>
  <c r="B103" i="1"/>
  <c r="C103" i="1"/>
  <c r="D103" i="1"/>
  <c r="E103" i="1"/>
  <c r="F103" i="1"/>
  <c r="B104" i="1"/>
  <c r="C104" i="1"/>
  <c r="D104" i="1"/>
  <c r="E104" i="1"/>
  <c r="F104" i="1"/>
  <c r="B105" i="1"/>
  <c r="C105" i="1"/>
  <c r="D105" i="1"/>
  <c r="E105" i="1"/>
  <c r="F105" i="1"/>
  <c r="B106" i="1"/>
  <c r="C106" i="1"/>
  <c r="D106" i="1"/>
  <c r="E106" i="1"/>
  <c r="F106" i="1"/>
  <c r="B107" i="1"/>
  <c r="C107" i="1"/>
  <c r="D107" i="1"/>
  <c r="E107" i="1"/>
  <c r="F107" i="1"/>
  <c r="B108" i="1"/>
  <c r="C108" i="1"/>
  <c r="D108" i="1"/>
  <c r="E108" i="1"/>
  <c r="F108" i="1"/>
  <c r="B109" i="1"/>
  <c r="C109" i="1"/>
  <c r="D109" i="1"/>
  <c r="E109" i="1"/>
  <c r="F109" i="1"/>
  <c r="B110" i="1"/>
  <c r="C110" i="1"/>
  <c r="D110" i="1"/>
  <c r="E110" i="1"/>
  <c r="F110" i="1"/>
  <c r="B111" i="1"/>
  <c r="C111" i="1"/>
  <c r="D111" i="1"/>
  <c r="E111" i="1"/>
  <c r="F111" i="1"/>
  <c r="B112" i="1"/>
  <c r="C112" i="1"/>
  <c r="D112" i="1"/>
  <c r="E112" i="1"/>
  <c r="F112" i="1"/>
  <c r="B113" i="1"/>
  <c r="C113" i="1"/>
  <c r="D113" i="1"/>
  <c r="E113" i="1"/>
  <c r="F113" i="1"/>
  <c r="B114" i="1"/>
  <c r="C114" i="1"/>
  <c r="D114" i="1"/>
  <c r="E114" i="1"/>
  <c r="F114" i="1"/>
  <c r="B115" i="1"/>
  <c r="C115" i="1"/>
  <c r="D115" i="1"/>
  <c r="E115" i="1"/>
  <c r="F115" i="1"/>
  <c r="B116" i="1"/>
  <c r="C116" i="1"/>
  <c r="D116" i="1"/>
  <c r="E116" i="1"/>
  <c r="F116" i="1"/>
  <c r="B117" i="1"/>
  <c r="C117" i="1"/>
  <c r="D117" i="1"/>
  <c r="E117" i="1"/>
  <c r="F117" i="1"/>
  <c r="B118" i="1"/>
  <c r="C118" i="1"/>
  <c r="D118" i="1"/>
  <c r="E118" i="1"/>
  <c r="F118" i="1"/>
  <c r="B119" i="1"/>
  <c r="C119" i="1"/>
  <c r="D119" i="1"/>
  <c r="E119" i="1"/>
  <c r="F119" i="1"/>
  <c r="B120" i="1"/>
  <c r="C120" i="1"/>
  <c r="D120" i="1"/>
  <c r="E120" i="1"/>
  <c r="F120" i="1"/>
  <c r="B121" i="1"/>
  <c r="C121" i="1"/>
  <c r="D121" i="1"/>
  <c r="E121" i="1"/>
  <c r="F121" i="1"/>
  <c r="B122" i="1"/>
  <c r="C122" i="1"/>
  <c r="D122" i="1"/>
  <c r="E122" i="1"/>
  <c r="F122" i="1"/>
  <c r="B123" i="1"/>
  <c r="C123" i="1"/>
  <c r="D123" i="1"/>
  <c r="E123" i="1"/>
  <c r="F123" i="1"/>
  <c r="B124" i="1"/>
  <c r="C124" i="1"/>
  <c r="D124" i="1"/>
  <c r="E124" i="1"/>
  <c r="F124" i="1"/>
  <c r="B125" i="1"/>
  <c r="C125" i="1"/>
  <c r="D125" i="1"/>
  <c r="E125" i="1"/>
  <c r="F125" i="1"/>
  <c r="B126" i="1"/>
  <c r="C126" i="1"/>
  <c r="D126" i="1"/>
  <c r="E126" i="1"/>
  <c r="F126" i="1"/>
  <c r="B127" i="1"/>
  <c r="C127" i="1"/>
  <c r="D127" i="1"/>
  <c r="E127" i="1"/>
  <c r="F127" i="1"/>
  <c r="B128" i="1"/>
  <c r="C128" i="1"/>
  <c r="D128" i="1"/>
  <c r="E128" i="1"/>
  <c r="F128" i="1"/>
  <c r="B129" i="1"/>
  <c r="C129" i="1"/>
  <c r="D129" i="1"/>
  <c r="E129" i="1"/>
  <c r="F129" i="1"/>
  <c r="B130" i="1"/>
  <c r="C130" i="1"/>
  <c r="D130" i="1"/>
  <c r="E130" i="1"/>
  <c r="F130" i="1"/>
  <c r="B131" i="1"/>
  <c r="C131" i="1"/>
  <c r="D131" i="1"/>
  <c r="E131" i="1"/>
  <c r="F131" i="1"/>
  <c r="B132" i="1"/>
  <c r="C132" i="1"/>
  <c r="D132" i="1"/>
  <c r="E132" i="1"/>
  <c r="F132" i="1"/>
  <c r="B133" i="1"/>
  <c r="C133" i="1"/>
  <c r="D133" i="1"/>
  <c r="E133" i="1"/>
  <c r="F133" i="1"/>
  <c r="B134" i="1"/>
  <c r="C134" i="1"/>
  <c r="D134" i="1"/>
  <c r="E134" i="1"/>
  <c r="F134" i="1"/>
  <c r="B135" i="1"/>
  <c r="C135" i="1"/>
  <c r="D135" i="1"/>
  <c r="E135" i="1"/>
  <c r="F135" i="1"/>
  <c r="B136" i="1"/>
  <c r="C136" i="1"/>
  <c r="D136" i="1"/>
  <c r="E136" i="1"/>
  <c r="F136" i="1"/>
  <c r="B137" i="1"/>
  <c r="C137" i="1"/>
  <c r="D137" i="1"/>
  <c r="E137" i="1"/>
  <c r="F137" i="1"/>
  <c r="B138" i="1"/>
  <c r="C138" i="1"/>
  <c r="D138" i="1"/>
  <c r="E138" i="1"/>
  <c r="F138" i="1"/>
  <c r="B139" i="1"/>
  <c r="C139" i="1"/>
  <c r="D139" i="1"/>
  <c r="E139" i="1"/>
  <c r="F139" i="1"/>
  <c r="B140" i="1"/>
  <c r="C140" i="1"/>
  <c r="D140" i="1"/>
  <c r="E140" i="1"/>
  <c r="F140" i="1"/>
  <c r="B141" i="1"/>
  <c r="C141" i="1"/>
  <c r="D141" i="1"/>
  <c r="E141" i="1"/>
  <c r="F141" i="1"/>
  <c r="B142" i="1"/>
  <c r="C142" i="1"/>
  <c r="D142" i="1"/>
  <c r="E142" i="1"/>
  <c r="F142" i="1"/>
  <c r="B143" i="1"/>
  <c r="C143" i="1"/>
  <c r="D143" i="1"/>
  <c r="E143" i="1"/>
  <c r="F143" i="1"/>
  <c r="B144" i="1"/>
  <c r="C144" i="1"/>
  <c r="D144" i="1"/>
  <c r="E144" i="1"/>
  <c r="F144" i="1"/>
  <c r="B145" i="1"/>
  <c r="C145" i="1"/>
  <c r="D145" i="1"/>
  <c r="E145" i="1"/>
  <c r="F145" i="1"/>
  <c r="B146" i="1"/>
  <c r="C146" i="1"/>
  <c r="D146" i="1"/>
  <c r="E146" i="1"/>
  <c r="F146" i="1"/>
  <c r="B147" i="1"/>
  <c r="C147" i="1"/>
  <c r="D147" i="1"/>
  <c r="E147" i="1"/>
  <c r="F147" i="1"/>
  <c r="B148" i="1"/>
  <c r="C148" i="1"/>
  <c r="D148" i="1"/>
  <c r="E148" i="1"/>
  <c r="F148" i="1"/>
  <c r="B149" i="1"/>
  <c r="C149" i="1"/>
  <c r="D149" i="1"/>
  <c r="E149" i="1"/>
  <c r="F149" i="1"/>
  <c r="B150" i="1"/>
  <c r="C150" i="1"/>
  <c r="D150" i="1"/>
  <c r="E150" i="1"/>
  <c r="F150" i="1"/>
  <c r="B151" i="1"/>
  <c r="C151" i="1"/>
  <c r="D151" i="1"/>
  <c r="E151" i="1"/>
  <c r="F151" i="1"/>
  <c r="B152" i="1"/>
  <c r="C152" i="1"/>
  <c r="D152" i="1"/>
  <c r="E152" i="1"/>
  <c r="F152" i="1"/>
  <c r="B153" i="1"/>
  <c r="C153" i="1"/>
  <c r="D153" i="1"/>
  <c r="E153" i="1"/>
  <c r="F153" i="1"/>
  <c r="B154" i="1"/>
  <c r="C154" i="1"/>
  <c r="D154" i="1"/>
  <c r="E154" i="1"/>
  <c r="F154" i="1"/>
  <c r="B155" i="1"/>
  <c r="C155" i="1"/>
  <c r="D155" i="1"/>
  <c r="E155" i="1"/>
  <c r="F155" i="1"/>
  <c r="B156" i="1"/>
  <c r="C156" i="1"/>
  <c r="D156" i="1"/>
  <c r="E156" i="1"/>
  <c r="F156" i="1"/>
  <c r="B157" i="1"/>
  <c r="C157" i="1"/>
  <c r="D157" i="1"/>
  <c r="E157" i="1"/>
  <c r="F157" i="1"/>
  <c r="B158" i="1"/>
  <c r="C158" i="1"/>
  <c r="D158" i="1"/>
  <c r="E158" i="1"/>
  <c r="F158" i="1"/>
  <c r="B159" i="1"/>
  <c r="C159" i="1"/>
  <c r="D159" i="1"/>
  <c r="E159" i="1"/>
  <c r="F159" i="1"/>
  <c r="B160" i="1"/>
  <c r="C160" i="1"/>
  <c r="D160" i="1"/>
  <c r="E160" i="1"/>
  <c r="F160" i="1"/>
  <c r="B161" i="1"/>
  <c r="C161" i="1"/>
  <c r="D161" i="1"/>
  <c r="E161" i="1"/>
  <c r="F161" i="1"/>
  <c r="B162" i="1"/>
  <c r="C162" i="1"/>
  <c r="D162" i="1"/>
  <c r="E162" i="1"/>
  <c r="F162" i="1"/>
  <c r="B163" i="1"/>
  <c r="C163" i="1"/>
  <c r="D163" i="1"/>
  <c r="E163" i="1"/>
  <c r="F163" i="1"/>
  <c r="B164" i="1"/>
  <c r="C164" i="1"/>
  <c r="D164" i="1"/>
  <c r="E164" i="1"/>
  <c r="F164" i="1"/>
  <c r="B165" i="1"/>
  <c r="C165" i="1"/>
  <c r="D165" i="1"/>
  <c r="E165" i="1"/>
  <c r="F165" i="1"/>
  <c r="B166" i="1"/>
  <c r="C166" i="1"/>
  <c r="D166" i="1"/>
  <c r="E166" i="1"/>
  <c r="F166" i="1"/>
  <c r="B167" i="1"/>
  <c r="C167" i="1"/>
  <c r="D167" i="1"/>
  <c r="E167" i="1"/>
  <c r="F167" i="1"/>
  <c r="B168" i="1"/>
  <c r="C168" i="1"/>
  <c r="D168" i="1"/>
  <c r="E168" i="1"/>
  <c r="F168" i="1"/>
  <c r="B169" i="1"/>
  <c r="C169" i="1"/>
  <c r="D169" i="1"/>
  <c r="E169" i="1"/>
  <c r="F169" i="1"/>
  <c r="B170" i="1"/>
  <c r="C170" i="1"/>
  <c r="D170" i="1"/>
  <c r="E170" i="1"/>
  <c r="F170" i="1"/>
  <c r="B171" i="1"/>
  <c r="C171" i="1"/>
  <c r="D171" i="1"/>
  <c r="E171" i="1"/>
  <c r="F171" i="1"/>
  <c r="B172" i="1"/>
  <c r="C172" i="1"/>
  <c r="D172" i="1"/>
  <c r="E172" i="1"/>
  <c r="F172" i="1"/>
  <c r="B173" i="1"/>
  <c r="C173" i="1"/>
  <c r="D173" i="1"/>
  <c r="E173" i="1"/>
  <c r="F173" i="1"/>
  <c r="B174" i="1"/>
  <c r="C174" i="1"/>
  <c r="D174" i="1"/>
  <c r="E174" i="1"/>
  <c r="F174" i="1"/>
  <c r="B175" i="1"/>
  <c r="C175" i="1"/>
  <c r="D175" i="1"/>
  <c r="E175" i="1"/>
  <c r="F175" i="1"/>
  <c r="B176" i="1"/>
  <c r="C176" i="1"/>
  <c r="D176" i="1"/>
  <c r="E176" i="1"/>
  <c r="F176" i="1"/>
  <c r="B177" i="1"/>
  <c r="C177" i="1"/>
  <c r="D177" i="1"/>
  <c r="E177" i="1"/>
  <c r="F177" i="1"/>
  <c r="B178" i="1"/>
  <c r="C178" i="1"/>
  <c r="D178" i="1"/>
  <c r="E178" i="1"/>
  <c r="F178" i="1"/>
  <c r="B179" i="1"/>
  <c r="C179" i="1"/>
  <c r="D179" i="1"/>
  <c r="E179" i="1"/>
  <c r="F179" i="1"/>
  <c r="B180" i="1"/>
  <c r="C180" i="1"/>
  <c r="D180" i="1"/>
  <c r="E180" i="1"/>
  <c r="F180" i="1"/>
  <c r="B181" i="1"/>
  <c r="C181" i="1"/>
  <c r="D181" i="1"/>
  <c r="E181" i="1"/>
  <c r="F181" i="1"/>
  <c r="B182" i="1"/>
  <c r="C182" i="1"/>
  <c r="D182" i="1"/>
  <c r="E182" i="1"/>
  <c r="F182" i="1"/>
  <c r="B183" i="1"/>
  <c r="C183" i="1"/>
  <c r="D183" i="1"/>
  <c r="E183" i="1"/>
  <c r="F183" i="1"/>
  <c r="B184" i="1"/>
  <c r="C184" i="1"/>
  <c r="D184" i="1"/>
  <c r="E184" i="1"/>
  <c r="F184" i="1"/>
  <c r="B185" i="1"/>
  <c r="C185" i="1"/>
  <c r="D185" i="1"/>
  <c r="E185" i="1"/>
  <c r="F185" i="1"/>
  <c r="B186" i="1"/>
  <c r="C186" i="1"/>
  <c r="D186" i="1"/>
  <c r="E186" i="1"/>
  <c r="F186" i="1"/>
  <c r="B187" i="1"/>
  <c r="C187" i="1"/>
  <c r="D187" i="1"/>
  <c r="E187" i="1"/>
  <c r="F187" i="1"/>
  <c r="B188" i="1"/>
  <c r="C188" i="1"/>
  <c r="D188" i="1"/>
  <c r="E188" i="1"/>
  <c r="F188" i="1"/>
  <c r="B189" i="1"/>
  <c r="C189" i="1"/>
  <c r="D189" i="1"/>
  <c r="E189" i="1"/>
  <c r="F189" i="1"/>
  <c r="B190" i="1"/>
  <c r="C190" i="1"/>
  <c r="D190" i="1"/>
  <c r="E190" i="1"/>
  <c r="F190" i="1"/>
  <c r="B191" i="1"/>
  <c r="C191" i="1"/>
  <c r="D191" i="1"/>
  <c r="E191" i="1"/>
  <c r="F191" i="1"/>
  <c r="B192" i="1"/>
  <c r="C192" i="1"/>
  <c r="D192" i="1"/>
  <c r="E192" i="1"/>
  <c r="F192" i="1"/>
  <c r="B193" i="1"/>
  <c r="C193" i="1"/>
  <c r="D193" i="1"/>
  <c r="E193" i="1"/>
  <c r="F193" i="1"/>
  <c r="B194" i="1"/>
  <c r="C194" i="1"/>
  <c r="D194" i="1"/>
  <c r="E194" i="1"/>
  <c r="F194" i="1"/>
  <c r="B195" i="1"/>
  <c r="C195" i="1"/>
  <c r="D195" i="1"/>
  <c r="E195" i="1"/>
  <c r="F195" i="1"/>
  <c r="B196" i="1"/>
  <c r="C196" i="1"/>
  <c r="D196" i="1"/>
  <c r="E196" i="1"/>
  <c r="F196" i="1"/>
  <c r="B197" i="1"/>
  <c r="C197" i="1"/>
  <c r="D197" i="1"/>
  <c r="E197" i="1"/>
  <c r="F197" i="1"/>
  <c r="B198" i="1"/>
  <c r="C198" i="1"/>
  <c r="D198" i="1"/>
  <c r="E198" i="1"/>
  <c r="F198" i="1"/>
  <c r="B199" i="1"/>
  <c r="C199" i="1"/>
  <c r="D199" i="1"/>
  <c r="E199" i="1"/>
  <c r="F199" i="1"/>
  <c r="B200" i="1"/>
  <c r="C200" i="1"/>
  <c r="D200" i="1"/>
  <c r="E200" i="1"/>
  <c r="F200" i="1"/>
  <c r="B201" i="1"/>
  <c r="C201" i="1"/>
  <c r="D201" i="1"/>
  <c r="E201" i="1"/>
  <c r="F201" i="1"/>
  <c r="B202" i="1"/>
  <c r="C202" i="1"/>
  <c r="D202" i="1"/>
  <c r="E202" i="1"/>
  <c r="F202" i="1"/>
  <c r="B203" i="1"/>
  <c r="C203" i="1"/>
  <c r="D203" i="1"/>
  <c r="E203" i="1"/>
  <c r="F203" i="1"/>
  <c r="B204" i="1"/>
  <c r="C204" i="1"/>
  <c r="D204" i="1"/>
  <c r="E204" i="1"/>
  <c r="F204" i="1"/>
  <c r="B205" i="1"/>
  <c r="C205" i="1"/>
  <c r="D205" i="1"/>
  <c r="E205" i="1"/>
  <c r="F205" i="1"/>
  <c r="B206" i="1"/>
  <c r="C206" i="1"/>
  <c r="D206" i="1"/>
  <c r="E206" i="1"/>
  <c r="F206" i="1"/>
  <c r="B207" i="1"/>
  <c r="C207" i="1"/>
  <c r="D207" i="1"/>
  <c r="E207" i="1"/>
  <c r="F207" i="1"/>
  <c r="B208" i="1"/>
  <c r="C208" i="1"/>
  <c r="D208" i="1"/>
  <c r="E208" i="1"/>
  <c r="F208" i="1"/>
  <c r="B209" i="1"/>
  <c r="C209" i="1"/>
  <c r="D209" i="1"/>
  <c r="E209" i="1"/>
  <c r="F209" i="1"/>
  <c r="B210" i="1"/>
  <c r="C210" i="1"/>
  <c r="D210" i="1"/>
  <c r="E210" i="1"/>
  <c r="F210" i="1"/>
  <c r="B211" i="1"/>
  <c r="C211" i="1"/>
  <c r="D211" i="1"/>
  <c r="E211" i="1"/>
  <c r="F211" i="1"/>
  <c r="B212" i="1"/>
  <c r="C212" i="1"/>
  <c r="D212" i="1"/>
  <c r="E212" i="1"/>
  <c r="F212" i="1"/>
  <c r="B213" i="1"/>
  <c r="C213" i="1"/>
  <c r="D213" i="1"/>
  <c r="E213" i="1"/>
  <c r="F213" i="1"/>
  <c r="B214" i="1"/>
  <c r="C214" i="1"/>
  <c r="D214" i="1"/>
  <c r="E214" i="1"/>
  <c r="F214" i="1"/>
  <c r="B215" i="1"/>
  <c r="C215" i="1"/>
  <c r="D215" i="1"/>
  <c r="E215" i="1"/>
  <c r="F215" i="1"/>
  <c r="B216" i="1"/>
  <c r="C216" i="1"/>
  <c r="D216" i="1"/>
  <c r="E216" i="1"/>
  <c r="F216" i="1"/>
  <c r="B217" i="1"/>
  <c r="C217" i="1"/>
  <c r="D217" i="1"/>
  <c r="E217" i="1"/>
  <c r="F217" i="1"/>
  <c r="B218" i="1"/>
  <c r="C218" i="1"/>
  <c r="D218" i="1"/>
  <c r="E218" i="1"/>
  <c r="F218" i="1"/>
  <c r="B219" i="1"/>
  <c r="C219" i="1"/>
  <c r="D219" i="1"/>
  <c r="E219" i="1"/>
  <c r="F219" i="1"/>
  <c r="B220" i="1"/>
  <c r="C220" i="1"/>
  <c r="D220" i="1"/>
  <c r="E220" i="1"/>
  <c r="F220" i="1"/>
  <c r="B221" i="1"/>
  <c r="C221" i="1"/>
  <c r="D221" i="1"/>
  <c r="E221" i="1"/>
  <c r="F221" i="1"/>
  <c r="B222" i="1"/>
  <c r="C222" i="1"/>
  <c r="D222" i="1"/>
  <c r="E222" i="1"/>
  <c r="F222" i="1"/>
  <c r="B223" i="1"/>
  <c r="C223" i="1"/>
  <c r="D223" i="1"/>
  <c r="E223" i="1"/>
  <c r="F223" i="1"/>
  <c r="B224" i="1"/>
  <c r="C224" i="1"/>
  <c r="D224" i="1"/>
  <c r="E224" i="1"/>
  <c r="F224" i="1"/>
  <c r="B225" i="1"/>
  <c r="C225" i="1"/>
  <c r="D225" i="1"/>
  <c r="E225" i="1"/>
  <c r="F225" i="1"/>
  <c r="B226" i="1"/>
  <c r="C226" i="1"/>
  <c r="D226" i="1"/>
  <c r="E226" i="1"/>
  <c r="F226" i="1"/>
  <c r="B227" i="1"/>
  <c r="C227" i="1"/>
  <c r="D227" i="1"/>
  <c r="E227" i="1"/>
  <c r="F227" i="1"/>
  <c r="B228" i="1"/>
  <c r="C228" i="1"/>
  <c r="D228" i="1"/>
  <c r="E228" i="1"/>
  <c r="F228" i="1"/>
  <c r="B229" i="1"/>
  <c r="C229" i="1"/>
  <c r="D229" i="1"/>
  <c r="E229" i="1"/>
  <c r="F229" i="1"/>
  <c r="B230" i="1"/>
  <c r="C230" i="1"/>
  <c r="D230" i="1"/>
  <c r="E230" i="1"/>
  <c r="F230" i="1"/>
  <c r="B231" i="1"/>
  <c r="C231" i="1"/>
  <c r="D231" i="1"/>
  <c r="E231" i="1"/>
  <c r="F231" i="1"/>
  <c r="B232" i="1"/>
  <c r="C232" i="1"/>
  <c r="D232" i="1"/>
  <c r="E232" i="1"/>
  <c r="F232" i="1"/>
  <c r="B233" i="1"/>
  <c r="C233" i="1"/>
  <c r="D233" i="1"/>
  <c r="E233" i="1"/>
  <c r="F233" i="1"/>
  <c r="B234" i="1"/>
  <c r="C234" i="1"/>
  <c r="D234" i="1"/>
  <c r="E234" i="1"/>
  <c r="F234" i="1"/>
  <c r="B235" i="1"/>
  <c r="C235" i="1"/>
  <c r="D235" i="1"/>
  <c r="E235" i="1"/>
  <c r="F235" i="1"/>
  <c r="B236" i="1"/>
  <c r="C236" i="1"/>
  <c r="D236" i="1"/>
  <c r="E236" i="1"/>
  <c r="F236" i="1"/>
  <c r="B237" i="1"/>
  <c r="C237" i="1"/>
  <c r="D237" i="1"/>
  <c r="E237" i="1"/>
  <c r="F237" i="1"/>
  <c r="B238" i="1"/>
  <c r="C238" i="1"/>
  <c r="D238" i="1"/>
  <c r="E238" i="1"/>
  <c r="F238" i="1"/>
  <c r="B239" i="1"/>
  <c r="C239" i="1"/>
  <c r="D239" i="1"/>
  <c r="E239" i="1"/>
  <c r="F239" i="1"/>
  <c r="B240" i="1"/>
  <c r="C240" i="1"/>
  <c r="D240" i="1"/>
  <c r="E240" i="1"/>
  <c r="F240" i="1"/>
  <c r="B241" i="1"/>
  <c r="C241" i="1"/>
  <c r="D241" i="1"/>
  <c r="E241" i="1"/>
  <c r="F241" i="1"/>
  <c r="B242" i="1"/>
  <c r="C242" i="1"/>
  <c r="D242" i="1"/>
  <c r="E242" i="1"/>
  <c r="F242" i="1"/>
  <c r="B243" i="1"/>
  <c r="C243" i="1"/>
  <c r="D243" i="1"/>
  <c r="E243" i="1"/>
  <c r="F243" i="1"/>
  <c r="B244" i="1"/>
  <c r="C244" i="1"/>
  <c r="D244" i="1"/>
  <c r="E244" i="1"/>
  <c r="F244" i="1"/>
  <c r="B245" i="1"/>
  <c r="C245" i="1"/>
  <c r="D245" i="1"/>
  <c r="E245" i="1"/>
  <c r="F245" i="1"/>
  <c r="B246" i="1"/>
  <c r="C246" i="1"/>
  <c r="D246" i="1"/>
  <c r="E246" i="1"/>
  <c r="F246" i="1"/>
  <c r="B247" i="1"/>
  <c r="C247" i="1"/>
  <c r="D247" i="1"/>
  <c r="E247" i="1"/>
  <c r="F247" i="1"/>
  <c r="B248" i="1"/>
  <c r="C248" i="1"/>
  <c r="D248" i="1"/>
  <c r="E248" i="1"/>
  <c r="F248" i="1"/>
  <c r="B249" i="1"/>
  <c r="C249" i="1"/>
  <c r="D249" i="1"/>
  <c r="E249" i="1"/>
  <c r="F249" i="1"/>
  <c r="B250" i="1"/>
  <c r="C250" i="1"/>
  <c r="D250" i="1"/>
  <c r="E250" i="1"/>
  <c r="F250" i="1"/>
  <c r="B251" i="1"/>
  <c r="C251" i="1"/>
  <c r="D251" i="1"/>
  <c r="E251" i="1"/>
  <c r="F251" i="1"/>
  <c r="B252" i="1"/>
  <c r="C252" i="1"/>
  <c r="D252" i="1"/>
  <c r="E252" i="1"/>
  <c r="F252" i="1"/>
  <c r="B253" i="1"/>
  <c r="C253" i="1"/>
  <c r="D253" i="1"/>
  <c r="E253" i="1"/>
  <c r="F253" i="1"/>
  <c r="B254" i="1"/>
  <c r="C254" i="1"/>
  <c r="D254" i="1"/>
  <c r="E254" i="1"/>
  <c r="F254" i="1"/>
  <c r="B255" i="1"/>
  <c r="C255" i="1"/>
  <c r="D255" i="1"/>
  <c r="E255" i="1"/>
  <c r="F255" i="1"/>
  <c r="B256" i="1"/>
  <c r="C256" i="1"/>
  <c r="D256" i="1"/>
  <c r="E256" i="1"/>
  <c r="F256" i="1"/>
  <c r="B257" i="1"/>
  <c r="C257" i="1"/>
  <c r="D257" i="1"/>
  <c r="E257" i="1"/>
  <c r="F257" i="1"/>
  <c r="B258" i="1"/>
  <c r="C258" i="1"/>
  <c r="D258" i="1"/>
  <c r="E258" i="1"/>
  <c r="F258" i="1"/>
  <c r="B259" i="1"/>
  <c r="C259" i="1"/>
  <c r="D259" i="1"/>
  <c r="E259" i="1"/>
  <c r="F259" i="1"/>
  <c r="B260" i="1"/>
  <c r="C260" i="1"/>
  <c r="D260" i="1"/>
  <c r="E260" i="1"/>
  <c r="F260" i="1"/>
  <c r="B261" i="1"/>
  <c r="C261" i="1"/>
  <c r="D261" i="1"/>
  <c r="E261" i="1"/>
  <c r="F261" i="1"/>
  <c r="B262" i="1"/>
  <c r="C262" i="1"/>
  <c r="D262" i="1"/>
  <c r="E262" i="1"/>
  <c r="F262" i="1"/>
  <c r="B263" i="1"/>
  <c r="C263" i="1"/>
  <c r="D263" i="1"/>
  <c r="E263" i="1"/>
  <c r="F263" i="1"/>
  <c r="B264" i="1"/>
  <c r="C264" i="1"/>
  <c r="D264" i="1"/>
  <c r="E264" i="1"/>
  <c r="F264" i="1"/>
  <c r="B265" i="1"/>
  <c r="C265" i="1"/>
  <c r="D265" i="1"/>
  <c r="E265" i="1"/>
  <c r="F265" i="1"/>
  <c r="B266" i="1"/>
  <c r="C266" i="1"/>
  <c r="D266" i="1"/>
  <c r="E266" i="1"/>
  <c r="F266" i="1"/>
  <c r="B267" i="1"/>
  <c r="C267" i="1"/>
  <c r="D267" i="1"/>
  <c r="E267" i="1"/>
  <c r="F267" i="1"/>
  <c r="B268" i="1"/>
  <c r="C268" i="1"/>
  <c r="D268" i="1"/>
  <c r="E268" i="1"/>
  <c r="F268" i="1"/>
  <c r="B269" i="1"/>
  <c r="C269" i="1"/>
  <c r="D269" i="1"/>
  <c r="E269" i="1"/>
  <c r="F269" i="1"/>
  <c r="B270" i="1"/>
  <c r="C270" i="1"/>
  <c r="D270" i="1"/>
  <c r="E270" i="1"/>
  <c r="F270" i="1"/>
  <c r="B271" i="1"/>
  <c r="C271" i="1"/>
  <c r="D271" i="1"/>
  <c r="E271" i="1"/>
  <c r="F271" i="1"/>
  <c r="B272" i="1"/>
  <c r="C272" i="1"/>
  <c r="D272" i="1"/>
  <c r="E272" i="1"/>
  <c r="F272" i="1"/>
  <c r="B273" i="1"/>
  <c r="C273" i="1"/>
  <c r="D273" i="1"/>
  <c r="E273" i="1"/>
  <c r="F273" i="1"/>
  <c r="B274" i="1"/>
  <c r="C274" i="1"/>
  <c r="D274" i="1"/>
  <c r="E274" i="1"/>
  <c r="F274" i="1"/>
  <c r="B275" i="1"/>
  <c r="C275" i="1"/>
  <c r="D275" i="1"/>
  <c r="E275" i="1"/>
  <c r="F275" i="1"/>
  <c r="B276" i="1"/>
  <c r="C276" i="1"/>
  <c r="D276" i="1"/>
  <c r="E276" i="1"/>
  <c r="F276" i="1"/>
  <c r="B277" i="1"/>
  <c r="C277" i="1"/>
  <c r="D277" i="1"/>
  <c r="E277" i="1"/>
  <c r="F277" i="1"/>
  <c r="B278" i="1"/>
  <c r="C278" i="1"/>
  <c r="D278" i="1"/>
  <c r="E278" i="1"/>
  <c r="F278" i="1"/>
  <c r="B279" i="1"/>
  <c r="C279" i="1"/>
  <c r="D279" i="1"/>
  <c r="E279" i="1"/>
  <c r="F279" i="1"/>
  <c r="B280" i="1"/>
  <c r="C280" i="1"/>
  <c r="D280" i="1"/>
  <c r="E280" i="1"/>
  <c r="F280" i="1"/>
  <c r="B281" i="1"/>
  <c r="C281" i="1"/>
  <c r="D281" i="1"/>
  <c r="E281" i="1"/>
  <c r="F281" i="1"/>
  <c r="B282" i="1"/>
  <c r="C282" i="1"/>
  <c r="D282" i="1"/>
  <c r="E282" i="1"/>
  <c r="F282" i="1"/>
  <c r="B283" i="1"/>
  <c r="C283" i="1"/>
  <c r="D283" i="1"/>
  <c r="E283" i="1"/>
  <c r="F283" i="1"/>
  <c r="B284" i="1"/>
  <c r="C284" i="1"/>
  <c r="D284" i="1"/>
  <c r="E284" i="1"/>
  <c r="F284" i="1"/>
  <c r="B285" i="1"/>
  <c r="C285" i="1"/>
  <c r="D285" i="1"/>
  <c r="E285" i="1"/>
  <c r="F285" i="1"/>
  <c r="B286" i="1"/>
  <c r="C286" i="1"/>
  <c r="D286" i="1"/>
  <c r="E286" i="1"/>
  <c r="F286" i="1"/>
  <c r="B287" i="1"/>
  <c r="C287" i="1"/>
  <c r="D287" i="1"/>
  <c r="E287" i="1"/>
  <c r="F287" i="1"/>
  <c r="B288" i="1"/>
  <c r="C288" i="1"/>
  <c r="D288" i="1"/>
  <c r="E288" i="1"/>
  <c r="F288" i="1"/>
  <c r="B289" i="1"/>
  <c r="C289" i="1"/>
  <c r="D289" i="1"/>
  <c r="E289" i="1"/>
  <c r="F289" i="1"/>
  <c r="B290" i="1"/>
  <c r="C290" i="1"/>
  <c r="D290" i="1"/>
  <c r="E290" i="1"/>
  <c r="F290" i="1"/>
  <c r="B291" i="1"/>
  <c r="C291" i="1"/>
  <c r="D291" i="1"/>
  <c r="E291" i="1"/>
  <c r="F291" i="1"/>
  <c r="B292" i="1"/>
  <c r="C292" i="1"/>
  <c r="D292" i="1"/>
  <c r="E292" i="1"/>
  <c r="F292" i="1"/>
  <c r="B293" i="1"/>
  <c r="C293" i="1"/>
  <c r="D293" i="1"/>
  <c r="E293" i="1"/>
  <c r="F293" i="1"/>
  <c r="B294" i="1"/>
  <c r="C294" i="1"/>
  <c r="D294" i="1"/>
  <c r="E294" i="1"/>
  <c r="F294" i="1"/>
  <c r="B295" i="1"/>
  <c r="C295" i="1"/>
  <c r="D295" i="1"/>
  <c r="E295" i="1"/>
  <c r="F295" i="1"/>
  <c r="B296" i="1"/>
  <c r="C296" i="1"/>
  <c r="D296" i="1"/>
  <c r="E296" i="1"/>
  <c r="F296" i="1"/>
  <c r="B297" i="1"/>
  <c r="C297" i="1"/>
  <c r="D297" i="1"/>
  <c r="E297" i="1"/>
  <c r="F297" i="1"/>
  <c r="B298" i="1"/>
  <c r="C298" i="1"/>
  <c r="D298" i="1"/>
  <c r="E298" i="1"/>
  <c r="F298" i="1"/>
  <c r="B299" i="1"/>
  <c r="C299" i="1"/>
  <c r="D299" i="1"/>
  <c r="E299" i="1"/>
  <c r="F299" i="1"/>
  <c r="B300" i="1"/>
  <c r="C300" i="1"/>
  <c r="D300" i="1"/>
  <c r="E300" i="1"/>
  <c r="F300" i="1"/>
  <c r="B301" i="1"/>
  <c r="C301" i="1"/>
  <c r="D301" i="1"/>
  <c r="E301" i="1"/>
  <c r="F301" i="1"/>
  <c r="B302" i="1"/>
  <c r="C302" i="1"/>
  <c r="D302" i="1"/>
  <c r="E302" i="1"/>
  <c r="F302" i="1"/>
  <c r="B303" i="1"/>
  <c r="C303" i="1"/>
  <c r="D303" i="1"/>
  <c r="E303" i="1"/>
  <c r="F303" i="1"/>
  <c r="B304" i="1"/>
  <c r="C304" i="1"/>
  <c r="D304" i="1"/>
  <c r="E304" i="1"/>
  <c r="F304" i="1"/>
  <c r="B305" i="1"/>
  <c r="C305" i="1"/>
  <c r="D305" i="1"/>
  <c r="E305" i="1"/>
  <c r="F305" i="1"/>
  <c r="B306" i="1"/>
  <c r="C306" i="1"/>
  <c r="D306" i="1"/>
  <c r="E306" i="1"/>
  <c r="F306" i="1"/>
  <c r="B307" i="1"/>
  <c r="C307" i="1"/>
  <c r="D307" i="1"/>
  <c r="E307" i="1"/>
  <c r="F307" i="1"/>
  <c r="B308" i="1"/>
  <c r="C308" i="1"/>
  <c r="D308" i="1"/>
  <c r="E308" i="1"/>
  <c r="F308" i="1"/>
  <c r="B309" i="1"/>
  <c r="C309" i="1"/>
  <c r="D309" i="1"/>
  <c r="E309" i="1"/>
  <c r="F309" i="1"/>
  <c r="B310" i="1"/>
  <c r="C310" i="1"/>
  <c r="D310" i="1"/>
  <c r="E310" i="1"/>
  <c r="F310" i="1"/>
  <c r="B311" i="1"/>
  <c r="C311" i="1"/>
  <c r="D311" i="1"/>
  <c r="E311" i="1"/>
  <c r="F311" i="1"/>
  <c r="B312" i="1"/>
  <c r="C312" i="1"/>
  <c r="D312" i="1"/>
  <c r="E312" i="1"/>
  <c r="F312" i="1"/>
  <c r="B313" i="1"/>
  <c r="C313" i="1"/>
  <c r="D313" i="1"/>
  <c r="E313" i="1"/>
  <c r="F313" i="1"/>
  <c r="B314" i="1"/>
  <c r="C314" i="1"/>
  <c r="D314" i="1"/>
  <c r="E314" i="1"/>
  <c r="F314" i="1"/>
  <c r="B315" i="1"/>
  <c r="C315" i="1"/>
  <c r="D315" i="1"/>
  <c r="E315" i="1"/>
  <c r="F315" i="1"/>
  <c r="B316" i="1"/>
  <c r="C316" i="1"/>
  <c r="D316" i="1"/>
  <c r="E316" i="1"/>
  <c r="F316" i="1"/>
  <c r="B317" i="1"/>
  <c r="C317" i="1"/>
  <c r="D317" i="1"/>
  <c r="E317" i="1"/>
  <c r="F317" i="1"/>
  <c r="B318" i="1"/>
  <c r="C318" i="1"/>
  <c r="D318" i="1"/>
  <c r="E318" i="1"/>
  <c r="F318" i="1"/>
  <c r="B319" i="1"/>
  <c r="C319" i="1"/>
  <c r="D319" i="1"/>
  <c r="E319" i="1"/>
  <c r="F319" i="1"/>
  <c r="B320" i="1"/>
  <c r="C320" i="1"/>
  <c r="D320" i="1"/>
  <c r="E320" i="1"/>
  <c r="F320" i="1"/>
  <c r="B321" i="1"/>
  <c r="C321" i="1"/>
  <c r="D321" i="1"/>
  <c r="E321" i="1"/>
  <c r="F321" i="1"/>
  <c r="B322" i="1"/>
  <c r="C322" i="1"/>
  <c r="D322" i="1"/>
  <c r="E322" i="1"/>
  <c r="F322" i="1"/>
  <c r="B323" i="1"/>
  <c r="C323" i="1"/>
  <c r="D323" i="1"/>
  <c r="E323" i="1"/>
  <c r="F323" i="1"/>
  <c r="B324" i="1"/>
  <c r="C324" i="1"/>
  <c r="D324" i="1"/>
  <c r="E324" i="1"/>
  <c r="F324" i="1"/>
  <c r="B325" i="1"/>
  <c r="C325" i="1"/>
  <c r="D325" i="1"/>
  <c r="E325" i="1"/>
  <c r="F325" i="1"/>
  <c r="B326" i="1"/>
  <c r="C326" i="1"/>
  <c r="D326" i="1"/>
  <c r="E326" i="1"/>
  <c r="F326" i="1"/>
  <c r="B327" i="1"/>
  <c r="C327" i="1"/>
  <c r="D327" i="1"/>
  <c r="E327" i="1"/>
  <c r="F327" i="1"/>
  <c r="B328" i="1"/>
  <c r="C328" i="1"/>
  <c r="D328" i="1"/>
  <c r="E328" i="1"/>
  <c r="F328" i="1"/>
  <c r="B329" i="1"/>
  <c r="C329" i="1"/>
  <c r="D329" i="1"/>
  <c r="E329" i="1"/>
  <c r="F329" i="1"/>
  <c r="B330" i="1"/>
  <c r="C330" i="1"/>
  <c r="D330" i="1"/>
  <c r="E330" i="1"/>
  <c r="F330" i="1"/>
  <c r="B331" i="1"/>
  <c r="C331" i="1"/>
  <c r="D331" i="1"/>
  <c r="E331" i="1"/>
  <c r="F331" i="1"/>
  <c r="B332" i="1"/>
  <c r="C332" i="1"/>
  <c r="D332" i="1"/>
  <c r="E332" i="1"/>
  <c r="F332" i="1"/>
  <c r="B333" i="1"/>
  <c r="C333" i="1"/>
  <c r="D333" i="1"/>
  <c r="E333" i="1"/>
  <c r="F333" i="1"/>
  <c r="B334" i="1"/>
  <c r="C334" i="1"/>
  <c r="D334" i="1"/>
  <c r="E334" i="1"/>
  <c r="F334" i="1"/>
  <c r="B335" i="1"/>
  <c r="C335" i="1"/>
  <c r="D335" i="1"/>
  <c r="E335" i="1"/>
  <c r="F335" i="1"/>
  <c r="B336" i="1"/>
  <c r="C336" i="1"/>
  <c r="D336" i="1"/>
  <c r="E336" i="1"/>
  <c r="F336" i="1"/>
  <c r="B337" i="1"/>
  <c r="C337" i="1"/>
  <c r="D337" i="1"/>
  <c r="E337" i="1"/>
  <c r="F337" i="1"/>
  <c r="B338" i="1"/>
  <c r="C338" i="1"/>
  <c r="D338" i="1"/>
  <c r="E338" i="1"/>
  <c r="F338" i="1"/>
  <c r="B339" i="1"/>
  <c r="C339" i="1"/>
  <c r="D339" i="1"/>
  <c r="E339" i="1"/>
  <c r="F339" i="1"/>
  <c r="B340" i="1"/>
  <c r="C340" i="1"/>
  <c r="D340" i="1"/>
  <c r="E340" i="1"/>
  <c r="F340" i="1"/>
  <c r="B341" i="1"/>
  <c r="C341" i="1"/>
  <c r="D341" i="1"/>
  <c r="E341" i="1"/>
  <c r="F341" i="1"/>
  <c r="B342" i="1"/>
  <c r="C342" i="1"/>
  <c r="D342" i="1"/>
  <c r="E342" i="1"/>
  <c r="F342" i="1"/>
  <c r="B343" i="1"/>
  <c r="C343" i="1"/>
  <c r="D343" i="1"/>
  <c r="E343" i="1"/>
  <c r="F343" i="1"/>
  <c r="B344" i="1"/>
  <c r="C344" i="1"/>
  <c r="D344" i="1"/>
  <c r="E344" i="1"/>
  <c r="F344" i="1"/>
  <c r="B345" i="1"/>
  <c r="C345" i="1"/>
  <c r="D345" i="1"/>
  <c r="E345" i="1"/>
  <c r="F345" i="1"/>
  <c r="B346" i="1"/>
  <c r="C346" i="1"/>
  <c r="D346" i="1"/>
  <c r="E346" i="1"/>
  <c r="F346" i="1"/>
  <c r="B347" i="1"/>
  <c r="C347" i="1"/>
  <c r="D347" i="1"/>
  <c r="E347" i="1"/>
  <c r="F347" i="1"/>
  <c r="B348" i="1"/>
  <c r="C348" i="1"/>
  <c r="D348" i="1"/>
  <c r="E348" i="1"/>
  <c r="F348" i="1"/>
  <c r="B349" i="1"/>
  <c r="C349" i="1"/>
  <c r="D349" i="1"/>
  <c r="E349" i="1"/>
  <c r="F349" i="1"/>
  <c r="B350" i="1"/>
  <c r="C350" i="1"/>
  <c r="D350" i="1"/>
  <c r="E350" i="1"/>
  <c r="F350" i="1"/>
  <c r="B351" i="1"/>
  <c r="C351" i="1"/>
  <c r="D351" i="1"/>
  <c r="E351" i="1"/>
  <c r="F351" i="1"/>
  <c r="B352" i="1"/>
  <c r="C352" i="1"/>
  <c r="D352" i="1"/>
  <c r="E352" i="1"/>
  <c r="F352" i="1"/>
  <c r="B353" i="1"/>
  <c r="C353" i="1"/>
  <c r="D353" i="1"/>
  <c r="E353" i="1"/>
  <c r="F353" i="1"/>
  <c r="B354" i="1"/>
  <c r="C354" i="1"/>
  <c r="D354" i="1"/>
  <c r="E354" i="1"/>
  <c r="F354" i="1"/>
  <c r="B355" i="1"/>
  <c r="C355" i="1"/>
  <c r="D355" i="1"/>
  <c r="E355" i="1"/>
  <c r="F355" i="1"/>
  <c r="B356" i="1"/>
  <c r="C356" i="1"/>
  <c r="D356" i="1"/>
  <c r="E356" i="1"/>
  <c r="F356" i="1"/>
  <c r="B357" i="1"/>
  <c r="C357" i="1"/>
  <c r="D357" i="1"/>
  <c r="E357" i="1"/>
  <c r="F357" i="1"/>
  <c r="B358" i="1"/>
  <c r="C358" i="1"/>
  <c r="D358" i="1"/>
  <c r="E358" i="1"/>
  <c r="F358" i="1"/>
  <c r="B359" i="1"/>
  <c r="C359" i="1"/>
  <c r="D359" i="1"/>
  <c r="E359" i="1"/>
  <c r="F359" i="1"/>
  <c r="B360" i="1"/>
  <c r="C360" i="1"/>
  <c r="D360" i="1"/>
  <c r="E360" i="1"/>
  <c r="F360" i="1"/>
  <c r="B361" i="1"/>
  <c r="C361" i="1"/>
  <c r="D361" i="1"/>
  <c r="E361" i="1"/>
  <c r="F361" i="1"/>
  <c r="B362" i="1"/>
  <c r="C362" i="1"/>
  <c r="D362" i="1"/>
  <c r="E362" i="1"/>
  <c r="F362" i="1"/>
  <c r="B363" i="1"/>
  <c r="C363" i="1"/>
  <c r="D363" i="1"/>
  <c r="E363" i="1"/>
  <c r="F363" i="1"/>
  <c r="B364" i="1"/>
  <c r="C364" i="1"/>
  <c r="D364" i="1"/>
  <c r="E364" i="1"/>
  <c r="F364" i="1"/>
  <c r="B365" i="1"/>
  <c r="C365" i="1"/>
  <c r="D365" i="1"/>
  <c r="E365" i="1"/>
  <c r="F365" i="1"/>
  <c r="B366" i="1"/>
  <c r="C366" i="1"/>
  <c r="D366" i="1"/>
  <c r="E366" i="1"/>
  <c r="F366" i="1"/>
  <c r="B367" i="1"/>
  <c r="C367" i="1"/>
  <c r="D367" i="1"/>
  <c r="E367" i="1"/>
  <c r="F367" i="1"/>
  <c r="B368" i="1"/>
  <c r="C368" i="1"/>
  <c r="D368" i="1"/>
  <c r="E368" i="1"/>
  <c r="F368" i="1"/>
  <c r="B369" i="1"/>
  <c r="C369" i="1"/>
  <c r="D369" i="1"/>
  <c r="E369" i="1"/>
  <c r="F369" i="1"/>
  <c r="B370" i="1"/>
  <c r="C370" i="1"/>
  <c r="D370" i="1"/>
  <c r="E370" i="1"/>
  <c r="F370" i="1"/>
  <c r="B371" i="1"/>
  <c r="C371" i="1"/>
  <c r="D371" i="1"/>
  <c r="E371" i="1"/>
  <c r="F371" i="1"/>
  <c r="B372" i="1"/>
  <c r="C372" i="1"/>
  <c r="D372" i="1"/>
  <c r="E372" i="1"/>
  <c r="F372" i="1"/>
  <c r="B373" i="1"/>
  <c r="C373" i="1"/>
  <c r="D373" i="1"/>
  <c r="E373" i="1"/>
  <c r="F373" i="1"/>
  <c r="B374" i="1"/>
  <c r="C374" i="1"/>
  <c r="D374" i="1"/>
  <c r="E374" i="1"/>
  <c r="F374" i="1"/>
  <c r="B375" i="1"/>
  <c r="C375" i="1"/>
  <c r="D375" i="1"/>
  <c r="E375" i="1"/>
  <c r="F375" i="1"/>
  <c r="B376" i="1"/>
  <c r="C376" i="1"/>
  <c r="D376" i="1"/>
  <c r="E376" i="1"/>
  <c r="F376" i="1"/>
  <c r="B377" i="1"/>
  <c r="C377" i="1"/>
  <c r="D377" i="1"/>
  <c r="E377" i="1"/>
  <c r="F377" i="1"/>
  <c r="B378" i="1"/>
  <c r="C378" i="1"/>
  <c r="D378" i="1"/>
  <c r="E378" i="1"/>
  <c r="F378" i="1"/>
  <c r="B379" i="1"/>
  <c r="C379" i="1"/>
  <c r="D379" i="1"/>
  <c r="E379" i="1"/>
  <c r="F379" i="1"/>
  <c r="B380" i="1"/>
  <c r="C380" i="1"/>
  <c r="D380" i="1"/>
  <c r="E380" i="1"/>
  <c r="F380" i="1"/>
  <c r="B381" i="1"/>
  <c r="C381" i="1"/>
  <c r="D381" i="1"/>
  <c r="E381" i="1"/>
  <c r="F381" i="1"/>
  <c r="B382" i="1"/>
  <c r="C382" i="1"/>
  <c r="D382" i="1"/>
  <c r="E382" i="1"/>
  <c r="F382" i="1"/>
  <c r="B383" i="1"/>
  <c r="C383" i="1"/>
  <c r="D383" i="1"/>
  <c r="E383" i="1"/>
  <c r="F383" i="1"/>
  <c r="B384" i="1"/>
  <c r="C384" i="1"/>
  <c r="D384" i="1"/>
  <c r="E384" i="1"/>
  <c r="F384" i="1"/>
  <c r="B385" i="1"/>
  <c r="C385" i="1"/>
  <c r="D385" i="1"/>
  <c r="E385" i="1"/>
  <c r="F385" i="1"/>
  <c r="B386" i="1"/>
  <c r="C386" i="1"/>
  <c r="D386" i="1"/>
  <c r="E386" i="1"/>
  <c r="F386" i="1"/>
  <c r="B387" i="1"/>
  <c r="C387" i="1"/>
  <c r="D387" i="1"/>
  <c r="E387" i="1"/>
  <c r="F387" i="1"/>
  <c r="B388" i="1"/>
  <c r="C388" i="1"/>
  <c r="D388" i="1"/>
  <c r="E388" i="1"/>
  <c r="F388" i="1"/>
  <c r="B389" i="1"/>
  <c r="C389" i="1"/>
  <c r="D389" i="1"/>
  <c r="E389" i="1"/>
  <c r="F389" i="1"/>
  <c r="B390" i="1"/>
  <c r="C390" i="1"/>
  <c r="D390" i="1"/>
  <c r="E390" i="1"/>
  <c r="F390" i="1"/>
  <c r="B391" i="1"/>
  <c r="C391" i="1"/>
  <c r="D391" i="1"/>
  <c r="E391" i="1"/>
  <c r="F391" i="1"/>
  <c r="B392" i="1"/>
  <c r="C392" i="1"/>
  <c r="D392" i="1"/>
  <c r="E392" i="1"/>
  <c r="F392" i="1"/>
  <c r="B393" i="1"/>
  <c r="C393" i="1"/>
  <c r="D393" i="1"/>
  <c r="E393" i="1"/>
  <c r="F393" i="1"/>
  <c r="B394" i="1"/>
  <c r="C394" i="1"/>
  <c r="D394" i="1"/>
  <c r="E394" i="1"/>
  <c r="F394" i="1"/>
  <c r="B395" i="1"/>
  <c r="C395" i="1"/>
  <c r="D395" i="1"/>
  <c r="E395" i="1"/>
  <c r="F395" i="1"/>
  <c r="B396" i="1"/>
  <c r="C396" i="1"/>
  <c r="D396" i="1"/>
  <c r="E396" i="1"/>
  <c r="F396" i="1"/>
  <c r="B397" i="1"/>
  <c r="C397" i="1"/>
  <c r="D397" i="1"/>
  <c r="E397" i="1"/>
  <c r="F397" i="1"/>
  <c r="B398" i="1"/>
  <c r="C398" i="1"/>
  <c r="D398" i="1"/>
  <c r="E398" i="1"/>
  <c r="F398" i="1"/>
  <c r="B399" i="1"/>
  <c r="C399" i="1"/>
  <c r="D399" i="1"/>
  <c r="E399" i="1"/>
  <c r="F399" i="1"/>
  <c r="B400" i="1"/>
  <c r="C400" i="1"/>
  <c r="D400" i="1"/>
  <c r="E400" i="1"/>
  <c r="F400" i="1"/>
  <c r="B401" i="1"/>
  <c r="C401" i="1"/>
  <c r="D401" i="1"/>
  <c r="E401" i="1"/>
  <c r="F401" i="1"/>
  <c r="B402" i="1"/>
  <c r="C402" i="1"/>
  <c r="D402" i="1"/>
  <c r="E402" i="1"/>
  <c r="F402" i="1"/>
  <c r="B403" i="1"/>
  <c r="C403" i="1"/>
  <c r="D403" i="1"/>
  <c r="E403" i="1"/>
  <c r="F403" i="1"/>
  <c r="B404" i="1"/>
  <c r="C404" i="1"/>
  <c r="D404" i="1"/>
  <c r="E404" i="1"/>
  <c r="F404" i="1"/>
  <c r="B405" i="1"/>
  <c r="C405" i="1"/>
  <c r="D405" i="1"/>
  <c r="E405" i="1"/>
  <c r="F405" i="1"/>
  <c r="B406" i="1"/>
  <c r="C406" i="1"/>
  <c r="D406" i="1"/>
  <c r="E406" i="1"/>
  <c r="F406" i="1"/>
  <c r="B407" i="1"/>
  <c r="C407" i="1"/>
  <c r="D407" i="1"/>
  <c r="E407" i="1"/>
  <c r="F407" i="1"/>
  <c r="B408" i="1"/>
  <c r="C408" i="1"/>
  <c r="D408" i="1"/>
  <c r="E408" i="1"/>
  <c r="F408" i="1"/>
  <c r="B409" i="1"/>
  <c r="C409" i="1"/>
  <c r="D409" i="1"/>
  <c r="E409" i="1"/>
  <c r="F409" i="1"/>
  <c r="B410" i="1"/>
  <c r="C410" i="1"/>
  <c r="D410" i="1"/>
  <c r="E410" i="1"/>
  <c r="F410" i="1"/>
  <c r="B411" i="1"/>
  <c r="C411" i="1"/>
  <c r="D411" i="1"/>
  <c r="E411" i="1"/>
  <c r="F411" i="1"/>
  <c r="B412" i="1"/>
  <c r="C412" i="1"/>
  <c r="D412" i="1"/>
  <c r="E412" i="1"/>
  <c r="F412" i="1"/>
  <c r="B413" i="1"/>
  <c r="C413" i="1"/>
  <c r="D413" i="1"/>
  <c r="E413" i="1"/>
  <c r="F413" i="1"/>
  <c r="B414" i="1"/>
  <c r="C414" i="1"/>
  <c r="D414" i="1"/>
  <c r="E414" i="1"/>
  <c r="F414" i="1"/>
  <c r="B415" i="1"/>
  <c r="C415" i="1"/>
  <c r="D415" i="1"/>
  <c r="E415" i="1"/>
  <c r="F415" i="1"/>
  <c r="B416" i="1"/>
  <c r="C416" i="1"/>
  <c r="D416" i="1"/>
  <c r="E416" i="1"/>
  <c r="F416" i="1"/>
  <c r="B417" i="1"/>
  <c r="C417" i="1"/>
  <c r="D417" i="1"/>
  <c r="E417" i="1"/>
  <c r="F417" i="1"/>
  <c r="B418" i="1"/>
  <c r="C418" i="1"/>
  <c r="D418" i="1"/>
  <c r="E418" i="1"/>
  <c r="F418" i="1"/>
  <c r="B419" i="1"/>
  <c r="C419" i="1"/>
  <c r="D419" i="1"/>
  <c r="E419" i="1"/>
  <c r="F419" i="1"/>
  <c r="B420" i="1"/>
  <c r="C420" i="1"/>
  <c r="D420" i="1"/>
  <c r="E420" i="1"/>
  <c r="F420" i="1"/>
  <c r="B421" i="1"/>
  <c r="C421" i="1"/>
  <c r="D421" i="1"/>
  <c r="E421" i="1"/>
  <c r="F421" i="1"/>
  <c r="B422" i="1"/>
  <c r="C422" i="1"/>
  <c r="D422" i="1"/>
  <c r="E422" i="1"/>
  <c r="F422" i="1"/>
  <c r="B423" i="1"/>
  <c r="C423" i="1"/>
  <c r="D423" i="1"/>
  <c r="E423" i="1"/>
  <c r="F423" i="1"/>
  <c r="B424" i="1"/>
  <c r="C424" i="1"/>
  <c r="D424" i="1"/>
  <c r="E424" i="1"/>
  <c r="F424" i="1"/>
  <c r="B425" i="1"/>
  <c r="C425" i="1"/>
  <c r="D425" i="1"/>
  <c r="E425" i="1"/>
  <c r="F425" i="1"/>
  <c r="B426" i="1"/>
  <c r="C426" i="1"/>
  <c r="D426" i="1"/>
  <c r="E426" i="1"/>
  <c r="F426" i="1"/>
  <c r="B427" i="1"/>
  <c r="C427" i="1"/>
  <c r="D427" i="1"/>
  <c r="E427" i="1"/>
  <c r="F427" i="1"/>
  <c r="B428" i="1"/>
  <c r="C428" i="1"/>
  <c r="D428" i="1"/>
  <c r="E428" i="1"/>
  <c r="F428" i="1"/>
  <c r="B429" i="1"/>
  <c r="C429" i="1"/>
  <c r="D429" i="1"/>
  <c r="E429" i="1"/>
  <c r="F429" i="1"/>
  <c r="B430" i="1"/>
  <c r="C430" i="1"/>
  <c r="D430" i="1"/>
  <c r="E430" i="1"/>
  <c r="F430" i="1"/>
  <c r="B431" i="1"/>
  <c r="C431" i="1"/>
  <c r="D431" i="1"/>
  <c r="E431" i="1"/>
  <c r="F431" i="1"/>
  <c r="B432" i="1"/>
  <c r="C432" i="1"/>
  <c r="D432" i="1"/>
  <c r="E432" i="1"/>
  <c r="F432" i="1"/>
  <c r="B433" i="1"/>
  <c r="C433" i="1"/>
  <c r="D433" i="1"/>
  <c r="E433" i="1"/>
  <c r="F433" i="1"/>
  <c r="B434" i="1"/>
  <c r="C434" i="1"/>
  <c r="D434" i="1"/>
  <c r="E434" i="1"/>
  <c r="F434" i="1"/>
  <c r="B435" i="1"/>
  <c r="C435" i="1"/>
  <c r="D435" i="1"/>
  <c r="E435" i="1"/>
  <c r="F435" i="1"/>
  <c r="B436" i="1"/>
  <c r="C436" i="1"/>
  <c r="D436" i="1"/>
  <c r="E436" i="1"/>
  <c r="F436" i="1"/>
  <c r="B437" i="1"/>
  <c r="C437" i="1"/>
  <c r="D437" i="1"/>
  <c r="E437" i="1"/>
  <c r="F437" i="1"/>
  <c r="B438" i="1"/>
  <c r="C438" i="1"/>
  <c r="D438" i="1"/>
  <c r="E438" i="1"/>
  <c r="F438" i="1"/>
  <c r="B439" i="1"/>
  <c r="C439" i="1"/>
  <c r="D439" i="1"/>
  <c r="E439" i="1"/>
  <c r="F439" i="1"/>
  <c r="B440" i="1"/>
  <c r="C440" i="1"/>
  <c r="D440" i="1"/>
  <c r="E440" i="1"/>
  <c r="F440" i="1"/>
  <c r="B441" i="1"/>
  <c r="C441" i="1"/>
  <c r="D441" i="1"/>
  <c r="E441" i="1"/>
  <c r="F441" i="1"/>
  <c r="B442" i="1"/>
  <c r="C442" i="1"/>
  <c r="D442" i="1"/>
  <c r="E442" i="1"/>
  <c r="F442" i="1"/>
  <c r="B443" i="1"/>
  <c r="C443" i="1"/>
  <c r="D443" i="1"/>
  <c r="E443" i="1"/>
  <c r="F443" i="1"/>
  <c r="B444" i="1"/>
  <c r="C444" i="1"/>
  <c r="D444" i="1"/>
  <c r="E444" i="1"/>
  <c r="F444" i="1"/>
  <c r="B445" i="1"/>
  <c r="C445" i="1"/>
  <c r="D445" i="1"/>
  <c r="E445" i="1"/>
  <c r="F445" i="1"/>
  <c r="B446" i="1"/>
  <c r="C446" i="1"/>
  <c r="D446" i="1"/>
  <c r="E446" i="1"/>
  <c r="F446" i="1"/>
  <c r="B447" i="1"/>
  <c r="C447" i="1"/>
  <c r="D447" i="1"/>
  <c r="E447" i="1"/>
  <c r="F447" i="1"/>
  <c r="B448" i="1"/>
  <c r="C448" i="1"/>
  <c r="D448" i="1"/>
  <c r="E448" i="1"/>
  <c r="F448" i="1"/>
  <c r="B449" i="1"/>
  <c r="C449" i="1"/>
  <c r="D449" i="1"/>
  <c r="E449" i="1"/>
  <c r="F449" i="1"/>
  <c r="B450" i="1"/>
  <c r="C450" i="1"/>
  <c r="D450" i="1"/>
  <c r="E450" i="1"/>
  <c r="F450" i="1"/>
  <c r="B451" i="1"/>
  <c r="C451" i="1"/>
  <c r="D451" i="1"/>
  <c r="E451" i="1"/>
  <c r="F451" i="1"/>
  <c r="B452" i="1"/>
  <c r="C452" i="1"/>
  <c r="D452" i="1"/>
  <c r="E452" i="1"/>
  <c r="F452" i="1"/>
  <c r="B453" i="1"/>
  <c r="C453" i="1"/>
  <c r="D453" i="1"/>
  <c r="E453" i="1"/>
  <c r="F453" i="1"/>
  <c r="B454" i="1"/>
  <c r="C454" i="1"/>
  <c r="D454" i="1"/>
  <c r="E454" i="1"/>
  <c r="F454" i="1"/>
  <c r="B455" i="1"/>
  <c r="C455" i="1"/>
  <c r="D455" i="1"/>
  <c r="E455" i="1"/>
  <c r="F455" i="1"/>
  <c r="B456" i="1"/>
  <c r="C456" i="1"/>
  <c r="D456" i="1"/>
  <c r="E456" i="1"/>
  <c r="F456" i="1"/>
  <c r="B457" i="1"/>
  <c r="C457" i="1"/>
  <c r="D457" i="1"/>
  <c r="E457" i="1"/>
  <c r="F457" i="1"/>
  <c r="B458" i="1"/>
  <c r="C458" i="1"/>
  <c r="D458" i="1"/>
  <c r="E458" i="1"/>
  <c r="F458" i="1"/>
  <c r="B459" i="1"/>
  <c r="C459" i="1"/>
  <c r="D459" i="1"/>
  <c r="E459" i="1"/>
  <c r="F459" i="1"/>
  <c r="B460" i="1"/>
  <c r="C460" i="1"/>
  <c r="D460" i="1"/>
  <c r="E460" i="1"/>
  <c r="F460" i="1"/>
  <c r="B461" i="1"/>
  <c r="C461" i="1"/>
  <c r="D461" i="1"/>
  <c r="E461" i="1"/>
  <c r="F461" i="1"/>
  <c r="B462" i="1"/>
  <c r="C462" i="1"/>
  <c r="D462" i="1"/>
  <c r="E462" i="1"/>
  <c r="F462" i="1"/>
  <c r="B463" i="1"/>
  <c r="C463" i="1"/>
  <c r="D463" i="1"/>
  <c r="E463" i="1"/>
  <c r="F463" i="1"/>
  <c r="B464" i="1"/>
  <c r="C464" i="1"/>
  <c r="D464" i="1"/>
  <c r="E464" i="1"/>
  <c r="F464" i="1"/>
  <c r="B465" i="1"/>
  <c r="C465" i="1"/>
  <c r="D465" i="1"/>
  <c r="E465" i="1"/>
  <c r="F465" i="1"/>
  <c r="B466" i="1"/>
  <c r="C466" i="1"/>
  <c r="D466" i="1"/>
  <c r="E466" i="1"/>
  <c r="F466" i="1"/>
  <c r="B467" i="1"/>
  <c r="C467" i="1"/>
  <c r="D467" i="1"/>
  <c r="E467" i="1"/>
  <c r="F467" i="1"/>
  <c r="B468" i="1"/>
  <c r="C468" i="1"/>
  <c r="D468" i="1"/>
  <c r="E468" i="1"/>
  <c r="F468" i="1"/>
  <c r="B469" i="1"/>
  <c r="C469" i="1"/>
  <c r="D469" i="1"/>
  <c r="E469" i="1"/>
  <c r="F469" i="1"/>
  <c r="B470" i="1"/>
  <c r="C470" i="1"/>
  <c r="D470" i="1"/>
  <c r="E470" i="1"/>
  <c r="F470" i="1"/>
  <c r="B471" i="1"/>
  <c r="C471" i="1"/>
  <c r="D471" i="1"/>
  <c r="E471" i="1"/>
  <c r="F471" i="1"/>
  <c r="B472" i="1"/>
  <c r="C472" i="1"/>
  <c r="D472" i="1"/>
  <c r="E472" i="1"/>
  <c r="F472" i="1"/>
  <c r="B3" i="1"/>
  <c r="C3" i="1"/>
  <c r="D3" i="1"/>
  <c r="F190" i="4"/>
  <c r="E190" i="4"/>
  <c r="D190" i="4"/>
  <c r="C190" i="4"/>
  <c r="B190" i="4"/>
  <c r="F189" i="4"/>
  <c r="E189" i="4"/>
  <c r="D189" i="4"/>
  <c r="C189" i="4"/>
  <c r="B189" i="4"/>
  <c r="F188" i="4"/>
  <c r="E188" i="4"/>
  <c r="D188" i="4"/>
  <c r="C188" i="4"/>
  <c r="B188" i="4"/>
  <c r="F187" i="4"/>
  <c r="E187" i="4"/>
  <c r="D187" i="4"/>
  <c r="C187" i="4"/>
  <c r="B187" i="4"/>
  <c r="F186" i="4"/>
  <c r="E186" i="4"/>
  <c r="D186" i="4"/>
  <c r="C186" i="4"/>
  <c r="B186" i="4"/>
  <c r="F185" i="4"/>
  <c r="E185" i="4"/>
  <c r="D185" i="4"/>
  <c r="C185" i="4"/>
  <c r="B185" i="4"/>
  <c r="F184" i="4"/>
  <c r="E184" i="4"/>
  <c r="D184" i="4"/>
  <c r="C184" i="4"/>
  <c r="B184" i="4"/>
  <c r="F183" i="4"/>
  <c r="E183" i="4"/>
  <c r="D183" i="4"/>
  <c r="C183" i="4"/>
  <c r="B183" i="4"/>
  <c r="F182" i="4"/>
  <c r="E182" i="4"/>
  <c r="D182" i="4"/>
  <c r="C182" i="4"/>
  <c r="B182" i="4"/>
  <c r="F181" i="4"/>
  <c r="E181" i="4"/>
  <c r="D181" i="4"/>
  <c r="C181" i="4"/>
  <c r="B181" i="4"/>
  <c r="F180" i="4"/>
  <c r="E180" i="4"/>
  <c r="D180" i="4"/>
  <c r="C180" i="4"/>
  <c r="B180" i="4"/>
  <c r="F179" i="4"/>
  <c r="E179" i="4"/>
  <c r="D179" i="4"/>
  <c r="C179" i="4"/>
  <c r="B179" i="4"/>
  <c r="F178" i="4"/>
  <c r="E178" i="4"/>
  <c r="D178" i="4"/>
  <c r="C178" i="4"/>
  <c r="B178" i="4"/>
  <c r="F177" i="4"/>
  <c r="E177" i="4"/>
  <c r="D177" i="4"/>
  <c r="C177" i="4"/>
  <c r="B177" i="4"/>
  <c r="F176" i="4"/>
  <c r="E176" i="4"/>
  <c r="D176" i="4"/>
  <c r="C176" i="4"/>
  <c r="B176" i="4"/>
  <c r="F175" i="4"/>
  <c r="E175" i="4"/>
  <c r="D175" i="4"/>
  <c r="C175" i="4"/>
  <c r="B175" i="4"/>
  <c r="F174" i="4"/>
  <c r="E174" i="4"/>
  <c r="D174" i="4"/>
  <c r="C174" i="4"/>
  <c r="B174" i="4"/>
  <c r="F173" i="4"/>
  <c r="E173" i="4"/>
  <c r="D173" i="4"/>
  <c r="C173" i="4"/>
  <c r="B173" i="4"/>
  <c r="F172" i="4"/>
  <c r="E172" i="4"/>
  <c r="D172" i="4"/>
  <c r="C172" i="4"/>
  <c r="B172" i="4"/>
  <c r="F171" i="4"/>
  <c r="E171" i="4"/>
  <c r="D171" i="4"/>
  <c r="C171" i="4"/>
  <c r="B171" i="4"/>
  <c r="F170" i="4"/>
  <c r="E170" i="4"/>
  <c r="D170" i="4"/>
  <c r="C170" i="4"/>
  <c r="B170" i="4"/>
  <c r="F169" i="4"/>
  <c r="E169" i="4"/>
  <c r="D169" i="4"/>
  <c r="C169" i="4"/>
  <c r="B169" i="4"/>
  <c r="F168" i="4"/>
  <c r="E168" i="4"/>
  <c r="D168" i="4"/>
  <c r="C168" i="4"/>
  <c r="B168" i="4"/>
  <c r="F167" i="4"/>
  <c r="E167" i="4"/>
  <c r="D167" i="4"/>
  <c r="C167" i="4"/>
  <c r="B167" i="4"/>
  <c r="F166" i="4"/>
  <c r="E166" i="4"/>
  <c r="D166" i="4"/>
  <c r="C166" i="4"/>
  <c r="B166" i="4"/>
  <c r="F165" i="4"/>
  <c r="E165" i="4"/>
  <c r="D165" i="4"/>
  <c r="C165" i="4"/>
  <c r="B165" i="4"/>
  <c r="F164" i="4"/>
  <c r="E164" i="4"/>
  <c r="D164" i="4"/>
  <c r="C164" i="4"/>
  <c r="B164" i="4"/>
  <c r="F163" i="4"/>
  <c r="E163" i="4"/>
  <c r="D163" i="4"/>
  <c r="C163" i="4"/>
  <c r="B163" i="4"/>
  <c r="F162" i="4"/>
  <c r="E162" i="4"/>
  <c r="D162" i="4"/>
  <c r="C162" i="4"/>
  <c r="B162" i="4"/>
  <c r="F161" i="4"/>
  <c r="E161" i="4"/>
  <c r="D161" i="4"/>
  <c r="C161" i="4"/>
  <c r="B161" i="4"/>
  <c r="F160" i="4"/>
  <c r="E160" i="4"/>
  <c r="D160" i="4"/>
  <c r="C160" i="4"/>
  <c r="B160" i="4"/>
  <c r="F159" i="4"/>
  <c r="E159" i="4"/>
  <c r="D159" i="4"/>
  <c r="C159" i="4"/>
  <c r="B159" i="4"/>
  <c r="F158" i="4"/>
  <c r="E158" i="4"/>
  <c r="D158" i="4"/>
  <c r="C158" i="4"/>
  <c r="B158" i="4"/>
  <c r="F157" i="4"/>
  <c r="E157" i="4"/>
  <c r="D157" i="4"/>
  <c r="C157" i="4"/>
  <c r="B157" i="4"/>
  <c r="F156" i="4"/>
  <c r="E156" i="4"/>
  <c r="D156" i="4"/>
  <c r="C156" i="4"/>
  <c r="B156" i="4"/>
  <c r="F155" i="4"/>
  <c r="E155" i="4"/>
  <c r="D155" i="4"/>
  <c r="C155" i="4"/>
  <c r="B155" i="4"/>
  <c r="F154" i="4"/>
  <c r="E154" i="4"/>
  <c r="D154" i="4"/>
  <c r="C154" i="4"/>
  <c r="B154" i="4"/>
  <c r="F153" i="4"/>
  <c r="E153" i="4"/>
  <c r="D153" i="4"/>
  <c r="C153" i="4"/>
  <c r="B153" i="4"/>
  <c r="F152" i="4"/>
  <c r="E152" i="4"/>
  <c r="D152" i="4"/>
  <c r="C152" i="4"/>
  <c r="B152" i="4"/>
  <c r="F151" i="4"/>
  <c r="E151" i="4"/>
  <c r="D151" i="4"/>
  <c r="C151" i="4"/>
  <c r="B151" i="4"/>
  <c r="F150" i="4"/>
  <c r="E150" i="4"/>
  <c r="D150" i="4"/>
  <c r="C150" i="4"/>
  <c r="B150" i="4"/>
  <c r="F149" i="4"/>
  <c r="E149" i="4"/>
  <c r="D149" i="4"/>
  <c r="C149" i="4"/>
  <c r="B149" i="4"/>
  <c r="F148" i="4"/>
  <c r="E148" i="4"/>
  <c r="D148" i="4"/>
  <c r="C148" i="4"/>
  <c r="B148" i="4"/>
  <c r="F147" i="4"/>
  <c r="E147" i="4"/>
  <c r="D147" i="4"/>
  <c r="C147" i="4"/>
  <c r="B147" i="4"/>
  <c r="F146" i="4"/>
  <c r="E146" i="4"/>
  <c r="D146" i="4"/>
  <c r="C146" i="4"/>
  <c r="B146" i="4"/>
  <c r="F145" i="4"/>
  <c r="E145" i="4"/>
  <c r="D145" i="4"/>
  <c r="C145" i="4"/>
  <c r="B145" i="4"/>
  <c r="F144" i="4"/>
  <c r="E144" i="4"/>
  <c r="D144" i="4"/>
  <c r="C144" i="4"/>
  <c r="B144" i="4"/>
  <c r="F143" i="4"/>
  <c r="E143" i="4"/>
  <c r="D143" i="4"/>
  <c r="C143" i="4"/>
  <c r="B143" i="4"/>
  <c r="F142" i="4"/>
  <c r="E142" i="4"/>
  <c r="D142" i="4"/>
  <c r="C142" i="4"/>
  <c r="B142" i="4"/>
  <c r="F141" i="4"/>
  <c r="E141" i="4"/>
  <c r="D141" i="4"/>
  <c r="C141" i="4"/>
  <c r="B141" i="4"/>
  <c r="F140" i="4"/>
  <c r="E140" i="4"/>
  <c r="D140" i="4"/>
  <c r="C140" i="4"/>
  <c r="B140" i="4"/>
  <c r="F139" i="4"/>
  <c r="E139" i="4"/>
  <c r="D139" i="4"/>
  <c r="C139" i="4"/>
  <c r="B139" i="4"/>
  <c r="F138" i="4"/>
  <c r="E138" i="4"/>
  <c r="D138" i="4"/>
  <c r="C138" i="4"/>
  <c r="B138" i="4"/>
  <c r="F137" i="4"/>
  <c r="E137" i="4"/>
  <c r="D137" i="4"/>
  <c r="C137" i="4"/>
  <c r="B137" i="4"/>
  <c r="F136" i="4"/>
  <c r="E136" i="4"/>
  <c r="D136" i="4"/>
  <c r="C136" i="4"/>
  <c r="B136" i="4"/>
  <c r="F135" i="4"/>
  <c r="E135" i="4"/>
  <c r="D135" i="4"/>
  <c r="C135" i="4"/>
  <c r="B135" i="4"/>
  <c r="F134" i="4"/>
  <c r="E134" i="4"/>
  <c r="D134" i="4"/>
  <c r="C134" i="4"/>
  <c r="B134" i="4"/>
  <c r="F133" i="4"/>
  <c r="E133" i="4"/>
  <c r="D133" i="4"/>
  <c r="C133" i="4"/>
  <c r="B133" i="4"/>
  <c r="F132" i="4"/>
  <c r="E132" i="4"/>
  <c r="D132" i="4"/>
  <c r="C132" i="4"/>
  <c r="B132" i="4"/>
  <c r="F131" i="4"/>
  <c r="E131" i="4"/>
  <c r="D131" i="4"/>
  <c r="C131" i="4"/>
  <c r="B131" i="4"/>
  <c r="F130" i="4"/>
  <c r="E130" i="4"/>
  <c r="D130" i="4"/>
  <c r="C130" i="4"/>
  <c r="B130" i="4"/>
  <c r="F129" i="4"/>
  <c r="E129" i="4"/>
  <c r="D129" i="4"/>
  <c r="C129" i="4"/>
  <c r="B129" i="4"/>
  <c r="F128" i="4"/>
  <c r="E128" i="4"/>
  <c r="D128" i="4"/>
  <c r="C128" i="4"/>
  <c r="B128" i="4"/>
  <c r="F127" i="4"/>
  <c r="E127" i="4"/>
  <c r="D127" i="4"/>
  <c r="C127" i="4"/>
  <c r="B127" i="4"/>
  <c r="F126" i="4"/>
  <c r="E126" i="4"/>
  <c r="D126" i="4"/>
  <c r="C126" i="4"/>
  <c r="B126" i="4"/>
  <c r="F125" i="4"/>
  <c r="E125" i="4"/>
  <c r="D125" i="4"/>
  <c r="C125" i="4"/>
  <c r="B125" i="4"/>
  <c r="F124" i="4"/>
  <c r="E124" i="4"/>
  <c r="D124" i="4"/>
  <c r="C124" i="4"/>
  <c r="B124" i="4"/>
  <c r="F123" i="4"/>
  <c r="E123" i="4"/>
  <c r="D123" i="4"/>
  <c r="C123" i="4"/>
  <c r="B123" i="4"/>
  <c r="F122" i="4"/>
  <c r="E122" i="4"/>
  <c r="D122" i="4"/>
  <c r="C122" i="4"/>
  <c r="B122" i="4"/>
  <c r="F121" i="4"/>
  <c r="E121" i="4"/>
  <c r="D121" i="4"/>
  <c r="C121" i="4"/>
  <c r="B121" i="4"/>
  <c r="F120" i="4"/>
  <c r="E120" i="4"/>
  <c r="D120" i="4"/>
  <c r="C120" i="4"/>
  <c r="B120" i="4"/>
  <c r="F119" i="4"/>
  <c r="E119" i="4"/>
  <c r="D119" i="4"/>
  <c r="C119" i="4"/>
  <c r="B119" i="4"/>
  <c r="F118" i="4"/>
  <c r="E118" i="4"/>
  <c r="D118" i="4"/>
  <c r="C118" i="4"/>
  <c r="B118" i="4"/>
  <c r="F117" i="4"/>
  <c r="E117" i="4"/>
  <c r="D117" i="4"/>
  <c r="C117" i="4"/>
  <c r="B117" i="4"/>
  <c r="F116" i="4"/>
  <c r="E116" i="4"/>
  <c r="D116" i="4"/>
  <c r="C116" i="4"/>
  <c r="B116" i="4"/>
  <c r="F115" i="4"/>
  <c r="E115" i="4"/>
  <c r="D115" i="4"/>
  <c r="C115" i="4"/>
  <c r="B115" i="4"/>
  <c r="F114" i="4"/>
  <c r="E114" i="4"/>
  <c r="D114" i="4"/>
  <c r="C114" i="4"/>
  <c r="B114" i="4"/>
  <c r="F113" i="4"/>
  <c r="E113" i="4"/>
  <c r="D113" i="4"/>
  <c r="C113" i="4"/>
  <c r="B113" i="4"/>
  <c r="F112" i="4"/>
  <c r="E112" i="4"/>
  <c r="D112" i="4"/>
  <c r="C112" i="4"/>
  <c r="B112" i="4"/>
  <c r="F111" i="4"/>
  <c r="E111" i="4"/>
  <c r="D111" i="4"/>
  <c r="C111" i="4"/>
  <c r="B111" i="4"/>
  <c r="F110" i="4"/>
  <c r="E110" i="4"/>
  <c r="D110" i="4"/>
  <c r="C110" i="4"/>
  <c r="B110" i="4"/>
  <c r="F109" i="4"/>
  <c r="E109" i="4"/>
  <c r="D109" i="4"/>
  <c r="C109" i="4"/>
  <c r="B109" i="4"/>
  <c r="F108" i="4"/>
  <c r="E108" i="4"/>
  <c r="D108" i="4"/>
  <c r="C108" i="4"/>
  <c r="B108" i="4"/>
  <c r="F107" i="4"/>
  <c r="E107" i="4"/>
  <c r="D107" i="4"/>
  <c r="C107" i="4"/>
  <c r="B107" i="4"/>
  <c r="F106" i="4"/>
  <c r="E106" i="4"/>
  <c r="D106" i="4"/>
  <c r="C106" i="4"/>
  <c r="B106" i="4"/>
  <c r="F105" i="4"/>
  <c r="E105" i="4"/>
  <c r="D105" i="4"/>
  <c r="C105" i="4"/>
  <c r="B105" i="4"/>
  <c r="F104" i="4"/>
  <c r="E104" i="4"/>
  <c r="D104" i="4"/>
  <c r="C104" i="4"/>
  <c r="B104" i="4"/>
  <c r="F103" i="4"/>
  <c r="E103" i="4"/>
  <c r="D103" i="4"/>
  <c r="C103" i="4"/>
  <c r="B103" i="4"/>
  <c r="F102" i="4"/>
  <c r="E102" i="4"/>
  <c r="D102" i="4"/>
  <c r="C102" i="4"/>
  <c r="B102" i="4"/>
  <c r="F101" i="4"/>
  <c r="E101" i="4"/>
  <c r="D101" i="4"/>
  <c r="C101" i="4"/>
  <c r="B101" i="4"/>
  <c r="F100" i="4"/>
  <c r="E100" i="4"/>
  <c r="D100" i="4"/>
  <c r="C100" i="4"/>
  <c r="B100" i="4"/>
  <c r="F99" i="4"/>
  <c r="E99" i="4"/>
  <c r="D99" i="4"/>
  <c r="C99" i="4"/>
  <c r="B99" i="4"/>
  <c r="F98" i="4"/>
  <c r="E98" i="4"/>
  <c r="D98" i="4"/>
  <c r="C98" i="4"/>
  <c r="B98" i="4"/>
  <c r="F97" i="4"/>
  <c r="E97" i="4"/>
  <c r="D97" i="4"/>
  <c r="C97" i="4"/>
  <c r="B97" i="4"/>
  <c r="F96" i="4"/>
  <c r="E96" i="4"/>
  <c r="D96" i="4"/>
  <c r="C96" i="4"/>
  <c r="B96" i="4"/>
  <c r="F95" i="4"/>
  <c r="E95" i="4"/>
  <c r="D95" i="4"/>
  <c r="C95" i="4"/>
  <c r="B95" i="4"/>
  <c r="F94" i="4"/>
  <c r="E94" i="4"/>
  <c r="D94" i="4"/>
  <c r="C94" i="4"/>
  <c r="B94" i="4"/>
  <c r="F93" i="4"/>
  <c r="E93" i="4"/>
  <c r="D93" i="4"/>
  <c r="C93" i="4"/>
  <c r="B93" i="4"/>
  <c r="F92" i="4"/>
  <c r="E92" i="4"/>
  <c r="D92" i="4"/>
  <c r="C92" i="4"/>
  <c r="B92" i="4"/>
  <c r="F91" i="4"/>
  <c r="E91" i="4"/>
  <c r="D91" i="4"/>
  <c r="C91" i="4"/>
  <c r="B91" i="4"/>
  <c r="F90" i="4"/>
  <c r="E90" i="4"/>
  <c r="D90" i="4"/>
  <c r="C90" i="4"/>
  <c r="B90" i="4"/>
  <c r="F89" i="4"/>
  <c r="E89" i="4"/>
  <c r="D89" i="4"/>
  <c r="C89" i="4"/>
  <c r="B89" i="4"/>
  <c r="F88" i="4"/>
  <c r="E88" i="4"/>
  <c r="D88" i="4"/>
  <c r="C88" i="4"/>
  <c r="B88" i="4"/>
  <c r="F87" i="4"/>
  <c r="E87" i="4"/>
  <c r="D87" i="4"/>
  <c r="C87" i="4"/>
  <c r="B87" i="4"/>
  <c r="F86" i="4"/>
  <c r="E86" i="4"/>
  <c r="D86" i="4"/>
  <c r="C86" i="4"/>
  <c r="B86" i="4"/>
  <c r="F85" i="4"/>
  <c r="E85" i="4"/>
  <c r="D85" i="4"/>
  <c r="C85" i="4"/>
  <c r="B85" i="4"/>
  <c r="F84" i="4"/>
  <c r="E84" i="4"/>
  <c r="D84" i="4"/>
  <c r="C84" i="4"/>
  <c r="B84" i="4"/>
  <c r="F83" i="4"/>
  <c r="E83" i="4"/>
  <c r="D83" i="4"/>
  <c r="C83" i="4"/>
  <c r="B83" i="4"/>
  <c r="F82" i="4"/>
  <c r="E82" i="4"/>
  <c r="D82" i="4"/>
  <c r="C82" i="4"/>
  <c r="B82" i="4"/>
  <c r="F81" i="4"/>
  <c r="E81" i="4"/>
  <c r="D81" i="4"/>
  <c r="C81" i="4"/>
  <c r="B81" i="4"/>
  <c r="F80" i="4"/>
  <c r="E80" i="4"/>
  <c r="D80" i="4"/>
  <c r="C80" i="4"/>
  <c r="B80" i="4"/>
  <c r="F79" i="4"/>
  <c r="E79" i="4"/>
  <c r="D79" i="4"/>
  <c r="C79" i="4"/>
  <c r="B79" i="4"/>
  <c r="F78" i="4"/>
  <c r="E78" i="4"/>
  <c r="D78" i="4"/>
  <c r="C78" i="4"/>
  <c r="B78" i="4"/>
  <c r="F77" i="4"/>
  <c r="E77" i="4"/>
  <c r="D77" i="4"/>
  <c r="C77" i="4"/>
  <c r="B77" i="4"/>
  <c r="F76" i="4"/>
  <c r="E76" i="4"/>
  <c r="D76" i="4"/>
  <c r="C76" i="4"/>
  <c r="B76" i="4"/>
  <c r="F75" i="4"/>
  <c r="E75" i="4"/>
  <c r="D75" i="4"/>
  <c r="C75" i="4"/>
  <c r="B75" i="4"/>
  <c r="F74" i="4"/>
  <c r="E74" i="4"/>
  <c r="D74" i="4"/>
  <c r="C74" i="4"/>
  <c r="B74" i="4"/>
  <c r="F73" i="4"/>
  <c r="E73" i="4"/>
  <c r="D73" i="4"/>
  <c r="C73" i="4"/>
  <c r="B73" i="4"/>
  <c r="F72" i="4"/>
  <c r="E72" i="4"/>
  <c r="D72" i="4"/>
  <c r="C72" i="4"/>
  <c r="B72" i="4"/>
  <c r="F71" i="4"/>
  <c r="E71" i="4"/>
  <c r="D71" i="4"/>
  <c r="C71" i="4"/>
  <c r="B71" i="4"/>
  <c r="F70" i="4"/>
  <c r="E70" i="4"/>
  <c r="D70" i="4"/>
  <c r="C70" i="4"/>
  <c r="B70" i="4"/>
  <c r="F69" i="4"/>
  <c r="E69" i="4"/>
  <c r="D69" i="4"/>
  <c r="C69" i="4"/>
  <c r="B69" i="4"/>
  <c r="F68" i="4"/>
  <c r="E68" i="4"/>
  <c r="D68" i="4"/>
  <c r="C68" i="4"/>
  <c r="B68" i="4"/>
  <c r="F67" i="4"/>
  <c r="E67" i="4"/>
  <c r="D67" i="4"/>
  <c r="C67" i="4"/>
  <c r="B67" i="4"/>
  <c r="F66" i="4"/>
  <c r="E66" i="4"/>
  <c r="D66" i="4"/>
  <c r="C66" i="4"/>
  <c r="B66" i="4"/>
  <c r="F65" i="4"/>
  <c r="E65" i="4"/>
  <c r="D65" i="4"/>
  <c r="C65" i="4"/>
  <c r="B65" i="4"/>
  <c r="F64" i="4"/>
  <c r="E64" i="4"/>
  <c r="D64" i="4"/>
  <c r="C64" i="4"/>
  <c r="B64" i="4"/>
  <c r="F63" i="4"/>
  <c r="E63" i="4"/>
  <c r="D63" i="4"/>
  <c r="C63" i="4"/>
  <c r="B63" i="4"/>
  <c r="F62" i="4"/>
  <c r="E62" i="4"/>
  <c r="D62" i="4"/>
  <c r="C62" i="4"/>
  <c r="B62" i="4"/>
  <c r="F61" i="4"/>
  <c r="E61" i="4"/>
  <c r="D61" i="4"/>
  <c r="C61" i="4"/>
  <c r="B61" i="4"/>
  <c r="F60" i="4"/>
  <c r="E60" i="4"/>
  <c r="D60" i="4"/>
  <c r="C60" i="4"/>
  <c r="B60" i="4"/>
  <c r="F59" i="4"/>
  <c r="E59" i="4"/>
  <c r="D59" i="4"/>
  <c r="C59" i="4"/>
  <c r="B59" i="4"/>
  <c r="F58" i="4"/>
  <c r="E58" i="4"/>
  <c r="D58" i="4"/>
  <c r="C58" i="4"/>
  <c r="B58" i="4"/>
  <c r="F57" i="4"/>
  <c r="E57" i="4"/>
  <c r="D57" i="4"/>
  <c r="C57" i="4"/>
  <c r="B57" i="4"/>
  <c r="F56" i="4"/>
  <c r="E56" i="4"/>
  <c r="D56" i="4"/>
  <c r="C56" i="4"/>
  <c r="B56" i="4"/>
  <c r="F55" i="4"/>
  <c r="E55" i="4"/>
  <c r="D55" i="4"/>
  <c r="C55" i="4"/>
  <c r="B55" i="4"/>
  <c r="F54" i="4"/>
  <c r="E54" i="4"/>
  <c r="D54" i="4"/>
  <c r="C54" i="4"/>
  <c r="B54" i="4"/>
  <c r="F53" i="4"/>
  <c r="E53" i="4"/>
  <c r="D53" i="4"/>
  <c r="C53" i="4"/>
  <c r="B53" i="4"/>
  <c r="F52" i="4"/>
  <c r="E52" i="4"/>
  <c r="D52" i="4"/>
  <c r="C52" i="4"/>
  <c r="B52" i="4"/>
  <c r="F51" i="4"/>
  <c r="E51" i="4"/>
  <c r="D51" i="4"/>
  <c r="C51" i="4"/>
  <c r="B51" i="4"/>
  <c r="F50" i="4"/>
  <c r="E50" i="4"/>
  <c r="D50" i="4"/>
  <c r="C50" i="4"/>
  <c r="B50" i="4"/>
  <c r="F49" i="4"/>
  <c r="E49" i="4"/>
  <c r="D49" i="4"/>
  <c r="C49" i="4"/>
  <c r="B49" i="4"/>
  <c r="F48" i="4"/>
  <c r="E48" i="4"/>
  <c r="D48" i="4"/>
  <c r="C48" i="4"/>
  <c r="B48" i="4"/>
  <c r="F47" i="4"/>
  <c r="E47" i="4"/>
  <c r="D47" i="4"/>
  <c r="C47" i="4"/>
  <c r="B47" i="4"/>
  <c r="F46" i="4"/>
  <c r="E46" i="4"/>
  <c r="D46" i="4"/>
  <c r="C46" i="4"/>
  <c r="B46" i="4"/>
  <c r="F45" i="4"/>
  <c r="E45" i="4"/>
  <c r="D45" i="4"/>
  <c r="C45" i="4"/>
  <c r="B45" i="4"/>
  <c r="F44" i="4"/>
  <c r="E44" i="4"/>
  <c r="D44" i="4"/>
  <c r="C44" i="4"/>
  <c r="B44" i="4"/>
  <c r="F43" i="4"/>
  <c r="E43" i="4"/>
  <c r="D43" i="4"/>
  <c r="C43" i="4"/>
  <c r="B43" i="4"/>
  <c r="F42" i="4"/>
  <c r="E42" i="4"/>
  <c r="D42" i="4"/>
  <c r="C42" i="4"/>
  <c r="B42" i="4"/>
  <c r="F41" i="4"/>
  <c r="E41" i="4"/>
  <c r="D41" i="4"/>
  <c r="C41" i="4"/>
  <c r="B41" i="4"/>
  <c r="F40" i="4"/>
  <c r="E40" i="4"/>
  <c r="D40" i="4"/>
  <c r="C40" i="4"/>
  <c r="B40" i="4"/>
  <c r="F39" i="4"/>
  <c r="E39" i="4"/>
  <c r="D39" i="4"/>
  <c r="C39" i="4"/>
  <c r="B39" i="4"/>
  <c r="F38" i="4"/>
  <c r="E38" i="4"/>
  <c r="D38" i="4"/>
  <c r="C38" i="4"/>
  <c r="B38" i="4"/>
  <c r="F37" i="4"/>
  <c r="E37" i="4"/>
  <c r="D37" i="4"/>
  <c r="C37" i="4"/>
  <c r="B37" i="4"/>
  <c r="F36" i="4"/>
  <c r="E36" i="4"/>
  <c r="D36" i="4"/>
  <c r="C36" i="4"/>
  <c r="B36" i="4"/>
  <c r="F35" i="4"/>
  <c r="E35" i="4"/>
  <c r="D35" i="4"/>
  <c r="C35" i="4"/>
  <c r="B35" i="4"/>
  <c r="F34" i="4"/>
  <c r="E34" i="4"/>
  <c r="D34" i="4"/>
  <c r="C34" i="4"/>
  <c r="B34" i="4"/>
  <c r="F33" i="4"/>
  <c r="E33" i="4"/>
  <c r="D33" i="4"/>
  <c r="C33" i="4"/>
  <c r="B33" i="4"/>
  <c r="F32" i="4"/>
  <c r="E32" i="4"/>
  <c r="D32" i="4"/>
  <c r="C32" i="4"/>
  <c r="B32" i="4"/>
  <c r="F31" i="4"/>
  <c r="E31" i="4"/>
  <c r="D31" i="4"/>
  <c r="C31" i="4"/>
  <c r="B31" i="4"/>
  <c r="F30" i="4"/>
  <c r="E30" i="4"/>
  <c r="D30" i="4"/>
  <c r="C30" i="4"/>
  <c r="B30" i="4"/>
  <c r="F29" i="4"/>
  <c r="E29" i="4"/>
  <c r="D29" i="4"/>
  <c r="C29" i="4"/>
  <c r="B29" i="4"/>
  <c r="F28" i="4"/>
  <c r="E28" i="4"/>
  <c r="D28" i="4"/>
  <c r="C28" i="4"/>
  <c r="B28" i="4"/>
  <c r="F27" i="4"/>
  <c r="E27" i="4"/>
  <c r="D27" i="4"/>
  <c r="C27" i="4"/>
  <c r="B27" i="4"/>
  <c r="F26" i="4"/>
  <c r="E26" i="4"/>
  <c r="D26" i="4"/>
  <c r="C26" i="4"/>
  <c r="B26" i="4"/>
  <c r="F25" i="4"/>
  <c r="E25" i="4"/>
  <c r="D25" i="4"/>
  <c r="C25" i="4"/>
  <c r="B25" i="4"/>
  <c r="F24" i="4"/>
  <c r="E24" i="4"/>
  <c r="D24" i="4"/>
  <c r="C24" i="4"/>
  <c r="B24" i="4"/>
  <c r="F23" i="4"/>
  <c r="E23" i="4"/>
  <c r="D23" i="4"/>
  <c r="C23" i="4"/>
  <c r="B23" i="4"/>
  <c r="F22" i="4"/>
  <c r="E22" i="4"/>
  <c r="D22" i="4"/>
  <c r="C22" i="4"/>
  <c r="B22" i="4"/>
  <c r="F21" i="4"/>
  <c r="E21" i="4"/>
  <c r="D21" i="4"/>
  <c r="C21" i="4"/>
  <c r="B21" i="4"/>
  <c r="F20" i="4"/>
  <c r="E20" i="4"/>
  <c r="D20" i="4"/>
  <c r="C20" i="4"/>
  <c r="B20" i="4"/>
  <c r="F19" i="4"/>
  <c r="E19" i="4"/>
  <c r="D19" i="4"/>
  <c r="C19" i="4"/>
  <c r="B19" i="4"/>
  <c r="F18" i="4"/>
  <c r="E18" i="4"/>
  <c r="D18" i="4"/>
  <c r="C18" i="4"/>
  <c r="B18" i="4"/>
  <c r="F17" i="4"/>
  <c r="E17" i="4"/>
  <c r="D17" i="4"/>
  <c r="C17" i="4"/>
  <c r="B17" i="4"/>
  <c r="F16" i="4"/>
  <c r="E16" i="4"/>
  <c r="D16" i="4"/>
  <c r="C16" i="4"/>
  <c r="B16" i="4"/>
  <c r="F15" i="4"/>
  <c r="E15" i="4"/>
  <c r="D15" i="4"/>
  <c r="C15" i="4"/>
  <c r="B15" i="4"/>
  <c r="F14" i="4"/>
  <c r="E14" i="4"/>
  <c r="D14" i="4"/>
  <c r="C14" i="4"/>
  <c r="B14" i="4"/>
  <c r="F13" i="4"/>
  <c r="E13" i="4"/>
  <c r="D13" i="4"/>
  <c r="C13" i="4"/>
  <c r="B13" i="4"/>
  <c r="F12" i="4"/>
  <c r="E12" i="4"/>
  <c r="D12" i="4"/>
  <c r="C12" i="4"/>
  <c r="B12" i="4"/>
  <c r="F11" i="4"/>
  <c r="E11" i="4"/>
  <c r="D11" i="4"/>
  <c r="C11" i="4"/>
  <c r="B11" i="4"/>
  <c r="F10" i="4"/>
  <c r="E10" i="4"/>
  <c r="D10" i="4"/>
  <c r="C10" i="4"/>
  <c r="B10" i="4"/>
  <c r="F9" i="4"/>
  <c r="E9" i="4"/>
  <c r="D9" i="4"/>
  <c r="C9" i="4"/>
  <c r="B9" i="4"/>
  <c r="F8" i="4"/>
  <c r="E8" i="4"/>
  <c r="D8" i="4"/>
  <c r="C8" i="4"/>
  <c r="B8" i="4"/>
  <c r="F7" i="4"/>
  <c r="E7" i="4"/>
  <c r="D7" i="4"/>
  <c r="C7" i="4"/>
  <c r="B7" i="4"/>
  <c r="F6" i="4"/>
  <c r="E6" i="4"/>
  <c r="D6" i="4"/>
  <c r="C6" i="4"/>
  <c r="B6" i="4"/>
  <c r="F5" i="4"/>
  <c r="E5" i="4"/>
  <c r="D5" i="4"/>
  <c r="C5" i="4"/>
  <c r="B5" i="4"/>
  <c r="F4" i="4"/>
  <c r="E4" i="4"/>
  <c r="D4" i="4"/>
  <c r="C4" i="4"/>
  <c r="B4" i="4"/>
  <c r="F3" i="4"/>
  <c r="E3" i="4"/>
  <c r="D3" i="4"/>
  <c r="C3" i="4"/>
  <c r="B3" i="4"/>
  <c r="F2" i="4"/>
  <c r="B2" i="4"/>
  <c r="F246" i="5"/>
  <c r="E246" i="5"/>
  <c r="D246" i="5"/>
  <c r="C246" i="5"/>
  <c r="B246" i="5"/>
  <c r="F245" i="5"/>
  <c r="E245" i="5"/>
  <c r="D245" i="5"/>
  <c r="C245" i="5"/>
  <c r="B245" i="5"/>
  <c r="F244" i="5"/>
  <c r="E244" i="5"/>
  <c r="D244" i="5"/>
  <c r="C244" i="5"/>
  <c r="B244" i="5"/>
  <c r="F243" i="5"/>
  <c r="E243" i="5"/>
  <c r="D243" i="5"/>
  <c r="C243" i="5"/>
  <c r="B243" i="5"/>
  <c r="F242" i="5"/>
  <c r="E242" i="5"/>
  <c r="D242" i="5"/>
  <c r="C242" i="5"/>
  <c r="B242" i="5"/>
  <c r="F241" i="5"/>
  <c r="E241" i="5"/>
  <c r="D241" i="5"/>
  <c r="C241" i="5"/>
  <c r="B241" i="5"/>
  <c r="F240" i="5"/>
  <c r="E240" i="5"/>
  <c r="D240" i="5"/>
  <c r="C240" i="5"/>
  <c r="B240" i="5"/>
  <c r="F239" i="5"/>
  <c r="E239" i="5"/>
  <c r="D239" i="5"/>
  <c r="C239" i="5"/>
  <c r="B239" i="5"/>
  <c r="F238" i="5"/>
  <c r="E238" i="5"/>
  <c r="D238" i="5"/>
  <c r="C238" i="5"/>
  <c r="B238" i="5"/>
  <c r="F237" i="5"/>
  <c r="E237" i="5"/>
  <c r="D237" i="5"/>
  <c r="C237" i="5"/>
  <c r="B237" i="5"/>
  <c r="F236" i="5"/>
  <c r="E236" i="5"/>
  <c r="D236" i="5"/>
  <c r="C236" i="5"/>
  <c r="B236" i="5"/>
  <c r="F235" i="5"/>
  <c r="E235" i="5"/>
  <c r="D235" i="5"/>
  <c r="C235" i="5"/>
  <c r="B235" i="5"/>
  <c r="F234" i="5"/>
  <c r="E234" i="5"/>
  <c r="D234" i="5"/>
  <c r="C234" i="5"/>
  <c r="B234" i="5"/>
  <c r="F233" i="5"/>
  <c r="E233" i="5"/>
  <c r="D233" i="5"/>
  <c r="C233" i="5"/>
  <c r="B233" i="5"/>
  <c r="F232" i="5"/>
  <c r="E232" i="5"/>
  <c r="D232" i="5"/>
  <c r="C232" i="5"/>
  <c r="B232" i="5"/>
  <c r="F231" i="5"/>
  <c r="E231" i="5"/>
  <c r="D231" i="5"/>
  <c r="C231" i="5"/>
  <c r="B231" i="5"/>
  <c r="F230" i="5"/>
  <c r="E230" i="5"/>
  <c r="D230" i="5"/>
  <c r="C230" i="5"/>
  <c r="B230" i="5"/>
  <c r="F229" i="5"/>
  <c r="E229" i="5"/>
  <c r="D229" i="5"/>
  <c r="C229" i="5"/>
  <c r="B229" i="5"/>
  <c r="F228" i="5"/>
  <c r="E228" i="5"/>
  <c r="D228" i="5"/>
  <c r="C228" i="5"/>
  <c r="B228" i="5"/>
  <c r="F227" i="5"/>
  <c r="E227" i="5"/>
  <c r="D227" i="5"/>
  <c r="C227" i="5"/>
  <c r="B227" i="5"/>
  <c r="F226" i="5"/>
  <c r="E226" i="5"/>
  <c r="D226" i="5"/>
  <c r="C226" i="5"/>
  <c r="B226" i="5"/>
  <c r="F225" i="5"/>
  <c r="E225" i="5"/>
  <c r="D225" i="5"/>
  <c r="C225" i="5"/>
  <c r="B225" i="5"/>
  <c r="F224" i="5"/>
  <c r="E224" i="5"/>
  <c r="D224" i="5"/>
  <c r="C224" i="5"/>
  <c r="B224" i="5"/>
  <c r="F223" i="5"/>
  <c r="E223" i="5"/>
  <c r="D223" i="5"/>
  <c r="C223" i="5"/>
  <c r="B223" i="5"/>
  <c r="F222" i="5"/>
  <c r="E222" i="5"/>
  <c r="D222" i="5"/>
  <c r="C222" i="5"/>
  <c r="B222" i="5"/>
  <c r="F221" i="5"/>
  <c r="E221" i="5"/>
  <c r="D221" i="5"/>
  <c r="C221" i="5"/>
  <c r="B221" i="5"/>
  <c r="F220" i="5"/>
  <c r="E220" i="5"/>
  <c r="D220" i="5"/>
  <c r="C220" i="5"/>
  <c r="B220" i="5"/>
  <c r="F219" i="5"/>
  <c r="E219" i="5"/>
  <c r="D219" i="5"/>
  <c r="C219" i="5"/>
  <c r="B219" i="5"/>
  <c r="F218" i="5"/>
  <c r="E218" i="5"/>
  <c r="D218" i="5"/>
  <c r="C218" i="5"/>
  <c r="B218" i="5"/>
  <c r="F217" i="5"/>
  <c r="E217" i="5"/>
  <c r="D217" i="5"/>
  <c r="C217" i="5"/>
  <c r="B217" i="5"/>
  <c r="F216" i="5"/>
  <c r="E216" i="5"/>
  <c r="D216" i="5"/>
  <c r="C216" i="5"/>
  <c r="B216" i="5"/>
  <c r="F215" i="5"/>
  <c r="E215" i="5"/>
  <c r="D215" i="5"/>
  <c r="C215" i="5"/>
  <c r="B215" i="5"/>
  <c r="F214" i="5"/>
  <c r="E214" i="5"/>
  <c r="D214" i="5"/>
  <c r="C214" i="5"/>
  <c r="B214" i="5"/>
  <c r="F213" i="5"/>
  <c r="E213" i="5"/>
  <c r="D213" i="5"/>
  <c r="C213" i="5"/>
  <c r="B213" i="5"/>
  <c r="F212" i="5"/>
  <c r="E212" i="5"/>
  <c r="D212" i="5"/>
  <c r="C212" i="5"/>
  <c r="B212" i="5"/>
  <c r="F211" i="5"/>
  <c r="E211" i="5"/>
  <c r="D211" i="5"/>
  <c r="C211" i="5"/>
  <c r="B211" i="5"/>
  <c r="F210" i="5"/>
  <c r="E210" i="5"/>
  <c r="D210" i="5"/>
  <c r="C210" i="5"/>
  <c r="B210" i="5"/>
  <c r="F209" i="5"/>
  <c r="E209" i="5"/>
  <c r="D209" i="5"/>
  <c r="C209" i="5"/>
  <c r="B209" i="5"/>
  <c r="F208" i="5"/>
  <c r="E208" i="5"/>
  <c r="D208" i="5"/>
  <c r="C208" i="5"/>
  <c r="B208" i="5"/>
  <c r="F207" i="5"/>
  <c r="E207" i="5"/>
  <c r="D207" i="5"/>
  <c r="C207" i="5"/>
  <c r="B207" i="5"/>
  <c r="F206" i="5"/>
  <c r="E206" i="5"/>
  <c r="D206" i="5"/>
  <c r="C206" i="5"/>
  <c r="B206" i="5"/>
  <c r="F205" i="5"/>
  <c r="E205" i="5"/>
  <c r="D205" i="5"/>
  <c r="C205" i="5"/>
  <c r="B205" i="5"/>
  <c r="F204" i="5"/>
  <c r="E204" i="5"/>
  <c r="D204" i="5"/>
  <c r="C204" i="5"/>
  <c r="B204" i="5"/>
  <c r="F203" i="5"/>
  <c r="E203" i="5"/>
  <c r="D203" i="5"/>
  <c r="C203" i="5"/>
  <c r="B203" i="5"/>
  <c r="F202" i="5"/>
  <c r="E202" i="5"/>
  <c r="D202" i="5"/>
  <c r="C202" i="5"/>
  <c r="B202" i="5"/>
  <c r="F201" i="5"/>
  <c r="E201" i="5"/>
  <c r="D201" i="5"/>
  <c r="C201" i="5"/>
  <c r="B201" i="5"/>
  <c r="F200" i="5"/>
  <c r="E200" i="5"/>
  <c r="D200" i="5"/>
  <c r="C200" i="5"/>
  <c r="B200" i="5"/>
  <c r="F199" i="5"/>
  <c r="E199" i="5"/>
  <c r="D199" i="5"/>
  <c r="C199" i="5"/>
  <c r="B199" i="5"/>
  <c r="F198" i="5"/>
  <c r="E198" i="5"/>
  <c r="D198" i="5"/>
  <c r="C198" i="5"/>
  <c r="B198" i="5"/>
  <c r="F197" i="5"/>
  <c r="E197" i="5"/>
  <c r="D197" i="5"/>
  <c r="C197" i="5"/>
  <c r="B197" i="5"/>
  <c r="F196" i="5"/>
  <c r="E196" i="5"/>
  <c r="D196" i="5"/>
  <c r="C196" i="5"/>
  <c r="B196" i="5"/>
  <c r="F195" i="5"/>
  <c r="E195" i="5"/>
  <c r="D195" i="5"/>
  <c r="C195" i="5"/>
  <c r="B195" i="5"/>
  <c r="F194" i="5"/>
  <c r="E194" i="5"/>
  <c r="D194" i="5"/>
  <c r="C194" i="5"/>
  <c r="B194" i="5"/>
  <c r="F193" i="5"/>
  <c r="E193" i="5"/>
  <c r="D193" i="5"/>
  <c r="C193" i="5"/>
  <c r="B193" i="5"/>
  <c r="F192" i="5"/>
  <c r="E192" i="5"/>
  <c r="D192" i="5"/>
  <c r="C192" i="5"/>
  <c r="B192" i="5"/>
  <c r="F191" i="5"/>
  <c r="E191" i="5"/>
  <c r="D191" i="5"/>
  <c r="C191" i="5"/>
  <c r="B191" i="5"/>
  <c r="F190" i="5"/>
  <c r="E190" i="5"/>
  <c r="D190" i="5"/>
  <c r="C190" i="5"/>
  <c r="B190" i="5"/>
  <c r="F189" i="5"/>
  <c r="E189" i="5"/>
  <c r="D189" i="5"/>
  <c r="C189" i="5"/>
  <c r="B189" i="5"/>
  <c r="F188" i="5"/>
  <c r="E188" i="5"/>
  <c r="D188" i="5"/>
  <c r="C188" i="5"/>
  <c r="B188" i="5"/>
  <c r="F187" i="5"/>
  <c r="E187" i="5"/>
  <c r="D187" i="5"/>
  <c r="C187" i="5"/>
  <c r="B187" i="5"/>
  <c r="F186" i="5"/>
  <c r="E186" i="5"/>
  <c r="D186" i="5"/>
  <c r="C186" i="5"/>
  <c r="B186" i="5"/>
  <c r="F185" i="5"/>
  <c r="E185" i="5"/>
  <c r="D185" i="5"/>
  <c r="C185" i="5"/>
  <c r="B185" i="5"/>
  <c r="F184" i="5"/>
  <c r="E184" i="5"/>
  <c r="D184" i="5"/>
  <c r="C184" i="5"/>
  <c r="B184" i="5"/>
  <c r="F183" i="5"/>
  <c r="E183" i="5"/>
  <c r="D183" i="5"/>
  <c r="C183" i="5"/>
  <c r="B183" i="5"/>
  <c r="F182" i="5"/>
  <c r="E182" i="5"/>
  <c r="D182" i="5"/>
  <c r="C182" i="5"/>
  <c r="B182" i="5"/>
  <c r="F181" i="5"/>
  <c r="E181" i="5"/>
  <c r="D181" i="5"/>
  <c r="C181" i="5"/>
  <c r="B181" i="5"/>
  <c r="F180" i="5"/>
  <c r="E180" i="5"/>
  <c r="D180" i="5"/>
  <c r="C180" i="5"/>
  <c r="B180" i="5"/>
  <c r="F179" i="5"/>
  <c r="E179" i="5"/>
  <c r="D179" i="5"/>
  <c r="C179" i="5"/>
  <c r="B179" i="5"/>
  <c r="F178" i="5"/>
  <c r="E178" i="5"/>
  <c r="D178" i="5"/>
  <c r="C178" i="5"/>
  <c r="B178" i="5"/>
  <c r="F177" i="5"/>
  <c r="E177" i="5"/>
  <c r="D177" i="5"/>
  <c r="C177" i="5"/>
  <c r="B177" i="5"/>
  <c r="F176" i="5"/>
  <c r="E176" i="5"/>
  <c r="D176" i="5"/>
  <c r="C176" i="5"/>
  <c r="B176" i="5"/>
  <c r="F175" i="5"/>
  <c r="E175" i="5"/>
  <c r="D175" i="5"/>
  <c r="C175" i="5"/>
  <c r="B175" i="5"/>
  <c r="F174" i="5"/>
  <c r="E174" i="5"/>
  <c r="D174" i="5"/>
  <c r="C174" i="5"/>
  <c r="B174" i="5"/>
  <c r="F173" i="5"/>
  <c r="E173" i="5"/>
  <c r="D173" i="5"/>
  <c r="C173" i="5"/>
  <c r="B173" i="5"/>
  <c r="F172" i="5"/>
  <c r="E172" i="5"/>
  <c r="D172" i="5"/>
  <c r="C172" i="5"/>
  <c r="B172" i="5"/>
  <c r="F171" i="5"/>
  <c r="E171" i="5"/>
  <c r="D171" i="5"/>
  <c r="C171" i="5"/>
  <c r="B171" i="5"/>
  <c r="F170" i="5"/>
  <c r="E170" i="5"/>
  <c r="D170" i="5"/>
  <c r="C170" i="5"/>
  <c r="B170" i="5"/>
  <c r="F169" i="5"/>
  <c r="E169" i="5"/>
  <c r="D169" i="5"/>
  <c r="C169" i="5"/>
  <c r="B169" i="5"/>
  <c r="F168" i="5"/>
  <c r="E168" i="5"/>
  <c r="D168" i="5"/>
  <c r="C168" i="5"/>
  <c r="B168" i="5"/>
  <c r="F167" i="5"/>
  <c r="E167" i="5"/>
  <c r="D167" i="5"/>
  <c r="C167" i="5"/>
  <c r="B167" i="5"/>
  <c r="F166" i="5"/>
  <c r="E166" i="5"/>
  <c r="D166" i="5"/>
  <c r="C166" i="5"/>
  <c r="B166" i="5"/>
  <c r="F165" i="5"/>
  <c r="E165" i="5"/>
  <c r="D165" i="5"/>
  <c r="C165" i="5"/>
  <c r="B165" i="5"/>
  <c r="F164" i="5"/>
  <c r="E164" i="5"/>
  <c r="D164" i="5"/>
  <c r="C164" i="5"/>
  <c r="B164" i="5"/>
  <c r="F163" i="5"/>
  <c r="E163" i="5"/>
  <c r="D163" i="5"/>
  <c r="C163" i="5"/>
  <c r="B163" i="5"/>
  <c r="F162" i="5"/>
  <c r="E162" i="5"/>
  <c r="D162" i="5"/>
  <c r="C162" i="5"/>
  <c r="B162" i="5"/>
  <c r="F161" i="5"/>
  <c r="E161" i="5"/>
  <c r="D161" i="5"/>
  <c r="C161" i="5"/>
  <c r="B161" i="5"/>
  <c r="F160" i="5"/>
  <c r="E160" i="5"/>
  <c r="D160" i="5"/>
  <c r="C160" i="5"/>
  <c r="B160" i="5"/>
  <c r="F159" i="5"/>
  <c r="E159" i="5"/>
  <c r="D159" i="5"/>
  <c r="C159" i="5"/>
  <c r="B159" i="5"/>
  <c r="F158" i="5"/>
  <c r="E158" i="5"/>
  <c r="D158" i="5"/>
  <c r="C158" i="5"/>
  <c r="B158" i="5"/>
  <c r="F157" i="5"/>
  <c r="E157" i="5"/>
  <c r="D157" i="5"/>
  <c r="C157" i="5"/>
  <c r="B157" i="5"/>
  <c r="F156" i="5"/>
  <c r="E156" i="5"/>
  <c r="D156" i="5"/>
  <c r="C156" i="5"/>
  <c r="B156" i="5"/>
  <c r="F155" i="5"/>
  <c r="E155" i="5"/>
  <c r="D155" i="5"/>
  <c r="C155" i="5"/>
  <c r="B155" i="5"/>
  <c r="F154" i="5"/>
  <c r="E154" i="5"/>
  <c r="D154" i="5"/>
  <c r="C154" i="5"/>
  <c r="B154" i="5"/>
  <c r="F153" i="5"/>
  <c r="E153" i="5"/>
  <c r="D153" i="5"/>
  <c r="C153" i="5"/>
  <c r="B153" i="5"/>
  <c r="F152" i="5"/>
  <c r="E152" i="5"/>
  <c r="D152" i="5"/>
  <c r="C152" i="5"/>
  <c r="B152" i="5"/>
  <c r="F151" i="5"/>
  <c r="E151" i="5"/>
  <c r="D151" i="5"/>
  <c r="C151" i="5"/>
  <c r="B151" i="5"/>
  <c r="F150" i="5"/>
  <c r="E150" i="5"/>
  <c r="D150" i="5"/>
  <c r="C150" i="5"/>
  <c r="B150" i="5"/>
  <c r="F149" i="5"/>
  <c r="E149" i="5"/>
  <c r="D149" i="5"/>
  <c r="C149" i="5"/>
  <c r="B149" i="5"/>
  <c r="F148" i="5"/>
  <c r="E148" i="5"/>
  <c r="D148" i="5"/>
  <c r="C148" i="5"/>
  <c r="B148" i="5"/>
  <c r="F147" i="5"/>
  <c r="E147" i="5"/>
  <c r="D147" i="5"/>
  <c r="C147" i="5"/>
  <c r="B147" i="5"/>
  <c r="F146" i="5"/>
  <c r="E146" i="5"/>
  <c r="D146" i="5"/>
  <c r="C146" i="5"/>
  <c r="B146" i="5"/>
  <c r="F145" i="5"/>
  <c r="E145" i="5"/>
  <c r="D145" i="5"/>
  <c r="C145" i="5"/>
  <c r="B145" i="5"/>
  <c r="F144" i="5"/>
  <c r="E144" i="5"/>
  <c r="D144" i="5"/>
  <c r="C144" i="5"/>
  <c r="B144" i="5"/>
  <c r="F143" i="5"/>
  <c r="E143" i="5"/>
  <c r="D143" i="5"/>
  <c r="C143" i="5"/>
  <c r="B143" i="5"/>
  <c r="F142" i="5"/>
  <c r="E142" i="5"/>
  <c r="D142" i="5"/>
  <c r="C142" i="5"/>
  <c r="B142" i="5"/>
  <c r="F141" i="5"/>
  <c r="E141" i="5"/>
  <c r="D141" i="5"/>
  <c r="C141" i="5"/>
  <c r="B141" i="5"/>
  <c r="F140" i="5"/>
  <c r="E140" i="5"/>
  <c r="D140" i="5"/>
  <c r="C140" i="5"/>
  <c r="B140" i="5"/>
  <c r="F139" i="5"/>
  <c r="E139" i="5"/>
  <c r="D139" i="5"/>
  <c r="C139" i="5"/>
  <c r="B139" i="5"/>
  <c r="F138" i="5"/>
  <c r="E138" i="5"/>
  <c r="D138" i="5"/>
  <c r="C138" i="5"/>
  <c r="B138" i="5"/>
  <c r="F137" i="5"/>
  <c r="E137" i="5"/>
  <c r="D137" i="5"/>
  <c r="C137" i="5"/>
  <c r="B137" i="5"/>
  <c r="F136" i="5"/>
  <c r="E136" i="5"/>
  <c r="D136" i="5"/>
  <c r="C136" i="5"/>
  <c r="B136" i="5"/>
  <c r="F135" i="5"/>
  <c r="E135" i="5"/>
  <c r="D135" i="5"/>
  <c r="C135" i="5"/>
  <c r="B135" i="5"/>
  <c r="F134" i="5"/>
  <c r="E134" i="5"/>
  <c r="D134" i="5"/>
  <c r="C134" i="5"/>
  <c r="B134" i="5"/>
  <c r="F133" i="5"/>
  <c r="E133" i="5"/>
  <c r="D133" i="5"/>
  <c r="C133" i="5"/>
  <c r="B133" i="5"/>
  <c r="F132" i="5"/>
  <c r="E132" i="5"/>
  <c r="D132" i="5"/>
  <c r="C132" i="5"/>
  <c r="B132" i="5"/>
  <c r="F131" i="5"/>
  <c r="E131" i="5"/>
  <c r="D131" i="5"/>
  <c r="C131" i="5"/>
  <c r="B131" i="5"/>
  <c r="F130" i="5"/>
  <c r="E130" i="5"/>
  <c r="D130" i="5"/>
  <c r="C130" i="5"/>
  <c r="B130" i="5"/>
  <c r="F129" i="5"/>
  <c r="E129" i="5"/>
  <c r="D129" i="5"/>
  <c r="C129" i="5"/>
  <c r="B129" i="5"/>
  <c r="F128" i="5"/>
  <c r="E128" i="5"/>
  <c r="D128" i="5"/>
  <c r="C128" i="5"/>
  <c r="B128" i="5"/>
  <c r="F127" i="5"/>
  <c r="E127" i="5"/>
  <c r="D127" i="5"/>
  <c r="C127" i="5"/>
  <c r="B127" i="5"/>
  <c r="F126" i="5"/>
  <c r="E126" i="5"/>
  <c r="D126" i="5"/>
  <c r="C126" i="5"/>
  <c r="B126" i="5"/>
  <c r="F125" i="5"/>
  <c r="E125" i="5"/>
  <c r="D125" i="5"/>
  <c r="C125" i="5"/>
  <c r="B125" i="5"/>
  <c r="F124" i="5"/>
  <c r="E124" i="5"/>
  <c r="D124" i="5"/>
  <c r="C124" i="5"/>
  <c r="B124" i="5"/>
  <c r="F123" i="5"/>
  <c r="E123" i="5"/>
  <c r="D123" i="5"/>
  <c r="C123" i="5"/>
  <c r="B123" i="5"/>
  <c r="F122" i="5"/>
  <c r="E122" i="5"/>
  <c r="D122" i="5"/>
  <c r="C122" i="5"/>
  <c r="B122" i="5"/>
  <c r="F121" i="5"/>
  <c r="E121" i="5"/>
  <c r="D121" i="5"/>
  <c r="C121" i="5"/>
  <c r="B121" i="5"/>
  <c r="F120" i="5"/>
  <c r="E120" i="5"/>
  <c r="D120" i="5"/>
  <c r="C120" i="5"/>
  <c r="B120" i="5"/>
  <c r="F119" i="5"/>
  <c r="E119" i="5"/>
  <c r="D119" i="5"/>
  <c r="C119" i="5"/>
  <c r="B119" i="5"/>
  <c r="F118" i="5"/>
  <c r="E118" i="5"/>
  <c r="D118" i="5"/>
  <c r="C118" i="5"/>
  <c r="B118" i="5"/>
  <c r="F117" i="5"/>
  <c r="E117" i="5"/>
  <c r="D117" i="5"/>
  <c r="C117" i="5"/>
  <c r="B117" i="5"/>
  <c r="F116" i="5"/>
  <c r="E116" i="5"/>
  <c r="D116" i="5"/>
  <c r="C116" i="5"/>
  <c r="B116" i="5"/>
  <c r="F115" i="5"/>
  <c r="E115" i="5"/>
  <c r="D115" i="5"/>
  <c r="C115" i="5"/>
  <c r="B115" i="5"/>
  <c r="F114" i="5"/>
  <c r="E114" i="5"/>
  <c r="D114" i="5"/>
  <c r="C114" i="5"/>
  <c r="B114" i="5"/>
  <c r="F113" i="5"/>
  <c r="E113" i="5"/>
  <c r="D113" i="5"/>
  <c r="C113" i="5"/>
  <c r="B113" i="5"/>
  <c r="F112" i="5"/>
  <c r="E112" i="5"/>
  <c r="D112" i="5"/>
  <c r="C112" i="5"/>
  <c r="B112" i="5"/>
  <c r="F111" i="5"/>
  <c r="E111" i="5"/>
  <c r="D111" i="5"/>
  <c r="C111" i="5"/>
  <c r="B111" i="5"/>
  <c r="F110" i="5"/>
  <c r="E110" i="5"/>
  <c r="D110" i="5"/>
  <c r="C110" i="5"/>
  <c r="B110" i="5"/>
  <c r="F109" i="5"/>
  <c r="E109" i="5"/>
  <c r="D109" i="5"/>
  <c r="C109" i="5"/>
  <c r="B109" i="5"/>
  <c r="F108" i="5"/>
  <c r="E108" i="5"/>
  <c r="D108" i="5"/>
  <c r="C108" i="5"/>
  <c r="B108" i="5"/>
  <c r="F107" i="5"/>
  <c r="E107" i="5"/>
  <c r="D107" i="5"/>
  <c r="C107" i="5"/>
  <c r="B107" i="5"/>
  <c r="F106" i="5"/>
  <c r="E106" i="5"/>
  <c r="D106" i="5"/>
  <c r="C106" i="5"/>
  <c r="B106" i="5"/>
  <c r="F105" i="5"/>
  <c r="E105" i="5"/>
  <c r="D105" i="5"/>
  <c r="C105" i="5"/>
  <c r="B105" i="5"/>
  <c r="F104" i="5"/>
  <c r="E104" i="5"/>
  <c r="D104" i="5"/>
  <c r="C104" i="5"/>
  <c r="B104" i="5"/>
  <c r="F103" i="5"/>
  <c r="E103" i="5"/>
  <c r="D103" i="5"/>
  <c r="C103" i="5"/>
  <c r="B103" i="5"/>
  <c r="F102" i="5"/>
  <c r="E102" i="5"/>
  <c r="D102" i="5"/>
  <c r="C102" i="5"/>
  <c r="B102" i="5"/>
  <c r="F101" i="5"/>
  <c r="E101" i="5"/>
  <c r="D101" i="5"/>
  <c r="C101" i="5"/>
  <c r="B101" i="5"/>
  <c r="F100" i="5"/>
  <c r="E100" i="5"/>
  <c r="D100" i="5"/>
  <c r="C100" i="5"/>
  <c r="B100" i="5"/>
  <c r="F99" i="5"/>
  <c r="E99" i="5"/>
  <c r="D99" i="5"/>
  <c r="C99" i="5"/>
  <c r="B99" i="5"/>
  <c r="F98" i="5"/>
  <c r="E98" i="5"/>
  <c r="D98" i="5"/>
  <c r="C98" i="5"/>
  <c r="B98" i="5"/>
  <c r="F97" i="5"/>
  <c r="E97" i="5"/>
  <c r="D97" i="5"/>
  <c r="C97" i="5"/>
  <c r="B97" i="5"/>
  <c r="F96" i="5"/>
  <c r="E96" i="5"/>
  <c r="D96" i="5"/>
  <c r="C96" i="5"/>
  <c r="B96" i="5"/>
  <c r="F95" i="5"/>
  <c r="E95" i="5"/>
  <c r="D95" i="5"/>
  <c r="C95" i="5"/>
  <c r="B95" i="5"/>
  <c r="F94" i="5"/>
  <c r="E94" i="5"/>
  <c r="D94" i="5"/>
  <c r="C94" i="5"/>
  <c r="B94" i="5"/>
  <c r="F93" i="5"/>
  <c r="E93" i="5"/>
  <c r="D93" i="5"/>
  <c r="C93" i="5"/>
  <c r="B93" i="5"/>
  <c r="F92" i="5"/>
  <c r="E92" i="5"/>
  <c r="D92" i="5"/>
  <c r="C92" i="5"/>
  <c r="B92" i="5"/>
  <c r="F91" i="5"/>
  <c r="E91" i="5"/>
  <c r="D91" i="5"/>
  <c r="C91" i="5"/>
  <c r="B91" i="5"/>
  <c r="F90" i="5"/>
  <c r="E90" i="5"/>
  <c r="D90" i="5"/>
  <c r="C90" i="5"/>
  <c r="B90" i="5"/>
  <c r="F89" i="5"/>
  <c r="E89" i="5"/>
  <c r="D89" i="5"/>
  <c r="C89" i="5"/>
  <c r="B89" i="5"/>
  <c r="F88" i="5"/>
  <c r="E88" i="5"/>
  <c r="D88" i="5"/>
  <c r="C88" i="5"/>
  <c r="B88" i="5"/>
  <c r="F87" i="5"/>
  <c r="E87" i="5"/>
  <c r="D87" i="5"/>
  <c r="C87" i="5"/>
  <c r="B87" i="5"/>
  <c r="F86" i="5"/>
  <c r="E86" i="5"/>
  <c r="D86" i="5"/>
  <c r="C86" i="5"/>
  <c r="B86" i="5"/>
  <c r="F85" i="5"/>
  <c r="E85" i="5"/>
  <c r="D85" i="5"/>
  <c r="C85" i="5"/>
  <c r="B85" i="5"/>
  <c r="F84" i="5"/>
  <c r="E84" i="5"/>
  <c r="D84" i="5"/>
  <c r="C84" i="5"/>
  <c r="B84" i="5"/>
  <c r="F83" i="5"/>
  <c r="E83" i="5"/>
  <c r="D83" i="5"/>
  <c r="C83" i="5"/>
  <c r="B83" i="5"/>
  <c r="F82" i="5"/>
  <c r="E82" i="5"/>
  <c r="D82" i="5"/>
  <c r="C82" i="5"/>
  <c r="B82" i="5"/>
  <c r="F81" i="5"/>
  <c r="E81" i="5"/>
  <c r="D81" i="5"/>
  <c r="C81" i="5"/>
  <c r="B81" i="5"/>
  <c r="F80" i="5"/>
  <c r="E80" i="5"/>
  <c r="D80" i="5"/>
  <c r="C80" i="5"/>
  <c r="B80" i="5"/>
  <c r="F79" i="5"/>
  <c r="E79" i="5"/>
  <c r="D79" i="5"/>
  <c r="C79" i="5"/>
  <c r="B79" i="5"/>
  <c r="F78" i="5"/>
  <c r="E78" i="5"/>
  <c r="D78" i="5"/>
  <c r="C78" i="5"/>
  <c r="B78" i="5"/>
  <c r="F77" i="5"/>
  <c r="E77" i="5"/>
  <c r="D77" i="5"/>
  <c r="C77" i="5"/>
  <c r="B77" i="5"/>
  <c r="F76" i="5"/>
  <c r="E76" i="5"/>
  <c r="D76" i="5"/>
  <c r="C76" i="5"/>
  <c r="B76" i="5"/>
  <c r="F75" i="5"/>
  <c r="E75" i="5"/>
  <c r="D75" i="5"/>
  <c r="C75" i="5"/>
  <c r="B75" i="5"/>
  <c r="F74" i="5"/>
  <c r="E74" i="5"/>
  <c r="D74" i="5"/>
  <c r="C74" i="5"/>
  <c r="B74" i="5"/>
  <c r="F73" i="5"/>
  <c r="E73" i="5"/>
  <c r="D73" i="5"/>
  <c r="C73" i="5"/>
  <c r="B73" i="5"/>
  <c r="F72" i="5"/>
  <c r="E72" i="5"/>
  <c r="D72" i="5"/>
  <c r="C72" i="5"/>
  <c r="B72" i="5"/>
  <c r="F71" i="5"/>
  <c r="E71" i="5"/>
  <c r="D71" i="5"/>
  <c r="C71" i="5"/>
  <c r="B71" i="5"/>
  <c r="F70" i="5"/>
  <c r="E70" i="5"/>
  <c r="D70" i="5"/>
  <c r="C70" i="5"/>
  <c r="B70" i="5"/>
  <c r="F69" i="5"/>
  <c r="E69" i="5"/>
  <c r="D69" i="5"/>
  <c r="C69" i="5"/>
  <c r="B69" i="5"/>
  <c r="F68" i="5"/>
  <c r="E68" i="5"/>
  <c r="D68" i="5"/>
  <c r="C68" i="5"/>
  <c r="B68" i="5"/>
  <c r="F67" i="5"/>
  <c r="E67" i="5"/>
  <c r="D67" i="5"/>
  <c r="C67" i="5"/>
  <c r="B67" i="5"/>
  <c r="F66" i="5"/>
  <c r="E66" i="5"/>
  <c r="D66" i="5"/>
  <c r="C66" i="5"/>
  <c r="B66" i="5"/>
  <c r="F65" i="5"/>
  <c r="E65" i="5"/>
  <c r="D65" i="5"/>
  <c r="C65" i="5"/>
  <c r="B65" i="5"/>
  <c r="F64" i="5"/>
  <c r="E64" i="5"/>
  <c r="D64" i="5"/>
  <c r="C64" i="5"/>
  <c r="B64" i="5"/>
  <c r="F63" i="5"/>
  <c r="E63" i="5"/>
  <c r="D63" i="5"/>
  <c r="C63" i="5"/>
  <c r="B63" i="5"/>
  <c r="F62" i="5"/>
  <c r="E62" i="5"/>
  <c r="D62" i="5"/>
  <c r="C62" i="5"/>
  <c r="B62" i="5"/>
  <c r="F61" i="5"/>
  <c r="E61" i="5"/>
  <c r="D61" i="5"/>
  <c r="C61" i="5"/>
  <c r="B61" i="5"/>
  <c r="F60" i="5"/>
  <c r="E60" i="5"/>
  <c r="D60" i="5"/>
  <c r="C60" i="5"/>
  <c r="B60" i="5"/>
  <c r="F59" i="5"/>
  <c r="E59" i="5"/>
  <c r="D59" i="5"/>
  <c r="C59" i="5"/>
  <c r="B59" i="5"/>
  <c r="F58" i="5"/>
  <c r="E58" i="5"/>
  <c r="D58" i="5"/>
  <c r="C58" i="5"/>
  <c r="B58" i="5"/>
  <c r="F57" i="5"/>
  <c r="E57" i="5"/>
  <c r="D57" i="5"/>
  <c r="C57" i="5"/>
  <c r="B57" i="5"/>
  <c r="F56" i="5"/>
  <c r="E56" i="5"/>
  <c r="D56" i="5"/>
  <c r="C56" i="5"/>
  <c r="B56" i="5"/>
  <c r="F55" i="5"/>
  <c r="E55" i="5"/>
  <c r="D55" i="5"/>
  <c r="C55" i="5"/>
  <c r="B55" i="5"/>
  <c r="F54" i="5"/>
  <c r="E54" i="5"/>
  <c r="D54" i="5"/>
  <c r="C54" i="5"/>
  <c r="B54" i="5"/>
  <c r="F53" i="5"/>
  <c r="E53" i="5"/>
  <c r="D53" i="5"/>
  <c r="C53" i="5"/>
  <c r="B53" i="5"/>
  <c r="F52" i="5"/>
  <c r="E52" i="5"/>
  <c r="D52" i="5"/>
  <c r="C52" i="5"/>
  <c r="B52" i="5"/>
  <c r="F51" i="5"/>
  <c r="E51" i="5"/>
  <c r="D51" i="5"/>
  <c r="C51" i="5"/>
  <c r="B51" i="5"/>
  <c r="F50" i="5"/>
  <c r="E50" i="5"/>
  <c r="D50" i="5"/>
  <c r="C50" i="5"/>
  <c r="B50" i="5"/>
  <c r="F49" i="5"/>
  <c r="E49" i="5"/>
  <c r="D49" i="5"/>
  <c r="C49" i="5"/>
  <c r="B49" i="5"/>
  <c r="F48" i="5"/>
  <c r="E48" i="5"/>
  <c r="D48" i="5"/>
  <c r="C48" i="5"/>
  <c r="B48" i="5"/>
  <c r="F47" i="5"/>
  <c r="E47" i="5"/>
  <c r="D47" i="5"/>
  <c r="C47" i="5"/>
  <c r="B47" i="5"/>
  <c r="F46" i="5"/>
  <c r="E46" i="5"/>
  <c r="D46" i="5"/>
  <c r="C46" i="5"/>
  <c r="B46" i="5"/>
  <c r="F45" i="5"/>
  <c r="E45" i="5"/>
  <c r="D45" i="5"/>
  <c r="C45" i="5"/>
  <c r="B45" i="5"/>
  <c r="F44" i="5"/>
  <c r="E44" i="5"/>
  <c r="D44" i="5"/>
  <c r="C44" i="5"/>
  <c r="B44" i="5"/>
  <c r="F43" i="5"/>
  <c r="E43" i="5"/>
  <c r="D43" i="5"/>
  <c r="C43" i="5"/>
  <c r="B43" i="5"/>
  <c r="F42" i="5"/>
  <c r="E42" i="5"/>
  <c r="D42" i="5"/>
  <c r="C42" i="5"/>
  <c r="B42" i="5"/>
  <c r="F41" i="5"/>
  <c r="E41" i="5"/>
  <c r="D41" i="5"/>
  <c r="C41" i="5"/>
  <c r="B41" i="5"/>
  <c r="F40" i="5"/>
  <c r="E40" i="5"/>
  <c r="D40" i="5"/>
  <c r="C40" i="5"/>
  <c r="B40" i="5"/>
  <c r="F39" i="5"/>
  <c r="E39" i="5"/>
  <c r="D39" i="5"/>
  <c r="C39" i="5"/>
  <c r="B39" i="5"/>
  <c r="F38" i="5"/>
  <c r="E38" i="5"/>
  <c r="D38" i="5"/>
  <c r="C38" i="5"/>
  <c r="B38" i="5"/>
  <c r="F37" i="5"/>
  <c r="E37" i="5"/>
  <c r="D37" i="5"/>
  <c r="C37" i="5"/>
  <c r="B37" i="5"/>
  <c r="F36" i="5"/>
  <c r="E36" i="5"/>
  <c r="D36" i="5"/>
  <c r="C36" i="5"/>
  <c r="B36" i="5"/>
  <c r="F35" i="5"/>
  <c r="E35" i="5"/>
  <c r="D35" i="5"/>
  <c r="C35" i="5"/>
  <c r="B35" i="5"/>
  <c r="F34" i="5"/>
  <c r="E34" i="5"/>
  <c r="D34" i="5"/>
  <c r="C34" i="5"/>
  <c r="B34" i="5"/>
  <c r="F33" i="5"/>
  <c r="E33" i="5"/>
  <c r="D33" i="5"/>
  <c r="C33" i="5"/>
  <c r="B33" i="5"/>
  <c r="F32" i="5"/>
  <c r="E32" i="5"/>
  <c r="D32" i="5"/>
  <c r="C32" i="5"/>
  <c r="B32" i="5"/>
  <c r="F31" i="5"/>
  <c r="E31" i="5"/>
  <c r="D31" i="5"/>
  <c r="C31" i="5"/>
  <c r="B31" i="5"/>
  <c r="F30" i="5"/>
  <c r="E30" i="5"/>
  <c r="D30" i="5"/>
  <c r="C30" i="5"/>
  <c r="B30" i="5"/>
  <c r="F29" i="5"/>
  <c r="E29" i="5"/>
  <c r="D29" i="5"/>
  <c r="C29" i="5"/>
  <c r="B29" i="5"/>
  <c r="F28" i="5"/>
  <c r="E28" i="5"/>
  <c r="D28" i="5"/>
  <c r="C28" i="5"/>
  <c r="B28" i="5"/>
  <c r="F27" i="5"/>
  <c r="E27" i="5"/>
  <c r="D27" i="5"/>
  <c r="C27" i="5"/>
  <c r="B27" i="5"/>
  <c r="F26" i="5"/>
  <c r="E26" i="5"/>
  <c r="D26" i="5"/>
  <c r="C26" i="5"/>
  <c r="B26" i="5"/>
  <c r="F25" i="5"/>
  <c r="E25" i="5"/>
  <c r="D25" i="5"/>
  <c r="C25" i="5"/>
  <c r="B25" i="5"/>
  <c r="F24" i="5"/>
  <c r="E24" i="5"/>
  <c r="D24" i="5"/>
  <c r="C24" i="5"/>
  <c r="B24" i="5"/>
  <c r="F23" i="5"/>
  <c r="E23" i="5"/>
  <c r="D23" i="5"/>
  <c r="C23" i="5"/>
  <c r="B23" i="5"/>
  <c r="F22" i="5"/>
  <c r="E22" i="5"/>
  <c r="D22" i="5"/>
  <c r="C22" i="5"/>
  <c r="B22" i="5"/>
  <c r="F21" i="5"/>
  <c r="E21" i="5"/>
  <c r="D21" i="5"/>
  <c r="C21" i="5"/>
  <c r="B21" i="5"/>
  <c r="F20" i="5"/>
  <c r="E20" i="5"/>
  <c r="D20" i="5"/>
  <c r="C20" i="5"/>
  <c r="B20" i="5"/>
  <c r="F19" i="5"/>
  <c r="E19" i="5"/>
  <c r="D19" i="5"/>
  <c r="C19" i="5"/>
  <c r="B19" i="5"/>
  <c r="F18" i="5"/>
  <c r="E18" i="5"/>
  <c r="D18" i="5"/>
  <c r="C18" i="5"/>
  <c r="B18" i="5"/>
  <c r="F17" i="5"/>
  <c r="E17" i="5"/>
  <c r="D17" i="5"/>
  <c r="C17" i="5"/>
  <c r="B17" i="5"/>
  <c r="F16" i="5"/>
  <c r="E16" i="5"/>
  <c r="D16" i="5"/>
  <c r="C16" i="5"/>
  <c r="B16" i="5"/>
  <c r="F15" i="5"/>
  <c r="E15" i="5"/>
  <c r="D15" i="5"/>
  <c r="C15" i="5"/>
  <c r="B15" i="5"/>
  <c r="F14" i="5"/>
  <c r="E14" i="5"/>
  <c r="D14" i="5"/>
  <c r="C14" i="5"/>
  <c r="B14" i="5"/>
  <c r="F13" i="5"/>
  <c r="E13" i="5"/>
  <c r="D13" i="5"/>
  <c r="C13" i="5"/>
  <c r="B13" i="5"/>
  <c r="F12" i="5"/>
  <c r="E12" i="5"/>
  <c r="D12" i="5"/>
  <c r="C12" i="5"/>
  <c r="B12" i="5"/>
  <c r="F11" i="5"/>
  <c r="E11" i="5"/>
  <c r="D11" i="5"/>
  <c r="C11" i="5"/>
  <c r="B11" i="5"/>
  <c r="F10" i="5"/>
  <c r="E10" i="5"/>
  <c r="D10" i="5"/>
  <c r="C10" i="5"/>
  <c r="B10" i="5"/>
  <c r="F9" i="5"/>
  <c r="E9" i="5"/>
  <c r="D9" i="5"/>
  <c r="C9" i="5"/>
  <c r="B9" i="5"/>
  <c r="F8" i="5"/>
  <c r="E8" i="5"/>
  <c r="D8" i="5"/>
  <c r="C8" i="5"/>
  <c r="B8" i="5"/>
  <c r="F7" i="5"/>
  <c r="E7" i="5"/>
  <c r="D7" i="5"/>
  <c r="C7" i="5"/>
  <c r="B7" i="5"/>
  <c r="F6" i="5"/>
  <c r="E6" i="5"/>
  <c r="D6" i="5"/>
  <c r="C6" i="5"/>
  <c r="B6" i="5"/>
  <c r="F5" i="5"/>
  <c r="E5" i="5"/>
  <c r="D5" i="5"/>
  <c r="C5" i="5"/>
  <c r="B5" i="5"/>
  <c r="F4" i="5"/>
  <c r="E4" i="5"/>
  <c r="D4" i="5"/>
  <c r="C4" i="5"/>
  <c r="B4" i="5"/>
  <c r="F3" i="5"/>
  <c r="E3" i="5"/>
  <c r="D3" i="5"/>
  <c r="C3" i="5"/>
  <c r="B3" i="5"/>
  <c r="F2" i="5"/>
  <c r="B2" i="5"/>
  <c r="F3" i="1"/>
  <c r="E3" i="1"/>
  <c r="B2" i="1"/>
  <c r="F2" i="1"/>
</calcChain>
</file>

<file path=xl/sharedStrings.xml><?xml version="1.0" encoding="utf-8"?>
<sst xmlns="http://schemas.openxmlformats.org/spreadsheetml/2006/main" count="6369" uniqueCount="3519">
  <si>
    <t>Separator</t>
  </si>
  <si>
    <t>LstNum</t>
  </si>
  <si>
    <t>Во время встречи и размещения пассажиров (СБ или PRAM) (дневной/ночной рейс)</t>
  </si>
  <si>
    <t>Читать не менее 3 раз</t>
  </si>
  <si>
    <t>Аварийные выходы и проходы должны быть свободны от ручной клади.</t>
  </si>
  <si>
    <t>Бортпроводники окажут вам необходимую помощь в размещении.</t>
  </si>
  <si>
    <t>Благодарим за внимание.</t>
  </si>
  <si>
    <t>авиакомпании «Аэрофлот – российские авиалинии», участника международного альянса SkyTeam.</t>
  </si>
  <si>
    <t>style_ID</t>
  </si>
  <si>
    <t>style_Name</t>
  </si>
  <si>
    <t>Название главы</t>
  </si>
  <si>
    <t>Заголовок2</t>
  </si>
  <si>
    <t>Заголовок3</t>
  </si>
  <si>
    <t>Режим полета</t>
  </si>
  <si>
    <t>Список</t>
  </si>
  <si>
    <t>Врезка</t>
  </si>
  <si>
    <t>TxtStyle</t>
  </si>
  <si>
    <t>Основные информационные сообщения</t>
  </si>
  <si>
    <t>Перед вылетом</t>
  </si>
  <si>
    <t>Приветствие КВС в аэропорту вылета (КВС) (дневной/ночной рейс)</t>
  </si>
  <si>
    <t>Желаю приятного полета!</t>
  </si>
  <si>
    <t>Обычный</t>
  </si>
  <si>
    <t>Уточнение1</t>
  </si>
  <si>
    <t>Уточнение2</t>
  </si>
  <si>
    <t xml:space="preserve">All aisles and emergency exits must be free of any personal items. </t>
  </si>
  <si>
    <t>The cabin crew will provide any necessary assistance.</t>
  </si>
  <si>
    <t>Thank you.</t>
  </si>
  <si>
    <t>TxtStyleN</t>
  </si>
  <si>
    <t>C1</t>
  </si>
  <si>
    <t>C2</t>
  </si>
  <si>
    <t>C3</t>
  </si>
  <si>
    <t>Аэробус А319/320/321/330;</t>
  </si>
  <si>
    <t>Боинг 737/777;</t>
  </si>
  <si>
    <t>Супер Джет</t>
  </si>
  <si>
    <t>Airbus А319/320/321/330;</t>
  </si>
  <si>
    <t>Boeing 737/777;</t>
  </si>
  <si>
    <t>Super Jet.</t>
  </si>
  <si>
    <t>в связи с ожиданием группы транзитных пассажиров;</t>
  </si>
  <si>
    <t>в связи с поздним прибытием самолета;</t>
  </si>
  <si>
    <t>в связи с забастовкой служащих аэропорта;</t>
  </si>
  <si>
    <t>в связи с производственными причинами.</t>
  </si>
  <si>
    <t>От имени всего экипажа и авиакомпании «Аэрофлот – российские авиалинии» приветствую вас на борту самолета… [тип ВС].</t>
  </si>
  <si>
    <t>Время в пути составит… часов… минут.</t>
  </si>
  <si>
    <t>The flight time will be… hours… minutes.</t>
  </si>
  <si>
    <t>Если была задержка вылета в аэропорту (более 15 минут)</t>
  </si>
  <si>
    <t xml:space="preserve">I wish you a pleasant flight. </t>
  </si>
  <si>
    <t>Airbus A319/320/321/330;</t>
  </si>
  <si>
    <t>L'équipage de cabine peut vous fournir toute l'aide nécessaire.</t>
  </si>
  <si>
    <t>Merci de votre attention.</t>
  </si>
  <si>
    <t>Notre vol à destination de… est effectué en coopération avec… [название авиакомпании по код-шер].</t>
  </si>
  <si>
    <t>La durée de vol sera… heures… minutes.</t>
  </si>
  <si>
    <t>der „Aeroflot – Russian Airlines“, eines Mitglieds der internationalen SkyTeam Allianz.</t>
  </si>
  <si>
    <t>Alle Gänge und Notausgänge müssen von Gepäckstücken vollständig frei bleiben.</t>
  </si>
  <si>
    <t>Die Besatzung wird Ihnen jederzeit behilflich sein.</t>
  </si>
  <si>
    <t>Danke.</t>
  </si>
  <si>
    <t>Die gesamte Flugdauer beträgt… Stunden und… Minuten.</t>
  </si>
  <si>
    <t>de la compañía aerea “Aeroflot – Russian Airlines”, miembro de la alianza internaсional SkyTeam.</t>
  </si>
  <si>
    <t>No obstaculice los pasillos y salidas de emergencia con sus objetos personales.</t>
  </si>
  <si>
    <t>El personal de la cabina le asistirá en todo lo que necesite.</t>
  </si>
  <si>
    <t>Gracias por su atención.</t>
  </si>
  <si>
    <t>¡Buenos días/ Buenas tardes/ noches, señoras y Señores!</t>
  </si>
  <si>
    <t>Nuestra ruta hoy es de… a… (conjuntamente con… [название авиакомпании по код-шер]).</t>
  </si>
  <si>
    <t>El tiempo total de vuelo será de… horas y… minutos.</t>
  </si>
  <si>
    <t>¡Les deseo un vuelo agradable!</t>
  </si>
  <si>
    <t>Russian</t>
  </si>
  <si>
    <t>English</t>
  </si>
  <si>
    <t>French</t>
  </si>
  <si>
    <t>German</t>
  </si>
  <si>
    <t>Spanish</t>
  </si>
  <si>
    <t>Chinese</t>
  </si>
  <si>
    <t>Japanese</t>
  </si>
  <si>
    <t>Korean</t>
  </si>
  <si>
    <t>Vietnamese</t>
  </si>
  <si>
    <t>Дополнительные информационные сообщения</t>
  </si>
  <si>
    <t>Аварийные информационные сообщения</t>
  </si>
  <si>
    <t>Говорит командир корабля… [имя и фамилия]. От имени всего экипажа и авиакомпании «Аэрофлот – российские авиалинии» приветствую вас на борту самолета… [тип ВС].</t>
  </si>
  <si>
    <t>Les habla el comandante. Me llamo… [имя и фамилия]. En nombre de toda la tripulación y de “Aeroflot – Russian Airlines” les damos la bienvenida a bordo de este… [тип ВС].</t>
  </si>
  <si>
    <t>Our flight today is from… to… (and is operated jointly with… [название авиакомпании по код-шер]).</t>
  </si>
  <si>
    <t>СБ: ¡Les deseamos un vuelo agradable!</t>
  </si>
  <si>
    <t xml:space="preserve">Приветствие СБ в аэропорту вылета (СБ) (дневной/ночной рейс) </t>
  </si>
  <si>
    <t>Информация читается СБ наизусть по СПГУ при открытых шторках, стоя в салоне класса Бизнес</t>
  </si>
  <si>
    <t>*Читается в родительном падеже, например, «выдающегося композитора Игоря Стравинского», «выдающегося путешественника Николая Миклухо-Маклая», «великого полководца Александра Суворова»</t>
  </si>
  <si>
    <t>Дамы и господа!</t>
  </si>
  <si>
    <t>Ladies and Gentlemen!</t>
  </si>
  <si>
    <t>Mesdames et Messieurs!</t>
  </si>
  <si>
    <t>Meine Damen und Herren!</t>
  </si>
  <si>
    <t>¡Señoras y señores!</t>
  </si>
  <si>
    <t xml:space="preserve">Меня зовут… [имя без фамилии]. Я – старший бортпроводник экипажа. </t>
  </si>
  <si>
    <t>My name is... [имя без фамилии] and I am the purser.</t>
  </si>
  <si>
    <t>Je m'appelle… [имя без фамилии] et je suis votre chef de cabine.</t>
  </si>
  <si>
    <t>Mein Name ist… [имя без фамилии]. Ich bin heute Ihr(e) Chefflugbegleiter(in).</t>
  </si>
  <si>
    <t>Me llamo… [имя без фамилии] y soy azafata responsable.</t>
  </si>
  <si>
    <t>Приветствую вас на борту нашего самолета, который носит имя… [указать определение рода деятельности из Приложения №2]… [имя и фамилия человека, в честь которого названо ВС*].</t>
  </si>
  <si>
    <t>Bienvenidos a bordo de este avión de Aeroflot que ha sido nombrado en honor del… [указать определение рода деятельности из Приложения №2]… [имя и фамилия человека, в честь которого названо ВС].</t>
  </si>
  <si>
    <t>Sehr geehrte Stammkunden – Mitglieder des Vielfliegerprogramms „Aeroflot Bonus” und anderer Bonusprogramme der Allianz SkyTeam der Niveaus Elite und Elite Plus! Wir danken Ihnen für die Auswahl von Fluggesellschaften der Aeroflot-Gruppe.</t>
  </si>
  <si>
    <t>Estimados clientes habituales, miembros del programa “Aeroflot Bonus” y de los programas Bonus de la alianza internacional SkyTeam de los niveles Elite y Elite Plus, les agradesemos por haber eligido líneas aereas de Aeroflot Group.</t>
  </si>
  <si>
    <t xml:space="preserve">Thank you. </t>
  </si>
  <si>
    <r>
      <t>Благодарим</t>
    </r>
    <r>
      <rPr>
        <sz val="11"/>
        <color rgb="FF000000"/>
        <rFont val="Times New Roman"/>
        <family val="1"/>
        <charset val="204"/>
      </rPr>
      <t xml:space="preserve"> </t>
    </r>
    <r>
      <rPr>
        <sz val="11"/>
        <color rgb="FF000000"/>
        <rFont val="Calibri"/>
        <family val="2"/>
        <charset val="204"/>
        <scheme val="minor"/>
      </rPr>
      <t xml:space="preserve">за внимание. </t>
    </r>
  </si>
  <si>
    <t xml:space="preserve">Приветствие в аэропорту вылета на языке страны направления на рейсах в страны СНГ (PRAM) (дневной/ночной рейс) </t>
  </si>
  <si>
    <t>От имени командира корабля и всего экипажа приветствуем вас на борту самолета авиакомпании Аэрофлот.</t>
  </si>
  <si>
    <t>Желаем приятного полета!</t>
  </si>
  <si>
    <t>При демонстрации АСС (СБ или PRAM) (дневной/ночной рейс)</t>
  </si>
  <si>
    <t>Пожалуйста, обратите внимание на демонстрацию аварийно-спасательного оборудования нашего самолета.</t>
  </si>
  <si>
    <t xml:space="preserve">Please direct your attention to the safety features demonstration. </t>
  </si>
  <si>
    <t>Prêtez attention s’il vous plaît aux demonstrations de l’ équipement de securité.</t>
  </si>
  <si>
    <t xml:space="preserve">Wir möchten Sie bitten, dieser Sicherheitsvorführung Ihre volle Aufmerksamkeit zu schenken. </t>
  </si>
  <si>
    <t>Presten por favor su atención a la demonstración de los equipos de emergencia de nuestro avión.</t>
  </si>
  <si>
    <t xml:space="preserve">Аварийные выходы </t>
  </si>
  <si>
    <t>RRJ-95</t>
  </si>
  <si>
    <t>1. Наш самолет имеет 4 аварийных выхода.</t>
  </si>
  <si>
    <t>1. This aircraft has 4 emergency exits.</t>
  </si>
  <si>
    <t>1. Cet appareil a 4 sorties de secours</t>
  </si>
  <si>
    <t>1. Dieses Flugzeug hat 4 Notausgänge.</t>
  </si>
  <si>
    <t>1. Este avión tiene 4 salidas de emergencia.</t>
  </si>
  <si>
    <t>2. Аварийные выходы расположены слева и справа по борту:</t>
  </si>
  <si>
    <t>2. The emergency exits are located on the left and right of the cabin:</t>
  </si>
  <si>
    <t>2. Les sorties de secours sont situées à gauche et à droite de la cabine:</t>
  </si>
  <si>
    <t>2. Die Notausgänge befinden sich rechts und links an Bord:</t>
  </si>
  <si>
    <t>2. Las salidas de emergencia están situadas a la izquierda y derecha del bordo:</t>
  </si>
  <si>
    <t xml:space="preserve">два – в передней и </t>
  </si>
  <si>
    <t>two – in the front and</t>
  </si>
  <si>
    <t>deux – à l’avant,</t>
  </si>
  <si>
    <t>zwei im vorderen Bereich,</t>
  </si>
  <si>
    <t>dos en la parte delantera,</t>
  </si>
  <si>
    <t xml:space="preserve">два – в хвостовой части самолета. </t>
  </si>
  <si>
    <t xml:space="preserve">two in the rear compartment of the aircraft. </t>
  </si>
  <si>
    <t>deux – dans la partie arrière de l'appareil.</t>
  </si>
  <si>
    <t>zwei im hinteren Bereich des Flugzeugs.</t>
  </si>
  <si>
    <t>dos en la parte trasera del avión.</t>
  </si>
  <si>
    <t>3. Все выходы оборудованы автоматически надуваемыми трапами.</t>
  </si>
  <si>
    <t>3. All exits are equipped with inflatable evacuation slides.</t>
  </si>
  <si>
    <t>3. Toutes les sorties sont équipées des toboggans.</t>
  </si>
  <si>
    <t xml:space="preserve">3. Alle Ausgänge sind mit aufblasbaren Notrutschen ausgerüstet. </t>
  </si>
  <si>
    <t>3. Todas las salidas están equipadas con toboganes hinchables de evacuación.</t>
  </si>
  <si>
    <t>4. Каждый выход обозначен световым табло «ВЫХОД».</t>
  </si>
  <si>
    <t>4. Chaque sortie est signalée par un panneau lumineux EXIT.</t>
  </si>
  <si>
    <t xml:space="preserve">4. Jeder Ausgang ist mit einem beleuchteten Exit-Schild gekennzeichnet. </t>
  </si>
  <si>
    <t>4. Cada salida está indicada con la señal luminosa “EXIT”.</t>
  </si>
  <si>
    <t xml:space="preserve">5. Светящаяся дорожка вдоль прохода указывает направление к выходам. </t>
  </si>
  <si>
    <t>5. The escape path lighting along the aisle will guide you to the exits.</t>
  </si>
  <si>
    <t>5. La ligne lumineuse le long du couloir vous guidera vers les sorties de secours.</t>
  </si>
  <si>
    <t>5. Die Fluchtwegbeleuchtung am Boden zeigt Ihnen den Weg zu den Notausgängen.</t>
  </si>
  <si>
    <t>5. Las señales luminosas del pasillo le conducirán hasta las salidas de emergencia.</t>
  </si>
  <si>
    <t>Обратите внимание на выход, расположенный рядом с вами.</t>
  </si>
  <si>
    <t xml:space="preserve">Please take a moment to locate the exit nearest to you. </t>
  </si>
  <si>
    <t>Prêtez attention à sortie la plus proche de vous.</t>
  </si>
  <si>
    <t>Bitte orientieren Sie sich jetzt, wo Ihr nächster Notausgang liegt.</t>
  </si>
  <si>
    <t>Por favor fíjese dónde se encuentra la salida más próxima.</t>
  </si>
  <si>
    <t>A319</t>
  </si>
  <si>
    <t>1. Наш самолет имеет 6 аварийных выходов.</t>
  </si>
  <si>
    <t>1. This aircraft has 6 emergency exits.</t>
  </si>
  <si>
    <t>1. Сet appareil a 6 sorties de secours.</t>
  </si>
  <si>
    <t>1. Dieses Flugzeug hat 6 Notausgänge.</t>
  </si>
  <si>
    <t>1. Este avión tiene 6 salidas de emergencia.</t>
  </si>
  <si>
    <t>2. Die Notausgänge befinden sich links und rechts an Bord:</t>
  </si>
  <si>
    <t xml:space="preserve">два – в передней части самолета, </t>
  </si>
  <si>
    <t>two – in the front compartment,</t>
  </si>
  <si>
    <t xml:space="preserve">два аварийных люка на плоскости крыла и </t>
  </si>
  <si>
    <t xml:space="preserve">two window exits over the wings and </t>
  </si>
  <si>
    <t>deux issues sur les ailes,</t>
  </si>
  <si>
    <t xml:space="preserve">zwei Notfenster über den Tragflächen und </t>
  </si>
  <si>
    <t xml:space="preserve">dos escotillas de emergencia sobre las alas y </t>
  </si>
  <si>
    <t>3. Alle Ausgänge sind mit aufblasbaren Notrutschen ausgerüstet.</t>
  </si>
  <si>
    <t>4. Each exit is marked with an illuminated EXIT sign.</t>
  </si>
  <si>
    <t>А320</t>
  </si>
  <si>
    <t>1. Наш самолет имеет 8 аварийных выходов.</t>
  </si>
  <si>
    <t>1. This aircraft has 8 emergency exits.</t>
  </si>
  <si>
    <t>1. Cet appareil a 8 sorties de secours.</t>
  </si>
  <si>
    <t>1. Dieses Flugzeug hat 8 Notausgänge.</t>
  </si>
  <si>
    <t>1. Este avión tiene 8 salidas de emergencia.</t>
  </si>
  <si>
    <t>2. Les sorties sont situées à gauche et à droite de la cabine:</t>
  </si>
  <si>
    <t>two in the front compartment,</t>
  </si>
  <si>
    <t xml:space="preserve">четыре аварийных люка на плоскости крыла и </t>
  </si>
  <si>
    <t>four window exits over the wings and</t>
  </si>
  <si>
    <t>quatre issues sur les ailes et</t>
  </si>
  <si>
    <t xml:space="preserve">vier Notfenster über den Tragflächen und </t>
  </si>
  <si>
    <t>cuatro escotillas de emergencia sobre las alas y</t>
  </si>
  <si>
    <t>два – в хвостовой части самолета.</t>
  </si>
  <si>
    <t xml:space="preserve">3. Toutes les sorties sont équipées des toboggans. </t>
  </si>
  <si>
    <t>5. Светящаяся дорожка вдоль прохода указывает направление к выходам.</t>
  </si>
  <si>
    <t>Prêtez attention à la sortie la plus proche de vous.</t>
  </si>
  <si>
    <t>А321</t>
  </si>
  <si>
    <t xml:space="preserve">2. Аварийные выходы расположены слева и справа по борту: </t>
  </si>
  <si>
    <t xml:space="preserve">два – в передней, </t>
  </si>
  <si>
    <t>two in the front,</t>
  </si>
  <si>
    <t xml:space="preserve">deux – à l’avant, </t>
  </si>
  <si>
    <t xml:space="preserve">два – в средней части самолета, </t>
  </si>
  <si>
    <t>two in the mid compartment,</t>
  </si>
  <si>
    <t>deux – au milieu,</t>
  </si>
  <si>
    <t>zwei im mittleren Bereich,</t>
  </si>
  <si>
    <t>dos en la parte central,</t>
  </si>
  <si>
    <t xml:space="preserve">два – за крылом и </t>
  </si>
  <si>
    <t>two behind the wings and</t>
  </si>
  <si>
    <t>deux – après les ailes,</t>
  </si>
  <si>
    <t>zwei über den Tragflächen und</t>
  </si>
  <si>
    <t>dos tras las alas y</t>
  </si>
  <si>
    <t>two in the rear compartment of the aircraft.</t>
  </si>
  <si>
    <t>deux – dans la partie arrière de l'appareil</t>
  </si>
  <si>
    <t>dos en la parte posterior del avión.</t>
  </si>
  <si>
    <t>Please take a moment to locate the exit nearest to you.</t>
  </si>
  <si>
    <t>А330-200/300</t>
  </si>
  <si>
    <t>2. Die Notausgänge befinden sich der links und rechts an Bord:</t>
  </si>
  <si>
    <t>deux – au milieu de la cabine,</t>
  </si>
  <si>
    <t xml:space="preserve">zwei im mittleren Bereich, </t>
  </si>
  <si>
    <t xml:space="preserve">zwei über den Tragflächen und </t>
  </si>
  <si>
    <t xml:space="preserve">3. Все выходы оборудованы автоматически надуваемыми трапами. </t>
  </si>
  <si>
    <t xml:space="preserve">4. Каждый выход обозначен световым табло «ВЫХОД». </t>
  </si>
  <si>
    <t>5. Светящиеся дорожки вдоль проходов указывают направление к выходам.</t>
  </si>
  <si>
    <t>5. The escape path lighting along the aisles will guide you to the exits.</t>
  </si>
  <si>
    <t>5. Les lignes lumineuses le long du couloir vous guideront vers les sorties de secours.</t>
  </si>
  <si>
    <t xml:space="preserve">Обратите внимание на выход, расположенный рядом с вами. </t>
  </si>
  <si>
    <t>при полете над водным пространством А330-200</t>
  </si>
  <si>
    <t xml:space="preserve">6. На случай вынужденной посадки на воду трапы передних, средних и хвостовых выходов могут использоваться в качестве спасательных плотов. </t>
  </si>
  <si>
    <t>6. For the event of ditching, the evacuation slides at the front, middle and rear exits can be used as emergency flotation rafts.</t>
  </si>
  <si>
    <t>6. Bei einer Notlandung auf Wasser können die Notrutschen an den vorderen, mittleren und hinteren Ausgängen als Rettungsflöße benutzt werden.</t>
  </si>
  <si>
    <t>6. En caso de amaraje, los toboganes de evacuación en las salidas de la parte delantera, central y trasera, pueden utilizarse como balsas salvavidas.</t>
  </si>
  <si>
    <t>при полете над водным пространством А330-300</t>
  </si>
  <si>
    <t xml:space="preserve">6. На случай вынужденной посадки на воду все трапы могут использоваться в качестве спасательных плотов. </t>
  </si>
  <si>
    <t>6. For the event of ditching, all the evacuation slides can be used as emergency flotation rafts.</t>
  </si>
  <si>
    <t>6. En cas d'amerrissage, les toboggans des toutes les sorties peuvent être utilisés comme canots de sauvetage.</t>
  </si>
  <si>
    <t>6. Bei einer Notlandung auf Wasser können sämtliche Notrutschen als Rettungsflöße benutzt werden.</t>
  </si>
  <si>
    <t>6. En caso de amaraje, todos los toboganes de evacuación pueden utilizarse como balsas salvavidas.</t>
  </si>
  <si>
    <t>B737</t>
  </si>
  <si>
    <t>3. Аварийные выходы в передней и хвостовой частях самолета оборудованы автоматически надуваемыми трапами.</t>
  </si>
  <si>
    <t>3. The emergency exits in the front and in the rear compartments are equipped with inflatable evacuation slides.</t>
  </si>
  <si>
    <t>3. Les sorties de secours à l’avant et à l’arriere de l'appareil sont équipées des toboggans.</t>
  </si>
  <si>
    <t>3. Die Notausgänge im vorderen und hinteren Teil des Flugzeugs sind mit aufblasbaren Notrutschen ausgerüstet.</t>
  </si>
  <si>
    <t>3. Las salidas de emergencia en las partes delantera y trasera del avión están equipadas con toboganes hinchables de evacuación.</t>
  </si>
  <si>
    <t>1. Наш самолет имеет 10 аварийных выходов.</t>
  </si>
  <si>
    <t>1. This aircraft has 10 emergency exits.</t>
  </si>
  <si>
    <t>1. Cet appareil a 10 sorties de secours.</t>
  </si>
  <si>
    <t>1. Dieses Flugzeug hat 10 Notausgänge.</t>
  </si>
  <si>
    <t>1. Este avión tiene 10 salidas de emergencia.</t>
  </si>
  <si>
    <t xml:space="preserve">2. Die Notausgänge befinden sich links und rechts an Bord.: </t>
  </si>
  <si>
    <t xml:space="preserve">четыре – в передней части самолета, </t>
  </si>
  <si>
    <t>four in the front compartment,</t>
  </si>
  <si>
    <t>quatre – à l’avant,</t>
  </si>
  <si>
    <t>vier im vorderen Bereich,</t>
  </si>
  <si>
    <t>cuatro en la parte delantera,</t>
  </si>
  <si>
    <t>два выхода на плоскости крыла и</t>
  </si>
  <si>
    <t>two over the wings,</t>
  </si>
  <si>
    <t>zwei über den Tragflächen,</t>
  </si>
  <si>
    <t>dos sobre las alas y</t>
  </si>
  <si>
    <t xml:space="preserve">четыре – в хвостовой части самолета. </t>
  </si>
  <si>
    <t>four in the rear compartment of the aircraft.</t>
  </si>
  <si>
    <t>quatre – dans la partie arrière de l’appareil.</t>
  </si>
  <si>
    <t>vier im hinteren Bereich des Flugzeugs.</t>
  </si>
  <si>
    <t>cuatro en la parte posterior del avión.</t>
  </si>
  <si>
    <t>3. Toutes les sorties sont équipées des tobbogans.</t>
  </si>
  <si>
    <t xml:space="preserve">4. Cada salida está indicada con el tablero luminoso “Exit”. </t>
  </si>
  <si>
    <t>при полете над водным пространством</t>
  </si>
  <si>
    <t>6. На случай вынужденной посадки на воду трапы передних, перед крылом, за крылом и хвостовых выходов могут использоваться в качестве спасательных плотов.</t>
  </si>
  <si>
    <t>6. For the event of ditching, the evacuation slides at the front, before the wings, behind the wings and rear exits can be used as emergency flotation rafts.</t>
  </si>
  <si>
    <t>6. En caso de amaraje, los toboganes de evacuación en las salidas de la parte delantera, antes del ala, tras el ala y los la parte posterior pueden utilizarse como balsas salvavidas.</t>
  </si>
  <si>
    <t>Кислородное оборудование</t>
  </si>
  <si>
    <t xml:space="preserve">1. В случае разгерметизации кабины кислородные маски выбрасываются автоматически из верхних панелей. </t>
  </si>
  <si>
    <t>1. In the event of cabin decompression, oxygen masks will automatically drop down from the overhead panels.</t>
  </si>
  <si>
    <t>1. En cas de dépressurisation, des masques à oxygène tomberont automatiquement devant vous.</t>
  </si>
  <si>
    <t>1. Sollte der Druck in der Kabine sinken, fallen automatisch Sauerstoffmasken aus der Kabinendecke.</t>
  </si>
  <si>
    <t>1. En caso de pérdida de presión en la cabina, de los paneles superiores descenderán automáticamente máscaras de oxígeno.</t>
  </si>
  <si>
    <t>2. Потяните маску на себя.</t>
  </si>
  <si>
    <t>2. Pull the mask towards you.</t>
  </si>
  <si>
    <t>2. Tirez un masque vers vous.</t>
  </si>
  <si>
    <t>2. Ziehen Sie die Maske zu sich heran.</t>
  </si>
  <si>
    <t>2. Tire de la máscara hacia usted.</t>
  </si>
  <si>
    <t>3. Плотно прижмите маску к носу и рту, закрепите, как мы демонстрируем, дышите нормально.</t>
  </si>
  <si>
    <t>3. Place the mask over your nose and mouth. Secure it as demonstrated and breathe normally.</t>
  </si>
  <si>
    <t>3. Placez le masque sur l e nez et la bouche, ajustez le selon la demonstration et respirez normalement.</t>
  </si>
  <si>
    <t>3. Drücken Sie die Maske fest auf Mund und Nase. Sichern Sie die Maske wie wir Ihnen zeigen und atmen Sie normal.</t>
  </si>
  <si>
    <t>3. Coloque la máscara sobre la nariz y la boca. Siga las instrucciones que le den y respire con normalidad.</t>
  </si>
  <si>
    <t>4. Если вы путешествуете с ребенком, обеспечьте маской сначала себя, затем – ребенка.</t>
  </si>
  <si>
    <t>4. If you are travelling with a child, put your own mask on first, and then attend to your child.</t>
  </si>
  <si>
    <t>4. Si vous voyagez avec un enfant, mettez d’abord votre propre masque avant de mettre un autre à l’enfant.</t>
  </si>
  <si>
    <t>4. Falls Sie mit einem Kind reisen, legen Sie bitte zuerst die eigene Maske an, bevor Sie Ihrem Kind helfen.</t>
  </si>
  <si>
    <t>4. Si viaja con un niño, primero póngase usted la máscara y luego póngasela al niño.</t>
  </si>
  <si>
    <t>Ремни безопасности</t>
  </si>
  <si>
    <t>1. Ваши ремни безопасности должны быть застегнуты после включения табло «ЗАСТЕГНИТЕ РЕМНИ».</t>
  </si>
  <si>
    <t>1. Your seat belt must be fastened whenever the FASTEN SEATBELT sign is on.</t>
  </si>
  <si>
    <t>1. Bitte achten Sie darauf, dass Sie sicher angeschnallt sind, solange die Anschnallzeichen aufleuchten.</t>
  </si>
  <si>
    <t>1. Mantenga el cinturón abrochado siempre que esté encendida la señal de “CINTURONES ABROCHADOS”.</t>
  </si>
  <si>
    <t>2. Чтобы застегнуть ремень, вставьте металлический наконечник в пряжку.</t>
  </si>
  <si>
    <t>2. To fasten your seat belt, insert the metal tip into the buckle.</t>
  </si>
  <si>
    <t>2. Pour attacher votre ceinture, introduisez l'embout métallique dans la boucle.</t>
  </si>
  <si>
    <t>2. Um den Sitzgurt zu schließen, schieben Sie das Metallende in die Abdeckklappe.</t>
  </si>
  <si>
    <t>2. Para abrochar el cinturón de seguridad inserte el extremo metálico en la hebilla.</t>
  </si>
  <si>
    <t>3. Туго затяните ремень.</t>
  </si>
  <si>
    <t>3. Tighten the strap.</t>
  </si>
  <si>
    <t>3. Serrez bien votre ceinture.</t>
  </si>
  <si>
    <t>3. Ziehen Sie den Sicherheitsgurt straff.</t>
  </si>
  <si>
    <t>3. Ajuste la correa.</t>
  </si>
  <si>
    <t>4. Чтобы отстегнуть ремень, поднимите крышку замка.</t>
  </si>
  <si>
    <t>4. To release the seat belt, lift the buckle cover.</t>
  </si>
  <si>
    <t>4. Pour détacher la ceinture, soulevez le dessus de la boucle.</t>
  </si>
  <si>
    <t>4. Um den Gurt zu öffnen, heben Sie die Abdeckklappe an.</t>
  </si>
  <si>
    <t>4. Para desabrochar el cinturón, levante la tapa de la hebilla.</t>
  </si>
  <si>
    <t>Спасательный жилет (при полете над водным пространством)</t>
  </si>
  <si>
    <t>RRJ-95, А319, А320, А321, B737</t>
  </si>
  <si>
    <t>На случай вынужденной посадки на воду на борту нашего самолета имеются спасательные жилеты.</t>
  </si>
  <si>
    <t xml:space="preserve">For the event of ditching, the aircraft is equipped with life vests. </t>
  </si>
  <si>
    <t>En cas d'ammerrissage, l'appareil est équipé de gilets de sauvetage.</t>
  </si>
  <si>
    <t>Im Falle einer Notlandung auf Wasser ist das Flugzeug mit Schwimmwesten ausgerüstet.</t>
  </si>
  <si>
    <t>En caso de amaraje, hay chalecos-salvavidas a bordo de este avión.</t>
  </si>
  <si>
    <t>Все типы</t>
  </si>
  <si>
    <t>1. Спасательный жилет находится под вашим креслом.</t>
  </si>
  <si>
    <t>1. Your life vest is located beneath your seat.</t>
  </si>
  <si>
    <t>1. Votre gilet de sauvetage se trouve sous votre siège.</t>
  </si>
  <si>
    <t>1. Ihre Schwimmweste befindet sich unter Ihrem Sitz.</t>
  </si>
  <si>
    <t>1. Su chaleco salvavidas está debajo de su asiento.</t>
  </si>
  <si>
    <t>2. Достаньте жилет, вытащите из упаковки и наденьте через голову.</t>
  </si>
  <si>
    <t>2. Remove your vest from the package and pull it over your head.</t>
  </si>
  <si>
    <t>2. Retirez le gilet de son emballage et enfilez-le par la tête.</t>
  </si>
  <si>
    <t>2. Nehmen Sie die Weste aus der Hülle und ziehen Sie sie über den Kopf.</t>
  </si>
  <si>
    <t>2. Saque el chaleco de la bolsa y póngaselo a travez de la cabeza.</t>
  </si>
  <si>
    <t>3. Оберните тесьму вокруг талии, застегните впереди под жилетом и туго затяните.</t>
  </si>
  <si>
    <t xml:space="preserve">3. Adjust the strap around your waist, fasten it at the front under the vest and tighten the strap. </t>
  </si>
  <si>
    <t>3. Ajustez la sangle autour de votre taille, attachez-la à l'avant sous le gilet. et serrez-la bien.</t>
  </si>
  <si>
    <t>3. Führen Sie das Band um Ihre Taille, und befestigen sie es vorne unter der Weste. Dann ziehen Sie das Band straff.</t>
  </si>
  <si>
    <t>3. Pase la cinta alrededor de la cintura, abróchela en la parte delantera bajo el chaleco y ajuste la cinta.</t>
  </si>
  <si>
    <t>4. Надуйте жилет у выхода при покидании самолета, дернув за красные колпачки.</t>
  </si>
  <si>
    <t>4. Just before leaving the aircraft, pull down the red tags to inflate the life vest.</t>
  </si>
  <si>
    <t xml:space="preserve">4. Juste avant de quitter l'appareil, tirez sur les poignées rouges pour gonfler le gilet. </t>
  </si>
  <si>
    <t>4. Erst beim Verlassen des Flugzeugs ziehen Sie die roten Knöpfe fest nach unten, um die Schwimmweste aufzublasen.</t>
  </si>
  <si>
    <t xml:space="preserve">4. Justo antes de abandonar el avión, tire de las lengüetas rojas para inflar el chaleco salvavidas. </t>
  </si>
  <si>
    <t>5. Поддуть жилет можно через клапаны поддува.</t>
  </si>
  <si>
    <t>5. You can blow the vest up using the tubes.</t>
  </si>
  <si>
    <t xml:space="preserve">5. Die Weste kann mit Hilfe der Mundschläuche weiter aufgeblasen werden. </t>
  </si>
  <si>
    <t>5. Puede inflarlo soplando por los tubos.</t>
  </si>
  <si>
    <t>6. В жилете имеется лампочка, которая зажигается в воде.</t>
  </si>
  <si>
    <t>6. It also has a lamp which illuminates in water.</t>
  </si>
  <si>
    <t>6. Les gilets sont équipés d'une lampe qui s'allume dans l'eau.</t>
  </si>
  <si>
    <t>6. Sie hat zudem eine Signallampe, die bei Kontakt mit Wasser automatisch aufleuchtet.</t>
  </si>
  <si>
    <t>6. También tiene un bombilla de luz que se enciende en el agua.</t>
  </si>
  <si>
    <t>7. Не надувайте жилет в салоне самолета.</t>
  </si>
  <si>
    <t xml:space="preserve">7. Do not inflate the life vest inside the cabin. </t>
  </si>
  <si>
    <t>7. Ne gonflez pas le gilet dans l'appareil.</t>
  </si>
  <si>
    <t>7. Blasen Sie die Schwimmweste auf keinen Fall schon in der Kabine auf.</t>
  </si>
  <si>
    <t>7. No infle el chaleco salvavidas dentro del avión.</t>
  </si>
  <si>
    <t xml:space="preserve">Инструкция по безопасности </t>
  </si>
  <si>
    <t xml:space="preserve">Более подробно ознакомиться с аварийно-спасательным оборудованием нашего самолета вам поможет «Инструкция по безопасности», которая находится в кармане перед вами. Просмотрите ее внимательно. </t>
  </si>
  <si>
    <t xml:space="preserve">You can get more detailed information about the on-board safety equipment in the Safety Instruction, located in the pocket in front of you. Please read it carefully. </t>
  </si>
  <si>
    <t>Vous pouvez obtenir des informations plus détaillées sur ces équipements dans les consignes de sécurité situées dans la pochette du siège devant vous. Veuillez bien les étudier.</t>
  </si>
  <si>
    <t>Weitere Einzelheiten über die Sicherheitsausrüstung an Bord entnehmen Sie bitte der Informationskarte in der Sitztasche vor Ihnen. Bitte lesen Sie die Karte sorgfältig durch.</t>
  </si>
  <si>
    <t>Para obtener más información detallada sobre los equipos de emergencia a bordo del avión, consulte “La Tarjeta de emergencia” que se encuentra en el bolsillo frente a usted. Por favor, léala con atención.</t>
  </si>
  <si>
    <t>При подготовке пассажирской кабины к взлету (СБ или PRAM) (дневной/ночной рейс)</t>
  </si>
  <si>
    <t xml:space="preserve">Дамы и господа! </t>
  </si>
  <si>
    <t>Мы готовимся к взлету и просим вас:</t>
  </si>
  <si>
    <t xml:space="preserve">To prepare for take off please: </t>
  </si>
  <si>
    <t>Pour préparer le décollage veuillez</t>
  </si>
  <si>
    <t>Wir sind startbereit. Bitte:</t>
  </si>
  <si>
    <t>En preparación para el despegue por favor:</t>
  </si>
  <si>
    <t>разместить ручную кладь на багажной полке или под сиденьем кресла перед вами;</t>
  </si>
  <si>
    <t>place hand luggage in the overhead bin or under the seat in front of you;</t>
  </si>
  <si>
    <t>placer vos bagages à main dans les coffres ou sous le siège devant vous.</t>
  </si>
  <si>
    <t>verstauen Sie Ihr Handgepäck in der Ablage über Ihnen, oder unter Ihrem Vordersitz;</t>
  </si>
  <si>
    <t>застегнуть ремень безопасности;</t>
  </si>
  <si>
    <t>fasten your seat belt;</t>
  </si>
  <si>
    <t>attacher votre ceinture;</t>
  </si>
  <si>
    <t>schließen Sie Ihren Sicherheitsgurt;</t>
  </si>
  <si>
    <t>abróchense el cinturón de seguridad;</t>
  </si>
  <si>
    <t>привести спинку кресла в вертикальное положение;</t>
  </si>
  <si>
    <t>return your seat to the upright position;</t>
  </si>
  <si>
    <t>redresser le dossier de votre siège;</t>
  </si>
  <si>
    <t>stellen Sie Ihre Sitzlehne senkrecht;</t>
  </si>
  <si>
    <t>pongan su asiento en posición vertical;</t>
  </si>
  <si>
    <t xml:space="preserve">убрать откидной столик; </t>
  </si>
  <si>
    <t>stow your tray table;</t>
  </si>
  <si>
    <t>ranger votre tablette;</t>
  </si>
  <si>
    <t>klappen Sie Ihr Tischchen ein;</t>
  </si>
  <si>
    <t>guarden su mesilla;</t>
  </si>
  <si>
    <t>открыть шторку иллюминатора;</t>
  </si>
  <si>
    <t>open your window blind;</t>
  </si>
  <si>
    <t>ouvrir votre-hublot.</t>
  </si>
  <si>
    <t>und öffnen Sie Ihre Sichtblende;</t>
  </si>
  <si>
    <t>abran la persiana de su ventanilla;</t>
  </si>
  <si>
    <t>выключить мобильные телефоны и все виды электронных устройств.</t>
  </si>
  <si>
    <t>switch off your mobile phones and all electronic devices.</t>
  </si>
  <si>
    <t>éteindre vos téléphones portables et autres appareils électroniques.</t>
  </si>
  <si>
    <t>schalten Sie Ihre Mobiltelephone sowie alle anderen elektronischen Geräte aus.</t>
  </si>
  <si>
    <t>apaguen sus teléfonos móviles y todos sus equipos electrónicos.</t>
  </si>
  <si>
    <t>При недостаточном освещении за бортом и в ночном рейсе</t>
  </si>
  <si>
    <t>На время взлета мы выключаем основное освещение. Вы можете воспользоваться лампочкой индивидуального освещения.</t>
  </si>
  <si>
    <t>L'éclairage de cabine va être réduit pour le décollage. Vous pouvez utiliser votre lampe de lecture.</t>
  </si>
  <si>
    <t>Wir sind startbereit und werden nun einen Teil der Kabinenbeleuchtung abschalten. Allerdings können Sie weiterhin von Ihrer Leselampe Gebrauch machen.</t>
  </si>
  <si>
    <t>Las luces de la cabina se atenuarán para el despegue. Pueden utilizar las luces individuales.</t>
  </si>
  <si>
    <t xml:space="preserve">Danke. </t>
  </si>
  <si>
    <t>Противообледенительная обработка (КВС или СБ или PRAM) (дневной/ночной рейс)</t>
  </si>
  <si>
    <t xml:space="preserve">Mesdames et Messieurs! </t>
  </si>
  <si>
    <t xml:space="preserve">Наш самолет должен пройти противообледенительную обработку. </t>
  </si>
  <si>
    <t>The aircraft needs to be de-iced.</t>
  </si>
  <si>
    <t xml:space="preserve">Nous devons effectuer le dégivrage de l’avion. </t>
  </si>
  <si>
    <t>Das Flugzeug muss enteist werden.</t>
  </si>
  <si>
    <t>El avión necesita ser sometido a un proceso de deshielo.</t>
  </si>
  <si>
    <t>Просим вас оставаться на своих местах с застегнутыми ремнями безопасности.</t>
  </si>
  <si>
    <t>Please remain in your seat and keep your seat belt fastened.</t>
  </si>
  <si>
    <t>Veuillez rester à vos places avec les ceintures attachées.</t>
  </si>
  <si>
    <t>Bitte bleiben Sie angeschnallt sitzen.</t>
  </si>
  <si>
    <t>Por favor permanezcan sentados con su cinturón de seguridad abrochado.</t>
  </si>
  <si>
    <t>Danke für Ihre Aufmerksamkeit.</t>
  </si>
  <si>
    <t>Hier spricht Ihr Kapitän. Mein Name ist… [имя и фамилия]. Im Namen der gesamten Besatzung und von „Aeroflot – Russian Airlines“ begrüße ich Sie herzlich an Bord dieses Flugzeugs/dieser… [тип ВС].</t>
  </si>
  <si>
    <t>Unsere Flugroute geht heute von… nach… (in Partnerschaft mit der Fluggesellschaft… [название авиакомпании по код-шер]).</t>
  </si>
  <si>
    <t>Die Ursache ist die Verspätung der Transitpassagiere.</t>
  </si>
  <si>
    <t>Die Ursache ist die verspätete Ankunft des Flugzeugs.</t>
  </si>
  <si>
    <t>Die Ursache ist der Streik am Flughafen.</t>
  </si>
  <si>
    <t>Die Ursache ist betriebsbedingte Gründen.</t>
  </si>
  <si>
    <t>СБ: Wir wünschen I hnen guten Flug.</t>
  </si>
  <si>
    <t>6. Im Falle einer Notlandung auf Wasser können die Notrutschen an den vorderen Ausgängen, vor den Tragflächen, hinter den Tragflächen und an den hinteren Ausgängen als Rettungsflöße benutzt werden.</t>
  </si>
  <si>
    <t>The cabin lights will be dimmed for take off. You may use your individual reading light.</t>
  </si>
  <si>
    <t>Во время ожидания разрешения на взлет (КВС) (дневной/ночной рейс)</t>
  </si>
  <si>
    <t>Говорит командир корабля.</t>
  </si>
  <si>
    <t>This is your Сaptain speaking.</t>
  </si>
  <si>
    <t>C’est le commandant qui vous parle.</t>
  </si>
  <si>
    <t>Hier spricht Ihr Kapitän.</t>
  </si>
  <si>
    <t>Les habla el comandante.</t>
  </si>
  <si>
    <t>СБ: Le commandant nous informe que…</t>
  </si>
  <si>
    <t>СБ: Der Flugkapitän hat uns folgendes mitgeteilt.</t>
  </si>
  <si>
    <t>СБ: El comandante nos informa de que…</t>
  </si>
  <si>
    <t>Прошу вас оставаться на своих местах с застегнутыми ремнями безопасности.</t>
  </si>
  <si>
    <t>Veuillez rester à votre siège et garder votre ceinture attachée.</t>
  </si>
  <si>
    <t>Por favor permanezcan sentados con el cinturón de seguridad abrochado.</t>
  </si>
  <si>
    <t>We are waiting for the take off clearance. This will take… minutes/several minutes.</t>
  </si>
  <si>
    <t>Wir warten auf die Starterlaubnis und müssen uns noch… Minuten/ein paar Minuten gedulden.</t>
  </si>
  <si>
    <t>Estamos esperando el permiso para el despegue, lo que llevará… minutos/varios minutos.</t>
  </si>
  <si>
    <t>Готовность к взлету (СБ или PRAM) (дневной/ночной рейс)</t>
  </si>
  <si>
    <t xml:space="preserve">Наш самолет готов к взлету. </t>
  </si>
  <si>
    <t>The aircraft is ready for take off.</t>
  </si>
  <si>
    <t>L'appareil est prêt au décollage.</t>
  </si>
  <si>
    <t>Wir sind nun startbereit.</t>
  </si>
  <si>
    <t>El avión está listo para el despegue.</t>
  </si>
  <si>
    <t>Просим вас убедиться, что:</t>
  </si>
  <si>
    <t xml:space="preserve">Please ensure that: </t>
  </si>
  <si>
    <t>Veuillez-vous assurer que:</t>
  </si>
  <si>
    <t>Por favor asegúrese de que:</t>
  </si>
  <si>
    <t>Желаем приятного полета.</t>
  </si>
  <si>
    <t>We wish you a pleasant flight.</t>
  </si>
  <si>
    <t>Nous vous souhaitons un agréable vol.</t>
  </si>
  <si>
    <t>Wir wünschen Ihnen einen angenehmen Flug.</t>
  </si>
  <si>
    <t>Le deseamos un vuelo agradable.</t>
  </si>
  <si>
    <t>все электронные устройства выключены;</t>
  </si>
  <si>
    <t>ремень безопасности застегнут;</t>
  </si>
  <si>
    <t>спинка кресла в вертикальном положении;</t>
  </si>
  <si>
    <t xml:space="preserve">столик убран. </t>
  </si>
  <si>
    <t>all electronic devices are switched off;</t>
  </si>
  <si>
    <t>your seatbelt is fastened;</t>
  </si>
  <si>
    <t>your seat is in the upright position, and</t>
  </si>
  <si>
    <t>your tray table is stowed.</t>
  </si>
  <si>
    <t>tous les appareils électroniques sont éteints;</t>
  </si>
  <si>
    <t>votre ceinture est bien attachée;</t>
  </si>
  <si>
    <t>votre siège est en position redressée;</t>
  </si>
  <si>
    <t>votre tablette est relevée.</t>
  </si>
  <si>
    <t>alle elektronischen Geräte ausgeschaltet sind;</t>
  </si>
  <si>
    <t>Ihr Sicherheitsgurt geschlossen ist;</t>
  </si>
  <si>
    <t xml:space="preserve">Ihre Sitzlehne senkrecht steht </t>
  </si>
  <si>
    <t>und Ihr Tischchen eingeklappt ist.</t>
  </si>
  <si>
    <t>todos los equipos electrónicos están apagados;</t>
  </si>
  <si>
    <t>su cinturón de seguridad está abrochado;</t>
  </si>
  <si>
    <t>su asiento está en posición vertical;</t>
  </si>
  <si>
    <t>su mesilla está plegada.</t>
  </si>
  <si>
    <t>Информация в полете</t>
  </si>
  <si>
    <t xml:space="preserve">Предоставляемые услуги в рейсе (СБ) (дневной/ночной рейс) </t>
  </si>
  <si>
    <t>Читать во время набора высоты через 7 минут после взлета</t>
  </si>
  <si>
    <t>Время в пути до… [пункт назначения] …часов …минут.</t>
  </si>
  <si>
    <t>The flight time to… [пункт назначения] is …hours …minutes.</t>
  </si>
  <si>
    <t>La durée de vol jusqu’à… [пункт назначения] est …heures et …minutes.</t>
  </si>
  <si>
    <t>Die Flugzeit nach… [пункт назначения] beträgt …Stunden und …Minuten.</t>
  </si>
  <si>
    <t>Este vuelo a… [пункт назначения] tiene una duración de …horas y …minutos.</t>
  </si>
  <si>
    <t>Welcome on board the Aeroflot aircraft named after the… [указать определение рода деятельности из Приложения №2]… [имя и фамилия человека, в честь которого названо ВС].</t>
  </si>
  <si>
    <t>Die Ursache ist schlechte Wetterbedingungen am Startflughafen/ am Zielflughafen/ auf unserer vorgesehen Flugstrecke.</t>
  </si>
  <si>
    <t>Питание</t>
  </si>
  <si>
    <t>Im Flug werden wir… [выбрать необходимое] servieren.</t>
  </si>
  <si>
    <t>ужин</t>
  </si>
  <si>
    <t>dinner</t>
  </si>
  <si>
    <t>un diner</t>
  </si>
  <si>
    <t>Abendessen</t>
  </si>
  <si>
    <t>una cena</t>
  </si>
  <si>
    <t>на рейсах длительной продолжительности</t>
  </si>
  <si>
    <t>und… [выбрать 2-й рацион питания] servieren.</t>
  </si>
  <si>
    <t>Торговля</t>
  </si>
  <si>
    <t>для дневных рейсов до 2 часов</t>
  </si>
  <si>
    <t>для ночных рейсов любой продолжительности</t>
  </si>
  <si>
    <t xml:space="preserve">Приглашаем вас сделать покупки товаров «Sky Shop». </t>
  </si>
  <si>
    <t>Während des Fluges haben Sie eine Gelegenheit, in unserem „Sky Shop“ einzukaufen.</t>
  </si>
  <si>
    <t>Пожалуйста, обратитесь к бортпроводникам до начала снижения самолета.</t>
  </si>
  <si>
    <t>Please address a cabin attendant before the aircraft starts to descend.</t>
  </si>
  <si>
    <t xml:space="preserve">Falls Sie etwas einkaufen möchten, sprechen Sie bitte vor dem Landeanflug mit einem Ihrer Flugbegleiter. </t>
  </si>
  <si>
    <t>Si desean realizar una compra, diríjanse al personal de cabina antes de que el avión comience su descenso.</t>
  </si>
  <si>
    <t>для дневных рейсов от 2 часов и более</t>
  </si>
  <si>
    <t>После обслуживания питанием вы сможете приобрести товары «Sky Shop».</t>
  </si>
  <si>
    <t>Для вашего удобства предлагаем вам заполнить купон на покупку товара из каталога «Sky Shop» и передать его бортпроводникам. Мы выполним ваш заказ до начала снижения самолета.</t>
  </si>
  <si>
    <t xml:space="preserve">Für Ihre Bequemlichkeit schlagen wir Ihnen vor, den Inflight-Shopping Coupon in Ihrem „Sky Shop“-Magazin auszufüllen und einem Ihrer Flugbegleiter zu geben. Wir werden Ihren Auftrag vor dem Landeanflug erledigen. </t>
  </si>
  <si>
    <t xml:space="preserve">Para su comodidad pueden rellenar el cupón de compra que está en la revista “Sky Shop” y entregarlo al personal de cabina. Su compra se completará antes del descenso del avión. </t>
  </si>
  <si>
    <t>Развлекательная программа</t>
  </si>
  <si>
    <t>для А330, В777</t>
  </si>
  <si>
    <t>Развлекательная аудио- и видеопрограмма на борту представлена в киногиде «Синема».</t>
  </si>
  <si>
    <t>In der Kinobroschüre „Cinema“ finden Sie eine volle Liste des Audio- und Video-Programms.</t>
  </si>
  <si>
    <t>Encontrarán una lista completa de programas audiovisuales a bordo en el folleto “Cinema”.</t>
  </si>
  <si>
    <t>при неисправности аудио/видео системы</t>
  </si>
  <si>
    <t>Мы сожалеем, что демонстрация аудио- и видеопрограммы не состоится из-за неисправности системы развлечений на борту.</t>
  </si>
  <si>
    <t xml:space="preserve">Unfortunately, the audio video program is unavailable due to a malfunction with the entertainment system. </t>
  </si>
  <si>
    <t>Nous avons le regret de vous annoncer que par suite d’une panne du systeme de distraction le programme audio et video ne peut pas être présenté.</t>
  </si>
  <si>
    <t>Leider können wir Ihnen das Audio/Videoprogramm in diesem Flug wegen eines technischen Mangels im Unterhaltungssystem nicht vorführen.</t>
  </si>
  <si>
    <t>Lamentablemente el programa audiovisual de este vuelo no está disponible debido a un defecto del sistema de entretenimiento.</t>
  </si>
  <si>
    <t>Приносим вам свои извинения и благодарим за понимание.</t>
  </si>
  <si>
    <t>We apologise for any inconvenience and thank you for your understanding.</t>
  </si>
  <si>
    <t>Nous vous prions d’accepter nos excuses et vous remercions de votre compréhension.</t>
  </si>
  <si>
    <t>Wir entschuldigen uns dafür, und bitten um Ihr Verständnis.</t>
  </si>
  <si>
    <t>Pedimos disculpas por las molestias y agradecemos su comprensión.</t>
  </si>
  <si>
    <t>На всех рейсах</t>
  </si>
  <si>
    <t>Будем благодарны за ваши предложения и отзывы о качестве предоставляемых услуг.</t>
  </si>
  <si>
    <t>Nous vous remercions de vos opinions concernant les services fournis.</t>
  </si>
  <si>
    <t>Wir würden auch gerne Ihre Meinung und Ihre Kommentare über unseren Service in Erfahrung bringen.</t>
  </si>
  <si>
    <t>Les agradesemos sus sugerencias sobre la calidad de nuestros servicios.</t>
  </si>
  <si>
    <t>При выключении табло «ЗАСТЕГНИТЕ РЕМНИ» (СБ или PRAM) (дневной/ночной рейс)</t>
  </si>
  <si>
    <t xml:space="preserve">Погасло табло «Застегните ремни». Вы можете свободно передвигаться по салону. </t>
  </si>
  <si>
    <t>Das Anschnallzeichen ist jetzt ausgeschaltet. Sie können sich frei durch die Kabine bewegen.</t>
  </si>
  <si>
    <t>Se ha apagado la señal de “Cinturones Abrochados” y ahora pueden moverse libremente por la cabina.</t>
  </si>
  <si>
    <t>Однако, для вашей безопасности, рекомендуем оставлять ремни застегнутыми, когда вы сидите.</t>
  </si>
  <si>
    <t xml:space="preserve">However, for your safety we recommend that you keep your seat belt fastened while seated. </t>
  </si>
  <si>
    <t>Pour votre sécurité, nous vous recommandons de maintenir votre ceinture attachée lorsque vous êtes assis.</t>
  </si>
  <si>
    <t xml:space="preserve">Aus Sicherheitsgründen empfehlen wir Ihnen jedoch, während des Sitzens angeschnallt zu bleiben. </t>
  </si>
  <si>
    <t>No obstante, para su seguridad les recomendamos que mantengan abrochados sus cinturónes de seguridad mientras estén sentados.</t>
  </si>
  <si>
    <t>Информация по использованию электронных устройств на борту представлена в журнале «Аэрофлот».</t>
  </si>
  <si>
    <t>Eine Liste der elektronischen Geräte, die Sie während des Fluges benutzen dürfen, finden Sie in Ihrem „Aeroflot“-Magazin.</t>
  </si>
  <si>
    <t>La información sobre el uso de dispositivos electronicos a bordo está en la revista “Aeroflot”.</t>
  </si>
  <si>
    <t>Развлекательная программа через Wi-Fi (ВС В737) (СБ) (дневной рейс)</t>
  </si>
  <si>
    <t>Для просмотра развлекательной программы, представленной в киногиде «Синема», подключитесь к Wi-Fi на своем электронном устройстве и откройте любой браузер. Услуга предоставляется бесплатно.</t>
  </si>
  <si>
    <t>Für die Vorführung unseres Unterhaltungsprogramms, das in der Flugschrift Cinema ausführlich beschreibt ist, aktivieren Sie Wireless LAN Ihres Gerätes und öffnen Sie jeglichen Browser. Dieser Service ist kostenlos.</t>
  </si>
  <si>
    <t>Para ver el programa divertido ofrecido en el folleto “Cinema” hay que conectarse a Wi-Fi y abrir cualquier Internet-Navegador. El servicio es gratis.</t>
  </si>
  <si>
    <t>При неисправности развлекательной системы через Wi-Fi (ВС В737) (СБ) (дневной рейс)</t>
  </si>
  <si>
    <t>Ich wünsche Ihnen guten Flug.</t>
  </si>
  <si>
    <t>Willkommen an Bord dieser Aeroflot Maschine. Sie trägt den Namen… [указать определение рода деятельности из Приложения №2]… [имя и фамилия человека, в честь которого названо ВС].</t>
  </si>
  <si>
    <t>deux – sur les ailes,</t>
  </si>
  <si>
    <t>Благодарю за внимание.</t>
  </si>
  <si>
    <t xml:space="preserve">Nach dem Essen haben Sie eine Gelegenheit in unserem „Sky Shop“ einzukaufen. </t>
  </si>
  <si>
    <t>Мы сожалеем, что просмотр аудиовидеопрограммы невозможен из-за неисправности системы развлечений на борту.</t>
  </si>
  <si>
    <t>Unfortunately, the audio video program is unavailable due to a malfunction with the entertainment system.</t>
  </si>
  <si>
    <t>Приносим вам свои извинения за причиненные неудобства.</t>
  </si>
  <si>
    <t>We apologise for any inconvenience caused.</t>
  </si>
  <si>
    <t>Les pedimos disculpas por las molestias causadas.</t>
  </si>
  <si>
    <t>Мобильная связь и Интернет на борту ВС</t>
  </si>
  <si>
    <t>Услуга мобильной связи и доступа в Интернет (ВС А320/А321) (СБ) (дневной рейс)</t>
  </si>
  <si>
    <t>На борту нашего самолета вы можете воспользоваться платной услугой мобильной связи и доступа в Интернет. Услуга доступна только при отключенном табло «Выключить телефоны».</t>
  </si>
  <si>
    <t>An Bord unseres Flugzeuges stehen Ihnen der Mobilfunk und der Internetzugang zur Verfügung. Dieser Service ist gebührenpflichtig und erst dann verfügbar, wenn das Leuchtzeichen „Mobilfunk nicht zulässig“ ausgeschaltet ist.</t>
  </si>
  <si>
    <t>Услуга доступа в Интернет (ВС А330/B777) (СБ) (дневной рейс)</t>
  </si>
  <si>
    <t>На борту нашего самолета вы можете воспользоваться платной услугой доступа в Интернет. Услуга доступна только при отключенном табло «Выключить телефоны». </t>
  </si>
  <si>
    <t>An Bord unseres Flugzeuges steht Ihnen der Internetzugang zur Verfügung. Dieser Service ist gebührenpflichtig und erst dann verfügbar, wenn das Leuchtzeichen „Mobilfunk nicht zulässig“ ausgeschaltet ist.</t>
  </si>
  <si>
    <t xml:space="preserve">Активируйте Wi-Fi на Вашем персональном устройстве, выберите сеть доступа “Aeroflot” и запустите Интернет-браузер. </t>
  </si>
  <si>
    <t>Aktivieren Sie Wireless LAN Ihres Gerätes, verbinden Sie diese mit unserem Netzwerk „Aeroflot“ und öffnen Sie Ihren Browser.</t>
  </si>
  <si>
    <t>Необходимая информация по использованию услуги и тарифы представлены на сайте регистрации.</t>
  </si>
  <si>
    <t>You can find all necessary information about the service and its tariffs on the log-in portal.</t>
  </si>
  <si>
    <t>Une information nécessaire sur l’utilisation de ce service et les tarifs sont présentées sur la page d’inscription.</t>
  </si>
  <si>
    <t>Alle nötigen Informationen finden Sie im Anmeldefenster.</t>
  </si>
  <si>
    <t>Недоступность услуги мобильной связи и доступа в Интернет (СБ) (дневной рейс)</t>
  </si>
  <si>
    <t>Мы сожалеем, что услуга доступа в Интернет (и мобильной связи) недоступна из-за отсутствия сигнала в системе.</t>
  </si>
  <si>
    <t>Unfortunately, the Internet access (and mobile phone connection) on board our aircraft is unavailable due to lack of signal in the system.</t>
  </si>
  <si>
    <t>Перед началом торговли на борту (СБ) (дневной рейс от 2 часов и более)</t>
  </si>
  <si>
    <t xml:space="preserve">Мы готовы предложить вам товары «Sky Shop». </t>
  </si>
  <si>
    <t>Wir sind jetzt bereit, Ihnen die Artikel aus dem „Sky Shop“ anzubieten.</t>
  </si>
  <si>
    <t xml:space="preserve">(Говорит командир корабля.) </t>
  </si>
  <si>
    <t>(This is your Сaptain speaking.)</t>
  </si>
  <si>
    <t>(C’est le commandant qui vous parle.)</t>
  </si>
  <si>
    <t>(Les habla el comandante.)</t>
  </si>
  <si>
    <t>Благодарю (благодарим) за внимание.</t>
  </si>
  <si>
    <t>Nous volons actuellement à l’altitude …mètres.</t>
  </si>
  <si>
    <t>Unsere derzeitige Flughöhe beträgt …Meter.</t>
  </si>
  <si>
    <t>Estamos volando a una altura de …metros</t>
  </si>
  <si>
    <t>Und unsere Fluggeschwindigkeit ist …Kilometer pro Stunde.</t>
  </si>
  <si>
    <t>Y a una velocidad de …kilómetros por hora.</t>
  </si>
  <si>
    <t>Die Flugstrecke beträgt …Kilometer.</t>
  </si>
  <si>
    <t>El trayecto de vuelo es de …kilómetros.</t>
  </si>
  <si>
    <t>Сейчас наш полет проходит над территорией… [страна, город, горы, океан, море и др.].</t>
  </si>
  <si>
    <t>We are currently flying over… [country, city, mountains, sea, ocean и др.].</t>
  </si>
  <si>
    <t>Nous survolons actuellement [pays, ville, montagne, mer, océan и др.].</t>
  </si>
  <si>
    <t>Wir überfliegen derzeit… [Land, Stadt, Berge, Meer, See и др.].</t>
  </si>
  <si>
    <t>Estamos sobrevolando… [país, ciudad, montañas, mar, océano и др.]</t>
  </si>
  <si>
    <t>Через …часов …минут мы будем пролетать / Наш маршрут будет проходить над… [страна, город, горы, океан, море и др.].</t>
  </si>
  <si>
    <t>(In …hours …minutes) we will pass over… [country, city, mountains, sea, ocean и др.].</t>
  </si>
  <si>
    <t>(Dans …heures …minutes) nous survolerons… [pays, ville, montagne, mer, océan и др.].</t>
  </si>
  <si>
    <t>In einer Stunde (In …Stunden) …Minuten werden wir… [Land, Stadt, Berge, Meer, See и др.] überfliegen.</t>
  </si>
  <si>
    <t>(Dentro de …horas y …minutos) sobrevolaremos [país, ciudad, montañas, mar, océano и др.].</t>
  </si>
  <si>
    <t>Расчетное время прибытия в… [название города], аэропорт… [название аэропорта] …часов …минут по московскому/по местному времени. Разница во времени между… [название города] и Москвой плюс/минус …часов.</t>
  </si>
  <si>
    <t>Notre arrivée à… [название города]/… [название аэропорта] est prévue à …heures …minutes heure de Moscou/heure locale. Le décalage horaire entre… [название города] et Moscou est plus/moins …heures.</t>
  </si>
  <si>
    <t>Unsere voraussichtliche Ankunft in… [название города], Flughafen… [название аэропорта] ist um …Uhr …Minuten Ortszeit/Moskauer Zeit. Der Zeitunterschied zwischen… [название города] und Moskau beträgt minus/plus …Stunden (eine Stunde).</t>
  </si>
  <si>
    <t>Nuestra hora aproximada de llegada al aeropuerto… [название аэропорта] de… [название города] es de …horas y …minutos hora de Moscú/hora local. La diferencia horaria entre… [название города] y Moscú es de …horas más/menos.</t>
  </si>
  <si>
    <t>Программа «Аэрофлот Бонус» (СБ или PRAM) (дневной рейс)</t>
  </si>
  <si>
    <t>Наша авиакомпания представляет программу премирования пассажиров «Аэрофлот Бонус», участие в которой позволяет накапливать мили и обменивать их на авиабилеты авиакомпаний Группы Аэрофлот и альянса SkyTeam, а также на услуги партнеров по всему миру.</t>
  </si>
  <si>
    <t>Dürfen wir Ihnen nun das „Aeroflot Bonus“ Programm von „Aeroflot – Russian Airlines“ vorstellen. Sie können Ihre Flugmeilen für Prämien-Tickets bei Aeroflot oder anderen SkyTeam Mitgliedern, oder aber auch für andere Partnerangebote einlösen.</t>
  </si>
  <si>
    <t>Владельцы карт элитных уровней «Аэрофлот Бонус» получают дополнительные привилегии на рейсах авиакомпаний Группы Аэрофлот и альянса SkyTeam.</t>
  </si>
  <si>
    <t xml:space="preserve">Holders of Aeroflot Bonus Elite cards obtain additional benefits on the flights of the airlines of Aeroflot Group and SkyTeam. </t>
  </si>
  <si>
    <t>Inhaber von Aeroflot-Bonuskarten der Eliteniveaus genießen zusätzliche Vorteile auf den Flügen, der an der Aeroflot-Gruppe beteiligten Fluggesellschaften, sowie anderer SkyTeam Mitglieder.</t>
  </si>
  <si>
    <t>Los poseedores de tarjetas de “Aeroflot Bonus” Elite y Elite Plus tienen otros beneficios adicionales en los vuelos de las lineas aereas del Aeroflot Group y de la alianza internacional SkyTeam.</t>
  </si>
  <si>
    <t xml:space="preserve">Получить подробную информацию и стать участником программы вы можете на сайте Аэрофлота. </t>
  </si>
  <si>
    <t>You can get more detailed information and join the program at the Aeroflot website.</t>
  </si>
  <si>
    <t>Pour obtenir plus d'information et joindre le programme adressez-vous à la web-site d’Aeroflot.</t>
  </si>
  <si>
    <t>Wenn Sie weitere Informationen haben und dem Programm beitreten möchten, besuchen Sie bitte die Webseite der Aeroflot.</t>
  </si>
  <si>
    <t>Pueden obtener más información o incorporarse al programa en web página de Aeroflot.</t>
  </si>
  <si>
    <t>Зона турбулентности (СБ или PRAM) (дневной/ночной рейс)</t>
  </si>
  <si>
    <t>Обязательно читать в случае возникновения турбулентности любой силы</t>
  </si>
  <si>
    <t>Просим вас оставаться на своих местах с застегнутыми ремнями безопасности до выключения табло «Застегните ремни».</t>
  </si>
  <si>
    <t xml:space="preserve">Bitte kehren Sie zu Ihren Plätzen zurück, schließen Sie Ihren Sicherheitsgurt, und bleiben Sie so lange angeschnallt sitzen, bis die Anschnallzeichen erloschen sind. </t>
  </si>
  <si>
    <t>Les pedimos quédense en sus asientos con cinturones abrochados hasta que la señal de cinturones de seguridad sea apagada.</t>
  </si>
  <si>
    <t>Прерывание обслуживания в зоне турбулентности (СБ или PRAM) (дневной/ночной рейс)</t>
  </si>
  <si>
    <t>Мы вынуждены прекратить обслуживание и возобновим его, как только передвижение по салону станет безопасным.</t>
  </si>
  <si>
    <t xml:space="preserve">We have to interrupt service and will resume it when it becomes safe to move about the cabin. </t>
  </si>
  <si>
    <t>Nous sommes obligés d’interrompre notre service. Le service sera repris dès que le danger de déplacement dans la cabine aura été minimal.</t>
  </si>
  <si>
    <t xml:space="preserve">Unser Kabinen-Service wird vorübergehend eingestellt und erst dann wieder aufgenommen, wenn sich die Turbulenzen gelegt haben. </t>
  </si>
  <si>
    <t>Tenemos que cesar los servicios de vuelo temporalmente y se reanudarán una vez sea posible moverse por la cabina.</t>
  </si>
  <si>
    <t>Невозможность предоставления горячих напитков в зоне турбулентности (СБ или PRAM) (дневной/ночной рейс)</t>
  </si>
  <si>
    <t xml:space="preserve">Командир корабля сообщил, что наш самолет находится в зоне турбулентности. </t>
  </si>
  <si>
    <t xml:space="preserve">The Captain has informed us that the aircraft is in the area of turbulence. </t>
  </si>
  <si>
    <t>Le commandant nous informe que notre avion se trouve dans une zone de turbulence.</t>
  </si>
  <si>
    <t>El comandante nos informa de que nuestro avión está en una zona de turbulencia.</t>
  </si>
  <si>
    <t>Для вашей безопасности мы вынуждены прекратить обслуживание горячими напитками до выхода самолета из зоны турбулентности.</t>
  </si>
  <si>
    <t xml:space="preserve">For your safety, we will stop serving hot drinks until the aircraft leaves the area of turbulence. </t>
  </si>
  <si>
    <t>Pour votre sécurité, nous sommes obligés d’interrompre le service des boissons chaudes.</t>
  </si>
  <si>
    <t>Aus Sicherheitsgründen wird unser Kabinen-Service eingestellt. Heiße Getränke werden erst dann wieder serviert werden, wenn wir die Schlechtwetterzone durchflogen haben.</t>
  </si>
  <si>
    <t>Перед вторым предоставлением питания (СБ) (дневной рейс)</t>
  </si>
  <si>
    <t>Good morning (afternoon, evening), Ladies and Gentlemen!</t>
  </si>
  <si>
    <t>Доброе утро (день, вечер), дамы и господа!</t>
  </si>
  <si>
    <t>Bonjour/Bonsoir, Mesdames et Messieurs!</t>
  </si>
  <si>
    <t>Guten Morgen/Tag/Abend, meine Damen und Herren!</t>
  </si>
  <si>
    <t>Wir werden in Kürze… [выбрать необходимое] servieren.</t>
  </si>
  <si>
    <t>The remaining time to… [пункт назначения] is …hours …minutes.</t>
  </si>
  <si>
    <t xml:space="preserve">La durée de vol jusqu’à… [пункт назначения] est …heures …minutes. </t>
  </si>
  <si>
    <t>Die restliche Flugzeit bis zur Landung in… [пункт назначения] beträgt …Stunden und …Minuten.</t>
  </si>
  <si>
    <t>El tiempo que queda para nuestra llegada a… [пункт назначения] es de …horas y …minutos.</t>
  </si>
  <si>
    <t xml:space="preserve">Заполнение формуляров на международных рейсах </t>
  </si>
  <si>
    <t>Всем пассажирам необходимо заполнить таможенную декларацию. На семью требуется одна декларация, заполняемая главой семьи.</t>
  </si>
  <si>
    <t>Tous les passagers doivent remplir une déclaration de douane. Il suffit de remplir une déclaration pour chaque famille, qui doît-être remplie par le chef de famille.</t>
  </si>
  <si>
    <t>Alle Passagiere müssen eine Zollerklärung ausfüllen Für die Familie ist eine vom Oberhaupt der Familie Zollerklärung erforderlich.</t>
  </si>
  <si>
    <t xml:space="preserve">Просим вас заполнить бланки на английском языке печатными заглавными буквами и сохранить для предъявления властям. </t>
  </si>
  <si>
    <t>We request that you complete all forms in English, using clear capital letters, and keep these with you for inspection by the border staff.</t>
  </si>
  <si>
    <t>Nous vous prions de remplir les formulaires en anglais en caractères imprimés et de les garder pour présenter aux autorités d'immigration.</t>
  </si>
  <si>
    <t>Wir bitten Sie, alle Formulare auf Englisch auszufüllen. Bitte schreiben Sie in Großbuchstaben, und halten Sie die Formulare nach der Landung für die Prüfung durch die Einreise- und Zollkontrolle bereit.</t>
  </si>
  <si>
    <t>Les pedimos llenar formularios con letras de imprenta y guardar hasta presentar a las autoridades</t>
  </si>
  <si>
    <t>С порядком заполнения можно ознакомиться в журнале «Аэрофлот».</t>
  </si>
  <si>
    <t>Anweisungen zum Ausfüllen der Formulare finden Sie in Ihrem „Aeroflot“-Magazin.</t>
  </si>
  <si>
    <t>Формуляры должны быть заполнены до выхода из самолета.</t>
  </si>
  <si>
    <t xml:space="preserve">The forms must be completed before leaving the aircraft. </t>
  </si>
  <si>
    <t>Les formulaires doivent être remplis avant le débarquement.</t>
  </si>
  <si>
    <t xml:space="preserve">Die Formulare müssen vor dem Verlassen des Flugzeugs ausgefüllt werden. </t>
  </si>
  <si>
    <t>Los formularios han de rellenarse antes de abandonar el avión.</t>
  </si>
  <si>
    <t>Если вам нужна помощь, пожалуйста, обращайтесь, к бортпроводникам.</t>
  </si>
  <si>
    <t>If you have any questions, please do not hesitate to ask the cabin attendants for assistance.</t>
  </si>
  <si>
    <t>Si vous avez besoin de l’aide adressez-vous au personnel de cabine.</t>
  </si>
  <si>
    <t>Falls Sie Hilfe benötigen, wenden Sie sich bitte an einen Ihrer Flugbegleiter.</t>
  </si>
  <si>
    <t>Si ustedes necesitan ayuda, diríjanse, por favor, al personal de la cabina.</t>
  </si>
  <si>
    <t>Заполнение формуляров для въезда в другие страны (СБ) (дневной/ночной рейс)</t>
  </si>
  <si>
    <t>In Übereinstimmung mit den Anforderungen der Staatsbehörden sollen alle Fluggäste außer Staatsangehörigen von… [название страны] … [выбрать необходимое] ausfüllen.</t>
  </si>
  <si>
    <t>une carte d'immigration;</t>
  </si>
  <si>
    <t>При наличии бланков на борту</t>
  </si>
  <si>
    <t xml:space="preserve">Просим вас заполнить бланки печатными буквами и сохранить для предъявления властям. </t>
  </si>
  <si>
    <t>Please fill in the forms in block letters and retain them to present at the airport.</t>
  </si>
  <si>
    <t>Nous vous prions de les remplir en caractères imprimés et les garder pour présenter aux autorités d'immigration.</t>
  </si>
  <si>
    <t>Bitte füllen Sie die Formulare in Großbuchstaben aus, und halten Sie diese bereit, um bei der Einreise vorzulegen.</t>
  </si>
  <si>
    <t>При отсутствии бланков на борту</t>
  </si>
  <si>
    <t>Бланки будут предоставлены вам в аэропорту. Просим вас заполнить формуляры печатными буквами.</t>
  </si>
  <si>
    <t xml:space="preserve">Blank forms will be provided at the airport. The forms must be completed in block letters. </t>
  </si>
  <si>
    <t>Заполнение формуляров для въезда в США (СБ или PRAM) (дневной/ночной рейс)</t>
  </si>
  <si>
    <t>Die Formulare müssen vor dem Verlassen des Flugzeugs ausgefüllt werden.</t>
  </si>
  <si>
    <t xml:space="preserve">Si ustedes necesitan ayuda, diríjanse por favor al personal de cabina. </t>
  </si>
  <si>
    <t>Перед посадкой</t>
  </si>
  <si>
    <t>Информация для трансферных пассажиров.</t>
  </si>
  <si>
    <t>This information is for transfer passengers.</t>
  </si>
  <si>
    <t>Und hier noch Informationen für Transferpassagiere.</t>
  </si>
  <si>
    <t>Esta información es para pasajeros de tránsito.</t>
  </si>
  <si>
    <t>По всем вопросам, включая регистрацию на следующий рейс, обращайтесь к сотрудникам стойки «Трансфер».</t>
  </si>
  <si>
    <t xml:space="preserve">In allen Fragen, einschließlich Registrierung, wenden Sie sich ans Personal am Transferschalter. </t>
  </si>
  <si>
    <t>Si tiene preguntas, incluso la registracion para su próximo vuelo por favor pónganse en contacto con el personal de la la oficina de tránsitos.</t>
  </si>
  <si>
    <t>Информация для трансферных пассажиров перед посадкой в Москве – для прочтения сразу после получения информации от КВС</t>
  </si>
  <si>
    <t xml:space="preserve">Изменение выходов на посадку (СБ) (дневной/ночной рейс) </t>
  </si>
  <si>
    <t>Ожидание трансферных пассажиров на выходе из самолета для сопровождения («спасение стыковки») (СБ) (дневной/ночной рейс)</t>
  </si>
  <si>
    <t xml:space="preserve">После выхода из самолета, в здании аэровокзала, вас ожидает сотрудник Аэрофлота, который будет сопровождать вас к выходу на посадку стыковочного рейса. </t>
  </si>
  <si>
    <t xml:space="preserve">Just after you enter the airport there is an Aeroflot staff waiting to accompany you to the gate of your next flight. </t>
  </si>
  <si>
    <t>Время стыковки ограничено, просим вас не задерживаться.</t>
  </si>
  <si>
    <t xml:space="preserve">Your connecting time is limited. Please don’t be late for your flight. </t>
  </si>
  <si>
    <t>Wir bitten Sie, sich wie möglich zu beeilen, weil die Anschlusszeit eingeschränkt ist.</t>
  </si>
  <si>
    <t>El tiempo de conexión está limitada. Tengan prisa, por favor.</t>
  </si>
  <si>
    <t>Вниманию трансферных пассажиров, продолжающих свой полет рейсом Аэрофлота/рейсом… [название авиакомпании] … [номер рейса] в… [пункт назначения]!</t>
  </si>
  <si>
    <t>Information for transfer passengers with connecting Aeroflot/… [название авиакомпании] flight… [номер рейса] to… [пункт назначения]!</t>
  </si>
  <si>
    <t xml:space="preserve">Meine Damen und Herren! Und hier noch Informationen für Transferfluggäste, die mit von Aeroflot/… [указать авиакомпанию] erfülltem Anschlußflug… [номер рейса] nach… [пункт назначения] weiterfliegen. </t>
  </si>
  <si>
    <t>Información para pasajeros de tránsito que siguen su vuelo con Aeroflot /… [указать авиакомпанию] numero… [номер рейса] a… [пункт назначения]!</t>
  </si>
  <si>
    <t xml:space="preserve">Если вы пользовались ручной кладью во время полета, разместите ее на багажной полке или под сиденьем кресла перед вами. </t>
  </si>
  <si>
    <t xml:space="preserve">If you have been using your hand luggage during the flight, please place it in the overhead bin or under the seat in front of you. </t>
  </si>
  <si>
    <t>Sollten Sie während Ihres Fluges Ihr Handgepäck benutzt haben, verstauen Sie es bitte wieder in der Ablage über Ihnen oder unter Ihrem Vordersitz.</t>
  </si>
  <si>
    <t xml:space="preserve">Благодарим за внимание. </t>
  </si>
  <si>
    <t>Командир корабля сообщил, что через …минут мы приступим к снижению.</t>
  </si>
  <si>
    <t>The Сaptain has informed us that in …minutes we will start our descent.</t>
  </si>
  <si>
    <t>Le commandant nous informe que la descente aura lieu dans …minutes.</t>
  </si>
  <si>
    <t xml:space="preserve">El comandante nos ha informado de que en …minutos empezaremos nuestro descenso. </t>
  </si>
  <si>
    <t>При включении табло «ЗАСТЕГНИТЕ РЕМНИ» (СБ) (дневной/ночной рейс)</t>
  </si>
  <si>
    <t>Командир корабля включил табло «Застегните ремни».</t>
  </si>
  <si>
    <t>Der Kapitän hat die Anschnallzeichen eingeschaltet.</t>
  </si>
  <si>
    <t>El comandante ha encendido la señal de ”Cinturones Abrochados”.</t>
  </si>
  <si>
    <t>El avión ha comenzado el descenso y en …minutos aterrizará en… [выбрать необходимое].</t>
  </si>
  <si>
    <t>el aeropuerto Sheremetyevo de Moscú, la terminal B/C/D/E/F;</t>
  </si>
  <si>
    <t>в… [название города], аэропорт… [название аэропорта], Терминал… [указать при наличии информации], выход… [указать при наличии информации].</t>
  </si>
  <si>
    <t xml:space="preserve">à… [название города] l’aéroport… [название аэропорта], aérogare… [указать] , sortie… [указать при наличии информации]. </t>
  </si>
  <si>
    <t>in… [название города] , auf dem Flughafen… [название аэропорта], Terminal… [указать], Flugsteig… [указать при наличии информации] landen.</t>
  </si>
  <si>
    <t>el aeropuerto… [название аэропорта] de… [название города], la terminal… [указать], la Puerta… [указать при наличии информации].</t>
  </si>
  <si>
    <t>Для Москвы</t>
  </si>
  <si>
    <t>Трансферным пассажирам мы рекомендуем ознакомиться со схемой терминалов аэропорта и местами расположения стоек регистрации трансфера в журнале «Аэрофлот».</t>
  </si>
  <si>
    <t>Для Санкт-Петербурга</t>
  </si>
  <si>
    <t>Схема аэропорта размещена в журнале «Аэрофлот».</t>
  </si>
  <si>
    <t>Einen Plan der Flughafenterminals finden Sie in Ihrem „Aeroflot“-Magazin.</t>
  </si>
  <si>
    <t>Для всех рейсов</t>
  </si>
  <si>
    <t>Мы прекращаем обслуживание и начинаем подготовку к посадке. Просим вас:</t>
  </si>
  <si>
    <t>We have to stop our service as we are now preparing for landing. Please:</t>
  </si>
  <si>
    <t>Unser Bordservice wird nun eingestellt, da wir uns auf die Landung vorbereiten. Bitte:</t>
  </si>
  <si>
    <t>Los servicios de a bordo cesan ahora en preparación para el aterrizaje, por favor:</t>
  </si>
  <si>
    <t>Все электронные устройства должны быть выключены до момента полной остановки самолета.</t>
  </si>
  <si>
    <t>All electronic devices must be switched off until the aircraft comes to a complete stop.</t>
  </si>
  <si>
    <t>Nous vous rappelons que tous les appareils électroniques doivent être éteints jusqu'à l'arrêt complet de l'appareil.</t>
  </si>
  <si>
    <t xml:space="preserve">Погода в… [название города назначения] … (хорошая, солнечная, дождливая, ненастная, др.). </t>
  </si>
  <si>
    <t>The weather in… [название города назначения] is… (good, sunny, rainy, poor, etc.)</t>
  </si>
  <si>
    <t xml:space="preserve">Il… (fait beau, fait soleil, il pleut и др.) à… [название города назначения]. </t>
  </si>
  <si>
    <t>Das Wetter in… [название города назначения] ist… (gut, sonnig, regnerisch, schlecht usw).</t>
  </si>
  <si>
    <t>занять свое кресло;</t>
  </si>
  <si>
    <t>return to your seat;</t>
  </si>
  <si>
    <t>retourner à votre siège;</t>
  </si>
  <si>
    <t>kehren Sie zu Ihrem Sitzplatz zurück;</t>
  </si>
  <si>
    <t>regresen a su asiento;</t>
  </si>
  <si>
    <t>убедиться, что ручная кладь размещена на багажной полке или под сиденьем кресла перед вами;</t>
  </si>
  <si>
    <t>check that your hand luggage is located in the overhead bin or under the seat in front of you;</t>
  </si>
  <si>
    <t>assurer que vos bagages à mains soient dans les coffres à bagages ou sous le siège devant vous</t>
  </si>
  <si>
    <t>fasten your seatbelt;</t>
  </si>
  <si>
    <t>mettre votre siège en position vertical;</t>
  </si>
  <si>
    <t>vuelvan a poner su asiento en posición vertical;</t>
  </si>
  <si>
    <t>убрать откидной столик;</t>
  </si>
  <si>
    <t>stow the tray table;</t>
  </si>
  <si>
    <t>klappen Sie Ihr Tischchen ein,</t>
  </si>
  <si>
    <t>plieguen la mesilla;</t>
  </si>
  <si>
    <t>открыть шторку иллюминатора.</t>
  </si>
  <si>
    <t>open the window blind.</t>
  </si>
  <si>
    <t>ouvrir le store de l’hublot.</t>
  </si>
  <si>
    <t>öffnen Sie ihre Sichtblende.</t>
  </si>
  <si>
    <t>abran la persiana de la ventanilla.</t>
  </si>
  <si>
    <t>Обращаем ваше внимание, что пледы и подушки являются собственностью авиакомпании.</t>
  </si>
  <si>
    <t>Please note that the blankets and pillows are property of the airline.</t>
  </si>
  <si>
    <t>Nous vous rappelons que les coussins et les couvertures appartiennent à la compagnie.</t>
  </si>
  <si>
    <t>Les recordamos que las mantas y almohadas son propiedad de la aerolínea.</t>
  </si>
  <si>
    <t>Для ночного рейса</t>
  </si>
  <si>
    <t>На время посадки мы выключаем основное освещение. Вы можете воспользоваться лампочкой индивидуального освещения.</t>
  </si>
  <si>
    <t>Cabin lights will be dimmed during landing. You may use your individual reading light.</t>
  </si>
  <si>
    <t>L’éclairage général de la cabine va être réduite pendant l'atterrissage. Vous pouvez utiliser votre lampe de lecture.</t>
  </si>
  <si>
    <t>Während des Landeanflugs wird ein Teil der Kabinenbeleuchtung ausgeschaltet. Sie können aber weiterhin Ihre Leselampe benutzen.</t>
  </si>
  <si>
    <t>Готовность к посадке (СБ) (дневной/ночной рейс)</t>
  </si>
  <si>
    <t xml:space="preserve">Наш самолет готов к посадке. </t>
  </si>
  <si>
    <t>The aircraft is ready for landing.</t>
  </si>
  <si>
    <t>Unser Flugzeug ist für die Landung bereit.</t>
  </si>
  <si>
    <t>El avión está listo para el aterrizaje.</t>
  </si>
  <si>
    <t>Please ensure that:</t>
  </si>
  <si>
    <t>tous les appareils électroniques sont éteints,</t>
  </si>
  <si>
    <t>votre ceinture est bien attachée,</t>
  </si>
  <si>
    <t>Ihr Sicherheitsgurt geschlossen ist,</t>
  </si>
  <si>
    <t>your seat is in the upright position and</t>
  </si>
  <si>
    <t>votre siège est en position redressée,</t>
  </si>
  <si>
    <t>Ihre Sitzlehne senkrecht steht und</t>
  </si>
  <si>
    <t>столик убран.</t>
  </si>
  <si>
    <t>votre tablette est relevée,</t>
  </si>
  <si>
    <t>Ihr Tischchen eingeklappt ist.</t>
  </si>
  <si>
    <t>После посадки</t>
  </si>
  <si>
    <t>Наш самолет совершил посадку в… [название города], аэропорт… [название аэропорта], Терминал… [указать].</t>
  </si>
  <si>
    <t>El avión ha aterrizado en el aeropuerto… [название аэропорта] de… [название города], la terminal… [указать].</t>
  </si>
  <si>
    <t>Местное время …часов …минут.</t>
  </si>
  <si>
    <t>Local time is …a.m./p.m.</t>
  </si>
  <si>
    <t>L’heure locale est …heures …minutes.</t>
  </si>
  <si>
    <t>Die Ortszeit (Moskauer Zeit) ist …Uhr …Minuten.</t>
  </si>
  <si>
    <t>Unser Flugzeug ist soeben auf dem Flughafen… [название аэропорта], Terminal… [указать], in… [название города] gelandet.</t>
  </si>
  <si>
    <t>La hora local es …horas y …minutos.</t>
  </si>
  <si>
    <t xml:space="preserve">В интересах вашей безопасности просим вас оставаться на своих местах с застегнутыми ремнями до выключения табло «Застегните ремни». </t>
  </si>
  <si>
    <t>Aus Sicherheitsgründen bleiben Sie bitte solange angeschnallt sitzen, bis die Anschnallzeichen erloschen sind.</t>
  </si>
  <si>
    <t>Пожалуйста, при выходе из самолета не забывайте свои личные вещи.</t>
  </si>
  <si>
    <t>Please ensure you take all your belongings with you when leaving the aircraft.</t>
  </si>
  <si>
    <t xml:space="preserve">N’oubliez pas vos objets peronnels à bord de l’avion. </t>
  </si>
  <si>
    <t>Lassen Sie bitte, kein Handgepäck in der Kabine liegen.</t>
  </si>
  <si>
    <t>No olvide por favor su equipaje de mano.</t>
  </si>
  <si>
    <t>Обращаем ваше внимание, что первыми к выходу приглашаются пассажиры класса Бизнес.</t>
  </si>
  <si>
    <t>Please note that we invite to exit the aircraft business class passengers first.</t>
  </si>
  <si>
    <t>Nous vous rappelons que les passagers de la classe ‘affaire’ ont la priorité à débarquer.</t>
  </si>
  <si>
    <t>Por favor presten atención que primero invitamos a salir a los pasajeros de la clase business.</t>
  </si>
  <si>
    <t>The weather in… [название города назначения] is… (good, sunny, rainy, poor, др.)</t>
  </si>
  <si>
    <t xml:space="preserve">Il… (fait beau, fait soleil, il pleut и др.) à… [название города]. </t>
  </si>
  <si>
    <t>Das Wetter in… [название города] ist … (gut, sonnig, regnerisch, schlecht и др.).</t>
  </si>
  <si>
    <t>При наличии пункта проката Европкар в аэропорту (в соответствии со списком направлений, предоставленным Европкар)</t>
  </si>
  <si>
    <t>Если вам необходимо арендовать автомобиль, рекомендуем обратиться в пункт проката Европкар в аэропорту и получить информацию о наличии специальных скидок для пассажиров Аэрофлота и участников программы «Аэрофлот Бонус» элитных уровней.</t>
  </si>
  <si>
    <t>If you need to rent a car, please contact the Europcar counter at the airport to benefit from special discounts for holders of Aeroflot Bonus Elite cards and for Aeroflot passengers upon availability.</t>
  </si>
  <si>
    <t>При задержке рейса по прибытию 15 минут и более</t>
  </si>
  <si>
    <t>Еще раз приносим вам свои извинения за задержку вылета и причиненные неудобства.</t>
  </si>
  <si>
    <t xml:space="preserve">Once again we apologise for the delayed departure and for any inconvenience caused. </t>
  </si>
  <si>
    <t>Encore une fois, nous vous prions d’accepter nos excuses pour le retard et les inconvéniants rencontrés.</t>
  </si>
  <si>
    <t>Wir möchten uns noch einmal für den verzögerten Abflug entschuldigen und danken für Ihr Verständnis.</t>
  </si>
  <si>
    <t>Una vez más les pedimos disculpas por el retraso en la salida y por las molestias causadas.</t>
  </si>
  <si>
    <t>Nous espérons que vous avez aimé notre vol et nous aurons le plaisir de vous revoir à bord.</t>
  </si>
  <si>
    <t>До свидания!</t>
  </si>
  <si>
    <t>Thank you. Goodbye!</t>
  </si>
  <si>
    <t>Nous vous souhaitons une bonne journée/soirée.</t>
  </si>
  <si>
    <t>Vielen Dank für Ihre Aufmerksamkeit. Auf Wiedersehen.</t>
  </si>
  <si>
    <t>Просим пассажиров, продолжающих свой полет до… [пункт назначения], взять ручную кладь и пройти в зал ожидания. В аэропорту Шереметьево произойдет замена самолета и смена экипажа.</t>
  </si>
  <si>
    <t>Passagiere des Anschlussflugs nach… [пункт назначения] sollten ihr Handgepäck mitnehmen und sich zum Wartebereich begeben. Das Flugzeug und seine Besatzung werden auf dem Flughafen Scheremetjewo ausgetauscht.</t>
  </si>
  <si>
    <t>Les pedimos a los pasajeros con destino a… [пункт назначения] tomar su equipaje de mano y proceder hacia el área de espera. El avión y la tripulación serán reemplazados en el aeropuerto Sheremetyevo.</t>
  </si>
  <si>
    <t xml:space="preserve">Продолжительность стоянки – …часов …минут. </t>
  </si>
  <si>
    <t>The waiting time will be …hours and …minutes.</t>
  </si>
  <si>
    <t>L'escale sera …heures …minutes.</t>
  </si>
  <si>
    <t>Die Wartezeit beträgt …Stunden und …Minuten.</t>
  </si>
  <si>
    <t>El tiempo de espera será de …hora(s) y …minutos.</t>
  </si>
  <si>
    <t>Наш полет завершен.</t>
  </si>
  <si>
    <t>Дамы и господа! Наш полет завершен. Благодарим вас за выбор авиакомпании Аэрофлот.</t>
  </si>
  <si>
    <t>Во время руления ВС, когда пассажиры встают с мест (СБ или PRAM) (дневной/ночной рейс)</t>
  </si>
  <si>
    <t xml:space="preserve">Meine Damen und Herren! </t>
  </si>
  <si>
    <t>Наш самолет находится в движении.</t>
  </si>
  <si>
    <t>The aircraft is still moving.</t>
  </si>
  <si>
    <t>L'appareil roule encore.</t>
  </si>
  <si>
    <t>Das Flugzeug hat seine endgültige Parkposition noch nicht erreicht.</t>
  </si>
  <si>
    <t>El avión aún está en movimiento.</t>
  </si>
  <si>
    <t>Aus Sicherheitsgründen bitten wir Sie, solange angeschnallt sitzen zu bleiben, bis das Flugzeug vollständig zum Stillstand gekommen ist und die Anschnallzeichen erloschen sind.</t>
  </si>
  <si>
    <t>К выходу мы вас пригласим.</t>
  </si>
  <si>
    <t xml:space="preserve">We will invite you to exit the aircraft. </t>
  </si>
  <si>
    <t>Nous vous inviterons pour le débarquement.</t>
  </si>
  <si>
    <t>Wir werden Sie zum Aussteigen einladen.</t>
  </si>
  <si>
    <t>Les diremos cuándo pueden desembarcar.</t>
  </si>
  <si>
    <t>Для вашей безопасности просим вас оставаться на своих местах до полной остановки самолета и выключения табло «Застегните ремни».</t>
  </si>
  <si>
    <t>После заруливания на стоянку и выключения двигателей (КВС) (дневной/ночной рейс)</t>
  </si>
  <si>
    <t xml:space="preserve">Говорит командир корабля. </t>
  </si>
  <si>
    <t xml:space="preserve">Les habla el comandante. </t>
  </si>
  <si>
    <t>We have arrived at our destination.</t>
  </si>
  <si>
    <t>Notre vol est terminé.</t>
  </si>
  <si>
    <t xml:space="preserve">Wir haben unseren Zielflughafen erreicht. </t>
  </si>
  <si>
    <t>Hemos llegado a nuestro destino.</t>
  </si>
  <si>
    <t>Желаю хорошего дня/вечера!</t>
  </si>
  <si>
    <t>Have a nice day/evening.</t>
  </si>
  <si>
    <t>Je vous souhaite une agréable journée/soirée.</t>
  </si>
  <si>
    <t>Ich wünsche Ihnen einen angenehmen Tag/Abend.</t>
  </si>
  <si>
    <t>¡Que tengan un buen día/una buena noche!</t>
  </si>
  <si>
    <t>От имени всего экипажа благодарю за выбор авиакомпании «Аэрофлот – российские авиалинии», участника международного альянса SkyTeam (и авиакомпании «…» [название авиакомпании по код-шер]).</t>
  </si>
  <si>
    <t>En nombre de toda la tripulación, gracias por haber elegido “Aeroflot-Russian Airlines”, miembro de la alianza internaсional SkyTeam (y… [название авиакомпании по код-шер]).</t>
  </si>
  <si>
    <t>СБ: El comandante nos informa que hemos llegado a nuestro destino. El comandante en nombre de toda la tripulación, les agradece por haber elegido “Aeroflot-Russian Airlines”, miembro de la alianza internaсional SkyTeam (y… [название авиакомпании по код-шер]). ¡Que tengan un buen día/una buena noche!</t>
  </si>
  <si>
    <t>Высадка пассажиров по подъездным трапам (СБ или PRAM) (дневной/ночной рейс)</t>
  </si>
  <si>
    <t xml:space="preserve">Через несколько минут подъедет автобус, который доставит вас до здания аэровокзала. </t>
  </si>
  <si>
    <t>In a few minutes a bus will arrive to take you to the airport.</t>
  </si>
  <si>
    <t xml:space="preserve">Dans quelques instants, un bus sera disponible pour vous conduire à l'aérogare. </t>
  </si>
  <si>
    <t xml:space="preserve">In wenigen Minuten werden Sie mit einem Bus zum Flughafengebäude gebracht. </t>
  </si>
  <si>
    <t>En breve llegará un autobús para trasladarles al aeropuerto.</t>
  </si>
  <si>
    <t>Пожалуйста, будьте осторожны, спускаясь по трапу.</t>
  </si>
  <si>
    <t>Please be careful when walking down the airstairs.</t>
  </si>
  <si>
    <t>Veuillez faire attention en descendant l'escabeau.</t>
  </si>
  <si>
    <t>Bitte seien Sie vorsichtig, wenn Sie die Gangway hinuntergehen.</t>
  </si>
  <si>
    <t>При получении информации от КВС о высадке через ротонду терминала D Шереметьево (СБ) (дневной/ночной рейс)</t>
  </si>
  <si>
    <t>После выхода из самолета, пожалуйста, пройдите по телетрапу и спуститесь вниз по лестнице для посадки в автобус, который доставит вас к терминалу.</t>
  </si>
  <si>
    <t>When you exit the aircraft please pass along the jet bridge and then proceed downstairs to the bus which will take you to the terminal.</t>
  </si>
  <si>
    <t>Después de salir del avión pasen por favor por la pasarela y bajen la escalera para tomar el autobús que les llevará a la terminal.</t>
  </si>
  <si>
    <t>При проверке документов на борту после посадки (СБ или PRAM) (дневной/ночной рейс)</t>
  </si>
  <si>
    <t xml:space="preserve">Ladies and Gentlemen! </t>
  </si>
  <si>
    <t>По требованию иммиграционных властей вам необходимо пройти дополнительный паспортный контроль при выходе из самолета.</t>
  </si>
  <si>
    <t xml:space="preserve">The immigration authorities will carry out an additional passport check when you leave the aircraft. </t>
  </si>
  <si>
    <t>Les autorités d'immigration vont procéder à un contrôle supplémentaire des passeports à la sortie de l'appareil.</t>
  </si>
  <si>
    <t xml:space="preserve">Beim Verlassen des Flugzeugs werden die Einreisestellen eine zusätzliche Passkontrolle durchführen. </t>
  </si>
  <si>
    <t>Segun las exigencias de las autoridades de imigracion tienen que pasar el control de pasaportes complimentario a la salida del avión.</t>
  </si>
  <si>
    <t xml:space="preserve">Просим вас приготовить паспорта. </t>
  </si>
  <si>
    <t>Please prepare your passport.</t>
  </si>
  <si>
    <t>Veuillez préparer vos passeports.</t>
  </si>
  <si>
    <t>Bitte halten Sie Ihren Pass bereit.</t>
  </si>
  <si>
    <t>Приглашение к выходу (СБ) (дневной/ночной рейс)</t>
  </si>
  <si>
    <t>Ladies and gentlemen,</t>
  </si>
  <si>
    <t>im vorderen Bereich;</t>
  </si>
  <si>
    <t>im mittleren Bereich;</t>
  </si>
  <si>
    <t>im vorderen und mittleren Bereich;</t>
  </si>
  <si>
    <t>Bitte gehen Sie zum Ausgang… [выбрать необходимое] des Flugzeugs.</t>
  </si>
  <si>
    <t>Приглашение к выходу трансферных пассажиров с короткой стыковкой (СБ) (дневной/ночной рейс)</t>
  </si>
  <si>
    <t>Просим пассажиров класса Эконом оставаться на своих местах и дать возможность пассажирам, следующим до… [название пункта назначения], пройти к выходу первыми.</t>
  </si>
  <si>
    <t xml:space="preserve">We kindly ask the economy class passengers to remain in their seats and allow the passengers travelling to… [название пункта назначения] to leave the aircraft first. </t>
  </si>
  <si>
    <t>Bitte bleiben Sie sitzen, damit Transitreisende nach… [название пункта назначения] als erste aussteigen können.</t>
  </si>
  <si>
    <t>Por favor permanezcan en sus asientos para permitir que los pasajeros en tránsito hacia… [название пункта назначения] abandonen el avión primeros.</t>
  </si>
  <si>
    <t>Задержки</t>
  </si>
  <si>
    <t>Говорит старший бортпроводник экипажа/командир корабля.</t>
  </si>
  <si>
    <t>This is your Purser/Captain speaking.</t>
  </si>
  <si>
    <t xml:space="preserve">Приносим вам свои извинения за причиненные неудобства. </t>
  </si>
  <si>
    <t>Благодарим (благодарю) за внимание.</t>
  </si>
  <si>
    <t xml:space="preserve">Gracias por su atención. </t>
  </si>
  <si>
    <t>weather conditions at… airport;</t>
  </si>
  <si>
    <t>Наземные службы в… [название пункта назначения] предупреждены о задержке вылета и окажут вам необходимую помощь и содействие.</t>
  </si>
  <si>
    <t>The airport staff in… [название пункта назначения] have been informed about the delay and will provide any necessary assistance.</t>
  </si>
  <si>
    <t>Les services au sol à… [название пункта назначения] ont été avertis et seront à votre diposition.</t>
  </si>
  <si>
    <t>Bodenpersonal am Flughafen in… [название пункта назначения] sind über die Verspätung informiert worden und werden ihr Bestes tun, um Ihnen bei allen Fragen zu helfen.</t>
  </si>
  <si>
    <t>Los servicios terrestres en… [название пункта назначения] han sido informados del retraso y le proporcionarán la asistencia necesaria.</t>
  </si>
  <si>
    <t xml:space="preserve">Возвращение на место стоянки перед вылетом (КВС или СБ по указанию КВС) (дневной/ночной рейс) </t>
  </si>
  <si>
    <t xml:space="preserve">мы вынуждены вернуться на место стоянки. </t>
  </si>
  <si>
    <t>the aircraft is returning to the stand.</t>
  </si>
  <si>
    <t>l'avion retourne au parking.</t>
  </si>
  <si>
    <t>kehrt das Flugzeug nun auf seinen Halteplatz zurück.</t>
  </si>
  <si>
    <t>el avión regresa al aparcamiento.</t>
  </si>
  <si>
    <t xml:space="preserve">Прошу вас оставаться на своих местах с застегнутыми ремнями безопасности. </t>
  </si>
  <si>
    <t>Please remain in your seat with your seat belt fastened.</t>
  </si>
  <si>
    <t>Как только будет получена дополнительная информация, мы вам ее сообщим.</t>
  </si>
  <si>
    <t>As soon as we have more information, we will inform you immediately.</t>
  </si>
  <si>
    <t>Weitere Informationen folgen.</t>
  </si>
  <si>
    <t>Le proporcionaremos más información cuando la tengamos.</t>
  </si>
  <si>
    <t xml:space="preserve">В связи с производственными причинами </t>
  </si>
  <si>
    <t xml:space="preserve">Due to operational reasons </t>
  </si>
  <si>
    <t>Pour des raisons opérationnelles</t>
  </si>
  <si>
    <t>Aus betriebsbedingten Gründen</t>
  </si>
  <si>
    <t>Por motivos operacionales</t>
  </si>
  <si>
    <t>Заправка топливом с пассажирами на борту (СБ) (дневной/ночной рейс)</t>
  </si>
  <si>
    <t>В настоящий момент наш самолет заправляют топливом.</t>
  </si>
  <si>
    <t>The aircraft is currently being refueled.</t>
  </si>
  <si>
    <t>Notre avion est en train de faire plein d’essence.</t>
  </si>
  <si>
    <t>Das Flugzeug wird derzeit aufgetankt.</t>
  </si>
  <si>
    <t>El avión está siendo repostado.</t>
  </si>
  <si>
    <t>Просим вас отстегнуть ремни безопасности и оставаться на своих местах.</t>
  </si>
  <si>
    <t xml:space="preserve">Please unfasten your seatbelt and remain in your seat. </t>
  </si>
  <si>
    <t>Bitte öffnen Sie Ihren Sicherheitsgurt und bleiben Sie bitte sitzen.</t>
  </si>
  <si>
    <t>Por favor desabróchense el cinturón de seguridad y permanezcan sentados.</t>
  </si>
  <si>
    <t xml:space="preserve">Аварийные выходы и проходы в салонах должны быть свободными. </t>
  </si>
  <si>
    <t>All aisles and emergency exits must be clear of any personal belongings.</t>
  </si>
  <si>
    <t>Alle Gänge und Notausgänge müssen von sämtlichen Gepäckstücken vollständig frei bleiben.</t>
  </si>
  <si>
    <t>No obstaculicen con su equipaje de mano pasillos o salidas de emergencia.</t>
  </si>
  <si>
    <t>Мы сообщим вам об окончании заправки.</t>
  </si>
  <si>
    <t>We will inform you when refueling is completed.</t>
  </si>
  <si>
    <t>Nous vous informerons lorsque la prise d’essence est finie.</t>
  </si>
  <si>
    <t>Wir werden Ihnen Bescheid geben, sobald die Maschine aufgetankt ist.</t>
  </si>
  <si>
    <t>Les informaremos cuando hayamos acabado de repostar.</t>
  </si>
  <si>
    <t>Окончание заправки топливом с пассажирами на борту (СБ) (дневной/ночной рейс)</t>
  </si>
  <si>
    <t>Заправка самолета закончена.</t>
  </si>
  <si>
    <t>Refueling is now completed.</t>
  </si>
  <si>
    <t>La prise d’essence est finie.</t>
  </si>
  <si>
    <t xml:space="preserve">Die Maschine ist nun aufgetankt. </t>
  </si>
  <si>
    <t>Hemos concluido el repostaje.</t>
  </si>
  <si>
    <t>Le décollage est prévu dans …/quelques minutes.</t>
  </si>
  <si>
    <t>Esperamos despegar en …/algunos minutos.</t>
  </si>
  <si>
    <t>Мы рассчитываем вылететь через …минут/несколько минут.</t>
  </si>
  <si>
    <t>We expect to take off in …minutes/ several minutes.</t>
  </si>
  <si>
    <t>Wir werden in …Minuten starten.</t>
  </si>
  <si>
    <t>Задержка посадки ВС (СБ по указанию КВС) (дневной/ночной рейс)</t>
  </si>
  <si>
    <t>Por favor permanezcan en sus asientos con los cinturónes de seguridad abrochados.</t>
  </si>
  <si>
    <t>Во время ожидания парковки ВС (КВС) (дневной/ночной рейс)</t>
  </si>
  <si>
    <t xml:space="preserve">Благодарю за внимание. </t>
  </si>
  <si>
    <t>СБ: Der Kapitän teilt uns folgendes mit.</t>
  </si>
  <si>
    <t>СБ: El comandante nos informa de que.</t>
  </si>
  <si>
    <t>СБ: Le commandant nous informe que.</t>
  </si>
  <si>
    <t>Во время ожидания разрешения наземных служб на высадку из ВС (СБ) (дневной/ночной рейс)</t>
  </si>
  <si>
    <t>Мы ожидаем разрешения наземных служб аэропорта на высадку из самолета. Просим вас оставаться на своих местах.</t>
  </si>
  <si>
    <t>We are waiting for the ground staff permission for disembarking. Please remain in your seats.</t>
  </si>
  <si>
    <t xml:space="preserve">Nous attendons l’autorisation du personnel au sol de l’aéroport pour le débarquement. Veuillez garder vos sièges. </t>
  </si>
  <si>
    <t>Wir warten auf die Aussteigenerlaubnis. Wir bitten Sie auf Ihren Plätzen zu bleiben.</t>
  </si>
  <si>
    <t>Esperamos el permiso de servisios terrestres para desembarque. Les pedimos quédense en sus asientos.</t>
  </si>
  <si>
    <t>We will invite you to exit the aircraft.</t>
  </si>
  <si>
    <t>Nous vous inviterons à débarquer.</t>
  </si>
  <si>
    <t>Wir werden Sie zum Aussteigen auffordern.</t>
  </si>
  <si>
    <t>Les invitaremos a salir.</t>
  </si>
  <si>
    <t>Приветствие КВС в аэропорту вылета при открытии новой трассы (КВС) (дневной/ночной рейс)</t>
  </si>
  <si>
    <t>Hier spricht Ihr Kapitän. Mein Name ist… [имя и фамилия]. Im Namen der gesamten Besatzung und von „Aeroflot – Russian Airlines“ begrüße ich Sie herzlich an Bord dieses/dieser… [тип ВС].</t>
  </si>
  <si>
    <t>Les habla el comandante. Me llamo… [имя и фамилия]. En nombre de toda la tripulación y de “Aeroflot – Russian Airlines” les damos la bienvenida a bordo de este… [тип ВС].</t>
  </si>
  <si>
    <t>Сегодня мы открываем новую трассу Москва – … [конечный пункт трассы]. (Наш рейс выполняется совместно с авиакомпанией «…» [название авиакомпании по код-шер]). Длина маршрута …километров.</t>
  </si>
  <si>
    <t>Aujourd'hui, nous inaugurons une nouvelle ligne entre Moscou et… [конечный пункт трассы]. (Notre vol est effectué en coopération avec… [название авиакомпании по код-шер]). La distance est …kilomètres.</t>
  </si>
  <si>
    <t>Today we are starting a new route from Moscow to… [конечный пункт трассы]. (This flight is operated jointly with… [название авиакомпании по код-шер]). The distance is …kilometres.</t>
  </si>
  <si>
    <t>Heute eröffnen wir eine neue Flugroute von Moskau nach… [конечный пункт трассы]. (Dieser Flug wird in Partnerschaft mit der Fluggesellschaft… [название авиакомпании по код-шер]) veranstaltet. Die Flugstrecke beträgt …Kilometer.</t>
  </si>
  <si>
    <t>Hoy hemos comenzado una nueva ruta de Moscú a… [конечный пункт трассы]. (Este vuelo se realiza conjuntamente con… [название авиакомпании по код-шер]). La distancia es de …kilómetros.</t>
  </si>
  <si>
    <t>Время в пути составит …часов …минут.</t>
  </si>
  <si>
    <t>The flight time will be …hours …minutes.</t>
  </si>
  <si>
    <t>La durée de vol sera …heures …minutes.</t>
  </si>
  <si>
    <t>Die gesamte Flugdauer beträgt …Stunden und …Minuten.</t>
  </si>
  <si>
    <t>El tiempo total de vuelo será de …horas y …minutos.</t>
  </si>
  <si>
    <t>Приветствие КВС в аэропорту вылета Новый год и Рождество (КВС) (дневной/ночной рейс)</t>
  </si>
  <si>
    <t>Читать в период с 24.12 по 08.01 включительно</t>
  </si>
  <si>
    <t xml:space="preserve">Говорит командир корабля… [имя и фамилия]. Поздравляю вас с (наступающим) Новым годом и Рождеством! </t>
  </si>
  <si>
    <t>Je suis votre commandant de bord… [имя и фамилия]. Je vous souhaite un joyeux Noël et une bonne année!</t>
  </si>
  <si>
    <t>Hier spricht Ihr Kapitän. Mein Name ist… [имя и фамилия]. Ich wünsche Ihnen allen fröhliche Weihnachten und ein glückliches Neues Jahr.</t>
  </si>
  <si>
    <t xml:space="preserve">Les habla el comandante. Me llamo… [имя и фамилия]. Les deseo a todos una Feliz Navidad y un Feliz Año Nuevo. </t>
  </si>
  <si>
    <t>Im Namen der gesamten Besatzung und von „Aeroflot – Russian Airlines“ begrüße ich Sie herzlich an Bord dieses/dieser… [тип ВС].</t>
  </si>
  <si>
    <t>En nombre de toda la tripulación y de “Aeroflot – Russian Airlines” les damos la bienvenida a bordo de este… [тип ВС].</t>
  </si>
  <si>
    <t xml:space="preserve">Приветствие СБ в аэропорту вылета Новый год и Рождество (СБ) (дневной/ночной рейс) </t>
  </si>
  <si>
    <t>От имени всего экипажа поздравляю вас с (наступающим) Новым годом и Рождеством! Желаю вам в новом году здоровья, удачи, благополучия, хороших новостей, ярких идей, успешных начинаний!</t>
  </si>
  <si>
    <t>On behalf of our crew, I would like to wish you all a Merry Christmas and a Happy New Year.</t>
  </si>
  <si>
    <t>De la part de l'équipage, je vous souhaite un Joyeux Noël et une bonne année!</t>
  </si>
  <si>
    <t>En nombre de nuestra tripulación les deseo una Feliz Navidad y un Feliz Año Nuevo. Les deseamos salud, éxitos, noticias buenas, iniciativas exitosas.</t>
  </si>
  <si>
    <t>My name is… [имя без фамилии] and I am the purser.</t>
  </si>
  <si>
    <t>Я и мои коллеги сделаем все возможное, чтобы сегодняшний полет был приятным для вас.</t>
  </si>
  <si>
    <t>Я и мои коллеги всегда к вашим услугам и рады оказать вам заботу и внимание.</t>
  </si>
  <si>
    <t>Я и мои коллеги сделаем все возможное, чтобы сегодняшний полет доставил вам удовольствие.</t>
  </si>
  <si>
    <t xml:space="preserve">My colleagues and I will do our best to ensure that you have a pleasant flight. </t>
  </si>
  <si>
    <t xml:space="preserve">My colleagues and I are at your service and will be glad to assist you. </t>
  </si>
  <si>
    <t>Mes collègues et moi ferons le maximum pour vous assurer un vol agréable.</t>
  </si>
  <si>
    <t>Mes collègues et moi sont à votre service et à votre disposition.</t>
  </si>
  <si>
    <t>Meine Kollegen und ich (Wir) werden unser Bestes tun, um Ihren Aufenthalt an Bord so angenehm wie möglich zu gestalten.</t>
  </si>
  <si>
    <t>Meine Mitarbeiter und ich (Wir) stehen Ihnen jederzeit zu Diensten und sind Ihnen in allen Fragen gerne behilflich.</t>
  </si>
  <si>
    <t>Meine Kollegen und ich (Wir) werden unser Bestes tun, damit der heutige Flug Ihnen Spaß mächte.</t>
  </si>
  <si>
    <t>Mis colegas y yo haremos todo lo posible para garantizarle un vuelo agradable.</t>
  </si>
  <si>
    <t>Mis colegas y yo estamos a su disposición y le ayudaremos en todo lo que podamos.</t>
  </si>
  <si>
    <t>Mis colegas y yo haremos todo lo posible para que su vuelo de hoy sea agradable.</t>
  </si>
  <si>
    <t>Перед посадкой пассажиров в транзитном аэропорту (СБ) (дневной/ночной рейс)</t>
  </si>
  <si>
    <t>Просим вас занять место, номер которого указан в вашем посадочном талоне.</t>
  </si>
  <si>
    <t>Please take the seat according to your boarding pass.</t>
  </si>
  <si>
    <t>Veuillez retourner à votre siège. Le numéro de votre siège est indiqué sur votre carte d'embarquement.</t>
  </si>
  <si>
    <t>Bitte kehren Sie zu Ihrem Sitzplatz zurück. Ihre Platznummer steht auf Ihrer Bordkarte.</t>
  </si>
  <si>
    <t>Por favor regresen a sus asientos, el número de su asiento se indica en la tarjeta de embarque.</t>
  </si>
  <si>
    <t xml:space="preserve">Merci de votre attention. </t>
  </si>
  <si>
    <t xml:space="preserve">Мы начинаем посадку пассажиров из аэропорта… [название аэропорта]. </t>
  </si>
  <si>
    <t>We are about to board passengers from… airport .</t>
  </si>
  <si>
    <t>Nous allons procéder à l'embarquement des passagers de l'aéroport… [название аэропорта].</t>
  </si>
  <si>
    <t>In Kürze werden Reisende vom Flughafen… [название аэропорта] zusteigen.</t>
  </si>
  <si>
    <t>Vamos a embarcar a los pasajeros procedentes del aeropuerto de… [название аэропорта].</t>
  </si>
  <si>
    <t>Подсчет пассажиров (СБ) (дневной/ночной рейс)</t>
  </si>
  <si>
    <t>Нам необходимо уточнить количество пассажиров на борту.</t>
  </si>
  <si>
    <t xml:space="preserve">We need to check the number of passengers on board. </t>
  </si>
  <si>
    <t>Nous devons verifier le nombre de passagers à bord.</t>
  </si>
  <si>
    <t>Jetzt ist es nötig, die Zahl der Fluggäste an Bord festzustellen.</t>
  </si>
  <si>
    <t xml:space="preserve">Necesitamos hacer un recuento de los pasajeros a bordo. </t>
  </si>
  <si>
    <t>Просим вас занять свое место согласно посадочному талону и приготовить посадочный талон для дополнительной проверки.</t>
  </si>
  <si>
    <t>Please take the seat according to your boarding pass and prepare the boarding pass for additional check.</t>
  </si>
  <si>
    <t>Bitte nehmen Sie Ihre Sitzplätze in der Kabine laut der Bordkarten ein, und halten Sie bitte Ihre Bordkarten für eine zusätzliche Überprüfung bereit.</t>
  </si>
  <si>
    <t>Por favor regresen a su asiento, el numero de su asiento se indica en la tarjeta de embarque. Por favor tengan listos su tarjeta de embarque.</t>
  </si>
  <si>
    <t>Our flight… [номер рейса] is from… to… (and it is operated jointly with… [название авиакомпании по код-шер]).</t>
  </si>
  <si>
    <t>Наш рейс… [номер рейса] выполняется по маршруту …–… (совместно с авиакомпанией «…» [название авиакомпании по код-шер]).</t>
  </si>
  <si>
    <t>Notre vol… [номер рейса] á destination de… (est effectué en cooperation avec… [название авиакомпании по код-шер]).</t>
  </si>
  <si>
    <t xml:space="preserve">Nuestro vuelo número… [номер рейса] hoy es de… a… (conjuntamente con… [название авиакомпании по код-шер]). </t>
  </si>
  <si>
    <t>Розыск пассажира (СБ) (дневной/ночной рейс)</t>
  </si>
  <si>
    <t>Просим господина/госпожу… обратиться к… (бортпроводникам, персоналу…) (при выходе из самолета).</t>
  </si>
  <si>
    <t>Monsieur/Madame… veuillez-vous faire connaître auprès de… (du personnel de cabine) (en quittant l'appareil).</t>
  </si>
  <si>
    <t>Dies ist ein Aufruf für Herr/Frau… Bitte melden Sie sich… (beim Bordpersonal, beim Personal nach dem Verlassen des Flugzeugs).</t>
  </si>
  <si>
    <t>Le pedimos al señor/a la señora… diríjanse (al personal de la cabina, personal…) por favor (antes de abandonar el avión).</t>
  </si>
  <si>
    <t>Неопознанный багаж (СБ или PRAM) (дневной/ночной рейс)</t>
  </si>
  <si>
    <t>В целях обеспечения безопасности полета просим вас выйти из самолета и опознать свой багаж.</t>
  </si>
  <si>
    <t>To ensure the safety of the flight, please leave the aircraft and identify your baggage.</t>
  </si>
  <si>
    <t>Pour assurer la sécurité du vol, veuillez débarquer et identifier votre bagage.</t>
  </si>
  <si>
    <t>Aus Sicherheitsgründen möchten wir Sie bitten, das Flugzeug zu verlassen und Ihr Gepäck zu identifizieren.</t>
  </si>
  <si>
    <t>Para asegurar la seguridad del vuelo, por favor salgan del avión e identifiquen su equipaje.</t>
  </si>
  <si>
    <t>Неопознанный багаж останется в аэропорту.</t>
  </si>
  <si>
    <t>Any unidentified baggage will be left at the airport.</t>
  </si>
  <si>
    <t>Les bagages non identifiés seront laissés à l'aéroport.</t>
  </si>
  <si>
    <t>Nicht identifizierte Gepäckstücke werden am Flughafen zurückgelassen.</t>
  </si>
  <si>
    <t>Todo equipaje que no esté identificado se dejará en el aeropuerto.</t>
  </si>
  <si>
    <t>Les pedimos disculpas por las molestías causadas.</t>
  </si>
  <si>
    <t>Нарушение пассажиром правил поведения на борту ВС (СБ или PRAM) (дневной/ночной рейс)</t>
  </si>
  <si>
    <t>В случае курения</t>
  </si>
  <si>
    <t>Экипаж обнаружил табачный дым в туалетной комнате.</t>
  </si>
  <si>
    <t>The crew have found tobacco smoke in the lavatory.</t>
  </si>
  <si>
    <t>Die Besatzung hat Tabakrauch in der Bordtoilette entdeckt.</t>
  </si>
  <si>
    <t xml:space="preserve">La tripulación ha detectado humo en el aseo. </t>
  </si>
  <si>
    <t>В случае распития алкогольных напитков</t>
  </si>
  <si>
    <t>Напоминаем вам, что на борту самолета запрещено употребление алкогольных напитков, принесенных с собой.</t>
  </si>
  <si>
    <t xml:space="preserve">We remind you that consuming alcohol which you have brought on board is prohibited. </t>
  </si>
  <si>
    <t>Nous vous rappelons qu'il est interdit de consommer les boissons alcoolisées que vous avez amené a bord.</t>
  </si>
  <si>
    <t>Dürfen wir Sie daran erinnern, dass der Konsum alkoholischer Getränke, die Sie an Bord mitgebracht haben, verboten ist.</t>
  </si>
  <si>
    <t>Le recordamos que está prohibido el consumo del alcohol que no se le ofrece a bordo.</t>
  </si>
  <si>
    <t>Обращаем ваше внимание, что в соответствии со статьей 107 Воздушного кодекса Российской Федерации в случае нарушения пассажиром правил поведения на борту и невыполнения требований экипажа воздушного судна, авиакомпания вправе применить следующие санкции:</t>
  </si>
  <si>
    <t>Article 107 of the Russian Federation Air Code allows airlines to take the following sanctions against passengers that break the rules of conduct or refuse to carry out cabin crew instructions:</t>
  </si>
  <si>
    <t>Im Rahmen der russischen Luftfahrtbestimmungen, Artikel 107, können Fluggesellschaften folgende Maßnahmen gegen Passagiere ergreifen, die sich den Verhaltensregeln oder den Anweisungen der Besatzung widersetzen:</t>
  </si>
  <si>
    <t>El artículo 107 del Código de Aviación de la Federación de Rusia establece que las aerolíneas pueden imponer las siguientes sanciones sobre los pasajeros que infrinjan las normas de conducta o se nieguen a seguir las instrucciones de la tripulación:</t>
  </si>
  <si>
    <t>С «Правилами поведения пассажиров на борту» вы можете ознакомиться в журнале «Аэрофлот».</t>
  </si>
  <si>
    <t>Die Verhaltensregeln für Luftfahrtpassagiere entnehmen Sie bitte Ihrem „Aeroflot“-Magazin.</t>
  </si>
  <si>
    <t>Puede leer las “Normas de conducta del pasajero” a bordo en la revista “Aeroflot”.</t>
  </si>
  <si>
    <t>передать пассажира в правоохранительные органы в аэропорту прибытия;</t>
  </si>
  <si>
    <t>handing over to the law enforcement authorities at the arrival airport;</t>
  </si>
  <si>
    <t>le transfert du passager aux autorités policières à l'aéroport d'arrivée;</t>
  </si>
  <si>
    <t>Übergabe an die Strafverfolgungsbehörden am Ankunftsflughafen;</t>
  </si>
  <si>
    <t>entrega a las fuerzas del orden público a la llegada al aeropuerto;</t>
  </si>
  <si>
    <t>аннулировать договор о перевозке без компенсации его стоимости.</t>
  </si>
  <si>
    <t>cancellation of the current contract for air carriage without compensation.</t>
  </si>
  <si>
    <t>l'annulation du contrat de voyage sans rembourcement.</t>
  </si>
  <si>
    <t>Kündigung des Luftbeförderungsvertrags ohne Entschädigung.</t>
  </si>
  <si>
    <t>cancelación del contrato de vuelo sin compensación.</t>
  </si>
  <si>
    <t>Получение покупок Duty Free при вылете из городов США (СБ) (дневной/ночной рейс)</t>
  </si>
  <si>
    <t>Вы можете получить товары, приобретенные в магазине Duty Free, в переднем/среднем вестибюле.</t>
  </si>
  <si>
    <t>If you purchased goods in the Duty Free Shop today, please collect them from the front/mid compartment of the cabin.</t>
  </si>
  <si>
    <t>Si vous avez acheté des articles hors-taxe, veuillez les récupérer à l’avant/au milieu de l'appareil.</t>
  </si>
  <si>
    <t>Si han adquirido productos libres de impuestos, por favor recójanlos en la parte delantera/central de la cabina.</t>
  </si>
  <si>
    <t>Falls Sie Artikel im Duty Free Shop gekauft haben, holen Sie diese bitte im vorderen/mittleren Bereich der Kabine ab.</t>
  </si>
  <si>
    <t>Транспортные услуги (СБ) (дневной/ночной рейс)</t>
  </si>
  <si>
    <t>для рейсов короткой продолжительности</t>
  </si>
  <si>
    <t>для рейсов средней и длительной продолжительности</t>
  </si>
  <si>
    <t>Анкетирование пассажиров (СБ или PRAM) (дневной/ночной рейс)</t>
  </si>
  <si>
    <t>Благодарим вас за выбор авиакомпании «Аэрофлот – российские авиалинии».</t>
  </si>
  <si>
    <t>Wir bedanken uns, dass Sie heute mit „Aeroflot – Russian Airlines“ geflogen sind.</t>
  </si>
  <si>
    <t>Gracias por haber elegido companía aerea “Aeroflot – Russian Airlines”.</t>
  </si>
  <si>
    <t xml:space="preserve">Нам важно знать ваше мнение о качестве предоставляемых услуг – мы хотим сделать его лучше. </t>
  </si>
  <si>
    <t>We highly appreciate your feedback, as it helps us to provide you with the best services.</t>
  </si>
  <si>
    <t>Votre opinion concernant les services fournis est très important pour nous. Notre but est d’améliorer les services.</t>
  </si>
  <si>
    <t>Wir würden gerne Ihre Kommentare über unseren Service in Erfahrung bringen, damit wir unsere Dienstleistungen noch weiter verbessern können.</t>
  </si>
  <si>
    <t>Queremos conocer su opinión sobre la calidad de nuestros servicios, para poder mejorarlos.</t>
  </si>
  <si>
    <t xml:space="preserve">Будем благодарны, если вы заполните нашу анкету и передадите ее бортпроводникам. </t>
  </si>
  <si>
    <t>We would be grateful if you could complete our questionnaire and hand it to a cabin attendant.</t>
  </si>
  <si>
    <t>Nous vous serions reconnaissants de bien vouloir remplir un questionnaire et de le remettre au personnel de cabine.</t>
  </si>
  <si>
    <t>Wir wären Ihnen dankbar, wenn Sie unseren Fragebogen ausfüllen und einem Ihren Flugbegleiter geben könnten.</t>
  </si>
  <si>
    <t>Les agradeceremos que completen nuestro cuestionario y lo entreguen al personal de cabina.</t>
  </si>
  <si>
    <t>Отсутствие воды</t>
  </si>
  <si>
    <t>Отсутствие воды – напитки (СБ или PRAM) (дневной/ночной рейс)</t>
  </si>
  <si>
    <t xml:space="preserve">Мы предложим вам прохладительные напитки вместо горячих в связи с отсутствием воды в системе водоснабжения кухонь. </t>
  </si>
  <si>
    <t>Due to a shortage of water in the galley we can only offer cold drinks.</t>
  </si>
  <si>
    <t>Wegen Wasserknappheit in der Bordküche können wir Ihnen nur Erfrischungsgetränke anbieten.</t>
  </si>
  <si>
    <t>Debido a la escasez de agua en la cocina, solo podemos ofrecer bebidas frías.</t>
  </si>
  <si>
    <t>Отсутствие воды – туалеты (СБ) (дневной/ночной рейс)</t>
  </si>
  <si>
    <t>Meine Damen und Herren.</t>
  </si>
  <si>
    <t>туалет(ы) в передней/средней/хвостовой части самолета в течение/до окончания рейса работать не будет (не будут). Можете пользоваться туалетом (туалетами) в передней/средней/хвостовой части самолета;</t>
  </si>
  <si>
    <t>the lavatory (lavatories) in the front/mid/rear compartment of the aircraft is (are) not working/will not work for the remainder of the flight. You may use the lavatory (lavatories) in the front/mid/rear compartment of the aircraft;</t>
  </si>
  <si>
    <t>все туалеты на борту самолета работать не будут. Поэтому мы совершаем вынужденную посадку в аэропорту… [название аэропорта] города… [название города].</t>
  </si>
  <si>
    <t>the lavatories of the aircraft have stopped working and we will be making an early landing at… airport in… [название города].</t>
  </si>
  <si>
    <t>toutes les toilettes à bord de l’avion sont en panne. Nous allons faire escale à l'aéroport… [название аэропорта] de… [название города].</t>
  </si>
  <si>
    <t xml:space="preserve">in allen Bereichen des Flugzeugs außer Betrieb. Wir werden deshalb auf dem… [название аэропорта] Flughafen in… [название города] eine Frühlandung machen. </t>
  </si>
  <si>
    <t>todos los aseos del avión están fuera de servicio y tendremos que hacer un aterrizaje forzoso en el aeropuerto… [название аэропорта] en… [название города].</t>
  </si>
  <si>
    <t>Неисправность светового табло (СБ) (дневной/ночной рейс)</t>
  </si>
  <si>
    <t>В связи с неисправностью светового табло… [указать, например, «Застегните ремни», «Выключить мобильные телефоны»] просим вас внимательно следить за информационными сообщениями и следовать указаниям экипажа.</t>
  </si>
  <si>
    <t>Wegen des Ausfalls des Leuchtzeichens… [указать: „Sicherheitsgurte anschnallen“, „Mobilfunk nicht zulässig“, „Rauchen verboten“], bitten wir Sie den Informationsberichten und den Anweisungen der Flugzeugbesatzung unbedingt zu folgen.</t>
  </si>
  <si>
    <t>Невозможность предоставления питания и торгового обслуживания из-за недостатка времени (СБ) (дневной/ночной рейс)</t>
  </si>
  <si>
    <t>обслуживание питанием;</t>
  </si>
  <si>
    <t>to continue serving meals;</t>
  </si>
  <si>
    <t>de continuer le service du repas;</t>
  </si>
  <si>
    <t>weitere Mahlzeiten zu servieren;</t>
  </si>
  <si>
    <t>continuar con el servicio de comidas;</t>
  </si>
  <si>
    <t>продажу товаров «Sky Shop».</t>
  </si>
  <si>
    <t>to offer goods for purchase from the ‘Sky Shop’.</t>
  </si>
  <si>
    <t>Artikel aus dem „Sky Shop“ zu verkaufen.</t>
  </si>
  <si>
    <t>ofrecer artículos de compra de nuestra “Sky Shop”.</t>
  </si>
  <si>
    <t>Образование конденсата в пассажирском салоне в жаркое время года (СБ или PRAM) (дневной/ночной рейс)</t>
  </si>
  <si>
    <t>Конденсат, который вы наблюдаете в салоне, образовался в результате работы системы кондиционирования воздуха. Просим вас не беспокоиться.</t>
  </si>
  <si>
    <t xml:space="preserve">The condensation you can see in the cabin is due to the air conditioning system operation and is not a cause for any concern. </t>
  </si>
  <si>
    <t xml:space="preserve">La condensation que vous pouvez apercevoir dans la cabine est dû à l’utilisation du système de climatisation de l'air. Prière de rester calme. </t>
  </si>
  <si>
    <t xml:space="preserve">Die in der Kabine aufgetretene Kondensation ist von der Klimaanlage verursacht worden. Es besteht kein Grund zur Besorgnis. </t>
  </si>
  <si>
    <t xml:space="preserve">La condensación que puede ver en la cabina se debe al sistema de aire acondicionado y no hay ningún motivo de alarma. </t>
  </si>
  <si>
    <t>Необходимость медицинской помощи (СБ или PRAM) (дневной/ночной рейс)</t>
  </si>
  <si>
    <t>Одному из пассажиров (срочно) требуется медицинская помощь.</t>
  </si>
  <si>
    <t>One of the passengers (urgently) requires medical assistance.</t>
  </si>
  <si>
    <t xml:space="preserve">Un des passagers nécessite une assistance médicale (d'urgence). </t>
  </si>
  <si>
    <t>Ein Mitreisender/ eine Mitreisende benötigt (dringend) ärztliche Hilfe.</t>
  </si>
  <si>
    <t>Un pasajero necesita ayuda médica (urgentemente).</t>
  </si>
  <si>
    <t xml:space="preserve">Если среди вас есть медицинский работник, просим сообщить бортпроводникам. </t>
  </si>
  <si>
    <t>If there is a doctor or a medically trained person on board, please identify yourself to the cabin crew.</t>
  </si>
  <si>
    <t>Si un médecin se trouve à bord, veuillez-vous faire connaître auprès du personnel de cabine.</t>
  </si>
  <si>
    <t>Falls sich ein Arzt oder ein medizinisch ausgebildeter Passagier an Bord befindet, melden Sie sich bitte beim Kabinenpersonal.</t>
  </si>
  <si>
    <t>Si alguno de ustedes es médico, por favor comuníquelo a la tripulación.</t>
  </si>
  <si>
    <t>Нам (очень) необходима Ваша помощь.</t>
  </si>
  <si>
    <t>We (urgently) need your help.</t>
  </si>
  <si>
    <t>Nous avons besoin de votre aide (d'urgence).</t>
  </si>
  <si>
    <t xml:space="preserve">Wir benötigen (dringend) Ihre Hilfe. </t>
  </si>
  <si>
    <t>Necesitamos (mucho) su ayuda.</t>
  </si>
  <si>
    <t>Необходимость использования средств защиты при обнаружении больного на борту ВС (СБ) (дневной/ночной рейс)</t>
  </si>
  <si>
    <t>На борту находится пассажир с подозрением на инфекционное заболевание.</t>
  </si>
  <si>
    <t>There is a passenger with a suspected infectious disease on board our aircraft.</t>
  </si>
  <si>
    <t>Для обеспечения выполнения требований российских и международных организаций здравоохранения и защиты здоровья пассажиров бортпроводники раздадут вам индивидуальные маски.</t>
  </si>
  <si>
    <t>To ensure compliance of the Russian and international health organizations’ requirements and in order to protect your health, the flight attendants will distribute individual masks.</t>
  </si>
  <si>
    <t>Según las exigencias de las organizaciones de proteccion de la salud las azafatas les distribuirán las máscaras individuales.</t>
  </si>
  <si>
    <t>Просим вас занять свое кресло, надеть маску и оставаться в ней до окончания рейса.</t>
  </si>
  <si>
    <t>Please take your seat, put and keep the mask on until the end of the flight.</t>
  </si>
  <si>
    <t>Bitte, kehren Sie zu Ihrem Sitzplatz zurück und legen Sie, bitte, die Maske an. Wir bitten Sie mit der angelegten Maske bis zum Ende des Flugs zu bleiben.</t>
  </si>
  <si>
    <t>Les pedimos ocupen sus asientos, pongan las máscaras, quédense en las máscaras hasta aterrizaje.</t>
  </si>
  <si>
    <t>В соответствии с требованиями органов здравоохранения вам необходимо заполнить медицинские формуляры.</t>
  </si>
  <si>
    <t>In a few minutes we will distribute forms that you have to fill in as required by the health authorities.</t>
  </si>
  <si>
    <t xml:space="preserve">Dans quelques minutes le personnel de cabine va distribuer les formulaires qui doivent-être remplis selon les exigences des organes de la santé publique. </t>
  </si>
  <si>
    <t>Формуляры должны быть заполнены печатными заглавными буквами с обязательным указанием адреса места пребывания в течение 30 дней с даты въезда.</t>
  </si>
  <si>
    <t>You must fill in the card in block letters and specify your address of residence during 30 days after arrival.</t>
  </si>
  <si>
    <t>Просим вас передать заполненные формуляры бортпроводникам до выхода из самолета.</t>
  </si>
  <si>
    <t>Please, give back completed forms to the  cabin attendants before leaving the aircraft.</t>
  </si>
  <si>
    <t>Общая информация</t>
  </si>
  <si>
    <t>Если вам нужна помощь или вы почувствовали недомогание, обращайтесь к бортпроводникам.</t>
  </si>
  <si>
    <t>If you need any help or you feel unwell, please contact the flight attendants.</t>
  </si>
  <si>
    <t>Si vous avez besoin de l’aide ou vous vous sentez malade, adressez-vous au personnel de cabine.</t>
  </si>
  <si>
    <t>Розыск и нахождение потерянных вещей (СБ) (дневной/ночной рейс)</t>
  </si>
  <si>
    <t>Розыск потерянных вещей</t>
  </si>
  <si>
    <t>Мы разыскиваем… [указать что именно], потерянный (потерянную/-ое/-ые) одним из пассажиров. Если вы его (ее, их) найдете, просим передать бортпроводникам.</t>
  </si>
  <si>
    <t>Wir suchen nach einem/einer/ … [указать что именно], der/das/die von einem Mitreisenden verloren wurde. Falls Sie ihn/es/sie finden, übergeben Sie ihn/es/sie bitte dem Kabinenpersonal.</t>
  </si>
  <si>
    <t>Estamos buscando… [указать что именно] que ha (han) sido perdido (perdida, perdidos, perdidas) por uno de los pasajeros. Si los (las) encuentran por favor entréguelos (entréguelas) al personal de cabina.</t>
  </si>
  <si>
    <t>Нахождение потерянных вещей</t>
  </si>
  <si>
    <t>Ein/eine… [указать что именно] ist in der/dem… [указать где: Kabine, Toilette, др.] gefunden worden. Falls Sie ihn/es/ sie verloren haben könnten, melden Sie sich bitte beim Kabinenpersonal.</t>
  </si>
  <si>
    <t>Se ha (han) encontrado un (una) … [указать что именно] en… [указать где]. Si cree que es (son) suyo(s) contacte con personal de la cabina.</t>
  </si>
  <si>
    <t xml:space="preserve">Изменение маршрута полета (КВС или СБ по указанию КВС) (дневной/ночной рейс) </t>
  </si>
  <si>
    <t xml:space="preserve">Im Namen der Besatzung danken wir Ihnen, daß Sie mit „Aeroflot – Russian Airlines“, einem SkyTeam – Mitglied (und mit der Fluggesellschaft… [название авиакомпании по код-шер]) geflogen sind. </t>
  </si>
  <si>
    <t>Beachten Sie bitte, daß die Fluggäste der Business Klasse als erste zum Ausstieg gebeten werden.</t>
  </si>
  <si>
    <t xml:space="preserve">В связи с тем, что одному из пассажиров на борту требуется медицинская помощь, </t>
  </si>
  <si>
    <t>One of the passengers requires medical assistance and,</t>
  </si>
  <si>
    <t>À cause d’un des passagers qui nécessite une assistance médicale;</t>
  </si>
  <si>
    <t>Um einen Mitreisenden mit ärztlicher Hilfe zu versorgen</t>
  </si>
  <si>
    <t>Uno de los pasajeros requiere asistencia médica, por lo que,</t>
  </si>
  <si>
    <t>мы совершим посадку в ближайшем аэропорту города… [название города].</t>
  </si>
  <si>
    <t xml:space="preserve">we will be landing at the nearest available airport in… [название города]. </t>
  </si>
  <si>
    <t>nous allons atterrir à l'aéroport le plus proche à… [название города].</t>
  </si>
  <si>
    <t>aterrizaremos en el aeropuerto disponible más próximo en… [название города].</t>
  </si>
  <si>
    <t>Наземные службы аэропорта… [название аэропорта] в… [название города] окажут вам необходимую помощь и содействие.</t>
  </si>
  <si>
    <t>Les services au sol de l'aéroport… [название аэропорта] à… [название города] seront à votre diposition.</t>
  </si>
  <si>
    <t xml:space="preserve">Bodenpersonal am Flughafen… [название аэропорта] in… [название города] werden Ihnen bei allen Fragen helfen. </t>
  </si>
  <si>
    <t>Переруливание в другой терминал аэропорта Шереметьево (СБ) (дневной/ночной рейс)</t>
  </si>
  <si>
    <t>Наш самолет совершит посадку в аэропорту Шереметьево, Терминал B/C/D/E/F, из-за загруженности Терминала D/E/F.</t>
  </si>
  <si>
    <t>The aircraft will be landing at Sheremetyevo Terminal B/C/D/E/F due to heavy traffic at Terminal D/E/F.</t>
  </si>
  <si>
    <t>Notre avion atterira à l’aérogare B/C/D/E/F de l’aéroport Shéremetievo pour des raisons de surcharge de l’aérogare D/E/F.</t>
  </si>
  <si>
    <t>Wegen des hohen Flugaufkommens auf Terminal B/C/D/E/F wird die Maschine auf Scheremetjewo Terminal D/E/F landen.</t>
  </si>
  <si>
    <t>El avión aterrizará en la Terminal B/C/D/E/F de aeropuerto Sheremetyevo debido a exceso de tráfico en la Terminal D/E/F.</t>
  </si>
  <si>
    <t>В зале прилета будет сделано объявление для встречающих.</t>
  </si>
  <si>
    <t>An announcement will be made in the arrival hall.</t>
  </si>
  <si>
    <t>On va faire l’annonce dans la salle d'arrivée.</t>
  </si>
  <si>
    <t>Die Ankunftshalle ist informiert.</t>
  </si>
  <si>
    <t>La terminal de llegadas ya ha sido informada.</t>
  </si>
  <si>
    <t>Обработка салона самолета инсектицидами (СБ или PRAM) (дневной/ночной рейс)</t>
  </si>
  <si>
    <t>В соответствии с медицинскими требованиями страны прибытия салон будет обработан инсектицидами. Эти препараты соответствуют международным стандартам и не опасны для вашего здоровья.</t>
  </si>
  <si>
    <t>The local medical regulations require that the cabin be treated with insecticides. These substances comply with the international standards and are not harmful.</t>
  </si>
  <si>
    <t>Im Rahmen der internationalen Gesundheitsvorschriften muss die Kabine mit einem Insektizid ausgesprüht werden. Diese Substanzen entsprechen den internationalen Richtlinien und sind völlig ungefährlich.</t>
  </si>
  <si>
    <t>Según el reglamento médico internacional es necesario tratar la cabina con insecticidas. Estas sustancias cumplen con los estándares internacionales y no son en absoluto nocivas.</t>
  </si>
  <si>
    <t xml:space="preserve">Просим вас не покидать своих мест до окончания обработки. </t>
  </si>
  <si>
    <t>Please remain in your seat until the process is completed.</t>
  </si>
  <si>
    <t>Veuillez rester assis pendant cette opération.</t>
  </si>
  <si>
    <t>Bitte bleiben Sie sitzen, bis der Sprühvorgang beendet ist.</t>
  </si>
  <si>
    <t>Por favor permanezca en su asiento hasta que acabe el tratamiento.</t>
  </si>
  <si>
    <t>Проверка посадочных талонов и паспортов на борту после посадки в аэропорту Шереметьево в случае превышения фактического количества пассажиров (СБ) (дневной/ночной рейс)</t>
  </si>
  <si>
    <t>По требованию служб аэропорта Шереметьево вам необходимо пройти дополнительный контроль при выходе из самолета.</t>
  </si>
  <si>
    <t xml:space="preserve">The airport staff of Sheremetyevo airport will carry out an additional check when you leave the aircraft. </t>
  </si>
  <si>
    <t xml:space="preserve">Das Bodenpersonal des Flughafens Scheremetjewo führt eine zusätzliche Kontrolle durch. </t>
  </si>
  <si>
    <t>Segun las exigencias de los servicios terrestres del aeropuerto Sheremetyvo Ustedes tienen que pasar el control complimentario a la salida del avión.</t>
  </si>
  <si>
    <t xml:space="preserve">Просим вас приготовить посадочные талоны и паспорта. </t>
  </si>
  <si>
    <t>Please prepare your boarding pass and passport.</t>
  </si>
  <si>
    <t>Halten Sie bitte beim Verlassen des Flugzeugs Ihren Pass und Ihre Bordkarte bereit.</t>
  </si>
  <si>
    <t>Por favor tengan listos sus pasaporte y talones de embarque.</t>
  </si>
  <si>
    <t xml:space="preserve">Информация КВС/СБ об аварийной посадке (КВС или СБ по команде КВС) </t>
  </si>
  <si>
    <t>Sehr geehrte Damen und Herren!</t>
  </si>
  <si>
    <t>(Говорит командир корабля.)</t>
  </si>
  <si>
    <t>(This is your Captain speaking.)</t>
  </si>
  <si>
    <t>(C’est votre commandant de bord qui vous parle.)</t>
  </si>
  <si>
    <t>(Hier spricht der Kapitän.)</t>
  </si>
  <si>
    <t>(Les habla el comandante)</t>
  </si>
  <si>
    <t>Прошу внимания, с вами говорит старший бортпроводник.</t>
  </si>
  <si>
    <t>We need your attention. This is your Purser speaking.</t>
  </si>
  <si>
    <t>Attention, c’est le chef de cabine qui vous parle.</t>
  </si>
  <si>
    <t>Hier spricht der (die) Chefflugbefleiter(in). Ich bitte um Ihre Aufmerksamkeit.</t>
  </si>
  <si>
    <t xml:space="preserve">Pido su atención, les habla el mayor auxiliar de la tripulacion. </t>
  </si>
  <si>
    <t>Посадка произойдет через …минут.</t>
  </si>
  <si>
    <t>We will be landing in …minutes.</t>
  </si>
  <si>
    <t>L’atterrissage aura lieu dans …minutes.</t>
  </si>
  <si>
    <t>На борту нашего самолета имеется необходимое аварийно-спасательное оборудование.</t>
  </si>
  <si>
    <t>Our aircraft is equipped with all necessary survival equipment.</t>
  </si>
  <si>
    <t>L’équipement de sauvetage nécessaire se trouve à bord de notre avion.</t>
  </si>
  <si>
    <t>Am Bord unseres Flugzeiges ist die notwendige Notfall- und Rettungsausrüstung vorhanden.</t>
  </si>
  <si>
    <t>Мы приняли все необходимые меры предосторожности.</t>
  </si>
  <si>
    <t>We have initiated all necessary safety procedures.</t>
  </si>
  <si>
    <t>Nous avons pris toutes les mesures nécessaires de précaution.</t>
  </si>
  <si>
    <t>Wir haben die erforderlichen Sicherheitsmaßnahmen getroffen.</t>
  </si>
  <si>
    <t>Hemos tomado todas las medidas de precausión.</t>
  </si>
  <si>
    <t>Экипаж и бортпроводники подготовлены к действиям в аварийных ситуациях.</t>
  </si>
  <si>
    <t>You can rely on the members of our crew, who have been specially trained for emergencies of this sort.</t>
  </si>
  <si>
    <t>Сохраняйте спокойствие.</t>
  </si>
  <si>
    <t>Remain calm.</t>
  </si>
  <si>
    <t>Mantengan calma.</t>
  </si>
  <si>
    <t>Les services de sauvetage de l’aéroport de destination sont informés.</t>
  </si>
  <si>
    <t>Поисково-спасательные службы проинформированы.</t>
  </si>
  <si>
    <t>We have informed the Rescue Services.</t>
  </si>
  <si>
    <t>Die Such- und Rettungsdienste sind informiert.</t>
  </si>
  <si>
    <t xml:space="preserve">Аварийные информации по типам ВС (СБ) </t>
  </si>
  <si>
    <t>Знать всем бортпроводникам наизусть</t>
  </si>
  <si>
    <t>Работников Аэрофлота или других авиакомпаний, пожарных, спасателей просим обратиться к бортпроводникам.</t>
  </si>
  <si>
    <t>Employees of Aeroflot or other airlines as well as fire fighters and members of Rescue Services are asked to identify themselves to the cabin attendants.</t>
  </si>
  <si>
    <t>Personal von Aeroflot und anderen Fluggesellschaften, Angehörige von Feuerwehren oder technischen Hilfswerken bitten wir sich beim Kabinenpersonal zu melden.</t>
  </si>
  <si>
    <t>A los empleados de Aeroflot u otras aerolíneas, a los bomberos, guardavidas les pedimos que se dirijan a la tripulación.</t>
  </si>
  <si>
    <t>Бортпроводникам выбрать и пересадить пассажиров-помощников</t>
  </si>
  <si>
    <t>Сохраняйте спокойствие. Выполняйте наши указания.</t>
  </si>
  <si>
    <t>Remain calm. Follow our instructions.</t>
  </si>
  <si>
    <t>Mantengan calma. Sigan nuestras indicaciones.</t>
  </si>
  <si>
    <t>Приведите спинку кресла в вертикальное положение, уберите столик.</t>
  </si>
  <si>
    <t>Return the backrest of your seat to its upright position and fold up all tables.</t>
  </si>
  <si>
    <t xml:space="preserve"> Stellen Sie Ihre Rückenlehne senkrecht, klappen Sie das Tischchen vor Ihnen zurück.</t>
  </si>
  <si>
    <t>Pongan el respaldo en la posición vertical, guarde la mesa.</t>
  </si>
  <si>
    <t>Снимите галстуки и расстегните воротники.</t>
  </si>
  <si>
    <t>Remove neckties and loosen shirt collars.</t>
  </si>
  <si>
    <t>Desaten las corbatas, Desabrochen los cuellos.</t>
  </si>
  <si>
    <t>Снимите все предметы, которые могут нанести повреждения: очки, контактные линзы, зубные протезы. Уберите их в свою ручную кладь (между сиденьями кресел).</t>
  </si>
  <si>
    <t>Remove all objects which may cause injury, such as eye glasses, contact lenses, dentures. Put them in your hand luggage (between seat cushions).</t>
  </si>
  <si>
    <t>Quítense todos los objetos que pueden causar daño: anteojos, lentes de contacto, prótesis dentales. Guárdenlos en los equipajes de mano (entre los asientos).</t>
  </si>
  <si>
    <t>Уберите ручную кладь под кресло перед вами или на верхнюю полку.</t>
  </si>
  <si>
    <t>Place your hand luggage under the seat in front of you or in the overhead bin.</t>
  </si>
  <si>
    <t>Guarden el equipaje de mano debajo del asiento delantero o en la cabina superior.</t>
  </si>
  <si>
    <t>После посадки оставьте вещи на борту.</t>
  </si>
  <si>
    <t>For your own safety leave your hand luggage on board.</t>
  </si>
  <si>
    <t>Después del aterrizaje dejen las cosas a bordo.</t>
  </si>
  <si>
    <t>Снимите обувь. Уберите ее под кресло перед вами.</t>
  </si>
  <si>
    <t>Remove your shoes. Stow them under the front seat.</t>
  </si>
  <si>
    <t>Ziehen Sie Ihre Schuhe aus. Verstauen Sie diese unter dem Vordersitz.</t>
  </si>
  <si>
    <t>Quítense el calzado. Guárdenlo debajo del asiento delantero.</t>
  </si>
  <si>
    <t>Сейчас мы покажем аварийные выходы.</t>
  </si>
  <si>
    <t>Now we will point out the emergency exits.</t>
  </si>
  <si>
    <t>Nous vous montrons maintenant les sorties d’urgence.</t>
  </si>
  <si>
    <t>Jetzt zeigen wir Ihnen die Notausgänge.</t>
  </si>
  <si>
    <t>Ahora mostraremos las salidas de emergencia.</t>
  </si>
  <si>
    <t>Аварийные выходы расположены слева и справа по борту:</t>
  </si>
  <si>
    <t>The emergency exits are located on the left and the right of the cabin:</t>
  </si>
  <si>
    <t>Les sorties de secours sont situées à gauche et à droite de la cabine:</t>
  </si>
  <si>
    <t>Die Notausgänge befinden sich links und rechts an Bord:</t>
  </si>
  <si>
    <t>Las salidas de emergencia están situadas a la izquierda y derecha del bordo:</t>
  </si>
  <si>
    <t xml:space="preserve">two – in the front and </t>
  </si>
  <si>
    <t>zwei – im vorderen Bereich,</t>
  </si>
  <si>
    <t xml:space="preserve">dos en la parte delantera, </t>
  </si>
  <si>
    <t>deux – dans la partie arrière de l’appareil.</t>
  </si>
  <si>
    <t>zwei – im hinteren Bereich des Flugzeuges.</t>
  </si>
  <si>
    <t>Каждый выход обозначен световым табло «ВЫХОД».</t>
  </si>
  <si>
    <t>Cada salida está indicada con la señal luminosa “EXIT”.</t>
  </si>
  <si>
    <t xml:space="preserve">Светящаяся дорожка вдоль прохода указывает направление к выходам. </t>
  </si>
  <si>
    <t>The escape path lighting along the aisle will guide you to the exits.</t>
  </si>
  <si>
    <t>La ligne lumineuse le long du couloir vous guidera vers les sorties de secours. Prêtez attention à sortie la plus proche de vous.</t>
  </si>
  <si>
    <t>Die Fluchtwegbeleuchtung am Boden zeigt Ihnen den Weg zu den Notausgängen. Bitte orientieren Sie sich jetzt, wo Ihr nächster Notausgang liegt.</t>
  </si>
  <si>
    <t>Las señales luminosas del pasillo le conducirán hasta las salidas de emergencia.</t>
  </si>
  <si>
    <t>при аварийной посадке на сушу</t>
  </si>
  <si>
    <t>Все выходы снабжены надувными трапами.</t>
  </si>
  <si>
    <t>All exits are equipped with inflatable evacuation slides.</t>
  </si>
  <si>
    <t>Alle Notausgänge sind mit automatisch aufblasbaren Notrutschen ausgerüstet.</t>
  </si>
  <si>
    <t>Todas las salidas están equipadas con escaleras inflables.</t>
  </si>
  <si>
    <t>Покидая самолет по трапу, прыгайте в положении сидя, руки вперед. Бегите от самолета.</t>
  </si>
  <si>
    <t>When leaving the plane by the slide, jump in sitting position hands in front. Run away from the aircraft.</t>
  </si>
  <si>
    <t>Si abandonan el avión por la escalera, salten en la posición sentada, los brazos para adelante. Corran del avión.</t>
  </si>
  <si>
    <t>при аварийной посадке на воду</t>
  </si>
  <si>
    <t>Эвакуируйтесь через ближайший аварийный выход. Прыгайте в воду, держитесь за трап.</t>
  </si>
  <si>
    <t>Leave the aircraft through nearest emergency exit. Jump into the water. Hold on to the slide.</t>
  </si>
  <si>
    <t>Evacúense por la salida de emergencia más cercana. Salte al agua, agarre la escalera.</t>
  </si>
  <si>
    <t>А319, A320, В737</t>
  </si>
  <si>
    <t>Nous vous montrons maintenant les sorties de secours.</t>
  </si>
  <si>
    <t>Ahora les mostraremos las salidas de emergencia.</t>
  </si>
  <si>
    <t xml:space="preserve">Аварийные выходы расположены слева и справа по борту: </t>
  </si>
  <si>
    <t>Les sorties de secours sont situées à gauche et à droite de l’appareil:</t>
  </si>
  <si>
    <t>Las salidas de emergencia están ubicadas a la derecha y a la izquierda del salón:</t>
  </si>
  <si>
    <t xml:space="preserve">deux – dans la partie avant de l’avion, </t>
  </si>
  <si>
    <t>zwei – im vorderen Bereich des Flugzeuges,</t>
  </si>
  <si>
    <t>dos en la parte delantera del avión,</t>
  </si>
  <si>
    <t xml:space="preserve">два/четыре аварийных люка на плоскости крыла и </t>
  </si>
  <si>
    <t xml:space="preserve">two/four window exits over the wings, and </t>
  </si>
  <si>
    <t>deux (quatre) trappes de secours sur les ailes et</t>
  </si>
  <si>
    <t>zwei (vier) Notfenster über den Tragflächen und</t>
  </si>
  <si>
    <t xml:space="preserve">dos (cuatro) puertas de emergencia sobre las alas y </t>
  </si>
  <si>
    <t>deux – dans la partie arrière de l’avion.</t>
  </si>
  <si>
    <t>Светящиеся дорожки вдоль прохода указывают направление к выходам.</t>
  </si>
  <si>
    <t>Die Fluchtwegbeleuchtung am Boden zeigt Ihnen den Weg zu den Notausgängen.</t>
  </si>
  <si>
    <t xml:space="preserve"> Las señales luminosas del pasillo le conducirán hasta las salidas de emergencia.</t>
  </si>
  <si>
    <t>при аварийной посадке на сушу А319, A320</t>
  </si>
  <si>
    <t>When leaving the plane by the slide, jump feet first with upper body and arms extended forward. Get away from the plane.</t>
  </si>
  <si>
    <t>Покидая самолет через выход на крыло, следуйте правилу: «НОГА-ГОЛОВА-НОГА», следуйте по стрелкам. Прыгайте на трап в положении сидя, руки вперед. Бегите от самолета.</t>
  </si>
  <si>
    <t>Beim Verlassen des Flugzeugs durch die Notausgänge über den Tragflächen, folgen Sie der Regel „BEIN-KOPF-BEIN“.Laufen Sie in Pfeilrichtung. Springen Sie auf die Notrutsche in der sitzenden Position mit den Füssen hinein; Oberkörper und Armen nach vorne. Laufen Sie dann weg vom Flugzeug.</t>
  </si>
  <si>
    <t>Si abandonan el avión por la salida sobre el ala sigan la regla “PIERNA-CABEZA-PIERNA”, sigan las flechas. Salten en la posición sentada, los brazos para adelante. Corran del avión.</t>
  </si>
  <si>
    <t>при аварийной посадке на сушу В737</t>
  </si>
  <si>
    <t>Выходы в передней и хвостовой частях самолета снабжены надувными трапами.</t>
  </si>
  <si>
    <t>The exits in the front and in the rear compartments are equipped with inflatable evacuation slides.</t>
  </si>
  <si>
    <t>Die Notausgänge im vorderen und hinteren Bereich des Flugzeugs sind mit aufblasbaren Notrutschen ausgerüstet.</t>
  </si>
  <si>
    <t>Las salidas de emergencia en las partes delantera y trasera del avión están equipadas con toboganes hinchables de evacuación.</t>
  </si>
  <si>
    <t>Покидая самолет через выход на крыло, следуйте правилу: «НОГА-ГОЛОВА-НОГА, бегите по стрелкам, садитесь, съезжайте по закрылкам. Бегите от самолета.</t>
  </si>
  <si>
    <t>Beim Verlassen des Flugzeugs durch die Notausgänge über den Tragflächen, folgen Sie der Regel „BEIN-KOPF BEIN“, laufen Sie in Pfeilrichtung, setzen Sie sich und rutschen. Laufen Sie dann weg vom Flugzeug.</t>
  </si>
  <si>
    <t>Si abandonan el avión por la salida sobre el ala sigan la regla “PIERNA-CABEZA-PIERNA”, sigan las flechas, sientense y bajense. Corran del avión.</t>
  </si>
  <si>
    <t>при аварийной посадке на воду А319, A320, В737</t>
  </si>
  <si>
    <t>Verlassen Sie das Flugzeug durch den nächstliegenden Notausgang. Springen Sie ins Wasser und halten Sie sich an die Rutsche fest.</t>
  </si>
  <si>
    <t>Покидая самолет через выход на крыло, следуйте правилу: «НОГА-ГОЛОВА-НОГА». Оставайтесь на крыле, действуйте по указанию экипажа.</t>
  </si>
  <si>
    <t>Beim Verlassen des Flugzeugs durch die Notausgänge über den Tragflächen, folgen Sie der Regel „BEIN-KOPF-BEIN“. Bleiben Sie auf der Tragfläche und folgen Sie den Anweisungen der Besatzung.</t>
  </si>
  <si>
    <t>Si abandonan el avión por la salida sobre el ala sigan la regla “PIERNA-CABEZA-PIERNA”. Permanezcan en el ala, sigan las instrucciones de la tripulación.</t>
  </si>
  <si>
    <t>А321, А330-200/300</t>
  </si>
  <si>
    <t>Diese Notausgänge befinden sich links und rechts am Bord:</t>
  </si>
  <si>
    <t xml:space="preserve">dos en la parte delantera del avión, </t>
  </si>
  <si>
    <t xml:space="preserve">deux – au centre, </t>
  </si>
  <si>
    <t>zwei – im mittleren Bereich,</t>
  </si>
  <si>
    <t xml:space="preserve">dos en la central, </t>
  </si>
  <si>
    <t xml:space="preserve">deux – après des ailes et </t>
  </si>
  <si>
    <t>zwei – hinter den Tragflächen und</t>
  </si>
  <si>
    <t xml:space="preserve">dos salidas están detrás de las alas y </t>
  </si>
  <si>
    <t xml:space="preserve"> Cada salida está indicada con la señal luminosa “EXIT”.</t>
  </si>
  <si>
    <t>при аварийной посадке на сушу А321, А330-200/300</t>
  </si>
  <si>
    <t>When leaving the plane by the slide jump feet first with upper body and arms extended forward. Get away from the plane.</t>
  </si>
  <si>
    <t>при аварийной посадке на воду А321</t>
  </si>
  <si>
    <t>Эвакуируйтесь через ближайший аварийный выход. Прыгайте в воду. Держитесь за трап.</t>
  </si>
  <si>
    <t>Verlassen Sie das Flugzeug durch den nächstliegenden Notausgang. Springen Sie ins Wasser. Halten Sie sich an die Rutsche fest.</t>
  </si>
  <si>
    <t>при аварийной посадке на воду А330-200</t>
  </si>
  <si>
    <t>Эвакуируйтесь через передние, средние и хвостовые выходы. Они снабжены плотами. Проходите в дальний конец плота и садитесь.</t>
  </si>
  <si>
    <t>Leave the aircraft through the front, mid and rear exits. They are equipped with rafts. Move to the far end of the raft and sit down.</t>
  </si>
  <si>
    <t>Verlassen Sie das Flugzeug durch die vorderen, mittleren und hinteren Notausgänge. Diese sind mit den Rettungsflössen ausgerüstet. Gehen Sie an das Ende des Flosses und setzen Sie sich hin.</t>
  </si>
  <si>
    <t>Evacúense por las salidas delanteras, centrales y posteriores. Están equipadas con balsas. Pasen al fondo de la balsa y siéntense.</t>
  </si>
  <si>
    <t>при аварийной посадке на воду А330-300</t>
  </si>
  <si>
    <t>Эвакуируйтесь через ближайший аварийный выход. Все выходы снабжены плотами. Проходите в дальний конец плота и садитесь.</t>
  </si>
  <si>
    <t>Leave the aircraft through the nearest emergency exit. All exits are equipped with rafts. Move to the far end of the raft and sit down.</t>
  </si>
  <si>
    <t>Evacúense por la salida de emergencia más cercana. Todas las salidas están equipadas con balsas. Pasen al fondo de la balsa y siéntense.</t>
  </si>
  <si>
    <t>Les sorties sont situées à gauche et à droite de la cabine:</t>
  </si>
  <si>
    <t>Die Notausgänge befinden sich links und rechts am Bord:</t>
  </si>
  <si>
    <t>четыре – в передней части самолета,</t>
  </si>
  <si>
    <t xml:space="preserve">quatre – à l’avant, </t>
  </si>
  <si>
    <t>vier – im vorderen Bereich des Flugzeugs,</t>
  </si>
  <si>
    <t xml:space="preserve">cuatro en la parte delantera, </t>
  </si>
  <si>
    <t>two over the wings and</t>
  </si>
  <si>
    <t xml:space="preserve">deux – sur les ailes, </t>
  </si>
  <si>
    <t>zwei – über den Tragflächen,</t>
  </si>
  <si>
    <t xml:space="preserve">dos al ala, </t>
  </si>
  <si>
    <t>четыре – в хвостовой части самолета.</t>
  </si>
  <si>
    <t>vier – im hinteren Bereich des Flugzeuges.</t>
  </si>
  <si>
    <t>Jeder Notausgang ist mit einem beleuchteten Exit- Schild gekennzeichnet.</t>
  </si>
  <si>
    <t>Светящиеся дорожки вдоль проходов указывают направление к выходам.</t>
  </si>
  <si>
    <t>Les lignes lumineuses le long du couloir vous guideront vers les sorties de secours.</t>
  </si>
  <si>
    <t>Bei Benutzunf der Notrutschen springen Sie zuerst in der sitzenden Position mit den Füssen hinein, Oberkörper und Armen nach vorne. Laufen Sie weg vom Flugzeug.</t>
  </si>
  <si>
    <t>Эвакуируйтесь через передние и хвостовые выходы. Они снабжены плотами. Проходите в дальний конец плота и садитесь.</t>
  </si>
  <si>
    <t>Leave the aircraft through the front and rear exits. They are equipped with rafts. Move to the far end of the raft and sit down.</t>
  </si>
  <si>
    <t>Verlassen Sie das Flugzeug durch die vorderen und hinteren Notausgänge. Sie sind mit den Rettungsflössen ausgerüstet. Gehen Sie an das Ende des Flosses und setzen Sie sich hin.</t>
  </si>
  <si>
    <t>Evacúense por las salidas delanteras y posteriores. Están equipadas con balsas. Pasen al fondo de la balsa y siéntense.</t>
  </si>
  <si>
    <t xml:space="preserve">О спасательном жилете (СБ) </t>
  </si>
  <si>
    <t>For the event of ditching, the aircraft is equipped with life vests.</t>
  </si>
  <si>
    <t>Für die Notwasserung sind an Bord unseres Flugzeugs die Schwimmwesten vorhanden.</t>
  </si>
  <si>
    <t>Para el caso de amaraje forzoso abordo hay chaleco salvavidas.</t>
  </si>
  <si>
    <t>Возьмите спасательный жилет под вашим креслом, вытащите из упаковки и наденьте через голову.</t>
  </si>
  <si>
    <t>Take your life vest from under your seat, remove it from the package and pull the vest over your head.</t>
  </si>
  <si>
    <t>Nehmen Sie jetzt die Schwimmweste unter Ihrem Sitz, entfernen Sie die se aus der Verpackung und ziehen Sie die Schwimmweste über den Kopf.</t>
  </si>
  <si>
    <t>Tomen el chaleco salvavidas debajo de sus asientos, sáquenlo del envase e introduzcan la cabeza por la abertura.</t>
  </si>
  <si>
    <t>Оберните тесьму вокруг талии, застегните впереди под жилетом и туго затяните.</t>
  </si>
  <si>
    <t>Adjust the strap around your waist, fasten the buckle in front and tighten the strap.</t>
  </si>
  <si>
    <t>Führen Sie das Band um Ihre Taille und befestigen Sie es vorne unter der Weste. Dann ziehen Sie das Band straff.</t>
  </si>
  <si>
    <t>Pasen la cinta alrededor de la cintura, abróchenla adelante debajo del chaleco y ajusten fuertemente.</t>
  </si>
  <si>
    <t>Надуйте жилет у выхода при покидании самолета, дернув за красные колпачки.</t>
  </si>
  <si>
    <t>Just before leaving the aircraft pull down the red tags to inflate the vest.</t>
  </si>
  <si>
    <t>Inflen el chaleco a la salida del avión, durante la evacuación tirando la palanca roja.</t>
  </si>
  <si>
    <t>Использование средств спасения на воде для детей мы объясним индивидуально.</t>
  </si>
  <si>
    <t>We will explain children’s life vest use personally.</t>
  </si>
  <si>
    <t>Nous expliquerons individuellement l’utilisation des moyens de sauvetage dans l’eau pour les enfants.</t>
  </si>
  <si>
    <t>Die Verwendung der Rettungsausrüstung für Kleinkinder erklären wir Ihnen persönlich.</t>
  </si>
  <si>
    <t>El uso de equipamento salvavidas en el agua para niños se explicará individualmente.</t>
  </si>
  <si>
    <t>Если времени недостаточно</t>
  </si>
  <si>
    <t>Ваш спасательный жилет находится под вашим креслом, достаньте и наденьте жилет только после посадки самолета.</t>
  </si>
  <si>
    <t>Your life vest is under your seat. Take the vest and pull it over your head only after ditching.</t>
  </si>
  <si>
    <t>Ihre Schwimmweste befindet sich unter Ihrem Sitz. Erst nach der Landung des Flugzeugs entfernen Sie die Weste und ziehen Sie diese an.</t>
  </si>
  <si>
    <t>Su chaleco salvavidas se encuentra debajo de sus asientos, extráiganlo y pónganselo solamente después del aterrizaje del avión.</t>
  </si>
  <si>
    <t xml:space="preserve">О принятии безопасной позы (СБ) </t>
  </si>
  <si>
    <t xml:space="preserve">В момент аварийной посадки вы должны принять безопасную позу. Сейчас мы ее продемонстрируем. </t>
  </si>
  <si>
    <t>For the emergency landing/ditching you must take a safety position. Now we are demonstrating it to you.</t>
  </si>
  <si>
    <t xml:space="preserve">Für die Notlandung müssen Sie eine Schutzhaltung einnehmen, die wir Ihnen jetzt zeigen. </t>
  </si>
  <si>
    <t>Durante el aterrizaje de emergencia, tienen que tomar la posición de seguridad. Ahora la demostraremos.</t>
  </si>
  <si>
    <t>По команде «Safety position», я повторяю, «Safety position», толкните спинку кресла перед вами.</t>
  </si>
  <si>
    <t>Auf das Kommando „Safety position“, ich wiederhole „Safety position“, drücken Sie die Rückenlehne des Vordersitzes nach vorne.</t>
  </si>
  <si>
    <t>Cuando suene el orden «Safety position», repito, «Safety position», empujen el respaldo del asiento delantero.</t>
  </si>
  <si>
    <t>Положите голову на колени.</t>
  </si>
  <si>
    <t>Place your head on your knees.</t>
  </si>
  <si>
    <t>Mettez votre tête sur les genoux.</t>
  </si>
  <si>
    <t>Legen Sie den Kopf auf die Knie.</t>
  </si>
  <si>
    <t>Pongan la cabeza sobre las rodillas.</t>
  </si>
  <si>
    <t xml:space="preserve">Обхватите ноги под коленями и крепко держите. </t>
  </si>
  <si>
    <t>Cross your arms under your thighs and hold tightly.</t>
  </si>
  <si>
    <t>Abracen las piernas por debajo de las rodillas y agárrenlas fuertemente.</t>
  </si>
  <si>
    <t>Колени вместе, ступни врозь.</t>
  </si>
  <si>
    <t>Hold your knees together but keep your feet apart.</t>
  </si>
  <si>
    <t xml:space="preserve"> Knie zusammen, Füße auseinander.</t>
  </si>
  <si>
    <t>Ponga las rodillas juntas, los pies separados.</t>
  </si>
  <si>
    <t>Если для этой позы мало места, толкните спинку кресла перед вами.</t>
  </si>
  <si>
    <t>If there is not enough room to take this position, push the backrest of the seat in front of you forward.</t>
  </si>
  <si>
    <t>Reicht der Sitzabstand für diese Schutzhaltung nicht aus, drücken Sie die Rückenlehne des Vordersitzes nach vorne.</t>
  </si>
  <si>
    <t>Si tienen poco espacio para tomar esta posición, empujen el respaldo del asiento delantero.</t>
  </si>
  <si>
    <t>Положите на нее скрещенные руки, плотно прижмитесь лбом к рукам, ступни врозь.</t>
  </si>
  <si>
    <t>Fold your arms, place them on the backrest in front of you and press your forehead firmly against your arms. Keep feet apart.</t>
  </si>
  <si>
    <t>Pongan sobre él respaldo los brazos cruzados, apriétenlos fuertemente con la frente, los pies separados.</t>
  </si>
  <si>
    <t>Попробуйте сейчас принять позу безопасности, затем примите нормальное положение.</t>
  </si>
  <si>
    <t>At this moment you should exercise the safety position once.</t>
  </si>
  <si>
    <t>Versuchen Sie jetzt Ihre Schutzhaltung einzunehmen, danach nehmen Sie wieder Ihre normale Position ein.</t>
  </si>
  <si>
    <t>Intenten ahora tomar la posición de seguridad y luego vuelvan a la posición normal.</t>
  </si>
  <si>
    <t>Безопасную позу для пассажиров с детьми мы объясним индивидуально.</t>
  </si>
  <si>
    <t>We will explain the safety position for children personally.</t>
  </si>
  <si>
    <t>La posición de seguridad para pasajeros con niños será explicada individualmente.</t>
  </si>
  <si>
    <t>При посадке может быть несколько ударов. Оставайтесь в безопасной позе до новых команд.</t>
  </si>
  <si>
    <t>We will probably experience several impacts upon landing. Remain in the safety position until we give you further instructions.</t>
  </si>
  <si>
    <t>Bei der Notlandung sind mehrere Stöße möglich. Bleiben Sie bitte in der Schutzhaltung, bis die neue Anweisungen gegeben werden.</t>
  </si>
  <si>
    <t>Durante el aterrizaje puede haber varios choques. Permanezca en la posición de seguridad hasta nuevos órdenes.</t>
  </si>
  <si>
    <t xml:space="preserve">Дополнительно о поведении при аварийной посадке (СБ) </t>
  </si>
  <si>
    <t>При аварийной посадке на сушу</t>
  </si>
  <si>
    <t>все типы ВС</t>
  </si>
  <si>
    <t>Только по команде экипажа «покинуть самолет» отстегните ремни и бегите быстрее к ближайшему выходу.</t>
  </si>
  <si>
    <t>Only after receiving instruction from the crew to leave the plane, open your seat belt and move quickly to the nearest exit.</t>
  </si>
  <si>
    <t>Nur auf die Anweisung der Besatzung die Kabine zu verlassen, schnallen Sie Ihren Sitzgurt ab und laufen Sie sofort zum nächstliegenden Notausgang.</t>
  </si>
  <si>
    <t>Únicamente después de la instrucción de la tripulación “abandonar el avión” desabrochen el cinturón y corran rápido hacia la salida más cercana.</t>
  </si>
  <si>
    <t xml:space="preserve">При аварийной посадке на воду </t>
  </si>
  <si>
    <t>RRJ-95, А319/320/321, А330-300, В737</t>
  </si>
  <si>
    <t>A330-200</t>
  </si>
  <si>
    <t>Только по команде экипажа «покинуть самолет» отстегните ремни и бегите быстрее к передним, средним и хвостовым выходам.</t>
  </si>
  <si>
    <t>Only after receiving instruction from the crew to leave the plane, open your seat belt and move quickly to the front, mid and rear exits.</t>
  </si>
  <si>
    <t>Únicamente después de la instrucción de la tripulación “abandonar el avión”, desabrochen el cinturón y corran rápido hacia las salidas delanteras, centrales y posteriores.</t>
  </si>
  <si>
    <t>Только по команде экипажа «покинуть самолет» отстегните ремни и бегите быстрее к передним и хвостовым выходам.</t>
  </si>
  <si>
    <t>Only after receiving instruction from the crew to leave the plane, open your seat belt and move quickly to the front and rear exits.</t>
  </si>
  <si>
    <t>Únicamente después de la instrucción de la tripulación “abandonar el avión”, desabrochen el cinturón y corran rápido hacia las salidas delanteras y posteriores.</t>
  </si>
  <si>
    <t xml:space="preserve">О ремнях безопасности (СБ) </t>
  </si>
  <si>
    <t>А сейчас сядьте прямо и застегните ремни. Чтобы отстегнуть ремень, поднимите крышку замка. Застегните и туго затяните ремень.</t>
  </si>
  <si>
    <t>Sit back firmly in your seat and fasten your seat belt. To release your seat belt lift the buckle cover. Now fasten your seat belt and tighten the strap.</t>
  </si>
  <si>
    <t>Ahora siéntense derecho y abrochen los cinturones. Para desabrochar el cinturón levanten la lengüeta de la hebilla. Abroche y ajuste fuertemente el cinturón.</t>
  </si>
  <si>
    <t>Инструкция по безопасности находится в кармане перед вами.</t>
  </si>
  <si>
    <t>Review once more the safety instruction located in the seat pocket in front of you</t>
  </si>
  <si>
    <t>Die Sicherheitsinstruktion befindent sich in der Tasche vor Ihnen.</t>
  </si>
  <si>
    <t>La instrucción de seguridad está colocada en el bolsillo delantero del asiento.</t>
  </si>
  <si>
    <t>Просмотрите ее еще раз. Обратите особое внимание на расположение аварийных выходов.</t>
  </si>
  <si>
    <t>Pay special attention to the location of the emergency exits</t>
  </si>
  <si>
    <t>Sehen Sie sich diese nochmals aufmerksam durch. Achten Sie besonders auf die Anordnung der Notausgänge.</t>
  </si>
  <si>
    <t>Míren la una vez más. Presten atención especial a la ubicación de las salidas de emergencia.</t>
  </si>
  <si>
    <t xml:space="preserve">Бортпроводникам подготовить пассажиров-помощников </t>
  </si>
  <si>
    <t>Последняя поверка готовности – провести</t>
  </si>
  <si>
    <t>Форменная одежда – полная</t>
  </si>
  <si>
    <t>Освещение пассажирских салонов – по ситуации</t>
  </si>
  <si>
    <t>Аварийно-спасательное оборудование – доступно</t>
  </si>
  <si>
    <t>Дверь пилотской кабины – открыть</t>
  </si>
  <si>
    <t>Бортпроводникам занять свои места</t>
  </si>
  <si>
    <t>30-секундный настрой – провести</t>
  </si>
  <si>
    <t>Бортпроводникам собрать предметы обслуживания и подготовить рабочие зоны</t>
  </si>
  <si>
    <t>Положение селекторов аварийных выходов – по ситуации</t>
  </si>
  <si>
    <t>Брифинг для бригады – СБ;</t>
  </si>
  <si>
    <t>Освещение пассажирских салонов – полное (100%);</t>
  </si>
  <si>
    <t>Информация для пассажиров – КВС (СБ)</t>
  </si>
  <si>
    <t xml:space="preserve">При сообщении о взрывном устройстве </t>
  </si>
  <si>
    <t>Мы получили сообщение о том, что на одном из самолетов, возможно, находится взрывное устройство.</t>
  </si>
  <si>
    <t xml:space="preserve">We were informed that there is an explosive on board one of the aircraft. </t>
  </si>
  <si>
    <t>Wir haben die Mitteilung bekommen, dass sich in einem der Flugzeuge vermutlich ein Sprengkörper befindet.</t>
  </si>
  <si>
    <t>Hemos recibido un comunicado de que en uno de los aviones puede estar guardado un dispositivo explosivo.</t>
  </si>
  <si>
    <t>Чтобы удостовериться в нашей безопасности, необходимо принять меры предосторожности и проверить самолет.</t>
  </si>
  <si>
    <t>To make sure we are safe, it is necessary to take precaution measures and check up our aircraft.</t>
  </si>
  <si>
    <t>Zur Gewährleistung Ihrer Sicherheit müssen wir entsprechende Sicherheitsmaßnahmen treffen und die Maschine durchsuchen.</t>
  </si>
  <si>
    <t>Para comprobar nuestra seguridad es indispensable tomar medidas de precaución y revisar el avión.</t>
  </si>
  <si>
    <t>Просим вас сохранять спокойствие и оказать содействие.</t>
  </si>
  <si>
    <t>We ask you to keep calm and get ready for co-operation.</t>
  </si>
  <si>
    <t>Bitte bewahren Sie Ruhe und unterstützen Sie uns.</t>
  </si>
  <si>
    <t>Les pedimos que mantengan calma y colaboren.</t>
  </si>
  <si>
    <t xml:space="preserve">Обратите особое внимание на наличие посторонних предметов рядом с вами. </t>
  </si>
  <si>
    <t>Pay special attention to the presence of foreign objects near to you.</t>
  </si>
  <si>
    <t>Achten Sie besonders auf fremde Gegenstände in Ihrer Nähe.</t>
  </si>
  <si>
    <t>Presten atención especial a la presencia de objetos no identificados a su alrededor.</t>
  </si>
  <si>
    <t>При обнаружении постороннего предмета, не трогая его, сообщите бортпроводникам.</t>
  </si>
  <si>
    <t>Sollten Sie einen fremden Gegenstand feststellen, berühren Sie diesen nicht, sondern informieren Sie umgehend die Flugbegleitung.</t>
  </si>
  <si>
    <t>Si encuentra algún objeto ajeno, sin tocarlo, comúniquenlo a la tripulación.</t>
  </si>
  <si>
    <t>Просим вас сохранять спокойствие, занять свое место и приготовиться к посадке.</t>
  </si>
  <si>
    <t>We ask you to keep calm. Take your seat and get ready for landing.</t>
  </si>
  <si>
    <t>Bewahren Sie bitte Ruhe, nehmen Sie Ihre Plätze ein und bereiten Sie sich auf die Landung vor.</t>
  </si>
  <si>
    <t>Les pedimos mantener la calma, ocupar sus asientos y preparase para el aterrizaje.</t>
  </si>
  <si>
    <t>Мы возвращаемся в аэропорт… [название аэропорта].</t>
  </si>
  <si>
    <t>We will return to the airport… [название аэропорта].</t>
  </si>
  <si>
    <t>Nous retournons à l’aéroport… [название аэропорта].</t>
  </si>
  <si>
    <t>Wir kehren zum Flughafen… [название аэропорта] zurück.</t>
  </si>
  <si>
    <t>Regresamos al aeropuerto… [название аэропорта].</t>
  </si>
  <si>
    <t>Die Landung wird in …Minuten erfolgen.</t>
  </si>
  <si>
    <t>El aterrizaje se realizará en …minutos.</t>
  </si>
  <si>
    <t>После включения табло «ЗАСТЕГНИТЕ РЕМНИ» прочесть информацию «При включении табло «Застегните ремни»</t>
  </si>
  <si>
    <t>После посадки с ВУ на борту (СБ по указанию КВС)</t>
  </si>
  <si>
    <t>При поиске ВУ в полете (КВС или СБ)</t>
  </si>
  <si>
    <t>При изменении маршрута в связи с ВУ (КВС или СБ)</t>
  </si>
  <si>
    <t>Sehr geehrte Damen und Herren.</t>
  </si>
  <si>
    <t>Дальнейшую информацию вы получите в аэропорту.</t>
  </si>
  <si>
    <t>Further information will be given at the airport.</t>
  </si>
  <si>
    <t>Vous recevrez plus d’information à l’aéroport.</t>
  </si>
  <si>
    <t>Weitere Informationen erhalten Sie im Flughafengebäude.</t>
  </si>
  <si>
    <t>Las siguientes instrucciones les serán comunicadas en el aeropuerto.</t>
  </si>
  <si>
    <t>Просим вас оставить ручную кладь на борту и покинуть самолет.</t>
  </si>
  <si>
    <t>Please now deplane. Your hand luggage must remain on board.</t>
  </si>
  <si>
    <t>Wir bitten Sie, Ihre persönlichen Gegenstände an Bord zu lassen und das Flugzeug zu verlassen;</t>
  </si>
  <si>
    <t>Les pedimos dejar los objetos personales a bordo y abandonar el avión.</t>
  </si>
  <si>
    <t>При задымлении кабины (КВС или СБ)</t>
  </si>
  <si>
    <t xml:space="preserve">Мы принимаем все необходимые меры для обеспечения безопасности полета и будем постоянно информировать вас. </t>
  </si>
  <si>
    <t>We have initiated all necessary safety procedures and will keep informing you.</t>
  </si>
  <si>
    <t>Nosotros tomamos todas las medidas necesarias de seguridad del vuelo y vamos constatemente mantenerlos informados.</t>
  </si>
  <si>
    <t>Remain calm</t>
  </si>
  <si>
    <t>Guarden tranquilidad.</t>
  </si>
  <si>
    <t>Для защиты от дыма плотно прижмите салфетку или подголовник к носу и рту и наклонитесь вперед как можно ниже.</t>
  </si>
  <si>
    <t>For protection from smoke put a tissue or the headrest cover of your seat over your nose and mouth and lean forward as low as possible.</t>
  </si>
  <si>
    <t>Para la defenza contra el humo mantenga firme la servilleta o pañuelo hacia la nariz y boca y agachense hacia abajo cuanto mas puedan.</t>
  </si>
  <si>
    <t>В… (передней, средней, хвостовой) части самолета распространяется дым.</t>
  </si>
  <si>
    <t>There is some smoke in the… (front, middle, rear) part of the cabin.</t>
  </si>
  <si>
    <t>La partie… (avant, centrale, arrière) de l’avion est enfumée.</t>
  </si>
  <si>
    <t>Im… (vorderen, mittleren, hinteren) Bereich des Flugzeuges ist Rauchentwicklung festgestellt.</t>
  </si>
  <si>
    <t>En… (la parte delantera, el centro, la parte de atras) del aviòn se dispersa humo.</t>
  </si>
  <si>
    <t>При разгерметизации при достижении безопасной высоты (КВС)</t>
  </si>
  <si>
    <t>Наш самолет занял безопасную высоту. Вы можете снять кислородные маски.</t>
  </si>
  <si>
    <t>Our aircraft has reached the safety level. You may now put off your oxygen masks.</t>
  </si>
  <si>
    <t>Unser Flugzeug hat eine sichere Höhe erreicht. Sie können jetzt Ihre Sauerstoffmasken abnehmen.</t>
  </si>
  <si>
    <t>Nuestro avion se encuentra en una altura sin peligro. Pueden retirar las mascaras de oxigenos.</t>
  </si>
  <si>
    <t>После команды «Controlled disembarkation using… with airstairs» (СБ)</t>
  </si>
  <si>
    <t xml:space="preserve">Возьмите личные вещи и пройдите к выходам… </t>
  </si>
  <si>
    <t>Please take your personal belongings and proceed to the… (front, mid, rear) exits.</t>
  </si>
  <si>
    <t xml:space="preserve">Lleve con sigo sus cosas personales y dirijase a la salida… </t>
  </si>
  <si>
    <t>Оставьте личные вещи на борту и пройдите к выходам…</t>
  </si>
  <si>
    <t>Please leave your hand luggage on board and proceed to… (front, mid, rear) exits.</t>
  </si>
  <si>
    <t>Deje sus cosas personales a bordo y dirijase a la salida…</t>
  </si>
  <si>
    <t>Los servicios de rescate están informados.</t>
  </si>
  <si>
    <t>A bordo de nuestro avión hay equipamento salvavidos necesario.</t>
  </si>
  <si>
    <t>Die Piloten und die Flugbegleiter sind in den Handlungen bei den Notfällen trainiert und ausgebildet.</t>
  </si>
  <si>
    <t>La tripulación está preparada para actuar en situaciones de emergencia.</t>
  </si>
  <si>
    <t>Bewahren Sie Ruhe.</t>
  </si>
  <si>
    <t>Bewahren Sie Ruhe. Folgen Sie unseren Anweisungen.</t>
  </si>
  <si>
    <t>Legen Sie Ihre Krawatte ab und öffnen Sie Ihren Kragen.</t>
  </si>
  <si>
    <t>Schieben Sie das Handgepäck unter den Sitz vor Ihnen oder verstauen Sie es in der oberen Gepäckablagen.</t>
  </si>
  <si>
    <t>Nach der Landung lassen Sie das Handgepäck an Bord.</t>
  </si>
  <si>
    <t>Bei Benutzung der Rutschen, springen Sie zuerst in der sitzenden Position mit den Füssen hinein, Oberkörper und Armen nach vorne. Laufen Sie dann weg vom Flugzeug.</t>
  </si>
  <si>
    <t>Jeder Notausgang ist mit einem beleuchteten EXIT Schild gekennzeichnet.</t>
  </si>
  <si>
    <t>Bei Benutzung der Notrutschen springen Sie zuerst in der sitzenden Position mit den Füssen hinein, Oberkörper und Arme nach vorne. Laufen Sie dann weg vom Flugzeug.</t>
  </si>
  <si>
    <t>Bei Benutzung der Notrutschen, springen Sie zuerst in der sitzenden Position mit den Füssen hinein, Oberkörper und Armen nach vorne. Laufen Sie dann weg vom Flugzeug.</t>
  </si>
  <si>
    <t>Bei Benutzung der Rutschen springen Sie zuerst in der sitzenden Position mit den Füssen hinein, Oberkörper und Armen nach vorne. Laufen Sie dann weg vom Flugzeug.</t>
  </si>
  <si>
    <t>Verlassen Sie das Flugzeug durch den nächstliegenden Notausgang. Alle Notausgänge sind mit den Rettungsflössen ausgerüstet. Gehen Sie an das Ende des Flosses und setzen Sie sich hin.</t>
  </si>
  <si>
    <t>два выхода – на плоскости крыла и</t>
  </si>
  <si>
    <t>Erst beim Verlassen des Flugzeugs ziehen Sie die roten Knöpfe fest nach unten, um die Schwimmweste aufzublasen.</t>
  </si>
  <si>
    <t xml:space="preserve">Umspannen Sie die Oberschenkel mit den Armen und halten Sie diese fest. </t>
  </si>
  <si>
    <t>Legen Sie Ihre gekreuzten Arme auf die Rückenlehne des Vordersitzes, und drücken Sie den Kopf dagegen, Füße auseinander.</t>
  </si>
  <si>
    <t>Die Schutzhaltung für die Passagiere mit Kleinkindern erklären wir Ihnen persönlich.</t>
  </si>
  <si>
    <t>Nur auf die Anweisung der Besatzung die Kabine zu verlassen, schnallen Sie Ihren Sitzgurt ab und laufen Sie sofort zu den vorderen, mittleren und hinteren Notausgängen.</t>
  </si>
  <si>
    <t>Nur auf die Anweisung der Besatzung die Kabine zu verlassen, schnallen Sie Ihren Sitzgurt ab und laufen Sie sofort zu den vorderen und hinteren Notausgängen.</t>
  </si>
  <si>
    <t>Jetzt setzen Sie sich bitte aufrecht und schnallen Sie Ihren Sicherheitsgurt an. Um den Gurt abzuschnallen, heben Sie die Abdeckklappe an. Schnallen Sie Ihren Sicherheitsgurturt an und ziehen Sie ihn straff.</t>
  </si>
  <si>
    <t>Wir werden alle notwendigen Maßnahmen für die Sicherheit des Fluges treffen und werden Sie ständig informieren.</t>
  </si>
  <si>
    <t>Zum Schutz vor dem Rauch drücken Sie eine Serviette oder den Kopfstützenbezug an Mund und Nase und beugen Sie sich so tief wie möglich nach unten.</t>
  </si>
  <si>
    <t>Wir bitten Sie, Ihre persönlichen Gegenstände mitzunehmen und sich zu den Ausgängen zu begeben…</t>
  </si>
  <si>
    <t>Wir bitten Sie, Ihre persönlichen Gegenstände an Bord zu lassen und sich zu den Ausgängen zu begeben.</t>
  </si>
  <si>
    <t>Verlassen Sie das Flugzeug duch den nächstliegenden Notausgang. Springen Sie ins Wasser und halten Sie sich an die Rutsche fest.</t>
  </si>
  <si>
    <t xml:space="preserve">Im Namen der Crew gratuliere ich Ihnen zum Weihnachtsfest und Neujahr! Ich wünsche Ihnen gute Gesundheit, viel Erfolg und Wohlergehen. </t>
  </si>
  <si>
    <t>Unser Flug… [номер рейса] von… nach… (wird in Partnerschaft mit… [название авиакомпании по код-шер]) ausgeführt.</t>
  </si>
  <si>
    <t>An Bord unseres Flugzeugs befindet sich ein Mitreisender (eine Mitreisende), der (die)bei uns Verdacht erregt, infiziert worden zu sein.</t>
  </si>
  <si>
    <t xml:space="preserve">A bordo hay un pasajero con sospecha a una enfermedad infecciosa. </t>
  </si>
  <si>
    <t>En application des règlements sanitaires locaux et internationaux, et pour protéger votre santé le personnel de cabine va distribuer les masques individuelles.</t>
  </si>
  <si>
    <t>Nous vous prions de prendre vos sièges, mettre les masques et les garder jusqu’à la fin du vol.</t>
  </si>
  <si>
    <t>In wenigen Minuten geben wir Ihnen die Formulare aus, die Sie laut der Forderung der Gesundheitsorgane ausfüllen müssen.</t>
  </si>
  <si>
    <t>En breve distribuiremos los formularios que hay que llenar según las exigencias de las organizaciones médicas.</t>
  </si>
  <si>
    <t>Die Formulare werden mit Druckbuchstaben ausgefüllt. Die Adresse Ihres Aufenthalts im Laufe von nächsten 30 Tagen seit dem Einreisedatum ist erforderlich zum ausfüllen.</t>
  </si>
  <si>
    <t>Wir bitten Sie, die ausgefüllten Formulare den Flugbegleitern vor dem Verlassen des Flugzeugs zu geben.</t>
  </si>
  <si>
    <t>Wenn Ihnen etwas fehlt und Sie sich nicht wohl fühlen, oder falls Sie Hilfe brauchen, melden Sie sich bitte sofort bei einem Ihrer Flugbegleiter.</t>
  </si>
  <si>
    <t xml:space="preserve">Si necesitan ayuda médica, diríjance al personal de cabina. </t>
  </si>
  <si>
    <t>В… [указать где: салоне, туалетной комнате, др.] найден (найдена/-о) … [указать что именно]. Если он (она, оно) принадлежит вам, пожалуйста, обратитесь к бортпроводникам.</t>
  </si>
  <si>
    <t xml:space="preserve">СБ: Wir wünschen Ihnen guten Flug. </t>
  </si>
  <si>
    <t xml:space="preserve">La información sobre el uso y precios está en web-página. (вариант: …los precios están en…) </t>
  </si>
  <si>
    <t>Lamentamos que acceso a Internet (enlace móbil) no es disponible debido a la falta de la seňal en el sistema.</t>
  </si>
  <si>
    <t xml:space="preserve">Our estimated time of arrival at… [название города],… [название аэропорта] airport is …a.m./p.m. Moscow/local time. The time difference between… [название города] and Moscow is plus/minus …hours. </t>
  </si>
  <si>
    <t>Les formulaires exigés vous pouvez remplir à l’aéroport. Les formulaires doivent être remplis en caractères imprimés.</t>
  </si>
  <si>
    <t>Sie bekommen die Formulare im Flughaffengebäude. Bitte füllen Sie die Formulare in Großbuchstaben aus.</t>
  </si>
  <si>
    <t>Cette information concerne les passagers en transfert à continuation aux vols d’Aéroflot/… [название авиакомпании] vol… [номер рейса] à destination de… [пункт назначения]!</t>
  </si>
  <si>
    <t>Après avoir quitté l’avion vous allez être accompagnés par un personnel d’Aéroflot jusqu’à la sortie de votre prochain vol.</t>
  </si>
  <si>
    <t xml:space="preserve">Der Mitarbeiter der Aeroflot wartet auf Sie neben der Flugzeugbrücke im Flughafengebäude und wird Sie nach dem Verlassen des Flugzeugs bis zum Anschlussflugsteig begleiten. </t>
  </si>
  <si>
    <t>Después de salir del avión les espera el agente de Aeroflot quien les acompaňará a la puerta de salida de su vuelo de conexión.</t>
  </si>
  <si>
    <t>Wir empfehlen den Transferfluggästen, sich mit dem Plan der Flughafenterminals und mit der Anordnung der Registrierungsstellen für Anschlußflüge bekannt zu machen. Diese Informationen finden Sie in Ihrem „Aeroflot“-Magazin.</t>
  </si>
  <si>
    <t>Les recomendamos a los pasajeros de tránsito familiarizarse con el plan de las terminales y de la ubicación de los mostradores de registración en la revista Aeroflot.</t>
  </si>
  <si>
    <t>L'appareil est prêt à l'atterrissage.</t>
  </si>
  <si>
    <t>Wenn Sie ein Auto verleihen sollten, empfehlen wir Ihnen, sich an den Autoverleihdienst Europcar im Flughafen zu wenden. Dort erhalten Sie weitere Informationen über den Bestand von den Sonderpreißnachlässen für die Fluggäste der Aeroflot und für die Inhaber von Aeroflot Bonus Karten der Eliteneveaus.</t>
  </si>
  <si>
    <t>После посадки в Москве для рейсов Токио-Москва-Рим/Париж/Лондон-Токио (СБ) (дневной/ночной рейс)</t>
  </si>
  <si>
    <t xml:space="preserve">The passengers with an onward flight to… [пункт назначения] should take their hand luggage and proceed to the waiting area. The aircraft and crew will be changed at Sheremetyevo airport. </t>
  </si>
  <si>
    <t>После посадки в аэропорту назначения на языке страны направления для рейсов в страны СНГ (PRAM) (дневной/ночной рейс)</t>
  </si>
  <si>
    <t>Nach dem Verlassen des Flugzeuges passieren Sie bitte zuerst die Flugzeugbrücke, dann gehen Sie bitte die Treppe hinunter. Dort steigen Sie bitte in den Bus ein, der Sie zum Flughafengebäude bringt.</t>
  </si>
  <si>
    <t xml:space="preserve">Hier spricht Ihr Kapitän. </t>
  </si>
  <si>
    <t>Bitte vergewissern Sie sich daß:</t>
  </si>
  <si>
    <t xml:space="preserve">Wir bedauern es sehr, daß der Internetzugang (und der Mobilfunk) aufgrund fehlender Signale vorübergehend nicht zur Verfügung steht (stehen). </t>
  </si>
  <si>
    <t xml:space="preserve">Der Kapitän hat uns mitgeteilt, daß wir uns in einer Schlechtwetterzone befinden. </t>
  </si>
  <si>
    <t>Der Kapitän hat uns informiert, daß wir in …Minuten mit dem Landeanflug beginnen.</t>
  </si>
  <si>
    <t>vergewissern Sie sich, daß Ihr Handgepäck in der Ablage über Ihnen oder unter Ihrem Vordersitz verstaut ist;</t>
  </si>
  <si>
    <t>Dürfen wir Sie daran erinnern, daß alle elektronischen Geräte solange ausgeschaltet bleiben müssen, bis das Flugzeug zum vollständigen Stillstand gekommen ist.</t>
  </si>
  <si>
    <t>Dürfen wir Sie daran erinnern, daß die Decken und die Kissen ein Eigentum der Fluglinie sind.</t>
  </si>
  <si>
    <t>Bitte vergewissern Sie sich, daß</t>
  </si>
  <si>
    <t>alle elektronischen Geräte ausgeschaltet sind,</t>
  </si>
  <si>
    <t>Les couloirs et les sorties de secours doivent être libres de tout objet personnel.</t>
  </si>
  <si>
    <r>
      <t xml:space="preserve">6. En cas d'amerrissage, les toboggans des sorties à l'avant, au milieu et à l'arrière de la cabine peuvent </t>
    </r>
    <r>
      <rPr>
        <sz val="11"/>
        <color rgb="FF963634"/>
        <rFont val="Calibri"/>
        <family val="2"/>
        <charset val="204"/>
      </rPr>
      <t>être utilisés comme</t>
    </r>
    <r>
      <rPr>
        <sz val="11"/>
        <color rgb="FF963634"/>
        <rFont val="Calibri"/>
        <family val="2"/>
        <charset val="204"/>
        <scheme val="minor"/>
      </rPr>
      <t xml:space="preserve"> canots de sauvetage.</t>
    </r>
  </si>
  <si>
    <r>
      <t>6. En cas d’ammerrissage, les tobbogans de toutes les sorties peuvent être utilis</t>
    </r>
    <r>
      <rPr>
        <sz val="11"/>
        <color rgb="FF963634"/>
        <rFont val="Calibri"/>
        <family val="2"/>
        <charset val="204"/>
      </rPr>
      <t>é</t>
    </r>
    <r>
      <rPr>
        <sz val="11"/>
        <color rgb="FF963634"/>
        <rFont val="Calibri"/>
        <family val="2"/>
        <charset val="204"/>
        <scheme val="minor"/>
      </rPr>
      <t>s comme canots de sauvetage.</t>
    </r>
  </si>
  <si>
    <t>5. Vous pouvez gonfler le gilet d’avantage en utilisant les embouts buccaux.</t>
  </si>
  <si>
    <r>
      <t xml:space="preserve">Nous attendons l'autorisation pour décoller, </t>
    </r>
    <r>
      <rPr>
        <sz val="11"/>
        <color rgb="FF963634"/>
        <rFont val="Calibri"/>
        <family val="2"/>
        <charset val="204"/>
      </rPr>
      <t>ç</t>
    </r>
    <r>
      <rPr>
        <sz val="11"/>
        <color rgb="FF963634"/>
        <rFont val="Calibri"/>
        <family val="2"/>
        <charset val="204"/>
        <scheme val="minor"/>
      </rPr>
      <t>a prendra… minutes/quelques minutes.</t>
    </r>
  </si>
  <si>
    <t>Si vous souhaitez faire des achats, veuillez vous adresser à un personnel de bord avant la descente de l’avion.</t>
  </si>
  <si>
    <t>Nous avons le regret de vous annoncer que la connection mobile et l’accès à l’Internet à bord sont hors de service à cause de la manque du signal dans le systhème.</t>
  </si>
  <si>
    <r>
      <t>La durée de la connection est limitée. Veuillez vous dépêcher, s'il vous pla</t>
    </r>
    <r>
      <rPr>
        <sz val="11"/>
        <color rgb="FF963634"/>
        <rFont val="Calibri"/>
        <family val="2"/>
        <charset val="204"/>
      </rPr>
      <t>ît</t>
    </r>
    <r>
      <rPr>
        <sz val="11"/>
        <color rgb="FF963634"/>
        <rFont val="Calibri"/>
        <family val="2"/>
        <charset val="204"/>
        <scheme val="minor"/>
      </rPr>
      <t>.</t>
    </r>
  </si>
  <si>
    <t>Veuillez, s’il vous plaît, ranger tous vos objets. Les bagages doivent être placés sous le siège devant vous ou dans les coffres à bagages au-dessus de vous.</t>
  </si>
  <si>
    <t>Notre avion vient d'atterir à l'aéroport à… [название города], aéroport… [название аэропорта], aérogare… [указать].</t>
  </si>
  <si>
    <t>Les passagers à continuation au vol à destination de… [пункт назначения] doivent prendre leurs bagages à main et passer dans la salle d'attente. L'équipage et l'avion vont être changés à l'aéroport Shéremetievo.</t>
  </si>
  <si>
    <t>Après avoir quitté l’avion nous vous prions de traverser la passerelle téléscopique et descendre l’escalier afin de prendre l’aérobus qui vous amènera à l’aérogare.</t>
  </si>
  <si>
    <r>
      <t xml:space="preserve">Attention des passagers de la classe </t>
    </r>
    <r>
      <rPr>
        <sz val="11"/>
        <color rgb="FF963634"/>
        <rFont val="Calibri"/>
        <family val="2"/>
        <charset val="204"/>
      </rPr>
      <t>économique!</t>
    </r>
    <r>
      <rPr>
        <sz val="11"/>
        <color rgb="FF963634"/>
        <rFont val="Calibri"/>
        <family val="2"/>
        <charset val="204"/>
        <scheme val="minor"/>
      </rPr>
      <t xml:space="preserve"> Veuillez rester vos sièges pour permettre aux passagers en correspondance pour… [название пункта назначения] de débarquer en premier.</t>
    </r>
  </si>
  <si>
    <t>Veuillez détacher votre ceinture et garder votre siège.</t>
  </si>
  <si>
    <t>Les couloirs et les sorties de secours doivent être libres.</t>
  </si>
  <si>
    <t>Veuillez rester assis et garder votre ceinture attachée.</t>
  </si>
  <si>
    <r>
      <t>Vous êtes pri</t>
    </r>
    <r>
      <rPr>
        <sz val="11"/>
        <color rgb="FF963634"/>
        <rFont val="Calibri"/>
        <family val="2"/>
        <charset val="204"/>
      </rPr>
      <t>é</t>
    </r>
    <r>
      <rPr>
        <sz val="11"/>
        <color rgb="FF963634"/>
        <rFont val="Calibri"/>
        <family val="2"/>
        <charset val="204"/>
        <scheme val="minor"/>
      </rPr>
      <t>s de prendre places selon vos cartes d’embarquement. Veuillez les préparer pour un contrôle supplémentaire.</t>
    </r>
  </si>
  <si>
    <t>L'équipage a aperçu de la fumée de tabac dans une toilette.</t>
  </si>
  <si>
    <t>Selon l’article 107 du Code de l'Aviation Civile de la Fédération de la Russie les compagnies aériennes sont autorisées à appliquer les sanctions suivantes en cas de la violation par un passager des règles de la conduite à bord de l’avion aussi bien que la non-exécution des ordres de l'équipage:</t>
  </si>
  <si>
    <t>Nous avons le regret de vous annoncer que les boissons chaudes seront remplacées par les rafraichissements à cause de la pénurie d'eau.</t>
  </si>
  <si>
    <t xml:space="preserve">Un passager avec la suspicion à une maladie infectieuse se trouve à bord. </t>
  </si>
  <si>
    <r>
      <t>Les formulaires remplis doivent-</t>
    </r>
    <r>
      <rPr>
        <sz val="11"/>
        <color rgb="FF963634"/>
        <rFont val="Calibri"/>
        <family val="2"/>
        <charset val="204"/>
      </rPr>
      <t>être remis au personnel de cabine</t>
    </r>
    <r>
      <rPr>
        <sz val="11"/>
        <color rgb="FF963634"/>
        <rFont val="Calibri"/>
        <family val="2"/>
        <charset val="204"/>
        <scheme val="minor"/>
      </rPr>
      <t xml:space="preserve"> avant le débarquement.</t>
    </r>
  </si>
  <si>
    <t>Nous sommes à la recherche de … [указать что именно] qui a (ont) été égaré par un des passagers. Si vous le (la, les) trouvez, veuillez le (la, les) remettre au personnel de cabine.</t>
  </si>
  <si>
    <t>Un/une (des)… [указать что именно] a (ont) été trouvé dans… [указать где: toilettes, partie de cabine, др.]. Veuillez contacter le personnel de cabine.</t>
  </si>
  <si>
    <t>En conformité des réglements médicaux internationaux la cabine va être desinsectée. Les produits utilisés correspondent aux normes internationales et ne présentent aucun danger pour votre santé.</t>
  </si>
  <si>
    <t>Veuillez préparer vos cartes d’embarquement et les passeports.</t>
  </si>
  <si>
    <t>Le personnel au sol de l’aéroport Shéremetievo va procéder à un contrôle supplémentaire à la sortie de l'appareil.</t>
  </si>
  <si>
    <t>L’équipage et le personnel de cabin sont formés à réagir aux situations d’urgence.</t>
  </si>
  <si>
    <t>Gardez votre calme.</t>
  </si>
  <si>
    <t>Nous prions les employés d’Aéroflot ou des autres compagnies aériennes, les pompiers et les sauveteurs de s’adresser au personnel de cabine.</t>
  </si>
  <si>
    <t>Gardez votre calme. Suivez nos instructions.</t>
  </si>
  <si>
    <t>Placez le dossier du fauteuil en la position verticale, relevez la tablette.</t>
  </si>
  <si>
    <r>
      <t>Enlevez les cravates et d</t>
    </r>
    <r>
      <rPr>
        <sz val="11"/>
        <color rgb="FF963634"/>
        <rFont val="Calibri"/>
        <family val="2"/>
        <charset val="204"/>
      </rPr>
      <t>éboutonnez</t>
    </r>
    <r>
      <rPr>
        <sz val="11"/>
        <color rgb="FF963634"/>
        <rFont val="Calibri"/>
        <family val="2"/>
        <charset val="204"/>
        <scheme val="minor"/>
      </rPr>
      <t xml:space="preserve"> les cols.</t>
    </r>
  </si>
  <si>
    <t>Rangez les bagages à main sous le siège en face de vous ou dans les coffres à bagage au-dessus de vous.</t>
  </si>
  <si>
    <t>Laissez tous bagages à bord après l’atterrissage.</t>
  </si>
  <si>
    <t>Enlevez vos chaussures. Mettez-les sous le siège devant vous.</t>
  </si>
  <si>
    <t xml:space="preserve">Toutes les sorties sont équipées de toboggans. </t>
  </si>
  <si>
    <t>Quittez l'avion par la sortie de secours la plus proche. Sautez dans l’eau. Tenez-vous au toboggan.</t>
  </si>
  <si>
    <t>Les lignes lumineuses le long des couloirsvous guident vers les sorties de secours.</t>
  </si>
  <si>
    <t>Toutes les sorties sont équipées de toboggans.</t>
  </si>
  <si>
    <t xml:space="preserve">En quittant l’avion par la passerelle, sautez dans la position assise, les bras en avant. Éloignez-vous vite de l’avion. </t>
  </si>
  <si>
    <t>Les sorties de secours à l’avant et à l’arriere de l'appareil sont équipées de toboggans</t>
  </si>
  <si>
    <t>En quittant l’avion par la passerelle, sautez dans la position assise, les bras en avant. Éloignez-vous vite de l’avion.</t>
  </si>
  <si>
    <t>Quittez par la sortie de secours la plus proche. Sautez dans l’eau. Tenez-vous à la passerelle gonflable.</t>
  </si>
  <si>
    <t>Les lignes lumineuses le long du couloir vous guidera vers les sorties de secour.</t>
  </si>
  <si>
    <t>Evacuez-vous par la sortie de secours la plus proche. Sautez dans l’eau. Tenez-vous à la passerelle gonflable.</t>
  </si>
  <si>
    <t>Evacuez-vous par les sorties avants, centrales et arrières. Elles sont équipées de cannot de sauvetage. Passez en avant et asseyez-vous.</t>
  </si>
  <si>
    <t xml:space="preserve"> Evacuez-vous par la sortie de secour la plus proche. Toutes les sorties sont équipées de cannot de sauvetage. Passez en avant et asseyez-vous.</t>
  </si>
  <si>
    <t>Evacuez-vous par la sortie de secours la plus proche. Toutes les sorties sont équipées de cannots de sauvetage. Passez en avant et asseyez-vous.</t>
  </si>
  <si>
    <r>
      <t xml:space="preserve">En cas d’ammerissage </t>
    </r>
    <r>
      <rPr>
        <sz val="11"/>
        <color rgb="FF963634"/>
        <rFont val="Calibri"/>
        <family val="2"/>
        <charset val="204"/>
      </rPr>
      <t>à</t>
    </r>
    <r>
      <rPr>
        <sz val="11"/>
        <color rgb="FF963634"/>
        <rFont val="Calibri"/>
        <family val="2"/>
        <charset val="204"/>
        <scheme val="minor"/>
      </rPr>
      <t xml:space="preserve"> bord de notre avion il y a les gilets de sauvetage.</t>
    </r>
  </si>
  <si>
    <r>
      <t>Prenez le gilet de sauvetage sous votre si</t>
    </r>
    <r>
      <rPr>
        <sz val="11"/>
        <color rgb="FF963634"/>
        <rFont val="Calibri"/>
        <family val="2"/>
        <charset val="204"/>
      </rPr>
      <t>ège</t>
    </r>
    <r>
      <rPr>
        <sz val="11"/>
        <color rgb="FF963634"/>
        <rFont val="Calibri"/>
        <family val="2"/>
        <charset val="204"/>
        <scheme val="minor"/>
      </rPr>
      <t>, sortez-le de l’emballage et enfilez-le par la tête.</t>
    </r>
  </si>
  <si>
    <r>
      <t xml:space="preserve">Ajustez la sangle autour de votre taille, attachez-la </t>
    </r>
    <r>
      <rPr>
        <sz val="11"/>
        <color rgb="FF963634"/>
        <rFont val="Calibri"/>
        <family val="2"/>
        <charset val="204"/>
      </rPr>
      <t>à l'avant</t>
    </r>
    <r>
      <rPr>
        <sz val="11"/>
        <color rgb="FF963634"/>
        <rFont val="Calibri"/>
        <family val="2"/>
        <charset val="204"/>
        <scheme val="minor"/>
      </rPr>
      <t xml:space="preserve"> sous le gilet et nouez-la bien.</t>
    </r>
  </si>
  <si>
    <t>Votre gilet de sauvetage se trouve sous votre siège. Prenez-le et gonflez-le seulement après l’atterrissage de l’avion.</t>
  </si>
  <si>
    <r>
      <t>Au commandement «Safety position», je répète, «Safety position», poussez le dossier du si</t>
    </r>
    <r>
      <rPr>
        <sz val="11"/>
        <color rgb="FF963634"/>
        <rFont val="Calibri"/>
        <family val="2"/>
        <charset val="204"/>
      </rPr>
      <t>ège devant</t>
    </r>
    <r>
      <rPr>
        <sz val="11"/>
        <color rgb="FF963634"/>
        <rFont val="Calibri"/>
        <family val="2"/>
        <charset val="204"/>
        <scheme val="minor"/>
      </rPr>
      <t xml:space="preserve"> vous vers l'avant.</t>
    </r>
  </si>
  <si>
    <t>Entourez vos jambes avec vos bras sous les genoux et tenez bien.</t>
  </si>
  <si>
    <t>Genoux serres, pieds écartés.</t>
  </si>
  <si>
    <t>Si vous n’avez pas assez de place pour prendre cette pose, poussez le dossier du siège devant vous vers l'avant.</t>
  </si>
  <si>
    <r>
      <t>Croisez vos bras sur le dossier du siège, pressez la t</t>
    </r>
    <r>
      <rPr>
        <sz val="11"/>
        <color rgb="FF963634"/>
        <rFont val="Calibri"/>
        <family val="2"/>
        <charset val="204"/>
      </rPr>
      <t>êt</t>
    </r>
    <r>
      <rPr>
        <sz val="11"/>
        <color rgb="FF963634"/>
        <rFont val="Calibri"/>
        <family val="2"/>
        <charset val="204"/>
        <scheme val="minor"/>
      </rPr>
      <t xml:space="preserve"> contre vos bras et </t>
    </r>
    <r>
      <rPr>
        <sz val="11"/>
        <color rgb="FF963634"/>
        <rFont val="Calibri"/>
        <family val="2"/>
        <charset val="204"/>
      </rPr>
      <t>écartez les</t>
    </r>
    <r>
      <rPr>
        <sz val="11"/>
        <color rgb="FF963634"/>
        <rFont val="Calibri"/>
        <family val="2"/>
        <charset val="204"/>
        <scheme val="minor"/>
      </rPr>
      <t xml:space="preserve"> pieds.</t>
    </r>
  </si>
  <si>
    <t>Essayez maintenant de prendre la pose de protection, puis prenez la position normale.</t>
  </si>
  <si>
    <t>Nous expliquerons individuellement la pose de protection pour les passagers avec des enfants.</t>
  </si>
  <si>
    <r>
      <t xml:space="preserve">Nous devons nous attendre </t>
    </r>
    <r>
      <rPr>
        <sz val="11"/>
        <color rgb="FF963634"/>
        <rFont val="Calibri"/>
        <family val="2"/>
        <charset val="204"/>
      </rPr>
      <t>à plusieurs secousses</t>
    </r>
    <r>
      <rPr>
        <sz val="11"/>
        <color rgb="FF963634"/>
        <rFont val="Calibri"/>
        <family val="2"/>
        <charset val="204"/>
        <scheme val="minor"/>
      </rPr>
      <t xml:space="preserve"> l’atterrissage. Gardez la pose de protection jusqu’à d'autres instruction.</t>
    </r>
  </si>
  <si>
    <r>
      <t xml:space="preserve"> Ne quittez pas la cabin sans avoir re</t>
    </r>
    <r>
      <rPr>
        <sz val="11"/>
        <color rgb="FF963634"/>
        <rFont val="Calibri"/>
        <family val="2"/>
        <charset val="204"/>
      </rPr>
      <t>çu l'</t>
    </r>
    <r>
      <rPr>
        <sz val="11"/>
        <color rgb="FF963634"/>
        <rFont val="Calibri"/>
        <family val="2"/>
        <charset val="204"/>
        <scheme val="minor"/>
      </rPr>
      <t>ordre de l’équipage. Détachez les ceintures et courez vite vers la sortie la plus proche.</t>
    </r>
  </si>
  <si>
    <t>Ne quittez pas la cabin sans avoir reçu l'ordre de l’équipage. Détachez les ceintures et courez vite vers la sortie la plus proche.</t>
  </si>
  <si>
    <r>
      <t>Ne quittez pas la cabin sans avoir reçu l'ordre de l’équipage. Détachez les ceintures et courez vite vers le sorties d'avant, de milieu et de l'arri</t>
    </r>
    <r>
      <rPr>
        <sz val="11"/>
        <color rgb="FF963634"/>
        <rFont val="Calibri"/>
        <family val="2"/>
        <charset val="204"/>
      </rPr>
      <t>ère</t>
    </r>
    <r>
      <rPr>
        <sz val="11"/>
        <color rgb="FF963634"/>
        <rFont val="Calibri"/>
        <family val="2"/>
        <charset val="204"/>
        <scheme val="minor"/>
      </rPr>
      <t>.</t>
    </r>
  </si>
  <si>
    <r>
      <t>Ne quittez pas la cabin sans avoir reçu l'ordre de l’équipage. Détachez les ceintures et courez vite vers les sorties d'avant et d'arri</t>
    </r>
    <r>
      <rPr>
        <sz val="11"/>
        <color rgb="FF963634"/>
        <rFont val="Calibri"/>
        <family val="2"/>
        <charset val="204"/>
      </rPr>
      <t>ère</t>
    </r>
    <r>
      <rPr>
        <sz val="11"/>
        <color rgb="FF963634"/>
        <rFont val="Calibri"/>
        <family val="2"/>
        <charset val="204"/>
        <scheme val="minor"/>
      </rPr>
      <t>.</t>
    </r>
  </si>
  <si>
    <t>Asseyez-vous tout droit et attachez les ceintures. Souevez le couvercle de la boucle pour détacher la ceinture. Attachez et serrez bien la ceinture.</t>
  </si>
  <si>
    <r>
      <t>La consigne de sécurité se trouv dans la poche du si</t>
    </r>
    <r>
      <rPr>
        <sz val="11"/>
        <color rgb="FF963634"/>
        <rFont val="Calibri"/>
        <family val="2"/>
        <charset val="204"/>
      </rPr>
      <t>ège devant</t>
    </r>
    <r>
      <rPr>
        <sz val="11"/>
        <color rgb="FF963634"/>
        <rFont val="Calibri"/>
        <family val="2"/>
        <charset val="204"/>
        <scheme val="minor"/>
      </rPr>
      <t xml:space="preserve"> vous.</t>
    </r>
  </si>
  <si>
    <t>Veuillez la consulter encore une fois. Faites particulièrement attention à l’emplacement des sorties de secours.</t>
  </si>
  <si>
    <t>Faites attention à la présence des objets étrangers autour de vous.</t>
  </si>
  <si>
    <t xml:space="preserve"> Ayant trouve d’objet étranger, ne le touchez pas et informez le personnel de cabine.</t>
  </si>
  <si>
    <t>Nous vous prions de garder votre calme, de prendre votre place et de vous préparer à l’atterrissage.</t>
  </si>
  <si>
    <t>Nous vous prions de laisser vos objets personnels à bord et de quitter l’avion.</t>
  </si>
  <si>
    <r>
      <t xml:space="preserve">Nous prenons toutes les mesures nécessaires pour assurer la sécurité du vol. Nous continuerons </t>
    </r>
    <r>
      <rPr>
        <sz val="11"/>
        <color rgb="FF963634"/>
        <rFont val="Calibri"/>
        <family val="2"/>
        <charset val="204"/>
      </rPr>
      <t xml:space="preserve">à </t>
    </r>
    <r>
      <rPr>
        <sz val="11"/>
        <color rgb="FF963634"/>
        <rFont val="Calibri"/>
        <family val="2"/>
        <charset val="204"/>
        <scheme val="minor"/>
      </rPr>
      <t>vous tenir inform</t>
    </r>
    <r>
      <rPr>
        <sz val="11"/>
        <color rgb="FF963634"/>
        <rFont val="Calibri"/>
        <family val="2"/>
        <charset val="204"/>
      </rPr>
      <t>és</t>
    </r>
    <r>
      <rPr>
        <sz val="11"/>
        <color rgb="FF963634"/>
        <rFont val="Calibri"/>
        <family val="2"/>
        <charset val="204"/>
        <scheme val="minor"/>
      </rPr>
      <t>.</t>
    </r>
  </si>
  <si>
    <t>Veuillez garder votre calme.</t>
  </si>
  <si>
    <t>Mettez une serviette ou l’appui-tête sur votre bouche et votre nez et penchez-vous en avant le plus possible vers le sol.</t>
  </si>
  <si>
    <t>Notre avion a pris une altitude de sécurité. Vous pouvez enlever vos masques à oxygène.</t>
  </si>
  <si>
    <t xml:space="preserve">Veuillez prendre vos objets personnels et passer vers les sorties… </t>
  </si>
  <si>
    <t xml:space="preserve">Veuillez laisser vos objets personnels à bord et passer vers les sorties… </t>
  </si>
  <si>
    <t>Los formularios deben ser llenados en letras de imprenta. Es necesario indicar el domicilio de residencia durante 30 dias desde la fecha de la entrada</t>
  </si>
  <si>
    <t>Les pedimos entregar los formularios llenados a los tripulantes de cabina antes de de desembarcar.</t>
  </si>
  <si>
    <t>werden wir auf dem nächstmöglichen Flughafen in… [название города] landen.</t>
  </si>
  <si>
    <t>L’information supplémentaire vous sera fournise immediatement.</t>
  </si>
  <si>
    <t>Mis colegas y yo haremos todo lo posible para garantizarles un vuelo agradable.</t>
  </si>
  <si>
    <t>Estimados clientes habituales, miembros del programa “Aeroflot Bonus” y de los programas Bonus de la alianza internacional SkyTeam de los niveles Elite y Elite Plus, les agradecemos por haber eligido líneas aereas de Aeroflot Group.</t>
  </si>
  <si>
    <t>coloquen el equipaje de mano en los compartimientos superiores o bajo el asiento delantero;</t>
  </si>
  <si>
    <r>
      <t>Despu</t>
    </r>
    <r>
      <rPr>
        <sz val="11"/>
        <color rgb="FF974706"/>
        <rFont val="Calibri"/>
        <family val="2"/>
        <charset val="204"/>
      </rPr>
      <t>é</t>
    </r>
    <r>
      <rPr>
        <sz val="11"/>
        <color rgb="FF974706"/>
        <rFont val="Calibri"/>
        <family val="2"/>
        <charset val="204"/>
        <scheme val="minor"/>
      </rPr>
      <t>s de la comida les invitamos a hacer sus compras en “Sky Shop”.</t>
    </r>
  </si>
  <si>
    <t xml:space="preserve">A bordo de nuestro avión está disponible enlace mobil y acceso a Internet. El servicio es de pago. El servicio es disponible cuando el tablero “Apaguen sus teléfonos” está apagado. </t>
  </si>
  <si>
    <t xml:space="preserve">A bordo de nuestro avión está disponible acceso a Internet. El servicio es de pago. El servicio es disponible cuando el tablero “Apaguen sus teléfonos” está apagado. </t>
  </si>
  <si>
    <r>
      <t>Estamos listos a ofrecerles las mercanc</t>
    </r>
    <r>
      <rPr>
        <sz val="11"/>
        <color rgb="FF974706"/>
        <rFont val="Calibri"/>
        <family val="2"/>
        <charset val="204"/>
      </rPr>
      <t>í</t>
    </r>
    <r>
      <rPr>
        <sz val="11"/>
        <color rgb="FF974706"/>
        <rFont val="Calibri"/>
        <family val="2"/>
        <charset val="204"/>
        <scheme val="minor"/>
      </rPr>
      <t>as de “Sky Shop”.</t>
    </r>
  </si>
  <si>
    <t>“Aeroflot – Russian Airlines” les presenta el programa “Aeroflot Bonus”, que le permite ahorrar millas aereas y cambiarlas por billetes de las lineas aereas de Aeroflot group y de la alianza SkyTeam y además por los servicios de los socios en todo el mundo.</t>
  </si>
  <si>
    <t>Todos los pasajeros deben llenar la declaración de aduanas. Para la familia se requiere solo una declaracion.</t>
  </si>
  <si>
    <t>Puede leer las instrucciones para llenar los formularios en la revista “Aeroflot”.</t>
  </si>
  <si>
    <t>Por favor rellenen las tarjetas en letras de imprenta y guárdenlas hasta presentar a las autoridades.</t>
  </si>
  <si>
    <t>Les presenterán los formularios en el aeropuerto. Los formularios han de rellenarse en letras de imprenta.</t>
  </si>
  <si>
    <t>Si han utilizado su equipaje de mano durante el vuelo, por favor colóquenlo sobre los compartimientos superiores o debajo del asiento frente a usted.</t>
  </si>
  <si>
    <t>Las condiciones meteorológicas en… [название города назначения] son… (buenas, hace sol, llueve, malas, др.)</t>
  </si>
  <si>
    <t>comprueben que su equipaje de mano está guardado en el compartimiento superior o debajo del asiento delantero;</t>
  </si>
  <si>
    <t>Les recordamos que todos los dispositivos electrónicos deben estar apagados hasta que el avión pare por completo.</t>
  </si>
  <si>
    <t>Las luces de la cabina se atenuarán para el aterrizaje. Pueden utilizar las luces individuales.</t>
  </si>
  <si>
    <t>Por favor tengan cuidado al descender por la escalera.</t>
  </si>
  <si>
    <t>Por favor tengan listos sus pasaportes.</t>
  </si>
  <si>
    <t>Por favor permanezcan sentados en sus asientos con el cinturón de seguridad abrochado.</t>
  </si>
  <si>
    <t>Los servicios terrestre en el aeropuerto de… [название аэропорта] en… [название города] les ofrecerán toda la ayuda que requieran.</t>
  </si>
  <si>
    <t>После посадки в аэропорту назначения (СБ) (дневной/ночной рейс)</t>
  </si>
  <si>
    <t>Если была задержка вылета в аэропорту (более 15 минут), см. 1.2.</t>
  </si>
  <si>
    <t>Если высадка пассажиров происходит по телетрапу или по подъездным трапам</t>
  </si>
  <si>
    <t>Наш самолет совершил посадку в аэропорту… [название аэропорта].</t>
  </si>
  <si>
    <t>Our aircraft has landed at… [название аэропорта] airport.</t>
  </si>
  <si>
    <t>Notre avion vient d’atterrir à l’aéroport… [название аэропорта].</t>
  </si>
  <si>
    <t>Unser Flugzeug ist auf dem Flughafen… [название аэропорта] gelandet.</t>
  </si>
  <si>
    <t>Nuestro avión ha aterrizado en el aeropuerto… [название аэропорта].</t>
  </si>
  <si>
    <t>Conecte Wi-Fi en su dispositivo personal, elija el acceso "Aeroflot" y active Internet-Navegador.</t>
  </si>
  <si>
    <t>Puede ver un plana de la terminal en la revista “Aeroflot”.</t>
  </si>
  <si>
    <t>Si ustedes necesitan alquilar coche les recomendamos a dirigirse al servicio de alguiler “Europcar” y recibir la información sobre descuentos para pasajeros de Aeroflot y miembros del programa “Aeroflot Bonus” de los niveles élites.</t>
  </si>
  <si>
    <t>Para su seguridad, permanezcan sentados hasta que el avión pare por completo y se apague la señal de “Cinturones abrochados”.</t>
  </si>
  <si>
    <r>
      <t>Je suis votre commandant de bord… [имя и фамилия]. De la part de l’ équipage et d' “A</t>
    </r>
    <r>
      <rPr>
        <sz val="11"/>
        <color rgb="FF963634"/>
        <rFont val="Calibri"/>
        <family val="2"/>
        <charset val="204"/>
      </rPr>
      <t>é</t>
    </r>
    <r>
      <rPr>
        <sz val="11"/>
        <color rgb="FF963634"/>
        <rFont val="Calibri"/>
        <family val="2"/>
        <charset val="204"/>
        <scheme val="minor"/>
      </rPr>
      <t>roflot – Russian Airlines” je vous souhaite la bienvenue à bord de… [тип ВС].</t>
    </r>
  </si>
  <si>
    <t>Bienvenue à bord de l’ appareil d' “Aeroflot” qui porte le nom du … [указать oпределение рода деятельности из Приложения №2]… [имя и фамилия человека, в честь которого названо ВС].</t>
  </si>
  <si>
    <t>Nous sommes heureux d'accueillir nos clients fréquents qui participent au programme “Aeroflot Bonus” et aux programmes de l’alliance Sky Team des niveaux Elite et Elite Plus. Nous vous remercions d’avoir choisi les compagnies aériènnes faisant partie d’un Groupe Aéroflot.</t>
  </si>
  <si>
    <t>Les règles de conduite des passagers sont disponibles dans la révue “Aeroflot”.</t>
  </si>
  <si>
    <t>Merci d'avoir choisi “Aeroflot – Russian Airlines”, membre de SkyTeam.</t>
  </si>
  <si>
    <t>La consigne… [указать: “Attachez les ceintures”, “Arrêter les téléphones”, “Interdit de fumer”] est en panne. Nous vous prions de faire attention aux annonces et suivre les instructions de l’équipage.</t>
  </si>
  <si>
    <t>La señal… [указать: “Cinturones Abrochados”, “Teléfonos Apagados”, “No Fumen”] no funciona. Les pedimos presten atención a la información y siguen las instrucciones del personal de la cabina.</t>
  </si>
  <si>
    <t>de proposer les articles du “Sky Shop”.</t>
  </si>
  <si>
    <r>
      <t>Nous vous prions de les remplir en caractères imprimés et indiquer votre adresse de r</t>
    </r>
    <r>
      <rPr>
        <sz val="11"/>
        <color rgb="FF963634"/>
        <rFont val="Calibri"/>
        <family val="2"/>
        <charset val="204"/>
      </rPr>
      <t>ésidence durant 30 jours suivants.</t>
    </r>
  </si>
  <si>
    <t>Chaque sortie est signalée par un panneau lumineux “EXIT”.</t>
  </si>
  <si>
    <t>Chaque sortie est indiquée par un tableau lumineux “EXIT”.</t>
  </si>
  <si>
    <t>En quittant l’avion par les sorties sur l’aile, suivez la règle: “PIED-TETE-PIED”, suivez les flèches. Sautez sur la passerelle, mains en avant. Eloignez-vous de l’avion.</t>
  </si>
  <si>
    <t>En quittant l’avion par les sorties sur l’aile, suivez la règle: “PIED-TETE-PIED”, suivez les flèches, asseyez-vous et glissez. Eloignez-vous vite de l’avion.</t>
  </si>
  <si>
    <t>En quittant l’avion par lts sorties sur l’aile, suivez la règle: “PIED-TETE-PIED”. Restez sur l’aile et suivez les instructions de l’équipage.</t>
  </si>
  <si>
    <r>
      <t>Chaque sortie est signal</t>
    </r>
    <r>
      <rPr>
        <sz val="11"/>
        <color rgb="FF963634"/>
        <rFont val="Calibri"/>
        <family val="2"/>
        <charset val="204"/>
      </rPr>
      <t>ée</t>
    </r>
    <r>
      <rPr>
        <sz val="11"/>
        <color rgb="FF963634"/>
        <rFont val="Calibri"/>
        <family val="2"/>
        <charset val="204"/>
        <scheme val="minor"/>
      </rPr>
      <t xml:space="preserve"> par un panneau lumineux “EXIT”.</t>
    </r>
  </si>
  <si>
    <r>
      <t xml:space="preserve"> Juste avant de quitter l’appareil tirez les poign</t>
    </r>
    <r>
      <rPr>
        <sz val="11"/>
        <color rgb="FF963634"/>
        <rFont val="Calibri"/>
        <family val="2"/>
        <charset val="204"/>
      </rPr>
      <t>ées rouges</t>
    </r>
    <r>
      <rPr>
        <sz val="11"/>
        <color rgb="FF963634"/>
        <rFont val="Calibri"/>
        <family val="2"/>
        <charset val="204"/>
        <scheme val="minor"/>
      </rPr>
      <t xml:space="preserve"> pour gonflez le gilet.</t>
    </r>
  </si>
  <si>
    <t>Vous devez prendre la pose de protection au moment d’un atterrissage forcé. Nous vous la montrons maintenant.</t>
  </si>
  <si>
    <t>Nous avons été informés qu’il est possible qu’un explosif se trouve dans un de nos avions.</t>
  </si>
  <si>
    <r>
      <t>Afin d’assurer notre sécurité, il nous faut prendre toutes les mesures de précaution et effectuer le contr</t>
    </r>
    <r>
      <rPr>
        <sz val="11"/>
        <color rgb="FF963634"/>
        <rFont val="Calibri"/>
        <family val="2"/>
        <charset val="204"/>
      </rPr>
      <t>ôle supplementaire de</t>
    </r>
    <r>
      <rPr>
        <sz val="11"/>
        <color rgb="FF963634"/>
        <rFont val="Calibri"/>
        <family val="2"/>
        <charset val="204"/>
        <scheme val="minor"/>
      </rPr>
      <t xml:space="preserve"> l’appareil.</t>
    </r>
  </si>
  <si>
    <t>Nous vous prions de garder votre calme et de nous aider.</t>
  </si>
  <si>
    <t xml:space="preserve">(Hier spricht Ihr Kapitän.) </t>
  </si>
  <si>
    <t>СБ: Der Flugkapitän teilt folgendes mit. Wir haben unseren Zielflughafen erreicht. Im Namen der Besatzung dankt er Ihnen, daß Sie mit „Aeroflot – Russian Airlines“, einem SkyTeam Mitglied (und mit der Fluggesellschaft… [название авиакомпании по код-шер]) geflogen sind. Wir wünschen Ihnen einen angenehmen Tag/Abend. Danke für Ihre Aufmerksamkeit. Aufwiedersehen.</t>
  </si>
  <si>
    <t xml:space="preserve">Um die Gesundheit der Fluggäste zu schützen und die Erfüllung der Anforderungen der Russischen und Internationalen Gesundheitsorgáne zu gewährleisten, geben die Flugbegleiter Ihnen die persönlichen Masken aus. </t>
  </si>
  <si>
    <t>Entfernen Sie alle Gegenstände, duch die Sie verletzt werden können: Kugelschreiber, Brillen, Kontaktlinsen, Zahnprothesen... Verstauen Sie diese Dinge in Ihrem Handgepäck oder zwischen den Sitzen ihres Sessels.</t>
  </si>
  <si>
    <t>Наш экипаж приветствует вас на борту самолета… [выбрать необходимое]:</t>
  </si>
  <si>
    <t>Wir möchten uns für die entstandenen Unannehmlichkeiten wegen des verzögerten Abflugs entschuldigen. [указать причину]:</t>
  </si>
  <si>
    <t>по метеоусловиям аэропорта отправления/аэропорта прибытия/на маршруте;</t>
  </si>
  <si>
    <t>weather conditions at the departure airport/destination airport/along the route;</t>
  </si>
  <si>
    <t>the late arrival of transit passengers;</t>
  </si>
  <si>
    <t>the late arrival of the aircraft;</t>
  </si>
  <si>
    <t>в связи с подготовкой самолета к вылету службами аэропорта;</t>
  </si>
  <si>
    <t>final preparations for the flight by the airport staff;</t>
  </si>
  <si>
    <t>strike of the airport service personnel;</t>
  </si>
  <si>
    <t>в связи с интенсивностью воздушного движения в зоне аэропорта;</t>
  </si>
  <si>
    <t>intense air traffic in the airport area;</t>
  </si>
  <si>
    <t>в связи с ожиданием разрешения на вылет по причине большой загруженности аэропорта;</t>
  </si>
  <si>
    <t>waiting for the take off clearance because of heavy traffic at the airport;</t>
  </si>
  <si>
    <t>operational reasons.</t>
  </si>
  <si>
    <t>aux raisons opérationnelles.</t>
  </si>
  <si>
    <t>las razones operativas.</t>
  </si>
  <si>
    <t>Приоритетом нашей компании является ваша безопасность и комфорт. [выбрать из вариантов]:</t>
  </si>
  <si>
    <t>Your safety and comfort is our priority. [выбрать из вариантов]:</t>
  </si>
  <si>
    <t>Votre sécurité et comfort sont nos priorités. [выбрать из вариантов]:</t>
  </si>
  <si>
    <t>Ihre Sicherheit und Ihr Komfort sind für uns oberste Priorität. [выбрать из вариантов]:</t>
  </si>
  <si>
    <t>Su seguridad y comodidad es nuestra prioridad. [выбрать из вариантов]:</t>
  </si>
  <si>
    <t>Сообщение транслируется только на государственном языке страны направления</t>
  </si>
  <si>
    <t>В777</t>
  </si>
  <si>
    <t>aux conditions météo à l'aéroport de départ/ à l'aéroport d'arrivée/ en cours de route;</t>
  </si>
  <si>
    <t>à l'arrivée tardive de passagers en transit;</t>
  </si>
  <si>
    <t>à l'arrivée tardive de l'appareil;</t>
  </si>
  <si>
    <t>à un mouvement de grève du personnel de l'aéroport;</t>
  </si>
  <si>
    <t>la huelga del personal del aeropuerto;</t>
  </si>
  <si>
    <t>las condiciones meteorológicas en el aeropuerto de salida/aeropuerto de destino/en la ruta de vuelo;</t>
  </si>
  <si>
    <t>la espera de pasajeros en tránsito;</t>
  </si>
  <si>
    <t>el retraso de la llegada del avión;</t>
  </si>
  <si>
    <t>Мы ожидаем разрешения на взлет. Это займет… минут/несколько минут.</t>
  </si>
  <si>
    <t>В полете мы предложим вам… [выбрать необходимое]:</t>
  </si>
  <si>
    <t>During the flight we will serve… [выбрать необходимое]:</t>
  </si>
  <si>
    <t>Pendant le vol, nous vous servirons… [выбрать необходимое]:</t>
  </si>
  <si>
    <t>Durante el vuelo les ofreceremos… [выбрать необходимое]:</t>
  </si>
  <si>
    <t>легкие закуски [для рейсов, на которых выдается сэндвич в классе Эконом];</t>
  </si>
  <si>
    <t>light snacks [для рейсов, на которых выдается сэндвич в классе Эконом];</t>
  </si>
  <si>
    <t>une collation [для рейсов, на которых выдается сэндвич в классе Эконом];</t>
  </si>
  <si>
    <t>einen kleinen Imbiss [для рейсов, на которых выдается сэндвич в классе Эконом];</t>
  </si>
  <si>
    <t>un refrigerio [для рейсов, на которых выдается сэндвич в классе Эконом];</t>
  </si>
  <si>
    <t>завтрак;</t>
  </si>
  <si>
    <t>обед;</t>
  </si>
  <si>
    <t>breakfast;</t>
  </si>
  <si>
    <t>lunch;</t>
  </si>
  <si>
    <t>un petit déjeuner;</t>
  </si>
  <si>
    <t>un déjeuner;</t>
  </si>
  <si>
    <t>Frühstück;</t>
  </si>
  <si>
    <t>Mittagessen;</t>
  </si>
  <si>
    <t>un desayuno;</t>
  </si>
  <si>
    <t>un almuerzo;</t>
  </si>
  <si>
    <t>ужин.</t>
  </si>
  <si>
    <t>dinner.</t>
  </si>
  <si>
    <t>un diner.</t>
  </si>
  <si>
    <t>Abendessen.</t>
  </si>
  <si>
    <t>una cena.</t>
  </si>
  <si>
    <t>В полете мы предложим вам… [выбрать 1-й рацион питания]:</t>
  </si>
  <si>
    <t>During the flight we will serve… [выбрать 1-й рацион питания]:</t>
  </si>
  <si>
    <t>Pendant le vol, nous vous servirons… [выбрать 1-й рацион питания]:</t>
  </si>
  <si>
    <t>Im Flug werden wir… [выбрать 1-й рацион питания]:</t>
  </si>
  <si>
    <t>Durante el vuelo les ofreceremos… [выбрать 1-й рацион питания]:</t>
  </si>
  <si>
    <t>и… [выбрать 2-й рацион питания]:</t>
  </si>
  <si>
    <t>and… [выбрать 2-й рацион питания]:</t>
  </si>
  <si>
    <t>et… [выбрать 2-й рацион питания]:</t>
  </si>
  <si>
    <t>y… [выбрать 2-й рацион питания]:</t>
  </si>
  <si>
    <t>легкие закуски;</t>
  </si>
  <si>
    <t>light snacks;</t>
  </si>
  <si>
    <t>une collation;</t>
  </si>
  <si>
    <t>un refrigerio;</t>
  </si>
  <si>
    <t>Информация по трассе для ВС, не оснащенных IFE System (карта полета не демонстрируется) (КВС или СБ) (дневной рейс от 2 часов и более)</t>
  </si>
  <si>
    <t>Время предоставления информации определяет СБ, учитывая отдых пассажиров</t>
  </si>
  <si>
    <t>Через несколько минут мы предложим вам… [выбрать необходимое]:</t>
  </si>
  <si>
    <t>We will shortly be serving… [выбрать необходимое]:</t>
  </si>
  <si>
    <t>Dans quelques minutes on va vous servir… [выбрать необходимое]:</t>
  </si>
  <si>
    <t>En breve le serviremos… [выбрать необходимое]:</t>
  </si>
  <si>
    <t>Для ВС, не оснащенных IFE System (карта полета не демонстрируется)</t>
  </si>
  <si>
    <t>Each arriving traveller or a responsible family member must fill in a customs declaration. Only one declaration is required for a family.</t>
  </si>
  <si>
    <t>В соответствии с требованиями властей… [название страны назначения] прибывающим пассажирам, кроме граждан… [название страны], необходимо заполнить… [выбрать необходимое]:</t>
  </si>
  <si>
    <t>The authorities of… [название страны назначения] require that all passengers, except citizens of… [название страны] complete… [выбрать необходимое]:</t>
  </si>
  <si>
    <t>Las autoridades de… [название страны назначения] requieren que todos los pasajeros, excluidos los ciudadanos de… [название страны] llenen… [выбрать необходимое]:</t>
  </si>
  <si>
    <t>Conformement aux exigences des autorités de… [название страны назначения] tous les passagers sauf les citoyens de la… [название страны] doivent remplir… [выбрать необходимое]:</t>
  </si>
  <si>
    <t>карточку по прилету;</t>
  </si>
  <si>
    <t>иммиграционную карточку;</t>
  </si>
  <si>
    <t>миграционную карточку;</t>
  </si>
  <si>
    <t>таможенную декларацию;</t>
  </si>
  <si>
    <t>a landing card;</t>
  </si>
  <si>
    <t>an immigration card;</t>
  </si>
  <si>
    <t>a migration card;</t>
  </si>
  <si>
    <t>a customs declaration;</t>
  </si>
  <si>
    <t>une carte de débarquement;</t>
  </si>
  <si>
    <t>une carte d'émigration;</t>
  </si>
  <si>
    <t>une déclaration de douane;</t>
  </si>
  <si>
    <t>eine Karte bei der Ankunft;</t>
  </si>
  <si>
    <t>eine Einwanderungskarte;</t>
  </si>
  <si>
    <t>eine Migrationskarte;</t>
  </si>
  <si>
    <t>eine Zollerklärung;</t>
  </si>
  <si>
    <t>una tarjeta de aterrizaje;</t>
  </si>
  <si>
    <t>una tarjeta de inmigración;</t>
  </si>
  <si>
    <t>una tarjeta de migración;</t>
  </si>
  <si>
    <t>una declaración de aduanas;</t>
  </si>
  <si>
    <t>медицинскую декларацию.</t>
  </si>
  <si>
    <t>a medical declaration.</t>
  </si>
  <si>
    <t>une déclaration médicale.</t>
  </si>
  <si>
    <t>eine Gesundheitserklärung.</t>
  </si>
  <si>
    <t>una declaración médica.</t>
  </si>
  <si>
    <t>Вниманию трансферных пассажиров! [выбрать необходимое]:</t>
  </si>
  <si>
    <t>Information for transfer passengers! [выбрать необходимое]:</t>
  </si>
  <si>
    <t>Cette information concerne les passagers en transfert! [выбрать необходимое]:</t>
  </si>
  <si>
    <t>Meine Damen und Herren! Und hier noch Informationen für Transferfluggäste. [выбрать необходимое]:</t>
  </si>
  <si>
    <t>Información para pasajeros de tránsito! [выбрать необходимое]:</t>
  </si>
  <si>
    <t>Изменились выходы на посадку на следующие рейсы [указать для каждого рейса]:</t>
  </si>
  <si>
    <t>Please pay attention to the following departure gates changes [указать для каждого рейса]:</t>
  </si>
  <si>
    <t>Die Flugsteignummern für die Anschlußflüge nach… [указать для каждого рейса] wurden abgeändert.</t>
  </si>
  <si>
    <t>Prêtez attention au changement des sorties pour les vols suivants [указать для каждого рейса]:</t>
  </si>
  <si>
    <t>Se cambiaron puertas de salida para los vuelos [указать для каждого рейса]:</t>
  </si>
  <si>
    <t>Информация для трансферных пассажиров перед посадкой в Москве – общая (СБ или PRAM) (дневной/ночной рейс)</t>
  </si>
  <si>
    <t>Наш самолет приступил к снижению и примерно через …минут совершит посадку… [выбрать необходимое]:</t>
  </si>
  <si>
    <t>The aircraft has started its descent and in approximately …minutes we will be landing… [выбрать необходимое]:</t>
  </si>
  <si>
    <t>On a commencé la descente et on va atterir aproximativement dans …minutes … [выбрать необходимое]:</t>
  </si>
  <si>
    <t>Das Flugzeug hat den Landeanflug begonnen. Wir werden in ungefähr …Minuten … [выбрать необходимое]:</t>
  </si>
  <si>
    <t>в Москве, аэропорт «Шереметьево», Терминал В/C/D/E/F, выход… [указать];</t>
  </si>
  <si>
    <t>at Moscow, Sheremetyevo Airport, Terminal B/C/D/E/F, gate… [указать];</t>
  </si>
  <si>
    <t>à Moscou, aéroport de Shéremetievo, aérogare B/C/D/E/F;</t>
  </si>
  <si>
    <t>in Moskau, auf dem Flughafen Scheremetjewo Flughafen, Terminal B/C/D/E/F landen;</t>
  </si>
  <si>
    <t>at… [название города] … [название аэропорта] airport, Terminal… [указать при наличии информации], Gate… [указать при наличии информации].</t>
  </si>
  <si>
    <t>Для рейса, на котором выдаются пледы и подушки в классе Эконом</t>
  </si>
  <si>
    <t>Дамы и господа! [выбрать необходимое]:</t>
  </si>
  <si>
    <t>Ladies and Gentlemen! [выбрать необходимое]:</t>
  </si>
  <si>
    <t>Mesdames et Messieurs! [выбрать необходимое]:</t>
  </si>
  <si>
    <t>Meine Damen und Herren! [выбрать необходимое]:</t>
  </si>
  <si>
    <t>¡Señoras y señores! [выбрать необходимое]:</t>
  </si>
  <si>
    <t>Добро пожаловать в Москву! Наш самолет совершил посадку в аэропорту «Шереметьево», Терминал В/C/D/E/F;</t>
  </si>
  <si>
    <t>Welcome to Moscow. Our aircraft has landed at Sheremetyevo Airport, Terminal B/C/D/E/F;</t>
  </si>
  <si>
    <t>Bienvenue à Moscou! Notre avion vient d'atterir à l'aéroport Shéremetievo, aérogare B/C/D/E/F;</t>
  </si>
  <si>
    <t>Willkommen in Moskau! Unser Flugzeug ist soeben auf dem Flughafen Scheremetjewo, Terminal B-C-D-E-F gelandet;</t>
  </si>
  <si>
    <t>Bienvenido a Moscú! El avión ha aterrizado en el aeropuerto Sheremetyevo, la terminal B/C/D/E/F;</t>
  </si>
  <si>
    <t>Our aircraft has landed at… [название города], … [название аэропорта] airport, Terminal… [указать].</t>
  </si>
  <si>
    <t>Наш рейс выполняется по маршруту …–… (совместно с авиакомпанией «...» [название авиакомпании по код-шер]).</t>
  </si>
  <si>
    <t>Приглашаем вас к выходу… [выбрать необходимое]:</t>
  </si>
  <si>
    <t>We invite you to exit the aircraft. Please proceed to the… [выбрать необходимое]:</t>
  </si>
  <si>
    <t>Nous vous invitons à débarquer par… [выбрать необходимое]:</t>
  </si>
  <si>
    <t>Por favor diríjanse hacia la salida… [выбрать необходимое]:</t>
  </si>
  <si>
    <t>в передний вестибюль;</t>
  </si>
  <si>
    <t>в средний вестибюль;</t>
  </si>
  <si>
    <t>в передний и средний вестибюль;</t>
  </si>
  <si>
    <t>front door;</t>
  </si>
  <si>
    <t>mid door;</t>
  </si>
  <si>
    <t>front and mid doors;</t>
  </si>
  <si>
    <t>la porte d’avant;</t>
  </si>
  <si>
    <t>la porte du milieu;</t>
  </si>
  <si>
    <t>les portes d’avant et du milieu;</t>
  </si>
  <si>
    <t>de la parte delantera;</t>
  </si>
  <si>
    <t>de la parte central;</t>
  </si>
  <si>
    <t>de la parte delantera y central;</t>
  </si>
  <si>
    <t>в передний и хвостовой вестибюль.</t>
  </si>
  <si>
    <t>front and rear doors.</t>
  </si>
  <si>
    <t>par les portes à l'avant et à l'arrière de l’appareil.</t>
  </si>
  <si>
    <t>de la parte delantera y trasera.</t>
  </si>
  <si>
    <t>im vorderen und hinteren Bereich.</t>
  </si>
  <si>
    <t xml:space="preserve">Задержка вылета рейса (15 минут и более) при нахождении пассажиров на борту (СБ или КВС) (дневной/ночной рейс) </t>
  </si>
  <si>
    <t>Наш вылет задерживается на …часов …минут … [указать причину]:</t>
  </si>
  <si>
    <t>Our flight is delayed for …hours …minutes due to… [указать причину]:</t>
  </si>
  <si>
    <t>Notre vol est retardé de …heures …minutes … [указать причину]:</t>
  </si>
  <si>
    <t>Unser Flug hat sich um (eine Stunde) …Stunden und …Minuten verzögert. Der Grund für die Verspätung ist… [указать причину]:</t>
  </si>
  <si>
    <t>Nuestro vuelo lleva …hora/horas y …minutos de retraso debido a… [указать причину]:</t>
  </si>
  <si>
    <t>по метеоусловиям аэропорта… [название аэропорта];</t>
  </si>
  <si>
    <t>в связи со снятием багажа пассажира, не явившегося на рейс;</t>
  </si>
  <si>
    <t>в связи с изменением графика выполнения полетов;</t>
  </si>
  <si>
    <t>offloading the baggage of a passenger that did not board the aircraft;</t>
  </si>
  <si>
    <t>strike of the airport staff;</t>
  </si>
  <si>
    <t>a change in the flight schedule;</t>
  </si>
  <si>
    <t>à cause de mauvaises conditions météo à l'aéroport… [название аэропорта];</t>
  </si>
  <si>
    <t>à cause de l'arrivée tardive de passagers en transit;</t>
  </si>
  <si>
    <t>à cause de la manque du passager et l’identification des bagages;</t>
  </si>
  <si>
    <t>à cause de la grève du personnel de l’aéroport;</t>
  </si>
  <si>
    <t>à cause d'un changement d’horaire des vols;</t>
  </si>
  <si>
    <t>schlechte Wetterbedingungen am Flughafen… [название аэропорта];</t>
  </si>
  <si>
    <t>die verspätete Ankunft von Transitreisenden;</t>
  </si>
  <si>
    <t>die Entfernung von Gepäck eines Reisenden, der sich nicht an Bord des Flugzeugs befindet;</t>
  </si>
  <si>
    <t>der Streik am Flughafen;</t>
  </si>
  <si>
    <t>die Änderung des Flugplans;</t>
  </si>
  <si>
    <t>las condiciones meteorológicas en el aeropuerto… [название аэропорта];</t>
  </si>
  <si>
    <t>el retraso en de la llegada de pasajeros en de tránsito;</t>
  </si>
  <si>
    <t>la retirada del equipaje de un pasajero que no ha embarcado en el avión;</t>
  </si>
  <si>
    <t>el cambio en la programación de vuelo;</t>
  </si>
  <si>
    <t>в связи с загрузкой багажа и груза службами аэропорта;</t>
  </si>
  <si>
    <t>the loading of baggage and cargo by the airport staff;</t>
  </si>
  <si>
    <t>intensive air traffic in the airport area;</t>
  </si>
  <si>
    <t>в связи с подготовкой самолета к рейсу. Аэрофлот принимает все возможные меры для нашего скорейшего вылета;</t>
  </si>
  <si>
    <t>preparations for the flight. Aeroflot is taking all possible measures to get underway as soon as possible;</t>
  </si>
  <si>
    <t>в связи с ожиданием разрешения на вылет, связанным с большой загруженностью аэропорта.</t>
  </si>
  <si>
    <t>waiting for the take off clearance due to heavy traffic at the airport.</t>
  </si>
  <si>
    <t>à cause de l’attente de l'autorisation à décoller, liée au surcharge de l'aéroport.</t>
  </si>
  <si>
    <t>die anhängige Abflugfreigabe wegen der hohen Arbeitsbelastung am Flughafen.</t>
  </si>
  <si>
    <t>estamos a la espera del permiso ya que hay acumulación de tráfico en el aeropuerto.</t>
  </si>
  <si>
    <t>Просим вас… [выбрать необходимое]:</t>
  </si>
  <si>
    <t>Please… [выбрать необходимое]:</t>
  </si>
  <si>
    <t>Veuillez… [выбрать необходимое]:</t>
  </si>
  <si>
    <t>Bitte… [выбрать необходимое]:</t>
  </si>
  <si>
    <t>Por favor… [выбрать необходимое]:</t>
  </si>
  <si>
    <t>оставаться на своих местах с застегнутыми ремнями безопасности;</t>
  </si>
  <si>
    <t>оставаться на своих местах. Через несколько минут вам будут предложены напитки (и питание);</t>
  </si>
  <si>
    <t>remain in your seat with your seat belt fastened;</t>
  </si>
  <si>
    <t>remain in your seat. We will shortly serve drinks (and food);</t>
  </si>
  <si>
    <t>rester assis et garder vos ceintures attachés;</t>
  </si>
  <si>
    <t>rester assis. Dans quelques instants nous allons vous servir les boissons (et le repas);</t>
  </si>
  <si>
    <t>bleiben Sie angeschnallt sitzen;</t>
  </si>
  <si>
    <t>bleiben Sie sitzen. Wir werden in Kürze Getränke (und Essen) servieren;</t>
  </si>
  <si>
    <t>permanezcan sentados con el cinturón de seguridad abrochado;</t>
  </si>
  <si>
    <t>permanezcan sentados en sus asientos. En breve les serviremos bebidas (y comida);</t>
  </si>
  <si>
    <t>взять с собой ручную кладь и пройти в зал ожидания. Вы будете приглашены на посадку, как только вылет самолета будет возможным. Просьба сохранять посадочный талон.</t>
  </si>
  <si>
    <t>take your hand luggage and proceed to the waiting area. You will be asked to board as soon as the aircraft is ready to depart. Please keep your boarding pass.</t>
  </si>
  <si>
    <t>prendre vos bagages à main et passer dans la salle d'attente. Vous serez invité à embarquer dès que l'avion sera prêt à partir. Veuillez garder votre carte d'embarquement.</t>
  </si>
  <si>
    <t>Nehmen Sie Ihr Handgepäck und gehen Sie zum Wartesaal. Sobald das Flugzeug abflugbereit ist, werden wir Sie zum Einsteigen auffordern. Bitte halten Sie Ihre Bordkarte bereit.</t>
  </si>
  <si>
    <t>tomen su equipaje de mano y vayan hacia el área de espera. Se les pedirá que embarquen tan pronto como el avión esté listo para despegar. Por favor guarden su tarjeta de embarque.</t>
  </si>
  <si>
    <t>Командир корабля сообщил, что наше прибытие в аэропорт… [название аэропорта] задерживается… [выбрать необходимое]:</t>
  </si>
  <si>
    <t>The Captain has informed us that our arrival at… [название аэропорта] airport is delayed… [выбрать необходимое]:</t>
  </si>
  <si>
    <t>Le commandant nous informe que notre arrivée à l'aéroport… [название аэропорта] est retardée… [выбрать необходимое]:</t>
  </si>
  <si>
    <t>Der Kapitän teilt uns folgendes mit. Unsere Ankunft in… [название аэропорта] Flughafen hat sich… [выбрать необходимое]:</t>
  </si>
  <si>
    <t>El comandante nos informa de que nuestra llegada al aeropuerto de… [название аэропорта] … [выбрать необходимое]:</t>
  </si>
  <si>
    <t>на …минут в связи с интенсивностью воздушного движения. Мы ждем разрешения на посадку;</t>
  </si>
  <si>
    <t>for …minutes due to intense air traffic, we are waiting for clearance for landing;</t>
  </si>
  <si>
    <t>de …minutes à cause de trafic aérien intense. Nous attendons l'autorisation d’atterrir;</t>
  </si>
  <si>
    <t>im Zusammenhang mit der Luftverkehrsdichte um …Minuten verzögert. Wir warten auf die Landeerlaubnis;</t>
  </si>
  <si>
    <t>lleva retraso de …minutos debido al tráfico aéreo intenso, estamos esperando permiso para aterrizar;</t>
  </si>
  <si>
    <t>по метеоусловиям аэропорта. Мы будем находиться в зоне ожидания, пока погодные условия не позволят нам совершить посадку.</t>
  </si>
  <si>
    <t>due to poor weather conditions at the airport. We will remain in a holding zone until weather conditions allow us to land.</t>
  </si>
  <si>
    <t>à cause de mauvaises conditions météo à l'aéroport. Nous serons obligés de garder la zone d’attente.</t>
  </si>
  <si>
    <t>wegen der schlechten Wetterbedingungen am Flughafen verzögert. Wir werden solange in der Warteschleife bleiben, bis die Wetterbedingungen eine Landung zulassen.</t>
  </si>
  <si>
    <t>lleva retraso debido a las malas condiciones meteorológicas en el aeropuerto. Permaneceremos en posición de espera hasta que las condiciones nos permitan aterrizar.</t>
  </si>
  <si>
    <t xml:space="preserve">Мы ожидаем разрешения на парковку от служб аэропорта. </t>
  </si>
  <si>
    <t>We are waiting for a permission to park from the airport staff.</t>
  </si>
  <si>
    <t>Доброе утро/Добрый день/Добрый вечер, дамы и господа!</t>
  </si>
  <si>
    <t>This is your Сaptain speaking. My name is … [имя и фамилия]. I would like to wish you all a Merry Christmas and a Happy New Year.</t>
  </si>
  <si>
    <t>Наш рейс выполняется по маршруту …–… (совместно с авиакомпанией «…» [название авиакомпании по код-шер]).</t>
  </si>
  <si>
    <t>Welcome on board the Aeroflot aircraft named after the… [указать определение рода деятельности из Приложения №2] … [имя и фамилия человека, в честь которого названо ВС].</t>
  </si>
  <si>
    <t>Mister/Miss…, please contact the… (cabin crew,… staff) (as you leave the aircraft).</t>
  </si>
  <si>
    <t>В случае курения/распития алкогольных напитков</t>
  </si>
  <si>
    <t>Если в аэропорту вы желаете воспользоваться услугами такси по специальным тарифам для пассажиров Аэрофлота, обратитесь к бортпроводникам… [выбрать необходимое]:</t>
  </si>
  <si>
    <t>Book your taxi in the airport at a special rate for Aeroflot passengers. For details ask your cabin crew… [выбрать необходимое]:</t>
  </si>
  <si>
    <t>Les passagers avec les tickets d’Aéroflot ont la possibilité de réserver le taxi à l’aéroport pour les tarifs spécials. Pour une information détaillée adressez-vous au personnel de cabine… [выбрать необходимое]:</t>
  </si>
  <si>
    <t>Falls Sie ein Taxi mit dem Sonderfahrpreis für die Aeroflotfluggäste zum Flughafengebäude bestellen möchten,melden Sie sich, bitte,… [выбрать необходимое]:</t>
  </si>
  <si>
    <t>при выходе из самолета;</t>
  </si>
  <si>
    <t>when leaving the aircraft;</t>
  </si>
  <si>
    <t>à la sortie de l’avion;</t>
  </si>
  <si>
    <t>beim Verlassen des Flugzeugs bei einem Ihrer Flugbegleiter;</t>
  </si>
  <si>
    <t>al salir del avión;</t>
  </si>
  <si>
    <t>до начала снижения самолета.</t>
  </si>
  <si>
    <t>before descent.</t>
  </si>
  <si>
    <t>avant la descente.</t>
  </si>
  <si>
    <t>bevor das Flugzeug den Landeanflug beginnt.</t>
  </si>
  <si>
    <t>del descenco.</t>
  </si>
  <si>
    <t>В связи с отсутствием воды в системе водоснабжения… [выбрать необходимое]:</t>
  </si>
  <si>
    <t>Due to a shortage of water,… [выбрать необходимое]:</t>
  </si>
  <si>
    <t>Pour des raisons de la pénurie d'eau… [выбрать необходимое]:</t>
  </si>
  <si>
    <t>Wegen Wasserknappheit sind die Bordtoiletten… [выбрать необходимое]:</t>
  </si>
  <si>
    <t>Debido a la escasez de agua en el sistema de suministro… [выбрать необходимое]:</t>
  </si>
  <si>
    <t>im vorderen/mittleren/hinteren Bereich des Flugzeugs außer Betrieb/ während des gesamten Fluges außer Betrieb. Sie können jedoch die Bordtoiletten im vorderen/mittleren/hinteren Bereich des Flugzeugs benutzen;</t>
  </si>
  <si>
    <t>los aseos situados en la parte delantera/central/trasera estarán fuera de servicio durante todo el vuelo/el resto del vuelo. Puede utilizar el aseo (los aseos) de la parte delantera/central/trasera del avión;</t>
  </si>
  <si>
    <t>Время, оставшееся до посадки, не позволяет нам продолжить… [выбрать необходимое]:</t>
  </si>
  <si>
    <t>The time remaining before landing is insufficient… [выбрать необходимое]:</t>
  </si>
  <si>
    <t>Le temps avant l'atterrissage ne nous permet plus… [выбрать необходимое]:</t>
  </si>
  <si>
    <t>Da wir in Kürze landen, haben wir keine Zeit mehr, um… [выбрать необходимое]:</t>
  </si>
  <si>
    <t>No disponemos de tiempo suficiente antes de aterrizar para… [выбрать необходимое]:</t>
  </si>
  <si>
    <t>При раздаче всем пассажирам «Формы представления информации»/«Анкеты прибывающего»</t>
  </si>
  <si>
    <t>Говорит командир корабля. (Командир корабля сообщил, что…) [выбрать необходимое]:</t>
  </si>
  <si>
    <t>This is your Сaptain speaking. (The Captain has informed us that…) [выбрать необходимое]:</t>
  </si>
  <si>
    <t>C’est le commandant qui vous parle. (Le commandant nous informe que…) [выбрать необходимое]:</t>
  </si>
  <si>
    <t>Hier spricht Ihr Kapitän. (Der Kapitän hat uns folgendes mitgeteilt…) [выбрать необходимое]:</t>
  </si>
  <si>
    <t>Les habla el comandante. (El comandante nos informa de que…) [выбрать необходимое]:</t>
  </si>
  <si>
    <t>По метеоусловиям аэропорта… [название аэропорта];</t>
  </si>
  <si>
    <t>В связи с производственными причинами;</t>
  </si>
  <si>
    <t>Due to weather conditions at… [название аэропорта] airport;</t>
  </si>
  <si>
    <t xml:space="preserve">Due to operational reasons; </t>
  </si>
  <si>
    <t>À cause des conditions météo à l'aéroport de… [название аэропорта];</t>
  </si>
  <si>
    <t>Pour des raisons opérationnelles;</t>
  </si>
  <si>
    <t>Wegen der Wetterbedingungen am Flughafen… [название аэропорта];</t>
  </si>
  <si>
    <t>Aus betriebsbedingten Gründen;</t>
  </si>
  <si>
    <t>Debido a las condiciones meteorológicas en el aeropuerto de… [название аэропорта];</t>
  </si>
  <si>
    <t>Por motivos operacionales;</t>
  </si>
  <si>
    <t>The airport staff at… [название аэропорта] airport in… [название города] will provide you with any necessary assistance.</t>
  </si>
  <si>
    <t>По метеоусловиям аэропорта… [название аэропорта] города … [название аэропорта];</t>
  </si>
  <si>
    <t>Due to weather conditions at… [название аэропорта] airport in … [название города];</t>
  </si>
  <si>
    <t>Информация СБ о характере аварийной ситуации – экипаж;</t>
  </si>
  <si>
    <t>По поручению командира корабля сообщаю вам, что в связи с… [указать причину], мы вынуждены… [выбрать необходимое]:</t>
  </si>
  <si>
    <t>On behalf of the Captain I must inform you that due to… [указать причину], we are forced to… [выбрать необходимое]:</t>
  </si>
  <si>
    <r>
      <rPr>
        <sz val="11"/>
        <color rgb="FF963634"/>
        <rFont val="Calibri"/>
        <family val="2"/>
        <charset val="204"/>
      </rPr>
      <t>À la</t>
    </r>
    <r>
      <rPr>
        <sz val="11"/>
        <color rgb="FF963634"/>
        <rFont val="Calibri"/>
        <family val="2"/>
        <charset val="204"/>
        <scheme val="minor"/>
      </rPr>
      <t xml:space="preserve"> demande du commandant de bord, je vous informe qu’à cause de… [указать причину], nous sommes contraints… [выбрать необходимое]:</t>
    </r>
  </si>
  <si>
    <t>Im Auftrag von dem Flugkapitän teile ich Ihnen mit, dass wir jetzt gezwungen sind, infolge (des, der) … [указать причину] … [выбрать необходимое]:</t>
  </si>
  <si>
    <t>Por el encargo del comandante les comunico que a causa de… [указать причину], estamos obligados a… [выбрать необходимое]:</t>
  </si>
  <si>
    <t>вернуться в аэропорт… [название аэропорта];</t>
  </si>
  <si>
    <t>совершить посадку в ближайшем аэропорту;</t>
  </si>
  <si>
    <t>совершить аварийную посадку на сушу;</t>
  </si>
  <si>
    <t>return to… [название аэропорта] airport;</t>
  </si>
  <si>
    <t>make an emergency landing at the alternate airport;</t>
  </si>
  <si>
    <t>make an emergency landing;</t>
  </si>
  <si>
    <t>de retourner à l’aéroport… [название аэропорта];</t>
  </si>
  <si>
    <t>d’atterrir à l’aéroport le plus proche;</t>
  </si>
  <si>
    <t>d’effectuer un atterrissage forcé sur terre;</t>
  </si>
  <si>
    <t>nach Flughafen… [название аэропорта] zurückzukehren;</t>
  </si>
  <si>
    <t>eine Notlandung auf dem nächstliegenden Flughafen zu machen;</t>
  </si>
  <si>
    <t>eine Bruchlandung zu machen;</t>
  </si>
  <si>
    <t>volver al aeropuerto… [название аэропорта];</t>
  </si>
  <si>
    <t>aterrizar en al aeropuerto más cercano;</t>
  </si>
  <si>
    <t>realizar aterrizaje de emergencia;</t>
  </si>
  <si>
    <t>совершить аварийную посадку на воду.</t>
  </si>
  <si>
    <t>make a ditching.</t>
  </si>
  <si>
    <t>d’effectuer un atterrissage forcé sur un plan d’eau.</t>
  </si>
  <si>
    <t>eine Notwasserung zu machen.</t>
  </si>
  <si>
    <t>realizar aterrizaje de emergencia sobre agua.</t>
  </si>
  <si>
    <t>Посадка произойдет через …минут. [выбрать необходимое]:</t>
  </si>
  <si>
    <t>We will be landing in …minutes. [выбрать необходимое]:</t>
  </si>
  <si>
    <t>L’atterrissage aura lieu dans …minutes. [выбрать необходимое]:</t>
  </si>
  <si>
    <t>Die Landung wird in …Minuten vollgeführt werden. [выбрать необходимое]:</t>
  </si>
  <si>
    <t>El aterrizaje se realizará en …minutos. [выбрать необходимое]:</t>
  </si>
  <si>
    <t>Спасательные службы аэропорта назначения проинформированы;</t>
  </si>
  <si>
    <t>The rescue teams of the airport of arrival are aware of our situation;</t>
  </si>
  <si>
    <t>Les services de sauvetage de l’aéroport de destination sont informés;</t>
  </si>
  <si>
    <t>Die Rettungsdienste des Zielflughafens sind informiert;</t>
  </si>
  <si>
    <t>Los servicios de salvacion del aeropuerto del destino están informados;</t>
  </si>
  <si>
    <t>Мы начинаем подготовку к аварийной посадке… [выбрать необходимое]:</t>
  </si>
  <si>
    <t>We are beginning our preparation for… [выбрать необходимое]:</t>
  </si>
  <si>
    <t>Nous nous préparons à un atterrissage forcé… [выбрать необходимое]:</t>
  </si>
  <si>
    <t>Wir treffen jetzt Vorbereitungen für die bevorstehende… [выбрать необходимое]:</t>
  </si>
  <si>
    <t>Empezamos la preparación para el aterrizaje de emergencia… [выбрать необходимое]:</t>
  </si>
  <si>
    <t>на сушу;</t>
  </si>
  <si>
    <t>emergency landing;</t>
  </si>
  <si>
    <t>sur terre;</t>
  </si>
  <si>
    <t>Notlandung;</t>
  </si>
  <si>
    <t>sobre tierra;</t>
  </si>
  <si>
    <t>на воду.</t>
  </si>
  <si>
    <t>ditching.</t>
  </si>
  <si>
    <t>sur un plan d’eau.</t>
  </si>
  <si>
    <t>Notwasserung.</t>
  </si>
  <si>
    <t>sobre agua.</t>
  </si>
  <si>
    <t>Об аварийных выходах (СБ)</t>
  </si>
  <si>
    <t>Окончание подготовки – доложить КВС</t>
  </si>
  <si>
    <t>По требованию наземных служб авиакомпании мы должны изменить план полета. Аэропорт назначения предупрежден об изменении нашего маршрута. [выбрать необходимое]:</t>
  </si>
  <si>
    <t>We have been ordered by Air Traffic Controllers to make an unscheduled landing. The airport is aware of our situation. [выбрать необходимое]:</t>
  </si>
  <si>
    <r>
      <rPr>
        <sz val="11"/>
        <color rgb="FF963634"/>
        <rFont val="Calibri"/>
        <family val="2"/>
        <charset val="204"/>
      </rPr>
      <t>À la</t>
    </r>
    <r>
      <rPr>
        <sz val="11"/>
        <color rgb="FF963634"/>
        <rFont val="Calibri"/>
        <family val="2"/>
        <charset val="204"/>
        <scheme val="minor"/>
      </rPr>
      <t xml:space="preserve"> demande des services au sol de la compagnie aérienne, nous sommes contraints de modifier le plan du vol. L’aéroport de destination a été prévenu de la modification de notre itinéraire. [выбрать необходимое]:</t>
    </r>
  </si>
  <si>
    <t>Aufgrund der Anforderung der Bodendienste der Fluggesellschaft müssen wir unseren Flugplan ändern. Unser Zielflughafen ist über die Änderung des Flugplans informiert. [выбрать необходимое]:</t>
  </si>
  <si>
    <t>Por orden de servicios de tierra de la compañia aerea estamos obligados a cambiar el plan del vuelo. El aeropuerto de destino tiene conocimiento sobre el cambio de nuestro itinerario. [выбрать необходимое]:</t>
  </si>
  <si>
    <t>Мы направляемся в ближайший аэропорт;</t>
  </si>
  <si>
    <t>Nous nous dirigeons vers l’aéroport le plus proche;</t>
  </si>
  <si>
    <t>Wir werden uns jetzt zum nächst liegenden Flughafen begeben;</t>
  </si>
  <si>
    <t>Nos dirigimos al aeropuerto más cercano;</t>
  </si>
  <si>
    <t>We will make a landing at the alternate airport;</t>
  </si>
  <si>
    <t>Просим оставаться на своих местах с застегнутыми ремнями безопасности до выключения табло «Застегните ремни». [выбрать необходимое]:</t>
  </si>
  <si>
    <t>Wir bitten Sie noch so lange angeschnallt sitzen zu bleiben, bis das Anschnallzeichen Sicherheitsgurte anschnallen“ erloschen ist. [выбрать необходимое]:</t>
  </si>
  <si>
    <t>Les pedimos que permanezcan en sus asientos con los cinturones de seguridad abrochados hasta que se apague el indicador “Abroche el cinturón”. [выбрать необходимое]:</t>
  </si>
  <si>
    <t>Просим вас взять с собой ручную кладь и покинуть самолет;</t>
  </si>
  <si>
    <t>Please take your personal belongings and leave the aircraft;</t>
  </si>
  <si>
    <t>Nous vous prions de prendre vos objets personnels et de quitter l’avion;</t>
  </si>
  <si>
    <t>Wir bitten Sie, Ihre persönlichen Gegenstände mitzunehmen und das Flugzeug zu verlassen;</t>
  </si>
  <si>
    <t>Les pedimos llevar consigo los objetos personales y abandonar el avión;</t>
  </si>
  <si>
    <t xml:space="preserve">C’est le commandant qui vous parle. </t>
  </si>
  <si>
    <t>Sehr geehrte Damen und Herren! [выбрать необходимое]:</t>
  </si>
  <si>
    <t xml:space="preserve">Об Инструкции по безопасности (СБ) </t>
  </si>
  <si>
    <t>La vitesse est …kilomètres (miles*) à l'heure.</t>
  </si>
  <si>
    <t>La distance est …kilomètres (miles*).</t>
  </si>
  <si>
    <t>When leaving the plane through overwing emergency exits follow the rule: "LEG-BODY-LEG". Remain on the wing. Follow the instructions of the crew.</t>
  </si>
  <si>
    <t>When you hear the command "Safety position", I repeat "Safety position" push the backrest in front of you forward.</t>
  </si>
  <si>
    <t>Hier spricht Ihr Kapitän. (Der Kapitän teilt folgendes mit…) [выбрать необходимое]:</t>
  </si>
  <si>
    <t>Unsere Crew begrüßt Sie herzlich an Bord des Flugzeugs [выбрать необходимое]:</t>
  </si>
  <si>
    <t>Nuestra tripulación les da la bienvenida a bordo de este [выбрать необходимое]:</t>
  </si>
  <si>
    <t>Our flight today is from… to… (and it is operated jointly with… [название авиакомпании по код-шер]).</t>
  </si>
  <si>
    <t>Приносим вам свои извинения за причиненные неудобства в связи с задержкой вылета, произошедшей [указать причину]:</t>
  </si>
  <si>
    <t>We apologise for the delay of departure due to [указать причину]:</t>
  </si>
  <si>
    <t>Veuillez accepter nos excuses pour le retard dû [указать причину]:</t>
  </si>
  <si>
    <t>Les pedimos disculpas por el retraso en la salida, que se debe a [указать причину]:</t>
  </si>
  <si>
    <t>We are looking for (a) … [указать что именно] which has (have) been lost by one of the passengers. If you find it (them), please give it (them) to the cabin crew.</t>
  </si>
  <si>
    <t>A (an) … [указать что именно] has been found in the… [указать где: cabin section, lavatory, др.]. If you think it is yours please contact the cabin crew.</t>
  </si>
  <si>
    <t>Надеемся, что сегодняшний полет доставил вам удовольствие. Будем рады новой встрече с вами.</t>
  </si>
  <si>
    <t>We hope that you enjoyed your flight and look forward to seeing you again.</t>
  </si>
  <si>
    <t>Wir hoffen, daß Sie heute den Flug genossen haben, und freuen uns darauf, Sie bald wieder an Bord begrüßen zu dürfen.</t>
  </si>
  <si>
    <t>Esperamos que haya disfrutado de su vuelo y esperamos verle de nuevo.</t>
  </si>
  <si>
    <t xml:space="preserve">The FASTEN SEATBELT sign is off and you may move about the cabin. </t>
  </si>
  <si>
    <t>You will be able to use the chargeable service of mobile connection and Internet access on board our aircraft when the NO MOBILE sign is off.</t>
  </si>
  <si>
    <t>You will be able to use the chargeable service of Internet access on board our aircraft when the NO MOBILE sign is off.</t>
  </si>
  <si>
    <t>Please remain seated with your seat belt fastened until the FASTEN SEATBELT sign is off.</t>
  </si>
  <si>
    <t>The Captain has switched on the FASTEN SEATBELT sign.</t>
  </si>
  <si>
    <t xml:space="preserve">To ensure your safety, please remain in your seat with your seat belt fastened until the FASTEN SEATBELT sign is off. </t>
  </si>
  <si>
    <t>For your own safety, please remain seated until the aircraft comes to a complete stop and the FASTEN SEATBELT sign is off.</t>
  </si>
  <si>
    <t>Due to a malfunction of the… [указать: FASTEN SEATBELT, NO MOBILE] sign we ask you to pay attention to the announcements and follow the crew instructions.</t>
  </si>
  <si>
    <t>Each exit is marked with an illuminated EXIT sign.</t>
  </si>
  <si>
    <t>Please stay in your seat with your seat belt fastened until the FASTEN SEAT BELT sign is turned off. [выбрать необходимое]:</t>
  </si>
  <si>
    <t>PRAM: Наш экипаж приветствует вас на борту самолета авиакомпании «Аэрофлот – российские авиалинии», участника международного альянса SkyTeam.</t>
  </si>
  <si>
    <t>PRAM: Unsere Crew begrüßt Sie herzlich an Bord des Flugzeugs der „Aeroflot – Russian Airlines“, eines Mitglieds der internationalen SkyTeam Allianz.</t>
  </si>
  <si>
    <t>PRAM: Nuestra tripulación les da la bienvenida a bordo de este avión de la compañía aerea “Aeroflot – Russian Airlines”, miembro de la alianza internaсional SkyTeam.</t>
  </si>
  <si>
    <t xml:space="preserve">PRAM: Обращаем ваше внимание, что в течение всего полета запрещено употребление алкогольных напитков, кроме предложенных на борту, а также курение, в том числе электронных сигарет. </t>
  </si>
  <si>
    <t xml:space="preserve">PRAM: Please note that consumption of alcohol not offered aboard is strictly prohibited, as well as smoking of any kind – including electronic cigarettes. </t>
  </si>
  <si>
    <t xml:space="preserve">PRAM: Nous vous rappelons que il est uniquement permis de consommer les boissons alcoolisées servies à bord. Il est également interdit de fumer, y compris les cigarettes électroniques. </t>
  </si>
  <si>
    <t xml:space="preserve">PRAM: Dürfen wir Sie daran erinnern, daß der Genuss alkoholischer Getränke, die nicht an Bord des Flugzeugs angeboten werden, während des Flugs verboten ist. Auch jegliches Rauchen – elektronische Zigaretten inbegriffen – ist streng untersagt. </t>
  </si>
  <si>
    <t xml:space="preserve">PRAM: Les recordamos que en este vuelo, el consumo de alcohol que no se haya ofrecido a bordo del avión, así como fumar – cigarrillos electrónicos incluidos – está prohibido. </t>
  </si>
  <si>
    <t>PRAM: Туалетные комнаты для пассажиров бизнес-класса расположены в передней части самолета, для пассажиров экономического класса – в хвостовой части самолета.</t>
  </si>
  <si>
    <t>PRAM: The lavatories for business class passengers are located in the front compartment of the aircraft and for economy class passengers in the back compartment of the aircraft.</t>
  </si>
  <si>
    <t>PRAM: Les toilettes pour les passagers de la classe affaire sont situées à l'avant de l'appareil, pour les passagers de la classe économique les toilettes se trouvent à l'arrière de l'appareil.</t>
  </si>
  <si>
    <t>PRAM: Die Bordtoiletten für Passagiere der Business-Klasse sind im vorderen Teil des Flugzeugs. Die Bordtoiletten für Economy-Class Passagiere sind im hinteren Teil des Flugzeugs.</t>
  </si>
  <si>
    <t xml:space="preserve">PRAM: Los aseos para los pasajeros de la clase business se encuentran situados en la parte delantera del avión; los de la clase económica en la parte trasera del avión. </t>
  </si>
  <si>
    <t>СБ: Доброе утро / Добрый день / Добрый вечер, дамы и господа!</t>
  </si>
  <si>
    <t>СБ: Good morning/ afternoon/ evening, Ladies and Gentlemen!</t>
  </si>
  <si>
    <t xml:space="preserve">СБ: Bonjour/ bonsoir, Mesdames et Messieurs! </t>
  </si>
  <si>
    <t>СБ: Guten Morgen/Tag/Abend, meine Damen und Herren!</t>
  </si>
  <si>
    <t>СБ: ¡Buenos días/Buenas tardes/noches, señoras y señores!</t>
  </si>
  <si>
    <t>СБ: El comandante… [имя и фамилия] en nombre de toda la tripulación y de “Aeroflot – Russian Airlines” les da la bienvenida a bordo de este… [тип ВС].</t>
  </si>
  <si>
    <t>СБ: Обращаем ваше внимание, что на борту запрещено употребление алкогольных напитков, принесенных с собой, и курение, в том числе электронных сигарет.</t>
  </si>
  <si>
    <t>СБ: Please note that consumption of alcohol not offered aboard is strictly prohibited, as well as smoking of any kind – including electronic cigarettes.</t>
  </si>
  <si>
    <t xml:space="preserve">СБ: Nous vous informons qu’ il est strictement interdit de consommer les boissons alcoolisées amenés à bord. Il est également interdit de fumer, y compris les cigarettes électroniques. </t>
  </si>
  <si>
    <t>СБ: Dürfen wir Sie daran erinnern, daß der Genuss alkoholischer Getränke, die Sie an Bord mitgebracht haben, während des Flugs verboten ist. Auch jegliches Rauchen, elektronische Zigaretten inbegriffen ist streng untersagt.</t>
  </si>
  <si>
    <t>СБ: Les recordamos que en este vuelo, el consumo de alcohol que no se haya ofrecido a bordo del avión , así como fumar – cigarrillos electrónicos incluidos – está prohibido.</t>
  </si>
  <si>
    <t>СБ: Туалетные комнаты для пассажиров класса Бизнес расположены в передней части самолета, для пассажиров класса Эконом – в хвостовой части (в хвостовой и средней частях) самолета.</t>
  </si>
  <si>
    <t>СБ: The lavatories for business class passengers are located in the front compartment of the aircraft and for economy class passengers in the back compartment (in the back and mid compartments) of the aircraft.</t>
  </si>
  <si>
    <t>СБ: Les toilettes pour les passagers de la classe affaire sont situées à l'avant de l'appareil, pour les passagers de la classe économique les toilettes se trouvent à l'arrière de l'appareil (à l'arrière et au milieu de l'appareil).</t>
  </si>
  <si>
    <t>СБ: Die Bordtoiletten für Passagiere der Business-Klasse sind im vorderen Teil des Flugzeugs. Die Bordtoiletten für Economy-Class Passagiere sind im hinteren (im mittleren und im hinteren) Teil des Flugzeugs.</t>
  </si>
  <si>
    <t>СБ: Los aseos para los pasajeros de la clase business se encuentran situados en la parte delantera del avión; los de la clase económica en la parte trasera del avión (media y trasera del avión).</t>
  </si>
  <si>
    <t xml:space="preserve">PRAM/СБ: Обращаем ваше внимание, что по правилам безопасности полета ручная кладь должна быть размещена на багажной полке или под сиденьем кресла перед вами. Будьте осторожны, открывая багажную полку. </t>
  </si>
  <si>
    <t>PRAM/СБ: Safety regulations require that hand luggage is stowed in overhead bins or under the seat in front of you. Please be careful when opening the overhead bins.</t>
  </si>
  <si>
    <t>PRAM/СБ: Pour des raisons de sécurité, les bagages à main doivent être rangés sous le siège devant vous ou dans les coffres à bagages. Veuillez faire attention à l'ouverture des coffres à bagages.</t>
  </si>
  <si>
    <t>PRAM/СБ: Gemäß der Sicherheitsgründen muss das Handgepäck unter dem Vordersitz oder in der Gepäckablage verstaut werden. Bitte seien Sie vorsichtig, wenn Sie die Gepäckablagen öffnen.</t>
  </si>
  <si>
    <t>PRAM/СБ: Presten su atención que las normas de seguridad requieren que el equipaje de mano sea guardado debajo del asiento delantero o en los compartimientos superiores. Por favor tenga cuidado al abrir estos compartimientos.</t>
  </si>
  <si>
    <t>PRAM/СБ: Туалетные комнаты оборудованы детекторами дыма.</t>
  </si>
  <si>
    <t>PRAM/СБ: All lavatories are equipped with smoke detectors.</t>
  </si>
  <si>
    <t>PRAM/СБ: Toutes les toilettes sont équipées de détecteurs de fumée.</t>
  </si>
  <si>
    <t>PRAM/СБ: Alle Toiletten sind mit Rauchmeldern ausgerüstet.</t>
  </si>
  <si>
    <t>PRAM/СБ: Todos los aseos están equipados con detectores de humo.</t>
  </si>
  <si>
    <t>Para garantizar su seguridad, por favor permanezcan sentados con el cinturón de seguridad abrochado hasta que se apague la señal de “Cinturones abrochados”.</t>
  </si>
  <si>
    <t>los últimos preparativos para el vuelo por los servicios terrestres;</t>
  </si>
  <si>
    <t>aux préparatifs finals du vol par les services au sol de l'aéroport;</t>
  </si>
  <si>
    <t>por razónes del trafico aereo intenso;</t>
  </si>
  <si>
    <t>au trafic aérien intense dans une zone de l'aéroport;</t>
  </si>
  <si>
    <t>Die Ursache ist die Luftverkehrsdichte im Flughafenbereich.</t>
  </si>
  <si>
    <t>a l'attente de l'autorisation pour le vol, liée au trafic aérien intense de l'aéroport;</t>
  </si>
  <si>
    <t>Die Ursache ist die Erwartung der Abflugfreigabe infolge der hohen Arbeitsbelastung des Flughafens.</t>
  </si>
  <si>
    <t>Nous vous prions d'accepter nos excuses pour les inconveniants rencontres.</t>
  </si>
  <si>
    <t>einen leichten Imbiss;</t>
  </si>
  <si>
    <t>el embarque del equipaje y mercancías por los servicios terrestres;</t>
  </si>
  <si>
    <t>à cause du chargement des bagages et du fret par les services au sol de l'aéroport;</t>
  </si>
  <si>
    <t>die Gepäck-und-Frachtabfertigung von den Flughafenbodendiensten;</t>
  </si>
  <si>
    <t>preparativos para el vuelo. Aeroflot haga todo lo posible para despegar cuanto antes;</t>
  </si>
  <si>
    <t>à cause des préparatifs du vol. Aeroflot fait tout possible pour partir le plus vite;</t>
  </si>
  <si>
    <t>die Flugzeugabfertiung. Aeroflot tut ihr Bestes, damit wir sobald wie möglich starten können;</t>
  </si>
  <si>
    <t>por razónes del trafico aereo intens;</t>
  </si>
  <si>
    <t>die Luftverkehrsdichte im Flughafenbereich;</t>
  </si>
  <si>
    <t>Nous vous prions d’accepter nos excuses pour les inconveniants rencontres.</t>
  </si>
  <si>
    <t>Estamos a la espera del permiso de los servicios terrestres para aparacar.</t>
  </si>
  <si>
    <t>Nous attendons la permission de parking des services au sol de l'aéroport.</t>
  </si>
  <si>
    <t>Wir warten auf die Erlaubnis, von den Flughafenbodendiensten unsere entgültige Parkposition einzunehmen.</t>
  </si>
  <si>
    <t>Уважаемые постоянные клиенты – участники программы «Аэрофлот Бонус» и бонусных программ альянса SkyTeam уровней Elite и Elite Plus! Мы благодарим вас за выбор авиакомпаний Группы Аэрофлот.</t>
  </si>
  <si>
    <t>Dear regular customers – members of the Aeroflot Bonus program and members of the SkyTeam Frequent Flyer Programs, Elite and Elite Plus levels, we thank you for choosing the airlines of Aeroflot Group.</t>
  </si>
  <si>
    <t>PRAM: Welcome on board “Aeroflot – Russian Airlines”, a member of the international SkyTeam alliance.</t>
  </si>
  <si>
    <t>“Aeroflot – Russian Airlines”, a member of the international SkyTeam alliance, welcomes you on board the aircraft [выбрать необходимое]:</t>
  </si>
  <si>
    <t>This is your captain speaking. My name is … [имя и фамилия]. On behalf of our crew and “Aeroflot – Russian Airlines” I would like to welcome you on board the aircraft… [тип ВС].</t>
  </si>
  <si>
    <t xml:space="preserve">We invite you to purchase items from the “Sky Shop”. </t>
  </si>
  <si>
    <t>You can purchase items from the “Sky Shop” after the meal service has been completed.</t>
  </si>
  <si>
    <t>For your convenience, you can fill out the In-flight shopping coupon in the “Sky Shop” catalogue and hand it to a cabin attendant. Your purchase will be completed before the aircraft starts to descend.</t>
  </si>
  <si>
    <t>Nous vous invitons à faire les achats du “Sky Shop”, après le service du repas.</t>
  </si>
  <si>
    <t>The in-flight entertainment program is presented in the “Cinema” movie guide.</t>
  </si>
  <si>
    <t>Our in-flight entertainment program is presented in the “Cinema” movie guide. You can watch it for free, just connect to Wi-Fi on your electronic device, then open any browser.</t>
  </si>
  <si>
    <t>Enable Wi-Fi on your personal device, connect to the access point “Aeroflot” and open your web-browser.</t>
  </si>
  <si>
    <t>We are ready to offer you “Sky Shop” goods for purchase.</t>
  </si>
  <si>
    <t>“Aeroflot – Russian Airlines” presents the Frequent Flyer Program Aeroflot Bonus. You can earn air miles and exchange them for award tickets on the airlines of Aeroflot Group and SkyTeam, as well as on services offered by partners all over the world.</t>
  </si>
  <si>
    <t xml:space="preserve">You can find instructions for completing the forms in the “Aeroflot” magazine. </t>
  </si>
  <si>
    <t>If you need to check in for a connecting flight or need any information, please contact the “Transfer” desk staff.</t>
  </si>
  <si>
    <t>Transfer passengers, please see detailed information about the terminals layout and transfer check-in desks location at the “Aeroflot” magazine.</t>
  </si>
  <si>
    <t>The airport plan is given in the “Aeroflot” magazine.</t>
  </si>
  <si>
    <t>On behalf of our crew, thank you for choosing “Aeroflot – Russian Airlines”, a SkyTeam member (and… [название авиакомпании по код-шер]).</t>
  </si>
  <si>
    <t>Information regarding the use of electronic devices on board can be found in the “Aeroflot” magazine.</t>
  </si>
  <si>
    <t>Cette information concerne les passagers en transfert.</t>
  </si>
  <si>
    <t>PRAM: “Aeroflot – Russian Airlines”, membre de l'alliance internationale SkyTeam, vous souhaite la bienvenue à bord de l’avion.</t>
  </si>
  <si>
    <t>“Aeroflot – Russian Airlines”, membre de l'alliance internationale SkyTeam, vous souhaite la bienvenue à bord de [выбрать необходимое]:</t>
  </si>
  <si>
    <t>Je suis votre commandant de bord… [имя и фамилия]. De la part de l’ équipage et d' “Aeroflot – Russian Airlines” je vous souhaite la bienvenue à bord de… [тип ВС].</t>
  </si>
  <si>
    <t>Nous sommes heureux d'accueillir nos clients fréquents qui participent au programme “Aéroflot Bonus” et aux programmes de l’alliance Sky Team des niveaux Elite et Elite Plus. Nous vous remercions d’avoir choisi les compagnies aériènnes faisant partie d’un Groupe Aéroflot.</t>
  </si>
  <si>
    <t>1. Votre ceinture doit être attachée dès que la consigne “Attacher votre ceinture” est allumée.</t>
  </si>
  <si>
    <t>Nous vous invitons à faire les achats du “Sky Shop”.</t>
  </si>
  <si>
    <t>Vous pouvez remplir le coupon de commande dans le catalogue “Sky Shop” et le présenter à un personnel de bord. Votre achat sera alors complété avant la descente.</t>
  </si>
  <si>
    <t>Le programme de divertissement audio et video est présenté dans la brochure “Сinéma”.</t>
  </si>
  <si>
    <t>La consigne “Attachez vos ceintures” vient de s'éteindre. Vous pouvez vous déplacer dans la cabine.</t>
  </si>
  <si>
    <r>
      <t>Une information détaillée sur l’utilisation des appareils électroniques à bord est présentée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</si>
  <si>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Le programme de divertissement est présenté dans la brochure “Сinéma”. Activez le Wi-Fi de votre appareil éléctronique et démarrez le navigateur. Ce service est gratuit.</t>
  </si>
  <si>
    <t>A bord de notre avion vous pouvez utilizer le service payable de la connection mobile et l’accès à l’Internet quand le signal lumineux “Arrêter les téléphone” est éteint.</t>
  </si>
  <si>
    <t>A bord de notre avion vous pouvez utiliser le service payable de l’accès à l’Internet quand le signal lumineux “Arrêter les téléphones” est éteint.</t>
  </si>
  <si>
    <r>
      <t>Activez le Wi-Fi dans votre appareil personnel, sélectionnez le réseau “Aeroflot”, d</t>
    </r>
    <r>
      <rPr>
        <sz val="11"/>
        <color rgb="FF963634"/>
        <rFont val="Calibri"/>
        <family val="2"/>
        <charset val="204"/>
      </rPr>
      <t>émarr</t>
    </r>
    <r>
      <rPr>
        <sz val="11"/>
        <color rgb="FF963634"/>
        <rFont val="Calibri"/>
        <family val="2"/>
        <charset val="204"/>
        <scheme val="minor"/>
      </rPr>
      <t>ez le navigateur Internet.</t>
    </r>
  </si>
  <si>
    <t>Nous sommes prêts à vous proposer les articles du “Sky Shop”.</t>
  </si>
  <si>
    <r>
      <t>“A</t>
    </r>
    <r>
      <rPr>
        <sz val="11"/>
        <color rgb="FF963634"/>
        <rFont val="Calibri"/>
        <family val="2"/>
        <charset val="204"/>
      </rPr>
      <t>é</t>
    </r>
    <r>
      <rPr>
        <sz val="11"/>
        <color rgb="FF963634"/>
        <rFont val="Calibri"/>
        <family val="2"/>
        <charset val="204"/>
        <scheme val="minor"/>
      </rPr>
      <t>roflot – Russian Airlines” présente son programme de fidélité “A</t>
    </r>
    <r>
      <rPr>
        <sz val="11"/>
        <color rgb="FF963634"/>
        <rFont val="Calibri"/>
        <family val="2"/>
        <charset val="204"/>
      </rPr>
      <t>é</t>
    </r>
    <r>
      <rPr>
        <sz val="11"/>
        <color rgb="FF963634"/>
        <rFont val="Calibri"/>
        <family val="2"/>
        <charset val="204"/>
        <scheme val="minor"/>
      </rPr>
      <t>roflot Bonus”. Vous pouvez échanger vos points contre des tickets des companies du Groupe Aeroflot ou d'autres compagnies de l'alliance SkyTeam ou contre les services de nos partenaires.</t>
    </r>
  </si>
  <si>
    <t xml:space="preserve">Les compagnies aériennes faisant partie d’un Groupe Aeroflot et de l'alliance SkyTeam fournissent les privilèges supplémentaires aux propriétaires des cartes des niveaux élites “Aeroflot Bonus”. </t>
  </si>
  <si>
    <t>Veuillez attacher votre ceinture et rester assis jusqu'à l'extinction du signal “Attachez votre ceinture”.</t>
  </si>
  <si>
    <r>
      <t>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</si>
  <si>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des questions y compris le prochain enregistrement adressez-vous au salon de “Transfer”.</t>
  </si>
  <si>
    <t>Le commandant a allumé le signal “Attachez votre ceinture”.</t>
  </si>
  <si>
    <t>Attention des passagers en transfert! Une information détaillée sur la disposition des aérogares et l’enregistrement du transfert est présentée dans la révue “Aéroflot”.</t>
  </si>
  <si>
    <r>
      <t>Le plan de l’aéroport est disponible dans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</si>
  <si>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Si vous avez besoin de louer la voiture adressez-vous au bureau de location Europcar à l’aéroport. Les passagers avec les tickets d’Aéroflot et les propriétaires des cartes des niveaux élites “Aéroflot Bonus” ont les privilèges supplémentaires.</t>
  </si>
  <si>
    <t>Pour assurer votre sécurité, veuillez rester assis avec votre ceinture attachée jusqu'à l'extinction du signal “Attachez votre ceinture”.</t>
  </si>
  <si>
    <t>Pour votre sécurité, veuillez rester assis jusqu'à l'arrêt complet de l'appareil et l'extinction du signal “Attachez votre ceinture”.</t>
  </si>
  <si>
    <t xml:space="preserve">De la part de l'équipage, je vous remercíe d'avoir choisi “Aeroflot – Russian Airlines”, membre de SkyTeam (et… [название авиакомпании по код-шер]). </t>
  </si>
  <si>
    <t>This is your Сaptain speaking. My name is … [имя и фамилия]. On behalf of our crew and “Aeroflot – Russian Airlines” I would like to welcome you on board the aircraft… [тип ВС].</t>
  </si>
  <si>
    <t>On behalf of our crew and “Aeroflot – Russian Airlines” I would like to welcome you on board the aircraft… [тип ВС].</t>
  </si>
  <si>
    <t xml:space="preserve">The passenger rules of conduct are provided in the “Aeroflot” magazine. </t>
  </si>
  <si>
    <t>Thank you for choosing “Aeroflot – Russian Airlines”.</t>
  </si>
  <si>
    <t>СБ: Der Flugkapitän… [имя и фамилия] wünscht Ihnen allen frohe Weihnachten und ein glückliches Neues Jahr. Im Namen der gesamten Besatzung und von „Aeroflot – Russian Airlines“ begrüsst er Sie herzlich an Bord dieses Flugzeugs/dieser… [тип ВС].</t>
  </si>
  <si>
    <t>СБ: El comandante… [имя и фамилия] les desea a todos una Feliz Navidad y un Feliz Año Nuevo y en nombre de toda la tripulación y de “Aeroflot – Russian Airlines” le da la bienvenida a bordo de este… [тип ВС].</t>
  </si>
  <si>
    <t>De la part de l’ équipage et d' “Aeroflot – Russian Airlines” je vous souhaite la bienvenue à bord de… [тип ВС].</t>
  </si>
  <si>
    <t>СБ: Le commandant de bord… [имя и фамилия] de la part de tout l'équipage et d' “Aéroflot – Russian Airlines” vous salue à bord de l'avion… [тип ВС].</t>
  </si>
  <si>
    <t xml:space="preserve">СБ: Der Flugkapitän… [имя и фамилия] begrüßt Sie im Namen der gesamten Besatzung und im Auftrag von „Aeroflot – Russian Airlines an Bord dieses Flugzeugs/dieser… [тип ВС]. </t>
  </si>
  <si>
    <t>СБ: El comandante… [имя и фамилия] en nombre de toda la tripulación y de “Aeroflot – Russian Airlines” le da la bienvenida a bordo de este… [тип ВС].</t>
  </si>
  <si>
    <t>Jeder Ausgang ist mit einem beleuchteten Exit-Schild gekennzeichnet.</t>
  </si>
  <si>
    <t>When leaving the plane through overwing emergency exits, follow the rule: “LEG-BODY-LEG”. Run in the direction of arrows, jump, slide. Get away from the plane.</t>
  </si>
  <si>
    <t>When leaving the plane through overwing emergency exits, follow the rule: “LEG-BODY-LEG”. Run in the direction of arrows, sit down and slide along the flaps. Get away from the plane.</t>
  </si>
  <si>
    <t>Les invitamos a hacer sus compras en “Sky Shop”.</t>
  </si>
  <si>
    <t>БП: Le commandant nous informe que…</t>
  </si>
  <si>
    <t>БП: Der Flugkapitän hat uns folgendes mitgeteilt.</t>
  </si>
  <si>
    <t>БП: El comandante nos informa de que…</t>
  </si>
  <si>
    <t>C’est le (la) chef de cabine/ le commandant qui vous parle.</t>
  </si>
  <si>
    <t>Les habla la azafata responsable/ el comandante.</t>
  </si>
  <si>
    <t>Hier spricht der (die) Chefflugbegleiter(in)/ der Flugkapitän.</t>
  </si>
  <si>
    <t>СБ: Der Flugkapitän… [имя и фамилия] begrüßt Sie im Namen der gesamten Besatzung und im Auftrag von „Aeroflot – Russian Airlines“ an Bord dieses Flugzeugs/dieser… [тип ВС].</t>
  </si>
  <si>
    <t>СБ: Le commandant de bord… [имя и фамилия] de la part de tout l'équipage et d' “Aeroflot – Russian Airlines” vous salue à bord de l'avion… [тип ВС].</t>
  </si>
  <si>
    <t>Je vous souhaite un agréable vol!</t>
  </si>
  <si>
    <t>Мeine Damen und Herren!</t>
  </si>
  <si>
    <t>СБ: Nous vous souhaitons un agréable vol!</t>
  </si>
  <si>
    <t>Bienvenue à bord de l’ appareil d' “Aeroflot” qui porte le nom du… [указать oпределение рода деятельности из Приложения №2]… [имя и фамилия человека, в честь которого названо ВС].</t>
  </si>
  <si>
    <t>Высота нашего полета …метров (футов).</t>
  </si>
  <si>
    <t>Скорость – …километров (миль) в час.</t>
  </si>
  <si>
    <t>Протяженность маршрута составляет …километров (миль).</t>
  </si>
  <si>
    <t>We are currently cruising at an altitude of …meters (feet).</t>
  </si>
  <si>
    <t>The speed is …kilometres (miles) per hour.</t>
  </si>
  <si>
    <t>The distance to… [пункт назначения] is …kilometres (miles).</t>
  </si>
  <si>
    <t>Наш самолет находится в зоне турбулентности. (Информация о причине турбулентности на усмотрение КВС.)</t>
  </si>
  <si>
    <t>Our aircraft is in the area of turbulence. (Информация о причине турбулентности на усмотрение КВС.)</t>
  </si>
  <si>
    <t>Notre avion est entré dans une zone de turbulence. (Информация о причине турбулентности на усмотрение КВС.)</t>
  </si>
  <si>
    <t>Wir überfliegen gerade eine Schlechtwetterzone. (Информация о причине турбулентности на усмотрение КВС.)</t>
  </si>
  <si>
    <t>El avión está en una zona de turbulencia. (Информация о причине турбулентности на усмотрение КВС.)</t>
  </si>
  <si>
    <t>à cause du traffic aérien intens;</t>
  </si>
  <si>
    <t>СБ: Le commandant de bord… [имя и фамилия] vous souhaite un joyeux Noël et une bonne année! Le commandant de bord de la part de l'équipage et d' “Aéroflot – Russian Airlines” vous salue à bord de l'avion… [тип ВС].</t>
  </si>
  <si>
    <t>la (les) toilette(s) à l'avant/ au milieu/ à l'arrière de la cabine est (sont) hors de service. Vous pouvez utiliser les toilettes à l'avant/ au milieu/ à l'arrière de l'appareil;</t>
  </si>
  <si>
    <t>estamos a la espera del permiso para salida ya que hay acumulación de tráfico en el aeropuerto;</t>
  </si>
  <si>
    <t>Para garantizar su seguridad tenemos que interrumpir el servicio de bebidas calientes hasta que el avión salga de la zona turbulencia.</t>
  </si>
  <si>
    <t>On va arrêter le service pour proceder à la préparation à l’atterissage. Veuillez:</t>
  </si>
  <si>
    <t>Las condiciones meteorológicas en… [название города] son… (buenas, hace sol, llueve, malas и др.)</t>
  </si>
  <si>
    <t>Retirez tous les objets qui peuvent vous blesser; lunettes, lentilles, prothèses dentaires. Rangez-les dans vos bagages à main (entre les sièges).</t>
  </si>
  <si>
    <t>Nous vous prions de rester à vos places avec la ceinture de sécurité attachée jusqu’à l’extinction de la consigne «Attachez les ceintures». [выбрать необходимое]:</t>
  </si>
  <si>
    <t>[Для въезда в Японию] С порядком заполнения можно ознакомиться в журнале «Аэрофлот».</t>
  </si>
  <si>
    <t xml:space="preserve">[Для въезда в Японию] You can find instructions for completing the form in the “Aeroflot” magazine. </t>
  </si>
  <si>
    <r>
      <t>[Для въезда в Японию] Pour une information détaillée adressez-vous à la r</t>
    </r>
    <r>
      <rPr>
        <sz val="11"/>
        <color rgb="FF963634"/>
        <rFont val="Calibri"/>
        <family val="2"/>
        <charset val="204"/>
      </rPr>
      <t>é</t>
    </r>
    <r>
      <rPr>
        <sz val="11"/>
        <color rgb="FF963634"/>
        <rFont val="Calibri"/>
        <family val="2"/>
        <charset val="204"/>
        <scheme val="minor"/>
      </rPr>
      <t>vue “A</t>
    </r>
    <r>
      <rPr>
        <sz val="11"/>
        <color rgb="FF963634"/>
        <rFont val="Calibri"/>
        <family val="2"/>
        <charset val="204"/>
      </rPr>
      <t>é</t>
    </r>
    <r>
      <rPr>
        <sz val="11"/>
        <color rgb="FF963634"/>
        <rFont val="Calibri"/>
        <family val="2"/>
        <charset val="204"/>
        <scheme val="minor"/>
      </rPr>
      <t>roflot”.</t>
    </r>
  </si>
  <si>
    <t>[Для въезда в Японию] Anweisungen zum Ausfüllen der Formulare finden Sie in Ihrem „Aeroflot“-Magazin.</t>
  </si>
  <si>
    <t xml:space="preserve">[Для въезда в Японию] Pueden leer las instrucciones para cumplimentar los formularios en la revista “Aeroflot”. </t>
  </si>
  <si>
    <t xml:space="preserve">Температура +/– … градусов по Цельсию/Фаренгейту [для рейсов США/Канады]. </t>
  </si>
  <si>
    <t>and the temperature is +/–… degrees Celsius/Fahrenheit [для рейсов США/Канады].</t>
  </si>
  <si>
    <t>La température de l’air est +/–… degrés Celsius/Fahrenheit [для рейсов США/Канады].</t>
  </si>
  <si>
    <t>und die Temperatur beträgt +/–… Grad Celsius/nach Fahrenheit [для рейсов США/Канады].</t>
  </si>
  <si>
    <t>y la temperatura es de …grados bajo/sobre cero centígrados/Fahrenheit [для рейсов США/Канады].</t>
  </si>
  <si>
    <r>
      <t>La température de l’air est +/–… degr</t>
    </r>
    <r>
      <rPr>
        <sz val="11"/>
        <color rgb="FF963634"/>
        <rFont val="Calibri"/>
        <family val="2"/>
        <charset val="204"/>
      </rPr>
      <t>è</t>
    </r>
    <r>
      <rPr>
        <sz val="11"/>
        <color rgb="FF963634"/>
        <rFont val="Calibri"/>
        <family val="2"/>
        <charset val="204"/>
        <scheme val="minor"/>
      </rPr>
      <t>s Celsius/Fahrenheit [для рейсов США/Канады].</t>
    </r>
  </si>
  <si>
    <t>Die Bodentemperatur beträgt …Grad Grad (über Null/unter Null) Celsius/nach Fahrenheit [для рейсов США/Канады].</t>
  </si>
  <si>
    <t>y la temperatura es de …grados bajo/sobre cero centígrados/ Fahrenheit [для рейсов США/Канады].</t>
  </si>
  <si>
    <t>При отсутствии торгового обслуживания объявление о торговле не производится</t>
  </si>
  <si>
    <t>[Если необходимо] Наденьте куртки и пальто.</t>
  </si>
  <si>
    <t>[Если необходимо] Put on your jackets and overcoats.</t>
  </si>
  <si>
    <t>[Если необходимо] Mettez vos vestes et vos manteaux.</t>
  </si>
  <si>
    <t>[Если необходимо] Ziehen Sie ihre Oberkleidung an (если необходимо).</t>
  </si>
  <si>
    <t>[Если необходимо] Pónganse camperas y abrigos.</t>
  </si>
  <si>
    <t>If you see an unclaimed piece of luggage, do not approach it and inform a Cabin Attendant.</t>
  </si>
  <si>
    <t>Si desean reservar el taxi por tarifa especial para pasajeros de Aeroflot, diríjanse al personal de cabina… [выбрать необходимое]:</t>
  </si>
  <si>
    <t>Die Ursache besteht darin, daß die Flugzeugabfertigung von den Flughafenbodendiensten noch nicht völlig abgeschlossen ist.</t>
  </si>
  <si>
    <t>За 10 – 15 минут до включения табло «ЗАСТЕГНИТЕ РЕМНИ» (СБ по указанию КВС) (рейс длительной продолжительности дневной/ночной)</t>
  </si>
  <si>
    <t>Pinyin</t>
  </si>
  <si>
    <t xml:space="preserve"> 女士们，先生们 ！</t>
  </si>
  <si>
    <t>Nǚshὶmen, Xiānshēngmen!</t>
  </si>
  <si>
    <t>欢迎您乘坐俄罗斯航空公司班机，俄罗斯航空公司是天合联盟的成员。</t>
  </si>
  <si>
    <t xml:space="preserve">Huānyíng Nín chéngzuò Éluósī hángkōng gōngsī bānjī，
Éluósī hángkōng gōngsī shὶ Tiānhéliánméng de chéngyuán.
</t>
  </si>
  <si>
    <t>СБ:女士们，先生们，早上好！/下午好！/晚上好！</t>
  </si>
  <si>
    <t xml:space="preserve">СБ: Nǚshὶmen,Xiānshēngmen,
Zǎoshang hǎo! /Xià wǔ hǎo!
Wǎn shàng hǎo!
</t>
  </si>
  <si>
    <t>空客A319/320/321/330</t>
  </si>
  <si>
    <t>波音737/777飞机</t>
  </si>
  <si>
    <t>Bōyīn 737/777 fēijī</t>
  </si>
  <si>
    <t xml:space="preserve"> Super Jet. 飞机 </t>
  </si>
  <si>
    <t xml:space="preserve">Super Jet fēijī </t>
  </si>
  <si>
    <t>俄罗斯航空公司是天合联盟的成员。</t>
  </si>
  <si>
    <t xml:space="preserve">Éluósī hángkōng gōngsī shὶ Tiānhéliánméng de chéngyuán. </t>
  </si>
  <si>
    <t>PRAM / СБ: 大家请注意，请把您的手提物品放在前方座椅下。打开行时李架请小心。</t>
  </si>
  <si>
    <t>PRAM / СБ: Dàjiā qǐng zhùyὶ, qǐng bǎ Nín de shǒutí wùpǐn fàng zài qiánfāng zuòyǐ xià. Dàkāi xínglijiā shí qǐng xiǎoxīn.</t>
  </si>
  <si>
    <t>请不要将行李放在走廊，过道及紧急出口处。</t>
  </si>
  <si>
    <t xml:space="preserve">Qǐng bùyào jiāng xíngli fàng zài zǒuláng, guódaò jí jǐnjí chūkǒu chù. </t>
  </si>
  <si>
    <t>客舱乘务员将提供为你们需要的帮助。</t>
  </si>
  <si>
    <t>Kècāng chéngwùyuán jiāng tígòng wéi Nǐmen xūyào de bàngzhù.</t>
  </si>
  <si>
    <r>
      <t>Kōngk</t>
    </r>
    <r>
      <rPr>
        <sz val="11"/>
        <color rgb="FF8018C0"/>
        <rFont val="Arial Unicode MS"/>
        <family val="2"/>
      </rPr>
      <t>è</t>
    </r>
    <r>
      <rPr>
        <sz val="9.9"/>
        <color rgb="FF8018C0"/>
        <rFont val="Calibri"/>
        <family val="2"/>
        <charset val="204"/>
      </rPr>
      <t xml:space="preserve"> A319/320/321/330</t>
    </r>
  </si>
  <si>
    <t>女士们，先生们，早上好！/下午好！/晚上好！</t>
  </si>
  <si>
    <t xml:space="preserve">现在我们已经离开。。。前往。。。，本次航班与（。。。）航班实施代码共亨。 </t>
  </si>
  <si>
    <t xml:space="preserve">预计空中飞行时间为 … 小时 … 分。 </t>
  </si>
  <si>
    <t>由于 (указать причину)延误了分本次航班的起飞。对此我们深表歉意。</t>
  </si>
  <si>
    <t>出发机场/到达机场/航线天气原因</t>
  </si>
  <si>
    <t>Chūfā jīchǎng/dàodá jīchǎng/ hángxiàn tiānqì yuányīn</t>
  </si>
  <si>
    <t>起飞前的准备</t>
  </si>
  <si>
    <t>Qǐfēi qián de zhǔnbèi</t>
  </si>
  <si>
    <t xml:space="preserve"> 等待转机的旅客</t>
  </si>
  <si>
    <t>Děngdài zhuǎnjī de lǚkè</t>
  </si>
  <si>
    <t xml:space="preserve"> 转机的航班晚点</t>
  </si>
  <si>
    <t xml:space="preserve"> Zhuǎnjī de hángbān wǎndiǎn</t>
  </si>
  <si>
    <t xml:space="preserve"> 机场的工作人员罢工</t>
  </si>
  <si>
    <t xml:space="preserve"> Jīchǎng de gōngzuò rényuán; bàgōng</t>
  </si>
  <si>
    <t xml:space="preserve">由于在机场地区激烈的空中交通       </t>
  </si>
  <si>
    <t>Yóuyú zài jīchǎng dìqū jīliè de kōngzhōng jiāotōng</t>
  </si>
  <si>
    <t>由于机场起降繁忙，我们正在等待起飞许可</t>
  </si>
  <si>
    <t>Yóuyú jīchǎng qǐ jiàng fánmáng, wǒmen zhèngzài děngdài qǐfēi xǔkě</t>
  </si>
  <si>
    <t>Shēngchǎn yāoqiú</t>
  </si>
  <si>
    <t>祝您旅途愉快！</t>
  </si>
  <si>
    <t xml:space="preserve">Zhù Nín lǚtú yúkuài! </t>
  </si>
  <si>
    <t>女士们，先生们 ！</t>
  </si>
  <si>
    <t>您的安全和舒适是我们航空公司的首要任务。</t>
  </si>
  <si>
    <t>Nín de ānquán hé shūshi shì Wǒmen hángkōng gōngsī de shǒuyào rènwu.</t>
  </si>
  <si>
    <t>我和全体人员祝您旅途愉快！</t>
  </si>
  <si>
    <t xml:space="preserve">Wǒ hé quán tǐ rényuán zhù Nín lǚtú yúkuài! </t>
  </si>
  <si>
    <t xml:space="preserve">我和全体人员竭诚为您提供良好的服务。 </t>
  </si>
  <si>
    <t>Wǒ hé quán tǐ rényuán jiéchéng wéi Nín liánghǎo de fúwù.</t>
  </si>
  <si>
    <t>希望我和全体人员的服务能给您留下美好的印象。</t>
  </si>
  <si>
    <t>Xīwàng Wǒ hé quán tǐ rényuán de fúwù néng gěi Nín liúxià měihǎo de yìnxiàng.</t>
  </si>
  <si>
    <t xml:space="preserve">亲爱的老主顾-俄航和天合联盟精英和精英加的水平常旅客奖励计划的成员。
我们感谢您的选择是俄航集团公司。
</t>
  </si>
  <si>
    <t>Qīnài de láozhǔgù- Éháng hé Tiānhéliánméng jīngyīng hé jīngyīngjiā de shuǐpíng cháng lǚkè jiǎnglì jìhuá de chéngyuán. Wǒmen gánxiè Nín de xuǎnzé shì Éháng jítuán gōngsī .</t>
  </si>
  <si>
    <t>谢谢各位注意。</t>
  </si>
  <si>
    <t>Xièxie gèwèi zhùyì.</t>
  </si>
  <si>
    <t xml:space="preserve">我是本次班机的主任乘务长，我的名字叫。。。 [имя без фамилии] </t>
  </si>
  <si>
    <t>Wǒ shὶ běncὶ bānjī zhŭrèn chéngwùzhǎng, Wǒ de míngzὶ jiào... [имя без фамилии]</t>
  </si>
  <si>
    <t>欢迎您在座俄国著名…[указать определение рода деятельности из Приложения №2] … [имя и фамилия человека, в честь которого назван ВС]（作曲家，飞机驾驶员，作家，诗人）名名的本架飞机上</t>
  </si>
  <si>
    <t>Huānyíng Nín zài zuò Éguó zhùmíng … [указать определение рода деятельности из Приложения №2] … [имя и фамилия человека, в честь которого назван ВС] (zuòqǔjiā, fēijī   jiàshǐyuán, zuòjiā, shīrén) míngmíng de běnjià fēijī shàng</t>
  </si>
  <si>
    <t>感谢您乘坐俄罗斯航空公司的[выбрать необходимое]:</t>
  </si>
  <si>
    <t xml:space="preserve">本次航班机长位 … [имя и фамилия]
感谢您乘坐俄航和天合联盟的…飞机。[тип ВС].
</t>
  </si>
  <si>
    <t>Gǎnxiè Nín chéngzuò Éluósī hángkōng gōngsī de [выбрать необходимое]:</t>
  </si>
  <si>
    <t xml:space="preserve">Běncì hángbān de jīzhǎng wèi... [имя и фамилия]. Gǎnxiè Nín chéngzuò Éháng hé Tiānhéliánméng de… [тип ВС] fēijī.  
</t>
  </si>
  <si>
    <t xml:space="preserve">Nǚshὶmen,Xiānshēngmen, Zǎoshang hǎo!/Xià wǔ hǎo!
Wǎn shàng hǎo! 
</t>
  </si>
  <si>
    <t>Xiànzài Wǒmen yǐjing líkāi... qiánwǎng… Běncì hángbān yǔ… [название авиакомпании по код-шер] shíshī dàimǎ gòngxiǎng.</t>
  </si>
  <si>
    <t xml:space="preserve">Yùjì kōngzhōng shíjiān wéi… xiǎoshí… fēn.  </t>
  </si>
  <si>
    <t>Yóuyú [указать причину] yánwù le běncì hángbān de qǐfēi. Duìcǐ Wǒmen shēnbiǎo qiànyì.</t>
  </si>
  <si>
    <t xml:space="preserve">女士们，先生们 ！ </t>
  </si>
  <si>
    <t xml:space="preserve">现在我们为您播放本架飞机的安全须知，请您注意收看。 </t>
  </si>
  <si>
    <t xml:space="preserve">Xiànzài Wǒmen wéi Nín bōfàng běnjià fēijī de ānquán xūzhī, qǐng Nín zhùyì shǒukān. </t>
  </si>
  <si>
    <t>1. 本架飞机有四个紧急出口。</t>
  </si>
  <si>
    <t>1.Běnjià fēijī yǒu sì ge jǐnjí chūkǒu.</t>
  </si>
  <si>
    <t>2. 紧急出口设在客舱的左右侧。</t>
  </si>
  <si>
    <t xml:space="preserve">2. Jǐnjí chūkǒu shèzài kècāng de zuǒyòucè. </t>
  </si>
  <si>
    <t>两个在飞机前部，</t>
  </si>
  <si>
    <t>Liǎng gezài fēijī qiánbù ,</t>
  </si>
  <si>
    <t>两个在飞机尾部 。</t>
  </si>
  <si>
    <t xml:space="preserve">Liǎng ge zài fēijī wěibù. </t>
  </si>
  <si>
    <t>3. 紧急出口处都有橡胶滑梯。</t>
  </si>
  <si>
    <t>3. Jǐnjí chūkǒuchù dōu yǒu xiàngjiāo huátī.</t>
  </si>
  <si>
    <t>4. 分别标有紧急出口的明显标志。</t>
  </si>
  <si>
    <t>4. Fēnbiébiāo yǒu jǐnjí chūkǒude míngxiǎn biāozhì</t>
  </si>
  <si>
    <t>5. 如果电源无效， 安装在地板上过道侧面的应急路经灯会发出亮光，帮助您找到应急出口。</t>
  </si>
  <si>
    <t xml:space="preserve">5. Rúguǒ diànyuán wúxiào, ānzhuāng zài dìbǎn shàng guòdào cèmiàn de yīngji lùjìngdēng huì fāchū liàngguāng, bāngzhù Nín zhǎodào yīngji chūkǒu. </t>
  </si>
  <si>
    <t>请留意离您最近的紧急出口。</t>
  </si>
  <si>
    <t xml:space="preserve">Qǐng liúyì lí Nín zuìjìn de jǐnjí chūkǒu. </t>
  </si>
  <si>
    <t xml:space="preserve">1. 本架飞机有六个紧急出口。 </t>
  </si>
  <si>
    <t>1.Běnjià fēijī yǒu liù ge jǐnjí chūkǒu.</t>
  </si>
  <si>
    <t>Liǎng gezài fēijī qiánbù,</t>
  </si>
  <si>
    <t>两个在机翼后，</t>
  </si>
  <si>
    <t>Liǎng ge zài jīyì hou,</t>
  </si>
  <si>
    <t>两个在飞机尾部。</t>
  </si>
  <si>
    <t>Liǎng ge zài fēijī wěibù.</t>
  </si>
  <si>
    <t xml:space="preserve">3.Jǐnjí chūkǒuchù dōu yǒu xiàngjiāo huátī. </t>
  </si>
  <si>
    <t xml:space="preserve">4. 分别标有紧急出口的明显标志。 </t>
  </si>
  <si>
    <t xml:space="preserve">4. Fēnbiébiāo yǒu jǐnjí chūkǒude míngxiǎn biāozhì. </t>
  </si>
  <si>
    <t xml:space="preserve">5. 如果电源无效， 安装在地板上过道侧面的应急路经灯会发出亮光，帮助您找到应急出口。 </t>
  </si>
  <si>
    <t>1. 本架飞机有八个紧急出口。</t>
  </si>
  <si>
    <t>ф1. Běnjià fēijī yǒu bā ge jǐnjí chūkǒu.</t>
  </si>
  <si>
    <t>Liǎng gezài fēijī qiánbù</t>
  </si>
  <si>
    <t>四个在机翼后，</t>
  </si>
  <si>
    <t>Sì ge zài jīyì hou,</t>
  </si>
  <si>
    <t xml:space="preserve">3. Jǐnjí chūkǒuchù dōu yǒu xiàngjiāo huátī. </t>
  </si>
  <si>
    <t>4. Fēnbiébiāo yǒu jǐnjí chūkǒude míngxiǎn biāozhì.</t>
  </si>
  <si>
    <t xml:space="preserve">请留意离您最近的紧急出口。 </t>
  </si>
  <si>
    <t>1. Běnjià fēijī yǒu bā ge jǐnjí chūkǒu.</t>
  </si>
  <si>
    <t>两个在飞机中部，</t>
  </si>
  <si>
    <t>Liǎng ge zài fēijī zhōngbù,</t>
  </si>
  <si>
    <t>Liǎng ge zài fēijī wěibù .</t>
  </si>
  <si>
    <t>1.Běnjià fēijī yǒu bā ge jǐnjí chūkǒu.</t>
  </si>
  <si>
    <t xml:space="preserve">两个在机翼后， </t>
  </si>
  <si>
    <t>6.海面迫降时前部，中部和尾部的橡胶滑梯的使用方法与救生艇相同。</t>
  </si>
  <si>
    <r>
      <t>6. Hǎimiàn pòjiàng shí qiánbù, zhōngbù h</t>
    </r>
    <r>
      <rPr>
        <sz val="11"/>
        <color rgb="FF8018C0"/>
        <rFont val="Arial Unicode MS"/>
        <family val="2"/>
        <charset val="128"/>
      </rPr>
      <t>é</t>
    </r>
    <r>
      <rPr>
        <sz val="9.9"/>
        <color rgb="FF8018C0"/>
        <rFont val="Calibri"/>
        <family val="2"/>
        <charset val="204"/>
      </rPr>
      <t xml:space="preserve"> wěibùde </t>
    </r>
    <r>
      <rPr>
        <sz val="11"/>
        <color rgb="FF8018C0"/>
        <rFont val="Calibri"/>
        <family val="2"/>
        <charset val="204"/>
        <scheme val="minor"/>
      </rPr>
      <t xml:space="preserve">xiàngjiāo huátī de shǐyòng fāngfǎ yǔ jiùshēngtǐng xiāngtóng. </t>
    </r>
  </si>
  <si>
    <t>6.海面迫降时所有的橡胶滑梯的使用方法与救生艇相同。</t>
  </si>
  <si>
    <r>
      <t>6. Hǎimiàn pòjiàng shí su</t>
    </r>
    <r>
      <rPr>
        <sz val="11"/>
        <color rgb="FF8018C0"/>
        <rFont val="Calibri"/>
        <family val="2"/>
        <charset val="204"/>
      </rPr>
      <t>ǒ</t>
    </r>
    <r>
      <rPr>
        <sz val="9.9"/>
        <color rgb="FF8018C0"/>
        <rFont val="Calibri"/>
        <family val="2"/>
        <charset val="204"/>
      </rPr>
      <t xml:space="preserve">yǒu de </t>
    </r>
    <r>
      <rPr>
        <sz val="11"/>
        <color rgb="FF8018C0"/>
        <rFont val="Calibri"/>
        <family val="2"/>
        <charset val="204"/>
        <scheme val="minor"/>
      </rPr>
      <t xml:space="preserve">xiàngjiāo huátī de shǐyòng fāngfǎ yǔ jiùshēngtǐng xiāngtóng. </t>
    </r>
  </si>
  <si>
    <t>1. 本架飞机有十个紧急出口。</t>
  </si>
  <si>
    <t>1.Běnjià fēijī yǒu shì ge jǐnjí chūkǒu.</t>
  </si>
  <si>
    <t>2. Jǐnjí chūkǒu shèzài kècāng de zuǒyòucè.</t>
  </si>
  <si>
    <t>四个在飞机前部，</t>
  </si>
  <si>
    <t xml:space="preserve">Sì ge zài fēijī qiánbù, </t>
  </si>
  <si>
    <t>两个上机翼，</t>
  </si>
  <si>
    <t>Liǎng ge shàng  jīyì,</t>
  </si>
  <si>
    <t>四个在飞机尾部。</t>
  </si>
  <si>
    <t>Sì ge zài fēijī wěibù.</t>
  </si>
  <si>
    <t>6.海面迫降时前部，前机翼，机翼后面和尾部的橡胶滑梯的使用方法与救生艇相同。</t>
  </si>
  <si>
    <t xml:space="preserve">6. Hǎimiàn pòjiàng shí qiánbù, qián jīyì, jīyì hòumiàn hé wěibù de xiàngjiāo huátī de shǐyòng fāngfǎ yǔ jiùshēngtǐng xiāngtóng. </t>
  </si>
  <si>
    <t xml:space="preserve">1. 氧气面罩储藏在您座椅上方， 发生紧急情况时，面罩会自动脱落。 </t>
  </si>
  <si>
    <t xml:space="preserve">1. Yǎngqì miànzhào chǔcáng zài Nín zuòyǐ shàng fang, fāshēng jǐnjí qíngkuàng shí, miànzhào huì zìdòng tuōluò. </t>
  </si>
  <si>
    <t>2. 请您拉面罩。</t>
  </si>
  <si>
    <t xml:space="preserve">2. Qǐng Nín lā miànzhào. </t>
  </si>
  <si>
    <t xml:space="preserve">3. 将面罩像我们一样罩在口鼻处， 进行正常呼吸。 </t>
  </si>
  <si>
    <t xml:space="preserve">3. Jiāng miànzhào xiàng Wǒmen yīyàng zhào zài kǒubí chǔ, jìnxíng zhèngcháng hūxī. </t>
  </si>
  <si>
    <t xml:space="preserve">4.带小孩的旅客请先将您的面罩戴好， 然后再为小孩戴上面罩。 </t>
  </si>
  <si>
    <t xml:space="preserve">4. Dài xiǎohái de lǚkè qǐng xiān jiāng Nín de miànzhào dàihǎo, ránhòu zài wéi xiǎohái dài shàng miànzhào. </t>
  </si>
  <si>
    <t xml:space="preserve">1.请在"系好安全带"信号时系紧安全带 </t>
  </si>
  <si>
    <t xml:space="preserve">1. Qǐng zài “Jìhǎo ānquándài’’ xìnhào shí jìjǐn méiyǒu xīmiè zhīqián bùyào jiěkāi ānquándài. </t>
  </si>
  <si>
    <t xml:space="preserve">2. 使用时，将连接片插入锁口内 </t>
  </si>
  <si>
    <t xml:space="preserve">2. Shǐyòng shí, jiāng liánjiēpiàn chārù suǒkǒu nèi. </t>
  </si>
  <si>
    <t xml:space="preserve">3.根据您的需要，调节安全带的松紧 </t>
  </si>
  <si>
    <t xml:space="preserve">3. Gēnjù Nín de xūyào, tiáojié ānquándài de sōngjǐn. </t>
  </si>
  <si>
    <t xml:space="preserve">4.解开时，先将锁扣打开，拉出连接片 </t>
  </si>
  <si>
    <t xml:space="preserve">4. Jiěkāi shí, xiān jiāng suǒkǒu dǎkāi, lāchū liánjiēpiàn. </t>
  </si>
  <si>
    <t>海面迫降时飞机将有救生衣。</t>
  </si>
  <si>
    <t>Hǎimiàn pòjiàng shí fēijī jiāng yǒu jiùshēngyī.</t>
  </si>
  <si>
    <t xml:space="preserve">1. 救生衣在您座椅下方。 </t>
  </si>
  <si>
    <t xml:space="preserve">1. Jiùshēngyī zài Nín zuòyǐ xiàfāng. </t>
  </si>
  <si>
    <t xml:space="preserve">2. 使用时取出，经头部穿好。 </t>
  </si>
  <si>
    <t xml:space="preserve">2. Shǐyòngshí qǔchū, jīng tóubù chuānhǎo. </t>
  </si>
  <si>
    <t xml:space="preserve">3. 将带子扣好，系紧。 </t>
  </si>
  <si>
    <t xml:space="preserve">3. Jiāng dàizi kǒuhǎo, jìjín. </t>
  </si>
  <si>
    <t xml:space="preserve">4. 离开飞机前，打开充气阀门。 </t>
  </si>
  <si>
    <t xml:space="preserve">4. Líkāi fēijī qián, dǎkāi chōngqì fámén. </t>
  </si>
  <si>
    <t xml:space="preserve">5.充气不足时，可将救生衣上部的两个人工充气管拉出，用嘴向里充气。 </t>
  </si>
  <si>
    <t>5. Chōngqì bù zúshí, kè jiāng jiùshēngyī shàngbù de liǎngge réngōng.</t>
  </si>
  <si>
    <t xml:space="preserve">6.救生衣有灯泡，在水中灯泡会自动发光。 </t>
  </si>
  <si>
    <t xml:space="preserve">6. Jiùshēngyī yǒu dēngpào, zài shuǐ zhōng dēngpào huì zìdòng fāguāng. </t>
  </si>
  <si>
    <t xml:space="preserve">7. 但在客舱内请不要充气。 </t>
  </si>
  <si>
    <t xml:space="preserve">7. Dàn zài kècāng nèi qǐng bùyào chōngqì. </t>
  </si>
  <si>
    <t xml:space="preserve">安全须知在您座椅前面的口袋里，请您在起飞前仔细阅读。 </t>
  </si>
  <si>
    <t xml:space="preserve">Ānquán xūzhī zài Nín zuòyǐ qiánmiàn de kǒudài lǐ, qǐng Nín zài qǐfēi qián zǐxì yuèdú. </t>
  </si>
  <si>
    <t xml:space="preserve">谢谢各位的注意。 </t>
  </si>
  <si>
    <t>Xièxie gèwèi de zhùyì.</t>
  </si>
  <si>
    <t>飞机很快就要起飞了，现在有客舱乘务员进行安全检查:</t>
  </si>
  <si>
    <t>Fēijī hěn kuài jiù yào qǐfēi le, xiànzài yóu kècāng chéngwùyuán jìnxíng ānquán jiǎnchá.</t>
  </si>
  <si>
    <t>请您确认您的手提物品是否妥善安放在头顶上方的行李架内或前方座椅下。</t>
  </si>
  <si>
    <t xml:space="preserve">Qǐng Nín quèrèn Nín de shǒutí wùpǐn shì fǒu tuǒshàn ānfàng zài tóudǐng shàngfang de xínglijià nèi huò qiánfāng zuòyǐ xià; </t>
  </si>
  <si>
    <t>系紧安全带;</t>
  </si>
  <si>
    <t>Xì jǐn ānquán dài;</t>
  </si>
  <si>
    <t xml:space="preserve">调直座椅靠背; </t>
  </si>
  <si>
    <t xml:space="preserve">Tiáozhí zuòyǐ kàobèi; </t>
  </si>
  <si>
    <t>收起小桌板;</t>
  </si>
  <si>
    <t xml:space="preserve">Shōuqǐ xiǎozhuōbǎn; </t>
  </si>
  <si>
    <t>拉起遮阳板;</t>
  </si>
  <si>
    <t xml:space="preserve">Lāqǐ zhēyángbǎn; </t>
  </si>
  <si>
    <t>关闭手机和所有电子设备。</t>
  </si>
  <si>
    <t>Guānbì shǒujī hé suǒyǒu diànzi shèbèi.</t>
  </si>
  <si>
    <t xml:space="preserve">Qǐfēishí, Wǒmen jiāng tiáoàn kècāng nèi de dēngguāng. Qǐng Nín shǐyòng yuèdúdēng. </t>
  </si>
  <si>
    <t>PRAM: 请注意，俄航规定禁止在机上应用酒精饮料，本机提供的除外。规定禁止 吸烟, 包括电子烟在内。</t>
  </si>
  <si>
    <t>СБ: 请注意，俄航规定禁止在机上应用酒精饮料，本机提供的除外。规定禁止 吸烟, 包括电子烟在内。</t>
  </si>
  <si>
    <t xml:space="preserve">PRAM: Qǐng zhùyì, Éháng guīdìng jìngzhǐ zài jīshàng yìngyòng jiǔjīng yǐnliào, běn jī tígòng de chúwài. Guīdìng jìngzhǐ xīyān, bāokuò diànziyān zài nèi. </t>
  </si>
  <si>
    <t xml:space="preserve">СБ: Qǐng zhùyì, Éháng guīdìng jìngzhǐ zài jīshàng yìngyòng jiǔjīng yǐnliào, běn jī tígòng de chúwài. Guīdìng jìngzhǐ xīyān, bāokuò diànziyān zài nèi. </t>
  </si>
  <si>
    <t>PRAM/СБ: 洗手间内设有烟雾感应器。</t>
  </si>
  <si>
    <t>PRAM/СБ: Xǐshǒujiān nèi shèyǒu yānwù gǎnyìngqì.</t>
  </si>
  <si>
    <t xml:space="preserve">起飞时，我们将调暗客舱内的灯光。请您使用阅读灯。
</t>
  </si>
  <si>
    <t xml:space="preserve">我们的飞机必须被除去冰。 </t>
  </si>
  <si>
    <t xml:space="preserve">Wǒmen de fēijī bìxū bèi chúqù bīng. </t>
  </si>
  <si>
    <t xml:space="preserve">请您在座位上坐好，不要松开您的 安全带 。 </t>
  </si>
  <si>
    <t xml:space="preserve">Qǐng Nín zài zuòwèi shàng zuòhǎo, bùyào sōngkāi Nín de ānquándài. </t>
  </si>
  <si>
    <t>这是机长说</t>
  </si>
  <si>
    <t>Zhè shì jīzhǎng shuō</t>
  </si>
  <si>
    <t xml:space="preserve">我们正在等待起飞许可，可能需要等。。。分钟/几分钟。 </t>
  </si>
  <si>
    <t>请您在座位上坐好，不要松开您的 安全带 。</t>
  </si>
  <si>
    <t xml:space="preserve">对此，我们向您表示歉意。 </t>
  </si>
  <si>
    <t xml:space="preserve">Duìcǐ, Wǒmen xiàng Nín biǎoshì qiànyì. </t>
  </si>
  <si>
    <t>谢谢各位的注意。</t>
  </si>
  <si>
    <t xml:space="preserve">Xièxie gèwèi de zhùyì. </t>
  </si>
  <si>
    <t xml:space="preserve">Wǒmen zhèngzài děngdài qǐfēi xǔkě. Kěnéng xūyào děng… fēnzhōng / jī fēnzhōng. </t>
  </si>
  <si>
    <t>飞机马上就要起飞了。</t>
  </si>
  <si>
    <t xml:space="preserve">Fēijī mǎshàng jiùyào qǐfēi le. </t>
  </si>
  <si>
    <t>请您再一次确认：</t>
  </si>
  <si>
    <t xml:space="preserve">Qǐng Nín zài yī cì quèrèn: </t>
  </si>
  <si>
    <t>小桌板已收起。</t>
  </si>
  <si>
    <t>Xiǎozhuōbǎn yǐ shōuqǐ.</t>
  </si>
  <si>
    <t>Suǒyǒu diànzi shèbèi yǐ guānbì;</t>
  </si>
  <si>
    <t>Nín de ānquándài shì fǒu jìjǐn;</t>
  </si>
  <si>
    <t>Zuòyǐ kàobèi yǐ tiáozhí;</t>
  </si>
  <si>
    <t>所有电子设备已关闭；</t>
  </si>
  <si>
    <t>您的安全带是否系紧；</t>
  </si>
  <si>
    <t>座椅靠背已调直；</t>
  </si>
  <si>
    <t>Nǚshὶmen,Xiānshēngmen!</t>
  </si>
  <si>
    <t xml:space="preserve">由。。。至。。。预计空中飞行时间为。。。小时。。。分。 </t>
  </si>
  <si>
    <t xml:space="preserve">Yóu ... zhì ... yùjì kōngzhōng shíjiān wéi ... xiǎoshí ... fēn. </t>
  </si>
  <si>
    <t>早餐</t>
  </si>
  <si>
    <t>zǎocān</t>
  </si>
  <si>
    <t>午餐</t>
  </si>
  <si>
    <t>晚餐</t>
  </si>
  <si>
    <t xml:space="preserve">wǎncān </t>
  </si>
  <si>
    <r>
      <t>w</t>
    </r>
    <r>
      <rPr>
        <sz val="11"/>
        <color rgb="FF8018C0"/>
        <rFont val="Arial Unicode MS"/>
        <family val="2"/>
      </rPr>
      <t>ǔ</t>
    </r>
    <r>
      <rPr>
        <sz val="9.9"/>
        <color rgb="FF8018C0"/>
        <rFont val="Calibri"/>
        <family val="2"/>
        <charset val="204"/>
      </rPr>
      <t>cān</t>
    </r>
  </si>
  <si>
    <t>点心餐</t>
  </si>
  <si>
    <t>diǎnxincān</t>
  </si>
  <si>
    <t>飞机起飞以后，服务员将为您提供… [выбрать необходимое].</t>
  </si>
  <si>
    <t>Fēijī qǐfēi yǐhoù,fúwùyuán jiāng wéi Nín tígòng... [выбрать необходимое].</t>
  </si>
  <si>
    <t>点心餐 [для рейсов, на которых выдается сэндвич в классе Эконом];</t>
  </si>
  <si>
    <t>diǎnxincān [для рейсов, на которых выдается сэндвич в классе Эконом];</t>
  </si>
  <si>
    <t>飞机起飞以后，服务员将为您提供… [выбрать 1-й рацион питания]</t>
  </si>
  <si>
    <t>Fēijī qǐfēi yǐhoù,fúwùyuán jiāng wéi Nín tígòng…  [выбрать 1-й рацион питания]</t>
  </si>
  <si>
    <t>和… [выбрать 2-й рацион питания].</t>
  </si>
  <si>
    <t>hé… [выбрать 2-й рацион питания].</t>
  </si>
  <si>
    <t>我们邀请您从“空中商店”购买物品。</t>
  </si>
  <si>
    <t>Wǒmen yāoqǐng nín cóng “kōngzhōng shāngdiàn” gòumǎi wùpǐn.</t>
  </si>
  <si>
    <t>以前飞机开始下降，请与客舱乘务员联系。</t>
  </si>
  <si>
    <t xml:space="preserve">Yǐqián fēijī kāishǐ xiàjiàng, qǐng yǔ kècāng chéngwùyuán liánxì. </t>
  </si>
  <si>
    <t>正餐过后，我们将出售“空中商店”的商品。</t>
  </si>
  <si>
    <t>Zhèngcān guòhòu, Wǒmen jiāng chūshòu“kōngzhōng shāngdiàn” de shāngpǐn.</t>
  </si>
  <si>
    <t xml:space="preserve">为了您的方便，您可以填写在机上俄航杂志内的购物优惠券。 您的购买将完成前，飞机开始下降。 </t>
  </si>
  <si>
    <t>Wèile Nín de fāngbiàn, Nín kěyǐ tiánxiě zài jīshàng Éháng zázhì nèi de gòuwù yōuhuìquàn. Nín de gòu mǎi jiāng wánchéng qián, fēijī kāishǐ xiàjiàng.</t>
  </si>
  <si>
    <t xml:space="preserve">旅途中的娱乐节目登在“影院”电影指南 。 </t>
  </si>
  <si>
    <t xml:space="preserve">Lǚtú zhōng de yúlè jiémù dēngzài”Yǐngyuàn”diànyǐng zhǐnán. </t>
  </si>
  <si>
    <t xml:space="preserve">很抱歉的通知您，由于机上电视系统发生故障，我们不能向您收看娱乐节目。 </t>
  </si>
  <si>
    <t xml:space="preserve">Hěn bàoqiàn de tōngzhī Nín, yóuyú jīshàng diàn shì xìtǒng fāshēng gùzhàng, Wǒmen bù néng xiàng Nín shōukān yúlè jiémù. </t>
  </si>
  <si>
    <t>欢迎您留下宝贵意见和建议。</t>
  </si>
  <si>
    <t>现在"系好安全带"灯已经熄灭。您可以自由走动的机舱。</t>
  </si>
  <si>
    <t>Xiànzài, Jìhǎo ānquándài”dēng yǐjīng xīmiè. Nín kěyǐ zìyóu zǒudòng de jīcāng.</t>
  </si>
  <si>
    <t xml:space="preserve">为了防止因为气流颠簸,而出现外，请您在座位上坐好，系好安全带。 </t>
  </si>
  <si>
    <t xml:space="preserve">Wèi le fángzhǐ yīnwèi qìliú diānbō, ér chūxiàn yìwài, qǐng Nín zài zuòwèi shàng zuòhǎo,jìhǎo ānquándài. </t>
  </si>
  <si>
    <t>电子设备的使用方法的信息，您可在“俄航”杂志内阅读到。</t>
  </si>
  <si>
    <t xml:space="preserve">Diànzǐ shèbèi de shǐyòng fāngfǎ de xìnxī, nín kě zài “é háng” zázhì nèi yuèdú dào. </t>
  </si>
  <si>
    <t>PRAM: Gōngwùcāng de xǐshǒujiān zài fēijī qián bù, jīngjìcāng de xǐshǒujiān zài fēijī wěi bù.</t>
  </si>
  <si>
    <t xml:space="preserve">СБ: Gōngwùcāng de xǐshǒujiān zài fēijī qián bù, jīngjìcāng de xǐshǒujiān zài fēijī zhōngbù hé wěi bù.
</t>
  </si>
  <si>
    <t>СБ: 公物仓的洗手间在飞机前部，经济舱的洗手间在飞机中部和尾部。</t>
  </si>
  <si>
    <t>PRAM: 公物仓的洗手间在飞机前部，经济舱的洗手间在飞机尾部。</t>
  </si>
  <si>
    <t>要查看电影指南“电影院”提出的娱乐节目，连接到无线设备上，并打开任何浏览器。这项服务是免费的。</t>
  </si>
  <si>
    <t>Yào chákàn diànyǐng zhǐnán “diànyǐngyuàn” tíchū de yú yuè jiémù, liánjiē dào wúxiàn shèbèi shàng, bìng dǎkāi rènhé liúlǎn qì. Zhè xiàng fúwù shì miǎnfèi de.</t>
  </si>
  <si>
    <t>我们的飞机上有收费的移动通信和互联网接入服务，等"关闭手机"的指示灯熄灭后，再使用。</t>
  </si>
  <si>
    <t>Wǒmen de fēijī shàng yǒu shōufèi de yídòng tōngxìn hé hùliánwǎng jiē rù fúwù, děng"guānbì shǒujī"de zhǐshì dēng xímiè hòu, zài shǐyòng.</t>
  </si>
  <si>
    <t>启用无线个人设备上，选择一个接入网络“俄罗斯航空公司”，并运行互联网浏览器。</t>
  </si>
  <si>
    <t>Qǐyòng wúxiàn gèrén shèbèi shàng, xuǎnzé yīgè jiē rù wǎngluò “èluósī hángkōng gōngsī”, bìng yùnxíng hùliánwǎng liúlǎn qì.</t>
  </si>
  <si>
    <t>对使用服务和关税的必要信息都会出现在报名网站。</t>
  </si>
  <si>
    <t>Duì shǐyòng fúwù hé guānshuì de bìyào xìnxī dūhuì chūxiàn zài bàomíng wǎngzhàn.</t>
  </si>
  <si>
    <t>很抱歉的通知您，由于没有信号存在于系统，我们的飞机上的移动通信和互联网接入服务是不可用的。</t>
  </si>
  <si>
    <t>Hěn bàoqiàn de tōngzhī nín, yóuyú méiyǒu xìnhào cúnzài yú xìtǒng, wǒmen de fēijī shàng de yídòng tōngxìn hé hùliánwǎng jiē rù fúwù shì bùkě yòng de.</t>
  </si>
  <si>
    <t>我们即将出售“空中商店”的商品。</t>
  </si>
  <si>
    <t xml:space="preserve">Wǒmen jíjiāng chūshòu “kōngzhōng shāngdiàn” de shāngpǐn.                                                                                                           </t>
  </si>
  <si>
    <t>(这是机长说.)</t>
  </si>
  <si>
    <t>(Zhè shì jīzhǎng shuō.)</t>
  </si>
  <si>
    <t>现在飞行高度为。。。米（英尺）</t>
  </si>
  <si>
    <t>飞行速度平均每公里（英里）。。。 小时。</t>
  </si>
  <si>
    <t>现在我们飞越。。。 (国家，城市，山脉，大海，大洋и др) 。</t>
  </si>
  <si>
    <t>(。。。小时。。。分后)我们将 飞越。。。(国家，城市，山脉， 大海，大洋и др.) 。</t>
  </si>
  <si>
    <t>Xiànzài fēixíng gāodù wéi …mǐ (yīngchǐ）</t>
  </si>
  <si>
    <t>Fēixíng sùdù píngjūn měi gōnglǐ  (yīnglǐ) … xiǎoshí.</t>
  </si>
  <si>
    <t xml:space="preserve">有。。。[пункт отправки] 至。。。[пункт назначения] 的飞行距离是。。。公里（英里）。  </t>
  </si>
  <si>
    <t xml:space="preserve">Yǒu… [пункт отправки] zhì… [пункт назначения] de fēixíng jùlí shì… gōnglǐ (yīnglǐ)                                                                     </t>
  </si>
  <si>
    <t>Xiànzài Wǒmen fēiyuè… [Guōjiā，Chéngshì，Shānmài，Dàhǎi，Dàyáng и др.]</t>
  </si>
  <si>
    <t>(…xiǎosh …fēn hòu) Wǒmen jiāng fēiyuè… [Guōjiā, Chéngshì, Shānmài, Dàhǎi, Dàyáng и др.]</t>
  </si>
  <si>
    <t xml:space="preserve">本架飞机预计在莫斯科/当地 时间 。。。点。。。分到达 [название аэропорта] 。。。 机场。时间时差比莫斯科快／慢。。。小时。 </t>
  </si>
  <si>
    <t xml:space="preserve">Běnjià fēijī yù jì zài Mòsīkē / dāngdì shíjiān …diǎn …fēn dàodá… [название аэропорта] jīchǎng. Shíjiān shíchā bǐ Mòsīkē kuài/màn …xiǎoshí. </t>
  </si>
  <si>
    <t>现在为您介绍俄罗斯航空公司和“天合联盟“常旅客里程累积奖励活动。常旅客里程累积奖励活动是通过累积飞行里程。使您获得相应免费飞行以及由世界各地的合作伙伴提供的服务的一种奖励方式。</t>
  </si>
  <si>
    <t xml:space="preserve">Xiànzài wèi nín jièshào èluósī hángkōng gōngsī hé “tiān hé liánméng “cháng lǚkè lǐchéng lěijī jiǎnglì huódòng. Cháng lǚkè lǐchéng lěijī jiǎnglì huódòng shì tōngguò lěijī fēixíng lǐchéng. Shǐ nín huòdé xiāngyìng miǎnfèi fēixíng yǐjí yóu shìjiè gèdì de hézuò huǒbàn tígōng de fúwù de yī zhǒng jiǎnglì fāngshì.                                             </t>
  </si>
  <si>
    <t>俄罗斯航空公司的和天合联盟的尊贵卡的持有者接受额外的优惠。</t>
  </si>
  <si>
    <t xml:space="preserve">Èluósī hángkōng gōngsī de hé tiān hé liánméng de zūnguì kǎ de chí yǒu zhě jiēshòu éwài de yōuhuì.   </t>
  </si>
  <si>
    <t xml:space="preserve">如果您想了解更多详尽事宜，或成为俄航常旅客里程累积奖励活动的会员，请登陆俄航网站。                                                                           </t>
  </si>
  <si>
    <t xml:space="preserve">Rúguǒ nín xiǎng liǎojiě gèng duō xiángjìn shìyí, huò chéngwéi é háng cháng lǚkè lǐchéng lěijī jiǎnglì huódòng de huìyuán, qǐng dēnglù é háng wǎngzhàn.   </t>
  </si>
  <si>
    <t>现在我们的飞机正在颠波。 (Информация о причине турбулентности на усмотрение КВС.)</t>
  </si>
  <si>
    <t>Xiànzài Wǒmen de fēijī zhèngzài diānbō. (Информация о причине турбулентности на усмотрение КВС.)</t>
  </si>
  <si>
    <t xml:space="preserve">请您回到座位坐好，系好安全带。 </t>
  </si>
  <si>
    <t xml:space="preserve">Qǐng Nín huì dào zuòwèi zuòhǎo, jìhǎo ānquándài. </t>
  </si>
  <si>
    <t>在这段时间里，我们将停止一切供应，将恢复它时，它变得安全地走动机舱。</t>
  </si>
  <si>
    <t>Zài zhè duàn shíjiān lǐ, wǒmen jiāng tíngzhǐ yīqiè gōngyìng, jiāng huīfù tā shí, tā biàn dé ānquán de zǒudòng jīcāng.</t>
  </si>
  <si>
    <t xml:space="preserve">机长通知，现在我们的飞机正在 颠波。 </t>
  </si>
  <si>
    <t>Jīzhǎng tōngzhī, xiànzài Wǒmen de fēijī zhèngzài diānbō.</t>
  </si>
  <si>
    <t>为了安全，我们将停止供应热饮。</t>
  </si>
  <si>
    <t>Wèile ānquán, wǒmen jiāng tíngzhǐ gōngyìng rèyǐn.</t>
  </si>
  <si>
    <t xml:space="preserve">女士们，先生们，早上好！/下午好！/晚上好！ </t>
  </si>
  <si>
    <t xml:space="preserve">Nǚshὶmen,Xiānshēngmen,
Zǎoshang hǎo! /Xià wǔ hǎo! Wǎn shàng hǎo! 
</t>
  </si>
  <si>
    <t>我们即将提供为您  [выбрать необходимое].</t>
  </si>
  <si>
    <t>Wǒmen jí jiāng tígòng wéi Nín  [выбрать необходимое].</t>
  </si>
  <si>
    <t>现在飞行时间还剩。。。小时 。。。分钟。</t>
  </si>
  <si>
    <t xml:space="preserve">Xiànzài fēixíng shíjiān hái shèng …xiǎoshí …fēnzhōng. </t>
  </si>
  <si>
    <t>请机上每一位旅客在到达目的地前必须填写好海关申报单。为每个家庭填写一个。</t>
  </si>
  <si>
    <t>Qǐng jīshàng měi yī wèi lǚkè zài dàodá mùdì de qián bìxū tiánxiě hǎo hǎiguān shēnbào dān. Wèi měi gè jiātíng tiánxiě yīgè.</t>
  </si>
  <si>
    <t>请您使用英文的，大写和印刷体的字母填写， 保存好卡片到候机大厅办理入境和 海关手续。</t>
  </si>
  <si>
    <t>Qǐng nín shǐyòng yīngwén de, dàxiě hé yìnshuā tǐ de zìmǔ tiánxiě, bǎocún hǎo kǎpiàn dào hòu jī dàtīng bànlǐ rùjìng hé hǎiguān shǒuxù.</t>
  </si>
  <si>
    <t>方法的填写，您可以在“俄航”杂志内 阅读到。</t>
  </si>
  <si>
    <t xml:space="preserve">Fāngfǎ de tiánxiě, nín kěyǐ zài “é háng” zázhì nèi yuèdú dào.                                                                              </t>
  </si>
  <si>
    <t>下机前，请填写好空白表。</t>
  </si>
  <si>
    <t xml:space="preserve">Xià jī qián, qǐng tiánxiě hǎo kòngbái biǎo.   </t>
  </si>
  <si>
    <t xml:space="preserve">填写过程中如有什么问题，请随时与乘务员联系。 </t>
  </si>
  <si>
    <t xml:space="preserve">Tiánxiě guò chéng zhōng rúyǒu shénma wèntí, qǐng suíshí yǔ kècāng chéngwùyuán liánxì. </t>
  </si>
  <si>
    <t>… [название страны назначения] Yímínjú yàoqiú, chú le…[название страны] gōngmín yǐwài, suǒyǒu lǚkè bìxū tiánxiě[выбрать необходимое].</t>
  </si>
  <si>
    <t>入境卡</t>
  </si>
  <si>
    <t>rùjìngkǎ</t>
  </si>
  <si>
    <t>移民局入境卡</t>
  </si>
  <si>
    <t>yímínjú rùjìngkǎ</t>
  </si>
  <si>
    <t>迁移卡片</t>
  </si>
  <si>
    <t>qiānyí kǎpiàn</t>
  </si>
  <si>
    <t>海关申报单</t>
  </si>
  <si>
    <t>hǎiguān shēnbàodān</t>
  </si>
  <si>
    <t>入境健康申明卡</t>
  </si>
  <si>
    <t>rùjìng jiànkāng shēnmínkǎ</t>
  </si>
  <si>
    <t>… [название страны назначения] 移民局要求，除了。。。[название страны] 公民以外， 所有旅客，都必须填写 [выбрать необходимое].</t>
  </si>
  <si>
    <t xml:space="preserve">请您使用印刷体字母填写， 保存好卡片到候机大厅办理入境和 海关手续。 </t>
  </si>
  <si>
    <t xml:space="preserve">Qǐng Nín shǐyòng yìnshuā tǐzìmǔ tiánxiě, bǎocúnhǎo kǎpiàn dào hòujī dàtīng bànlǐ rùjìng hé hǎiguān shǒuxù. </t>
  </si>
  <si>
    <t>空白表格将在机场提供的。请您使用印刷体字母填写。</t>
  </si>
  <si>
    <t>Kòngbái biǎogé jiàng zài jīchǎng tígōng de. Qǐng nín shǐyòng yìnshuā tǐ zìmǔ tiánxiě.</t>
  </si>
  <si>
    <t>下飞机以前，请填写好空白表。</t>
  </si>
  <si>
    <t xml:space="preserve">Xià fēijī yǐqián, qǐng tiánxiě hǎo kòngbái biǎo.                                                                                                                                                                          </t>
  </si>
  <si>
    <t>填写过程中如有什么问题，请随时与乘务员联系。</t>
  </si>
  <si>
    <t xml:space="preserve">[Для въезда в Японию] 填写的方法，您可以在“俄航”杂志内 阅读到。  </t>
  </si>
  <si>
    <t>[Для въезда в Японию] Tiánxiě de fāngfǎ, nín kěyǐ zài “é háng” zázhì nèi yuèdú dào.</t>
  </si>
  <si>
    <t>转机旅客请注意！</t>
  </si>
  <si>
    <t xml:space="preserve">Zhuǎnjī lǚkè qǐng zhùyì! </t>
  </si>
  <si>
    <t xml:space="preserve">如您还要继续转机的飞行，请您在离开飞机后与转机处柜台的人员联系。 </t>
  </si>
  <si>
    <t xml:space="preserve">Rú Nín hái yào jìxù zhuǎnjī de fēixíng, qǐng Nín zài líkāi fēijī hòu yǔ zhuǎnjī chùguìtái de rényuán liánxì. </t>
  </si>
  <si>
    <t>转机旅客请注意！[выбрать необходимое]</t>
  </si>
  <si>
    <t>Zhuǎnjī lǚkè qǐng zhùyì! [выбрать необходимое]</t>
  </si>
  <si>
    <t>下一个航班… [указать рейс/рейсы]，改变了出发登机口号。</t>
  </si>
  <si>
    <t xml:space="preserve">下机后请跟随俄航地面服务人员，到下一个航班的登机口。                                          </t>
  </si>
  <si>
    <t xml:space="preserve">Xià jī hòu qǐng gēnsuí é háng dìmiàn fúwù rényuán, dào xià yīgè hángbān de dēng jī kǒu.                                                                                                                                                      </t>
  </si>
  <si>
    <t>转机时间是有限的，请您不要未赶上航班。</t>
  </si>
  <si>
    <t>Zhuǎnjī shíjiān shì yǒuxiàn de, qǐng nín bùyào wèi gǎn shàng hángbān.</t>
  </si>
  <si>
    <t xml:space="preserve">（。。。） 分钟后，飞机将开始 下降。 </t>
  </si>
  <si>
    <t xml:space="preserve">(…) fēnzhōng hòu, fēijī jiāng kāishǐ xiàjiàng. </t>
  </si>
  <si>
    <t xml:space="preserve">请把您的手提物品放在前面座椅下，或行李架上。 </t>
  </si>
  <si>
    <t xml:space="preserve">Qǐng bǎ Nín de shǒutí wùpǐn fàng zài qiánmiàn zuòyǐ xià, huò xínglijià shàng. </t>
  </si>
  <si>
    <t>机长开关“系好安全带"的指示灯。</t>
  </si>
  <si>
    <t>Jīzhǎngkāiguān ”jìhǎo ānquándài”de zhǐshìdēng</t>
  </si>
  <si>
    <t>莫斯科的 “舍列梅季耶沃”机场 航站楼B/C/D/E/F; 登机口...号 [указать]。</t>
  </si>
  <si>
    <t xml:space="preserve"> Mòsīkē de” Shèlièméijìyéwò” jīchǎng hángzhàlóu B/C/D/E/F; dēngjīkǒu …  hào[указать].</t>
  </si>
  <si>
    <t>转机旅客请注意！机场航站楼的地图和登机柜台的位置，您可在“俄航”杂志内 阅读到。</t>
  </si>
  <si>
    <t>Zhuǎnjī lǚkè qǐng zhùyì! Jīchǎng háng zhàn lóu de dìtú hé dēng jī guìtái de wèizhì, nín kě zài “é háng” zázhì nèi yuèdú dào.</t>
  </si>
  <si>
    <t xml:space="preserve">机场的地图可在“俄航”杂志内 阅读到。 </t>
  </si>
  <si>
    <t>Jīchǎng dì dìtú kě zài “é háng” zázhì nèi yuèdú dào.</t>
  </si>
  <si>
    <t xml:space="preserve">（。。。）机场的天气好。 （。。。）机场的天气为（下雨等，阴雨，多云，下雪等）。 </t>
  </si>
  <si>
    <t>现在我们停止一切服务，由客舱乘务员进行安全检查。 请您：</t>
  </si>
  <si>
    <t>Xiànzài wǒmen tíngzhǐ yīqiè fúwù, yóu kècāng chéngwùyuán jìnxíng ānquán jiǎnchá. Qǐng nín:</t>
  </si>
  <si>
    <t>请您回到座位坐好;</t>
  </si>
  <si>
    <t xml:space="preserve">您的手提物品放在前面座椅下，或行李架上; </t>
  </si>
  <si>
    <t>调直座椅靠背;</t>
  </si>
  <si>
    <t xml:space="preserve">收起您座椅前方的小桌板; </t>
  </si>
  <si>
    <t xml:space="preserve">Shōuqǐ Nín zuòyǐ qiánfāng de xiǎozhuōbǎn; </t>
  </si>
  <si>
    <t>所有电子设备已关闭。</t>
  </si>
  <si>
    <t>Suǒyǒu diànzi shèbèi yǐ guānbì.</t>
  </si>
  <si>
    <t xml:space="preserve">请注意！毛毯和小枕头是俄航的财产。 </t>
  </si>
  <si>
    <t xml:space="preserve">Qǐng zhùyì! Máotǎn hé xiǎozhěntou shì Éhang de cáichǎn. </t>
  </si>
  <si>
    <t xml:space="preserve">Xiàjiàngshí, Wǒmen jiāng tiáoàn kècāng nèi de dēngguāng.  Qǐng shǐyòng yuèdúdēng. </t>
  </si>
  <si>
    <t xml:space="preserve">下降时，我们将调暗客舱内的灯光。请使用 阅读灯。                                                                                                                  
</t>
  </si>
  <si>
    <t>飞机马上就要降落。</t>
  </si>
  <si>
    <t xml:space="preserve">Fēijī mǎshàng jiùyào Jiàngluò.                                                                                                                                      </t>
  </si>
  <si>
    <t xml:space="preserve">Qǐng Nín zài yī cì quèrèn:  </t>
  </si>
  <si>
    <t xml:space="preserve">所有电子设备已关闭; </t>
  </si>
  <si>
    <t xml:space="preserve">您的安全带是否系紧; </t>
  </si>
  <si>
    <t xml:space="preserve">座椅靠背已调直;                                                                                                                                     </t>
  </si>
  <si>
    <t xml:space="preserve">Xiǎozhuōbǎn yǐ shōuqǐ.                                                                                                                                    </t>
  </si>
  <si>
    <t>女士们，先生们 ! [выбрать необходимое]</t>
  </si>
  <si>
    <t>Nǚshὶmen,Xiānshēngmen! [выбрать необходимое]</t>
  </si>
  <si>
    <t>欢迎来莫斯科！本架飞机已经降落在“舍列梅季耶沃”机场的航站楼B/C/D/E/F。</t>
  </si>
  <si>
    <t>本架飞机已经降落在。。。[название города]。。。 机场[название аэропорта]， 航站楼[терминал]。。。号[указать]</t>
  </si>
  <si>
    <t xml:space="preserve">当地时间是(上午 /下午)。。。点 。。。分。 </t>
  </si>
  <si>
    <t xml:space="preserve">飞机还将继续滑行，请您在座位上坐好，等"系好安全带"的指示灯熄灭后，再站起来。 </t>
  </si>
  <si>
    <t xml:space="preserve">Fēijī hái jiāng jìxù huáxíng, qǐng Nín zài zuòwèi shàng zuòhǎo, děng”jìhǎo ānquándài”de zhǐshìdēng xīmiè hòu, zài zhàn qǐlái. </t>
  </si>
  <si>
    <t>请您整理好手提物品准备下飞机。</t>
  </si>
  <si>
    <t xml:space="preserve">Qǐng zhěnglǐ hǎo shǒutí wùpǐn zhǔnbèi xià fēijī. </t>
  </si>
  <si>
    <t>请注意!公务舱的旅客首先离开飞机。</t>
  </si>
  <si>
    <t xml:space="preserve">Qǐng zhùyì! Gōngwù cāng de lǚkè shǒuxiān líkāi fēijī                                                                                                                                                              </t>
  </si>
  <si>
    <t xml:space="preserve">如果您需要租一辆车，一定要联系的欧洲汽车租赁在机场，并得到有关俄航的旅客和程序“俄航奖励”精英级别的参与者特别折扣信息。    </t>
  </si>
  <si>
    <t xml:space="preserve">Rúguǒ nín xūyào zū yī liàng chē, yīdìng yào liánxì de ōuzhōu qìchē zūlìn zài jīchǎng, bìng dédào yǒuguān é háng de lǚkè hé chéngxù “é háng jiǎnglì” jīngyīng jíbié de cānyù zhě tèbié zhékòu xìnxī.                                                                                              </t>
  </si>
  <si>
    <t xml:space="preserve">因为班机延误，我们在此向您深表 歉意！ </t>
  </si>
  <si>
    <t xml:space="preserve">Yīnwèi bānjī yánwù, Wǒmen zàicǐ xiàng Nín shēnbiǎo qiànyì! </t>
  </si>
  <si>
    <t>我们希望今天的飞行给您带来了乐趣。下次旅行 再会！</t>
  </si>
  <si>
    <t>Wǒmen xīwàng jīntiān de fēixíng gěi nín dài láile lèqù. Xià cì lǚxíng zàihuì!</t>
  </si>
  <si>
    <t>谢谢，再见！</t>
  </si>
  <si>
    <t>Xièxie, zàijiàn!</t>
  </si>
  <si>
    <t>继续前往。。。[пункт назначения] 旅客，下机时，请您带好全部手提物品，到候机楼办手续。在“舍列梅季耶沃”机场将换机组和乘另一架飞机。</t>
  </si>
  <si>
    <t>Jìxù qiánwǎng... [пункт назначения] lǚkè, xià jī shí, qǐng nín dàihǎo quánbù shǒutí wùpǐn, dào hòu jī lóu bàn shǒuxù. Zài “shě liè méi jì yé wò” jīchǎng jiāng huàn jīzǔ hé chéng lìng yī jià fēijī.</t>
  </si>
  <si>
    <t>飞机的停留时间为。。。小时。。。分。</t>
  </si>
  <si>
    <t>Fēijī de tíngliú shíjiān wéi…xiǎoshí… fēn.</t>
  </si>
  <si>
    <t>女士们，先生们！我们的飞行已经完成了。感谢您选择俄罗斯国际航空公司。</t>
  </si>
  <si>
    <t>Nǚshìmen, xiānshēngmen! Wǒmen de fēixíng yǐjīng wánchéngle. Gǎnxiè nín xuǎnzé èluósī guójì hángkōng gōngsī.</t>
  </si>
  <si>
    <t>Běnjià fēijī yǐjīng jiàngluò zài… [название города] … jīchǎng, hángzhànlóu [терминал] …háo [указать].</t>
  </si>
  <si>
    <t>(…) jīchǎng de dìmiàn wēndù(lingshàng / lingxià)… shèshìdù/huáshì dù [для рейсов США/Канады]</t>
  </si>
  <si>
    <t>(。。。)机场的地面温度（零上|零下。。。摄氏度/华氏度[для рейсов США/Канады]</t>
  </si>
  <si>
    <t>Dāngdì shíjiān shì (shàngwǔ/xiàwǔ) …diǎn …fēn.</t>
  </si>
  <si>
    <t>Huānīn lái Mòsīkē! Běnjià fēijī yǐjīng jiàngluò zài “Shèlièméijìyéwò” jīchǎng de hángzhànlóu B/C/D/E/F.</t>
  </si>
  <si>
    <t xml:space="preserve">(…) jī chǎng tiānqì hǎo. (…) jī chǎng tiānqì wéi(xiàyǔ děng,yīnyǔ,duōyún, xiàxuě děng). </t>
  </si>
  <si>
    <t>Xiànzài fēijī jí jiāng kāishǐ xiàjiàng, …fēnzhōng hòu,Wǒmen jiāng dàodá… [выбрать необходимое].</t>
  </si>
  <si>
    <t>…jīchǎng de dìmiàn wēndù (lingshàng / lingxià)… shèshìdù/huáshì dù [для рейсов США/Канады]</t>
  </si>
  <si>
    <t>(。。。)机场的地面温度（零上|零下。。。摄氏度/华氏度 [для рейсов США/Канады]</t>
  </si>
  <si>
    <t xml:space="preserve">…jī chǎng tiānqì hǎo. …jī chǎng tiānqì wéi (xiàyǔ děng, yīnyǔ, duōyún, xiàxuě děng). </t>
  </si>
  <si>
    <t>Huí dào zuòwèi zuòhǎo;</t>
  </si>
  <si>
    <t>Nín de shǒutí wùpǐn fàngzài qiánmiàn zuòyǐ xià, huò xínglijià shàng;</t>
  </si>
  <si>
    <t>Jìjǐn ānquándài;</t>
  </si>
  <si>
    <t>... [название города] …jīchǎng [название аэропорта] … hángzhàlóu … Терминал… [указать при наличии информации] dēngjīkǒu …  hào выход… [указать при наличии информации].</t>
  </si>
  <si>
    <t>。。。 [название города] … (机场) [название аэропорта], 航站楼。。。 [указать при наличии информации] 登机口...号… [указать при наличии информации]。</t>
  </si>
  <si>
    <t>现在飞机即将开始下降，。。。分钟后，我们将 到达。。。[выбрать необходимое]。</t>
  </si>
  <si>
    <t>为中转旅客信息与连接俄航/… [название авиакомпании] … [номер рейса]  航班，前往… [пункт назначения]!</t>
  </si>
  <si>
    <t>Wéi zhōngzhuǎn lǚkè xìnxī yǔ liánjiē é háng/… [название авиакомпании] hángbān, qiánwǎng… [пункт назначения]!</t>
  </si>
  <si>
    <t>飞机还没有完全停稳。</t>
  </si>
  <si>
    <t xml:space="preserve">Fēijī hái méi yǒu wánquán tíngwěn. </t>
  </si>
  <si>
    <t xml:space="preserve">请您在座位上坐好，在“系好安全带“指示灯熄灭前，请不要离开自己的座位。 </t>
  </si>
  <si>
    <t xml:space="preserve">Qǐng Nín zài zuòwèi shàng zuòhǎo, děng”jìhǎo   ānquándài”de zhǐshìdēng xīmiè qián, qǐng bù yào líkāi zìjǐ de zuòwèi. </t>
  </si>
  <si>
    <t>一有消息我们将及时通知您下机。</t>
  </si>
  <si>
    <t xml:space="preserve">Yīyǒu xiāoxi Wǒmen jiāng jíshí tōngzhī Nín xià jī. </t>
  </si>
  <si>
    <t>我们的飞行已经完成了。</t>
  </si>
  <si>
    <t xml:space="preserve">Wǒmen de fēixíng yǐjīng wánchéngle. </t>
  </si>
  <si>
    <t>我和全体机组人员，感谢您选择俄罗斯国际航空公司。</t>
  </si>
  <si>
    <t>Wǒ hé quántǐ jīzǔ rényuán, gǎnxiè nín xuǎnzé èluósī guójì hángkōng gōngsī.</t>
  </si>
  <si>
    <t>有一个愉快的一天/晚上。</t>
  </si>
  <si>
    <t>Yǒu yīgè yúkuài de yītiān/wǎnshàng.</t>
  </si>
  <si>
    <t xml:space="preserve">几分钟后，公共汽车把您从飞机 送到航站楼。 </t>
  </si>
  <si>
    <t xml:space="preserve">Jǐ fēnzhōng hòu, gōnggōng qìchē bǎ Nín cóng      fēijī sòngdào hángzhànlóu.                                                                                                                        </t>
  </si>
  <si>
    <t>走下当时，请小心。</t>
  </si>
  <si>
    <t xml:space="preserve">Zǒu xià dāngshí, qǐng xiǎoxīn.                                                                                                </t>
  </si>
  <si>
    <t>下机后，请您绕道登机桥，然后下楼，那里有公共汽车，它把您 送到航站楼。</t>
  </si>
  <si>
    <t>Xià jī hòu, qǐng nín ràodào dēng jī qiáo, ránhòu xià lóu, nà li yǒu gōnggòng qìchē, tā bǎ nín sòng dào háng zhàn lóu.</t>
  </si>
  <si>
    <t>由于移民局要求，下飞机当时，您需要通过额外的护照控制。</t>
  </si>
  <si>
    <t>Yóuyú yímín jú yāoqiú, xià fēijī dāngshí, nín xūyào tōngguò éwài de hùzhào kòngzhì.</t>
  </si>
  <si>
    <t>. 请准备您的护照。</t>
  </si>
  <si>
    <t>Qǐng zhǔnbèi nín de hùzhào.</t>
  </si>
  <si>
    <t>请您从。。。下机。 [выбрать необходимое].</t>
  </si>
  <si>
    <t>前登机门</t>
  </si>
  <si>
    <t>Qián dēngjīmén</t>
  </si>
  <si>
    <t>中登机门</t>
  </si>
  <si>
    <t xml:space="preserve">Zhōng dēngjīmén </t>
  </si>
  <si>
    <t>前和中登机门</t>
  </si>
  <si>
    <t xml:space="preserve">Qián hé zhōng dēngjīmén </t>
  </si>
  <si>
    <t>前和后登机门</t>
  </si>
  <si>
    <t>Qián hé Hòu dēngjīmén</t>
  </si>
  <si>
    <t xml:space="preserve">Qǐng zhùyì! Jīngjì cāng lǚkèmen bìxū zài zuòwèi shàng shāo děng. Xiān dàodá.... [название пункта назначения] de  lǚkè xià fēijī.                              </t>
  </si>
  <si>
    <t>请注意！经济舱旅客们必须在座位上稍等。先到达。。。 [название пункта назначения] 的旅客下飞机。</t>
  </si>
  <si>
    <t>Qǐng Nín cóng… xià fēijī. [выбрать необходимое].</t>
  </si>
  <si>
    <t>这是乘务长/机长说。</t>
  </si>
  <si>
    <t>由于 。。。[указать причину] 我们将推迟。。。小时。。。分本次航班的起飞。</t>
  </si>
  <si>
    <t xml:space="preserve">Yóuyú… [указать причину] Wǒmen jiāng tūichí… xiǎoshí… fēn běncì hángbānde qǐfēi. </t>
  </si>
  <si>
    <t>。。。[название аэропорта] 机场天气恶劣原因</t>
  </si>
  <si>
    <t>由于货物超重，行李装载原因</t>
  </si>
  <si>
    <t>Yóuyú huòwù chāozhòng,xíngli zhuāngzài yuányīn</t>
  </si>
  <si>
    <t>由于转机旅客的航班 晚点</t>
  </si>
  <si>
    <t>Yóuyú zhuǎnjī lǚkè hángbān wǎndiǎn</t>
  </si>
  <si>
    <t>由于卸没有登记旅客的 行李</t>
  </si>
  <si>
    <t>Yóuyú xiè méiyǒu dēngjì lǚkè de xíngli</t>
  </si>
  <si>
    <t>由于机场的工作人员 罢工</t>
  </si>
  <si>
    <t>Yóuyú jīchǎng de gōngzuò rényuán bàgōng</t>
  </si>
  <si>
    <t>由于航班时刻表中的 变化</t>
  </si>
  <si>
    <t>Yóuyú hángbān shíkèbiǎo nèi de biànhuà</t>
  </si>
  <si>
    <t>由于现在我们的飞机就要起飞前的准备，我们正在采取一切可能的措施,给我们的飞机起飞了快一点儿</t>
  </si>
  <si>
    <t xml:space="preserve">Yóuyú xiànzài wǒmen de fēijī jiù yào qǐfēi qián de zhǔnbèi, wǒmen zhèngzài cǎiqǔ yīqiè kěnéng de cuòshī, gěi wǒmen de fēijī qǐfēile kuài yīdiǎn er.                                                                                     </t>
  </si>
  <si>
    <t xml:space="preserve">… [название аэропорта] jīchǎng tiānqì èliè yuányīn                                                                                                               </t>
  </si>
  <si>
    <t>Xià yīgè hángbān… [указать рейс/рейсы], gǎibiànle chūfā dēng jī kǒuhào.</t>
  </si>
  <si>
    <t>请您。。。[выбрать необходимое]。</t>
  </si>
  <si>
    <t>–请您在座位上坐好， 并不 要松开安全带</t>
  </si>
  <si>
    <t xml:space="preserve">Qǐng Nín zuòwèi shàng zuòhǎo bìng bùyào sōngkài ānquándài. </t>
  </si>
  <si>
    <t>请您在座位上坐好，几分钟后，我们为您提供饮料（和正餐）</t>
  </si>
  <si>
    <t>Qǐng Nín zuòwèi shàng zuòhǎo, jǐ fēnzhōng hòu, Wǒmen wéi Nín tígòng yǐnliào (hé zhèngcān)</t>
  </si>
  <si>
    <t>请所有旅客带好全部手提物品去候机室。起飞时间将另行通知。请保存好登机牌。</t>
  </si>
  <si>
    <t>Qǐng suǒyǒu lǚkè dàihǎo quánbù shǒutí wùpǐn qù hòujīshì .Qǐfēi shíjiān jiāng lìngxíng tōngzhī. Qǐng bǎocún hǎo dēngjīpái.</t>
  </si>
  <si>
    <t>我们向您深表歉意！</t>
  </si>
  <si>
    <t xml:space="preserve">Wǒmen xiàng Nín shēnbiǎo qiànyì! </t>
  </si>
  <si>
    <t>由于 。。。[название аэропорта] 机场天气恶劣原因</t>
  </si>
  <si>
    <t>由于生产要求</t>
  </si>
  <si>
    <t>Yóuyú shēngchǎn yāoqiú</t>
  </si>
  <si>
    <t>我们的飞机必须回到停机坪。</t>
  </si>
  <si>
    <t>Wǒmen de fēijī bìxū huídào tíngjīpíng.</t>
  </si>
  <si>
    <t>请您在座位上坐好，并不 要松开安全带。</t>
  </si>
  <si>
    <t>一有消息我们将及时通知您。</t>
  </si>
  <si>
    <t xml:space="preserve">Yīyǒu xiāoxi Wǒmen jiāng jíshí tōngzhī Nín. </t>
  </si>
  <si>
    <t>谢谢。</t>
  </si>
  <si>
    <t>Xièxie.</t>
  </si>
  <si>
    <t>Zhè shì jīzhǎng shuō (Jī cháng tōngzhī…) [выбрать необходимое]</t>
  </si>
  <si>
    <t>现在我们的飞机正在加油。</t>
  </si>
  <si>
    <t>Xiànzài Wǒmen de fēijī zhèngzài jiāyóu.</t>
  </si>
  <si>
    <t>请扣上安全带，并留在座位上坐好。</t>
  </si>
  <si>
    <t>Qǐng kòushàng ānquándài, bìng liúzài zuòwèi shàng zuòhǎo.</t>
  </si>
  <si>
    <t xml:space="preserve">请不要将行李放在走廊，过道及紧急出口处。 </t>
  </si>
  <si>
    <t>Qǐng bùyào jiāng xíngli fàng zài zǒuláng, guódaò jí jǐnjí chūkǒu chù</t>
  </si>
  <si>
    <t>一有加油结束，我们将及时通知您。</t>
  </si>
  <si>
    <t xml:space="preserve">Yīyǒu jiāyóu jiéshù, Wǒmen jiāng jíshí tōngzhī Nín. </t>
  </si>
  <si>
    <t>机长通知：由于。。。[выбрать необходимое]本架飞机不能按时降落在。。。[название аэропорта]机场。</t>
  </si>
  <si>
    <t>由于。。。([название аэропорта] 机场起降繁忙。本架飞机不能按时降落在。。。[название аэропорта]机场。需要等。。。分钟。我们正在等待降落许可。</t>
  </si>
  <si>
    <t>Yóuyú... ([название аэропорта]  jīchǎng qǐ jiàng fánmáng. Běn jià fēijī bùnéng ànshí jiàngluò zài.. ([название аэропорта] jīchǎng. Xūyào děng... fēnzhōng. Wǒmen zhèngzài děngdài jiàngluò xǔkě.</t>
  </si>
  <si>
    <t>由于 。。。[название аэропорта] 机场天气恶劣原因; 本架飞机不能按时降落。我们会在等候区，直到天气条件允许我们的落地。</t>
  </si>
  <si>
    <t>请您在座位上坐好，并不 要松开。安全带。</t>
  </si>
  <si>
    <t>我们正在等待登机桥的空位。</t>
  </si>
  <si>
    <t xml:space="preserve">Wǒmen zhèngzài děngdài dēngjīqiáo kōngwèi. </t>
  </si>
  <si>
    <t xml:space="preserve">请您在座位上坐好，并不 要松开。 </t>
  </si>
  <si>
    <t>我们正在等待下飞机的许可。请您在座位上坐好。</t>
  </si>
  <si>
    <t>Wǒmen zhèngzài děngdài xià fēijī de xǔkě, qǐng Nín zuòwèi shàng zuòhǎo.</t>
  </si>
  <si>
    <t>这是机长说，我的名字叫… [имя и фамилия].，我和全体机组人员感谢您乘坐俄航的…[тип ВС]飞机。</t>
  </si>
  <si>
    <t>今天我们已经离开。。。前往。。。[конечный пункт трассы] 新航线开通。(本次航班与«。。。» [название авиакомпании по код-шер] 航空 公司航班实施代码共亨)。
飞行距离是。。。公里。</t>
  </si>
  <si>
    <t>我是本次班机的主任乘务长，我的名字叫。。。 [имя без фамилии] 。</t>
  </si>
  <si>
    <t>我和全体机组人员，祝您祝您在新的一年里吉祥如意！</t>
  </si>
  <si>
    <t>欢迎您在座俄国著名。。。 [указать определение рода деятельности из Приложения №2，имя и фамилия человека, в честь которого названо ВС*] 名名的本架飞机上。</t>
  </si>
  <si>
    <t>Wǒmen hángkōng gōngsī de shǒuyào rènwu. [выбрать из вариантов]</t>
  </si>
  <si>
    <t>Xiànzài Wǒmen yǐjing líkāi... qiánwǎng… (Běncì hángbān yǔ «…» [название авиакомпании по код-шер] hángkōng gōngsī shíshī dàimǎ gòngxiǎng).</t>
  </si>
  <si>
    <t>现在我们已经离开。。。前往。。。，（本次航班与«…» [название авиакомпании по код-шер] 航空公司航班实施代码共亨）。</t>
  </si>
  <si>
    <t>Wǒ hé quán tǐ rényuán gǎnxiè nín chéngzuò é háng de… [тип ВС] fēijī.</t>
  </si>
  <si>
    <t>我和全体机组人员感谢您乘坐俄航的。。。 [тип ВС] 飞机。</t>
  </si>
  <si>
    <t>这是机长说，我的名字叫。。。 [имя и фамилия]. 祝您新年好！圣诞快乐！</t>
  </si>
  <si>
    <t>Zhè shì jī zhǎng shuō, wǒ de míngzὶ jiào… [имя и фамилия]. Zhù Nín Xīnnián hǎo! Shèngdàn kuàilè!</t>
  </si>
  <si>
    <t>女士们，先生们，早上好！/ 下午好！/ 晚上好！</t>
  </si>
  <si>
    <t xml:space="preserve">Nǚshὶmen, Xiānshēngmen, Zǎoshang hǎo!/ Xià wǔ hǎo!/ Wǎn shàng hǎo! 
</t>
  </si>
  <si>
    <t>Доброе утро/ Добрый день/ Добрый вечер, дамы и господа!</t>
  </si>
  <si>
    <t xml:space="preserve">预计空中飞行时间为 …小时 …分。 </t>
  </si>
  <si>
    <t xml:space="preserve">Yùjì kōngzhōng shíjiān wéi …xiǎoshí …fēn.  </t>
  </si>
  <si>
    <t>Jīntiān Wǒmen yǐjing líkāi… qiánwǎng… [конечный пункт трассы] xīn hángxiàn kāitōng. (Běncì hángbān yǔ «…» [название авиакомпании по код-шер]  hángkōng gōngsī shíshī dàimǎ gòngxiǎng.) Fēixíng jùlí shì …gōnglǐ.</t>
  </si>
  <si>
    <t>Zhè shì jī zhǎng shuō, wǒ de míngzì jiào… [имя и фамилия]. Wǒ hé quán tǐ rényuán gǎnxiè nín chéngzuò é háng de… [тип ВС] fēijī.</t>
  </si>
  <si>
    <t>Yóuyú... [название аэропорта] jīchǎng tiānqì èliè yuányīn; běn jià fēijī bùnéng ànshí jiàngluò. Wǒmen huì zài děnghòu qū, zhídào tiānqì tiáojiàn yǔnxǔ wǒmen de luòdì.</t>
  </si>
  <si>
    <t>Jī cháng tōngzhī: Yóuyú… [выбрать необходимое] běn jià fēijī bùnéng ànshí jiàngluò zài… [название аэропорта] jīchǎng.</t>
  </si>
  <si>
    <t>Yóuyú… [название аэропорта] jīchǎng tiānqì èliè yuányīn</t>
  </si>
  <si>
    <t>由于 。。。 [название аэропорта] 机场天气恶劣原因</t>
  </si>
  <si>
    <t>这是机长说（机长通知。。。） [выбрать необходимое]</t>
  </si>
  <si>
    <t>Qǐng nín… [выбрать необходимое].</t>
  </si>
  <si>
    <t>Zhè shì chéngwùzhǎng/ jīzhǎng shuō.</t>
  </si>
  <si>
    <t>Wǒ shὶ běncὶ bānjī zhŭrèn chéngwùzhǎng, Wǒ de míngzὶ jiào… [имя без фамилии].</t>
  </si>
  <si>
    <t>Wǒ hé quán tǐ rényuán, zhù Nín zài xīn de yīnián lǐ jíxiáng rúyì!</t>
  </si>
  <si>
    <t>Huānyíng Nín zài zuò Éguó zhùmíng… [указать определение рода деятельности из Приложения №2, имя и фамилия человека, в честь которого названо ВС*] míngmíng de běnjià fēijī shàng.</t>
  </si>
  <si>
    <t>您的安全和舒适是我们航空公司的首要任务。 [выбрать из вариантов].</t>
  </si>
  <si>
    <t>Qīnài de láozhǔgù – Éháng hé Tiānhéliánméng jīngyīng hé jīngyīngjiā de shuǐpíng cháng lǚkè jiǎnglì jìhuá de chéngyuán. Wǒmen gánxiè Nín de xuǎnzé shì Éháng jítuán gōngsī.</t>
  </si>
  <si>
    <t>[Название аэропорта] 。。。 转机旅客即将开始上机。</t>
  </si>
  <si>
    <t>[Название аэропорта] …Zhuǎnjī lǚkè jí jiāng kāishǐ shàngjī.</t>
  </si>
  <si>
    <t>请您对号人作。</t>
  </si>
  <si>
    <t>Qǐng Nín duì háo rénzuò.</t>
  </si>
  <si>
    <t>我们将重新核对机上旅客人数。</t>
  </si>
  <si>
    <t>Wǒmen jiāng zhòngxīnhé duì jīshàng lǚkè rénshù.</t>
  </si>
  <si>
    <t>请您对号人作。请个各位旅客出示您的登机牌，以使地面有关人员查验。</t>
  </si>
  <si>
    <t xml:space="preserve">Qǐng nín duì hào rén zuò. Qǐng gè gèwèi lǚkè chūshì nín de dēng jī pái, yǐ shǐ dìmiàn yǒuguān rényuán cháyàn.                                                                            </t>
  </si>
  <si>
    <t>本架飞机是由。。。飞往。。。的。。。[номер рейса] 航班。（本次航班与 «…» [название авиакомпании по код-шер] 航空公司航班实施代码共亨）。</t>
  </si>
  <si>
    <t>哪位旅客是。。。先生/女士，请与乘务员联系。（下机时，请与乘务员/地面人员联系。）</t>
  </si>
  <si>
    <t>Běn jià fēijī shì yóu... fēi wǎng... de... [номер рейса] hángbān.(Běn cì hángbān yǔ «…» [название авиакомпании по код-шер] hángkōng gōngsī hángbān shíshī dàimǎ gòng hēng).</t>
  </si>
  <si>
    <t>Nǎ wèi lǚkè shì… xiānshēng/nǚshὶ, qǐng yǔ chéngwùyuán liánxì. (Xià jīshí, qǐng yǔ chéngwùyuán/dìmiàn rényuán liánxì).</t>
  </si>
  <si>
    <t>为了安全，我们要求您离开飞机，并确定您的行李。</t>
  </si>
  <si>
    <t>Wèile ānquán, wǒmen yāoqiú nín líkāi fēijī, bìng quèdìng nín de xínglǐ.</t>
  </si>
  <si>
    <t>来路不明的行李将不被装在飞机。</t>
  </si>
  <si>
    <t xml:space="preserve">Láilù bùmíng de xíngli jiāng bùbèi zhuāngzài fēijī. </t>
  </si>
  <si>
    <t>我们向您表示歉意。</t>
  </si>
  <si>
    <t>我们的机组人员在飞机的洗手间内发现有 香烟烟雾。</t>
  </si>
  <si>
    <t>Wǒmen de jīzǔrényuán zài fēiīj de xǐshǒujiān nèi  fāxiàn yǒu xiāngyān yānwù.</t>
  </si>
  <si>
    <t>我们提醒您，在机上，俄航规定禁止饮用自行带来了的酒精饮料。</t>
  </si>
  <si>
    <t>Wǒmen tíxǐng nín, zài jīshàng, é háng guīdìng jìnzhǐ yǐnyòng zìxíng dài láile de jiǔjīng yǐnliào.</t>
  </si>
  <si>
    <t>在此我们提醒您, 按照俄罗斯联邦航空法地一百零七条，如果在飞行途中，旅客做出影响飞行安全的行为，或不听从机长的指挥，航空公司有权采以下措施:</t>
  </si>
  <si>
    <t>Zàicǐ Wǒmen tíxǐng Nín, ànzhào  Éluósī liánbāng hángkōngfǎ dì yībǎilíngqī tiáo, rúguǒ zài fēixíng túzhōng, lǚkè zuòchū yǐngxiǎng  fēixíng ānquán de xíngwéi, huò bù tīng cóng jīzhǎng de zhǐhuī, hángkōng gōngsī yŏu quáncǎi yǐxià cuòshī:</t>
  </si>
  <si>
    <t>将该名旅客移交安全部门处理;</t>
  </si>
  <si>
    <t>jiāng gāimíng lǚkè yíjiāo ānquán bùmen chǔlǐ;</t>
  </si>
  <si>
    <t xml:space="preserve">将该名旅客的机票作废，并且部予以赔偿。 </t>
  </si>
  <si>
    <t xml:space="preserve">jiāng gāimíng lǚkè de jīpiào zuòfèi, bìngqiě bù yǔyǐ péicháng. </t>
  </si>
  <si>
    <t xml:space="preserve">关于’’旅客行为守则’”的详细内容,您可以在俄航的杂志内阅读到。 </t>
  </si>
  <si>
    <t xml:space="preserve">Guānyú”Lǚkè xíngwéi shǒuzé”de xiángxì nèiróng, Nín kěyǐ zài háng de zá zhì nèi yuèdú dào. </t>
  </si>
  <si>
    <t xml:space="preserve">您可以在飞机的前部/中部出口处得到在免税商店购买的物品。    </t>
  </si>
  <si>
    <t xml:space="preserve">Nín kěyǐ zài fēijī de qián bù/zhōngbù chūkǒu chù dédào zài miǎnshuì shāngdiàn gòumǎi de wùpǐn.                              </t>
  </si>
  <si>
    <t>下机时</t>
  </si>
  <si>
    <t xml:space="preserve">xià jīshí </t>
  </si>
  <si>
    <t>飞机开始下降之前</t>
  </si>
  <si>
    <t>fēijī kāishǐ xiàjiàng zhīqián</t>
  </si>
  <si>
    <t xml:space="preserve">如果您想乘坐一辆出租车的为俄航的乘客特价优惠，。。。 [выбрать необходимое] 请与客舱乘务员 联系。                                                                                                               </t>
  </si>
  <si>
    <t xml:space="preserve">Rúguǒ nín xiǎng chéngzuò yī liàng chūzū chē de wèi é háng de chéngkè tèjià yōuhuì,… [выбрать необходимое] qǐng yǔ kècāng chéngwùyuán liánxì. </t>
  </si>
  <si>
    <t>非常感谢您选择航空公司"俄罗斯 航空公司"。</t>
  </si>
  <si>
    <t>您的宝贵意见对于我们十分重要，为了提高我们的服务质重。</t>
  </si>
  <si>
    <t>Nín de bǎoguì yìjiàn duìyú wǒmen shí fèn zhòngyào, wèile tígāo wǒmen de fúwù zhì zhòng.</t>
  </si>
  <si>
    <t>多谢您抽空填写调查问卷，并交给一个乘务员。</t>
  </si>
  <si>
    <t xml:space="preserve">Duōxiè nín chōukòng tiánxiě diàochá wènjuàn, bìng jiāo gěi yīgè chéngwùyuán.                                                                         </t>
  </si>
  <si>
    <t>Fēicháng gǎnxiè nín xuǎnzé hángkōng gōngsī “èluósī hángkōng gōngsī”.</t>
  </si>
  <si>
    <t>由于机上供水系统发生故障，一时难以修复。我们只能向您提供冷饮。</t>
  </si>
  <si>
    <t>Yóuyú jīshàng gòng shuǐ xìtǒng fāshēng gùzhàng, yīshí nányǐ xiūfù. Wǒmen zhǐ néng xiàng nín tígōng lěngyǐn.</t>
  </si>
  <si>
    <t>对此我们向您表示歉意。</t>
  </si>
  <si>
    <t>Duì cǐ wǒmen xiàng nín biǎoshì qiànyì.</t>
  </si>
  <si>
    <t xml:space="preserve">由于机上供水系统发生故障，一时难以修复。 [выбрать необходимое]                                                                              </t>
  </si>
  <si>
    <t>Yóuyú jīshàng gòng shuǐ xìtǒng fāshēng gùzhàng, yīshí nányǐ xiūfù. [выбрать необходимое]</t>
  </si>
  <si>
    <t>前/中/尾部的洗手间禁止使用。请使用前/中/尾部的洗手间禁。</t>
  </si>
  <si>
    <t>Qián/zhōng/wěibù xǐshǒujiān jìnzhǐ shǐyòng. Qǐng shǐyòng qián/zhōng/wěibù xǐshǒujiān.</t>
  </si>
  <si>
    <t xml:space="preserve">由于全机上洗手间的供水系统发生故障，一时难以修复。我们在。。。 [название города] 。。。的 [название аэропорта] 机场备降。                                                                    </t>
  </si>
  <si>
    <t>Yóuyú quán jīshàng xǐshǒujiān de gōngshuǐ xìtǒng fāshēng gùzhàng, yīshí nányǐ xiūfù. Wǒmen zài… [название города] …de [название аэропорта] jīchǎng bèijiàng.</t>
  </si>
  <si>
    <t>如有。。。 [указать, например, "系好安全带"，"关闭手机" ]  发生故障，请您密切听好了安全须知，并按照机组人员的指示。</t>
  </si>
  <si>
    <t xml:space="preserve"> Rú yǒu… [указать, например, “xì hǎo ānquán dài”, “guānbì shǒujī” fāshēng gùzhàng, qǐng nín mìqiè tīng hǎole ānquán xūzhī, bìng ànzhào jīzǔ rényuán de zhǐshì.                                                                      </t>
  </si>
  <si>
    <t xml:space="preserve">降落前的剩余时间，不允许我们继续。。。[выбрать необходимое] </t>
  </si>
  <si>
    <t>餐饮服务</t>
  </si>
  <si>
    <t>出售“空中商店”的商品（机上免税商品）</t>
  </si>
  <si>
    <t xml:space="preserve">Jiàngluò qián de shèngyú shíjiān, bù yǔnxǔ wǒmen jìxù… [выбрать необходимое] </t>
  </si>
  <si>
    <t>chūshòu “kōngzhōng shāngdiàn” de shāngpǐn (jīshàng miǎnshuì shāngpǐn).</t>
  </si>
  <si>
    <t>cānyǐn fúwù;</t>
  </si>
  <si>
    <t>您看到的客舱内的冷凝发生由于空调系统的操作, 请不要担心！</t>
  </si>
  <si>
    <t>Nín kàn dào de kècāng nèi de lěngníng fāshēng yóuyú kòngtiáo xìtǒng de cāozuò, qǐng bùyào dānxīn!</t>
  </si>
  <si>
    <t>旅客中哪一位是医生或护理人员，请马上与乘务员联系。</t>
  </si>
  <si>
    <t>Yīwèi lǚkè xūyàoNín de yīliáo bāngzhù.</t>
  </si>
  <si>
    <t>Lǚkè zhōng nǎ yīwèi shì yīshēng huò hùlǐ rényuán, qǐng mǎshàng yǔ chéngwùyuán liánxì.</t>
  </si>
  <si>
    <t>我们（迫切）需要您的帮助。</t>
  </si>
  <si>
    <t xml:space="preserve">Wǒmen (pòqiè) xūyào nín de bāngzhù. </t>
  </si>
  <si>
    <t>请注意！一位旅客有症状传染病。</t>
  </si>
  <si>
    <t xml:space="preserve">Qǐng zhùyì! Yī wèi lǚkè yǒu zhèngzhuàng chuánrǎn bìng.                                                                          </t>
  </si>
  <si>
    <t>为确保遵守俄罗斯和国际卫生机构的要求以及为了保护您的健康，乘务员将会派发一次性使用口罩。</t>
  </si>
  <si>
    <t xml:space="preserve">Wèi quèbǎo zūnshǒu èluósī hé guójì wèishēng jīgòu de yāoqiú yǐjí wèile bǎohù nín de jiànkāng, chéngwùyuán jiāng huì pàifā yīcì xìng shǐyòng kǒuzhào.                                                                                                                                           </t>
  </si>
  <si>
    <t>请您回到座位坐好，戴上口罩，下机之前请不要取下口罩。</t>
  </si>
  <si>
    <t>为确保遵守卫生机构的要求，所有旅客必须填写入境健康申明卡。</t>
  </si>
  <si>
    <t>Wèi quèbǎo zūnshǒu wèishēng jīgòu de yāoqiú, suǒyǒu lǚkè bìxū tiánxiě rùjìng jiànkāng shēnmíng kǎ.</t>
  </si>
  <si>
    <t xml:space="preserve">请您使用印刷体字母填写，并必须点在到达后的30天内您的居住地址。    </t>
  </si>
  <si>
    <t xml:space="preserve">Qǐng nín shǐyòng yìnshuā tǐ zìmǔ tiánxiě, bìng bìxū diǎn zài dàodá hòu de 30 tiānnèi nín de jūzhù dìzhǐ.                                                                                                                       </t>
  </si>
  <si>
    <t>下机之前，请您填写好表格并转移到乘务员。</t>
  </si>
  <si>
    <t xml:space="preserve">Xià jī zhīqián, qǐng nín tiánxiě hào biǎogé bìng zhuǎnyí dào chéngwùyuán.                                                                                                                   </t>
  </si>
  <si>
    <t xml:space="preserve">如有您不舒服或需要帮助,请马上与乘务员联系。  </t>
  </si>
  <si>
    <t xml:space="preserve">Rú yǒu nín bú shūfú huò xūyào bāngzhù, qǐng mǎshàng yǔ chéngwùyuán liánxì.                                                                                                        </t>
  </si>
  <si>
    <t>Yǒu wèi lǚkè yíshī le… [указать что именно], yǒu nǎ wèi lǚkè shídào… [указать что именно], qǐng jíshí yǔ chéngwùyuán liánxì.</t>
  </si>
  <si>
    <t>有位旅客遗失了。。。 [указать что именно], 如有哪位旅客拾到。。。 [указать что именно], 请及时与乘务员联系。</t>
  </si>
  <si>
    <t>我们在。。。 [указать где:  客舱内，洗手间里, др.] 找到 了。。。 [указать что именно]. 如果是您遗失的，请及时与乘务员联系。</t>
  </si>
  <si>
    <t>Wǒmen zài… [указать где: Kècāng nèi, xǐshǒujiān lǐ, др.], zhǎodàole… [указать что именно]. Rúguǒ shì nín yíshī de, qǐng jíshí yǔ chéngwùyuán liánxì.</t>
  </si>
  <si>
    <t>由于需要而生产</t>
  </si>
  <si>
    <t>现在机上有一位重病人，</t>
  </si>
  <si>
    <t>Xiànzài jīshàng yǒuyī wèi zhòngbìng rén,</t>
  </si>
  <si>
    <t>机场的地面人员将提供为您帮助和援助。</t>
  </si>
  <si>
    <t>Jīchǎng dì dìmiàn rényuán jiāng tígōng wèi nín bāngzhù hé yuánzhù.</t>
  </si>
  <si>
    <t>Zhè shì jī zhǎng shuō. (Jī zhǎng guānshuō…) [выбрать необходимое]</t>
  </si>
  <si>
    <t>Yóuyú… [название аэропорта] jīchǎng tiānqì èliè yuányīn;</t>
  </si>
  <si>
    <t>Yóuyú xūyào ér shēngchǎn;</t>
  </si>
  <si>
    <t>Wǒmen jiāng jiàngluò zài… [название города] zuìjìn de kěyòng jīchǎng.</t>
  </si>
  <si>
    <t>我们将降落在。。。 [название города] 最近的可用机场。</t>
  </si>
  <si>
    <t>检疫要求：我们的飞机必须被除去虫。这种杀虫药药服从国际标准，对人无害。</t>
  </si>
  <si>
    <t>Jiǎnyì yàoqiú: Wǒmen de fēijī bìxū bèichú qùchóng. Zhè zhòng shāchóngyào fúcóng guójì biāozhǔn, duì rén wúhài.</t>
  </si>
  <si>
    <t>消毒结束前，请不要离开自己的座位。</t>
  </si>
  <si>
    <t>Xiāodú jiéshù qián, qǐng bùyào líkāi zìjǐ de zuòwèi.</t>
  </si>
  <si>
    <t>由于“舍列梅季耶沃”机场的移民局要求， 下机时您必须通过额外的护照控制。</t>
  </si>
  <si>
    <t xml:space="preserve">Yóuyú “Shě liè méi jì yé wò” jīchǎng de yímín jú yāoqiú, xià jī shí nín bìxū tōngguò éwài de hùzhào kòngzhì.                                                                                                           </t>
  </si>
  <si>
    <t>请各位旅客出示您的登机牌和护照，以便地面有关人员查验。</t>
  </si>
  <si>
    <t>Qǐng gèwèi lǚkè chūshì nín de dēng jī pái hé hùzhào, yǐbiàn dìmiàn yǒuguān rényuán cháyàn.</t>
  </si>
  <si>
    <t>(Zhè shì jī zhǎng shuō.)</t>
  </si>
  <si>
    <t>大家请注意！这是乘务长说。</t>
  </si>
  <si>
    <t>Dàjiā qǐng zhùyì! Zhè shì chéngwù zhǎng shuō.</t>
  </si>
  <si>
    <t>直飞最近的机场。</t>
  </si>
  <si>
    <t>zhí fēi zuìjìn de jīchǎng.</t>
  </si>
  <si>
    <t>陆地迫降。</t>
  </si>
  <si>
    <t>lùdì pòjiàng.</t>
  </si>
  <si>
    <t>shuǐshàng pòjiàng.</t>
  </si>
  <si>
    <t>救援机场勤务接到了通知。</t>
  </si>
  <si>
    <t>Jiùyuán jīchǎng qínwù jiē dàole tōngzhī.</t>
  </si>
  <si>
    <t>搜索救援勤务接到了通知。</t>
  </si>
  <si>
    <t>Sōusuǒ jiùyuán qínwù jiē dàole tōngzhī.</t>
  </si>
  <si>
    <t>我们的飞机上设有必要的应急设备。</t>
  </si>
  <si>
    <t>Wǒmen de fēijī shàng shè yǒu bìyào de yìngjí shèbèi.</t>
  </si>
  <si>
    <t>我们已采取所有必要的预防措施。</t>
  </si>
  <si>
    <t>Wǒmen yǐ cǎiqǔ suǒyǒu bìyào de yùfáng cuòshī.</t>
  </si>
  <si>
    <t>机组人员准备在紧急情况下采取行动。</t>
  </si>
  <si>
    <t>Jīzǔ rényuán zhǔnbèi zài jǐnjí qíngkuàng xià cǎiqǔ xíngdòng.</t>
  </si>
  <si>
    <t>保持冷静。</t>
  </si>
  <si>
    <t xml:space="preserve">Bǎochí lěngjìng.                                                       </t>
  </si>
  <si>
    <t>这是机长说。（机长官说…） [выбрать необходимое]</t>
  </si>
  <si>
    <t>（这是机长说。）</t>
  </si>
  <si>
    <t>根据机长的指示，由于。。。 [указать причину] 机长决定。。。 [выбрать необходимое]。</t>
  </si>
  <si>
    <t>Gēnjù jī zhǎng de zhǐshì, yóuyú… [указать причину]. Jī zhǎng juédìng… [выбрать необходимое].</t>
  </si>
  <si>
    <t>将返航。。。 [название аэропорта] 机场。</t>
  </si>
  <si>
    <t>jiāng fǎnháng… [название аэропорта] jīchǎng.</t>
  </si>
  <si>
    <t xml:space="preserve"> 水上迫降。</t>
  </si>
  <si>
    <t>着陆将发生在。。。分钟内。 [выбрать необходимое]</t>
  </si>
  <si>
    <t>Zhuólù jiāng fāshēng zài… fēnzhōng nèi. [выбрать необходимое]</t>
  </si>
  <si>
    <t>我们开始准备。。。 [выбрать необходимое]。</t>
  </si>
  <si>
    <t>Wǒmen kāishǐ zhǔnbèi… [выбрать необходимое]. </t>
  </si>
  <si>
    <t>陆地迫降</t>
  </si>
  <si>
    <t>lùdì pòjiàng</t>
  </si>
  <si>
    <t>水上迫降</t>
  </si>
  <si>
    <t>shuǐshàng pòjiàng</t>
  </si>
  <si>
    <t>请注意！旅客中哪一位是俄航或别的航空公司的人员，  消防队员，救生员，请马上与乘务员联系。</t>
  </si>
  <si>
    <t>Qǐng zhùyì! Lǚkè zhōng nǎ yī wèi shì é háng huò bié de hángkōng gōngsī de rényuán, xiāofáng duìyuán, jiùshēng yuán, qǐng mǎshàng yǔ chéngwùyuán liánxì.</t>
  </si>
  <si>
    <t>保持冷静。听从机组人员的指挥。</t>
  </si>
  <si>
    <t xml:space="preserve">Bǎochí lěngjìng. Tīngcóng jīzǔ rényuán de zhǐhuī.                                                  </t>
  </si>
  <si>
    <t>调直您的坐椅靠背，收起您座位前小桌板。</t>
  </si>
  <si>
    <t xml:space="preserve">Diào zhí nín de zuò yǐ kàobèi, shōu qǐ nín zuòwèi qián xiǎo zhuō bǎn.                                           </t>
  </si>
  <si>
    <t>取下领带，松开衣领。</t>
  </si>
  <si>
    <t xml:space="preserve">Qǔ xià lǐngdài, sōng kāi yī lǐng.                                                                                  </t>
  </si>
  <si>
    <t>删除可能造成创伤的东西：眼镜，隐形眼镜，假牙。把它们放在手提物品（坐椅的座位之间）。</t>
  </si>
  <si>
    <t xml:space="preserve">Shānchú kěnéng zàochéng chuāngshāng de dōngxī: Yǎnjìng, yǐnxíng yǎnjìng, jiǎyá. Bǎ tāmen fàng zài shǒutí wùpǐn (zuò yǐ de zuòwèi zhī jiān).                                                                                                                                     </t>
  </si>
  <si>
    <t xml:space="preserve">Bǎ shǒutí wùpǐn fàng zài qiánfāng zuò yǐ xià, huò xínglǐ jià shàng.                                                                         </t>
  </si>
  <si>
    <t>着陆后，放弃手提物品。</t>
  </si>
  <si>
    <t xml:space="preserve">Zhuólù hòu, fàngqì shǒutí wùpǐn.                                                                                                                            </t>
  </si>
  <si>
    <t>脱下鞋子，放在前方座椅下。</t>
  </si>
  <si>
    <t>Tuō xià xiézi, fàng zài qiánfāng zuò yǐ xià.</t>
  </si>
  <si>
    <t>[Если необходимо] 穿上您的夹克或外衣。</t>
  </si>
  <si>
    <t xml:space="preserve">[Если необходимо] Chuān shàng nín de jiákè huò wàiyī.                                                                             </t>
  </si>
  <si>
    <t>把手提物品放在前方座椅下，或行李架上。</t>
  </si>
  <si>
    <t>现在收看应急出口的位置。</t>
  </si>
  <si>
    <t>Xiànzài shōukàn yìngjí chūkǒu de wèizhì.</t>
  </si>
  <si>
    <t>应急出口设在客舱的左右侧。</t>
  </si>
  <si>
    <t>Yìngjí chūkǒu shè zài kècāng de zuǒyòu cè.</t>
  </si>
  <si>
    <t>两个在飞机前部和</t>
  </si>
  <si>
    <t>Liǎng gè zài fēijī qián bù hé</t>
  </si>
  <si>
    <t>分别标有应急出口的明显标志。</t>
  </si>
  <si>
    <t>Fēnbié biāo yǒu yìngjí chūkǒu de míngxiǎn biāozhì.</t>
  </si>
  <si>
    <t>安装在地板上过道侧面的应急路经灯会发出亮光，帮助您找到应急出口。</t>
  </si>
  <si>
    <t>Ānzhuāng zài dìbǎn shàng guòdào cèmiàn de yīngji lùjìngdēng huì fāchū liàngguāng, bāngzhù Nín zhǎodào yīngji chūkǒu.</t>
  </si>
  <si>
    <t>应急出口处都设有橡胶滑梯。</t>
  </si>
  <si>
    <t>Yìngjí chūkǒu chù dōu shè yǒu xiàngjiāo huátī.</t>
  </si>
  <si>
    <t>当您使用机翼上的紧急出口撤离飞机时，请遵循先迈腿再探头再抬后腿跟上的顺序，沿着箭头所指的方向跑出，之后采用坐姿，从机翼后侧滑下，跑离飞机。</t>
  </si>
  <si>
    <t xml:space="preserve">Dāng nín shǐyòng xiàngjiāo huátī chèlí fēijī, tiào zuò dào huátī shàng shí, bǎochí shàngshēn zhílì, shǒubì xiàng qián, pǎo lí fēijī.                                                                                                                                                                                                                                                                                                                                                                                                                                                                                                                                                                                                  </t>
  </si>
  <si>
    <t>撤离通过您最近的应急出口，跳入水中，抓着漂浮橡胶滑梯。</t>
  </si>
  <si>
    <t>Chèlí tōngguò nín zuìjìn de yìngjí chūkǒu, tiào rù shuǐzhōng, zhuāzhe piāofú xiàngjiāo huátī.</t>
  </si>
  <si>
    <t>两个/四个在机翼后和</t>
  </si>
  <si>
    <t>Liǎng gè/sì gè zài jī yì hòu hé</t>
  </si>
  <si>
    <t>当您使用机翼上的紧急出口撤离飞机时，请遵循先迈腿再探头再抬后腿跟上的顺序，按照箭头指示，上身保持直立，跳坐到橡胶滑梯上，手臂向前，跑离飞机。</t>
  </si>
  <si>
    <t>Dāng nín shǐyòng jī yì shàng de jǐnjí chūkǒu chèlí fēijī shí, qǐng zūnxún xiān mài tuǐ zài tàntóu zài tái hòu tuǐ gēn shàng de shùnxù, ànzhào jiàntóu zhǐshì, shàngshēn bǎochí zhílì, tiào zuò dào xiàngjiāo huátī shàng, shǒubì xiàng qián, pǎo lí fēijī.</t>
  </si>
  <si>
    <t>前部和尾部的应急出口设有橡胶滑梯。</t>
  </si>
  <si>
    <t>Qián bù hé wěibù de yìngjí chūkǒu shè yǒu xiàngjiāo huátī.</t>
  </si>
  <si>
    <t>当您使用机翼上的紧急出口撤离飞机时，请遵循先迈腿再探头再抬后腿跟上的顺序，沿着箭头所指的方向跑出，之后采用坐姿，从机翼后侧滑下，跑离飞机</t>
  </si>
  <si>
    <t>Dāng nín shǐyòng jī yì shàng de jǐnjí chūkǒu chèlí fēijī shí, qǐng zūnxún xiān mài tuǐ zài tàntóu zài tái hòu tuǐ gēn shàng de shùnxù, yánzhe jiàntóu suǒ zhǐ de fāngxiàng pǎo chū, zhīhòu cǎiyòng zuòzī, cóng jī yì hòu cè huá xià, pǎo lí fēijī.</t>
  </si>
  <si>
    <t xml:space="preserve">离开飞机通过最近的紧急出口。跳入水中。双手抓住滑梯。  </t>
  </si>
  <si>
    <t xml:space="preserve">Líkāi fēijī tōngguò zuìjìn de jǐnjí chūkǒu. Tiào rù shuǐzhōng. Shuāngshǒu zhuā zhù huátī.                                                                                                                                                                                                                                                                                                                                                                                                                                                                                                                                                                                           </t>
  </si>
  <si>
    <t>当您使用机翼上的紧急出口撤离飞机时，请遵循先迈腿再探头再抬后腿跟上的顺序，留在机翼上，听从机组人员的指挥。</t>
  </si>
  <si>
    <t>Dāng nín shǐyòng jī yì shàng de jǐnjí chūkǒu chèlí fēijī shí, qǐng zūnxún xiān mài tuǐ zài tàntóu zài tái hòu tuǐ gēn shàng de shùnxù, liú zài jī yì shàng, tīngcóng jīzǔ rényuán de zhǐhuī.</t>
  </si>
  <si>
    <t xml:space="preserve">分别标有紧急出口的明显标志。 </t>
  </si>
  <si>
    <t xml:space="preserve">Fēnbiébiāo yǒu jǐnjí chūkǒude míngxiǎn biāozhì. </t>
  </si>
  <si>
    <t xml:space="preserve">如果电源无效， 安装在地板上过道侧面的应急路经灯会发出亮光，帮助您找到应急出口。 </t>
  </si>
  <si>
    <t xml:space="preserve">Rúguǒ diànyuán wúxiào, ānzhuāng zài dìbǎn shàng guòdào cèmiàn de yīngji lùjìngdēng huì fāchū liàngguāng, bāngzhù Nín zhǎodào yīngji chūkǒu. </t>
  </si>
  <si>
    <t>离开飞机通过前部，中部和尾部的紧急出口，应急出口处都设有橡胶滑梯，来到滑梯的尽头坐下。</t>
  </si>
  <si>
    <t>Líkāi fēijī tōngguò qián bù, zhōngbù hé wěibù de jǐnjí chūkǒu, yìngjí chūkǒu chù dōu shè yǒu xiàngjiāo huátī, lái dào huátī de jìntóu zuò xià.</t>
  </si>
  <si>
    <t>离开飞机通过最近的紧急出口，应急出口处都设有橡胶滑梯，来到滑梯的尽头坐下。</t>
  </si>
  <si>
    <t>Líkāi fēijī tōngguò zuìjìn de jǐnjí chūkǒu, yìngjí chūkǒu chù dōu shè yǒu xiàngjiāo huátī, lái dào huátī de jìntóu zuò xià.</t>
  </si>
  <si>
    <t>离开飞机通过前部和尾部的紧急出口，应急出口处都设有橡胶滑梯，来到滑梯的尽头坐下。</t>
  </si>
  <si>
    <t>Líkāi fēijī tōngguò qián bù hé wěibù de jǐnjí chūkǒu, yìngjí chūkǒu chù dōu shè yǒu xiàngjiāo huátī, lái dào huátī de jìntóu zuò xià.</t>
  </si>
  <si>
    <t>救生衣在您座椅下方，使用时取出，经头部穿好。</t>
  </si>
  <si>
    <t>Jiùshēngyī zài nín zuò yǐ xiàfāng, shǐyòng shí qǔchū, jīng tóu bù chuān hǎo.</t>
  </si>
  <si>
    <t xml:space="preserve"> 将带子扣好，系紧。 </t>
  </si>
  <si>
    <t xml:space="preserve">Jiāng dàizi kǒuhǎo, jìjín. </t>
  </si>
  <si>
    <t xml:space="preserve"> 离开飞机前，打开充气阀门。 </t>
  </si>
  <si>
    <t xml:space="preserve"> Líkāi fēijī qián, dǎkāi chōngqì fámén. </t>
  </si>
  <si>
    <t>我们将个人解释儿童救生设备使用方法。</t>
  </si>
  <si>
    <t>Wǒmen jiāng gèrén jiěshì értóng jiùshēng shèbèi shǐyòng fāngfǎ.</t>
  </si>
  <si>
    <t>救生衣在您座椅下方，飞机落地后，使用时取出，经头部穿好。</t>
  </si>
  <si>
    <t xml:space="preserve">Jiùshēngyī zài nín zuò yǐ xiàfāng, fēijī luòdì hòu, shǐyòng shí qǔchū, jīng tóu bù chuān hǎo.  </t>
  </si>
  <si>
    <t>当陆地迫降/水上迫降时，您必须摆安全姿势。现在我们为您演示安全姿势。</t>
  </si>
  <si>
    <t xml:space="preserve">Dāng lùdì pòjiàng/shuǐshàng pòjiàng shí, nín bìxū bǎi ānquán zīshì. Xiànzài wǒmen wèi nín yǎnshì ānquán zīshì. </t>
  </si>
  <si>
    <t>当您听到命令“安全姿势”，我再说一遍在您面前“安全姿势”，推座椅靠背向前发展。</t>
  </si>
  <si>
    <t xml:space="preserve">Dāng nín tīng dào mìnglìng “ānquán zīshì”, wǒ zàishuō yībiàn zài nín miànqián “ānquán zīshì”, tuī zuò yǐ kàobèi xiàng qián fāzhǎn.                                                                                                                                      </t>
  </si>
  <si>
    <t>把您的头放在您的膝盖。</t>
  </si>
  <si>
    <t>Bǎ nín de tóu fàng zài nín de xīgài.</t>
  </si>
  <si>
    <t>把您的膝盖搂住下方。</t>
  </si>
  <si>
    <t>Bǎ nín de xīgài lǒu zhù xiàfāng.</t>
  </si>
  <si>
    <t>握住您的膝盖并拢，并您的脚分开。</t>
  </si>
  <si>
    <t>Wò zhù nín de xīgài bìnglǒng, bìng nín de jiǎo fēnkāi.</t>
  </si>
  <si>
    <t>如没有空位，推座椅靠背向前发展。</t>
  </si>
  <si>
    <t>Rú méiyǒu kòngwèi, tuī zuò yǐ kàobèi xiàng qián fāzhǎn.</t>
  </si>
  <si>
    <t>两手交叉在座椅靠背上，把前额按在手上，并您的脚分开。</t>
  </si>
  <si>
    <t>Liǎngshǒu jiāochā zài zuò yǐ kàobèi shàng, bǎ qián'é àn zài shǒu shàng, bìng nín de jiǎo fēnkāi.</t>
  </si>
  <si>
    <t>现在试一会儿，后采取正常位置。</t>
  </si>
  <si>
    <t>Xiànzài shì yīhuǐ'er, hòu cǎiqǔ zhèngcháng wèizhì.</t>
  </si>
  <si>
    <t>我们将个人解释带小孩的旅客安全姿势。</t>
  </si>
  <si>
    <t>Wǒmen jiāng gèrén jiěshì dài xiǎohái de lǚkè ānquán zīshì.</t>
  </si>
  <si>
    <t>迫降时可以是一些打击。留在安全姿势，直到我们给您进一步的指挥。</t>
  </si>
  <si>
    <t>Pòjiàng shí kěyǐ shì yīxiē dǎjí. Liú zài ānquán zīshì, zhídào wǒmen gěi nín jìnyībù de zhǐhuī.</t>
  </si>
  <si>
    <t>一有听从机组人员的“离开飞机”指挥，松开安全带，快跑到最近的紧急出口处。</t>
  </si>
  <si>
    <t xml:space="preserve">Yī yǒu tīngcóng jīzǔ rényuán de “líkāi fēijī” zhǐhuī, sōng kāi ānquán dài, kuài pǎo dào zuìjìn de jǐnjí chūkǒu chù.        </t>
  </si>
  <si>
    <t>一有听从机组人员的“离开飞机”指挥，松开安全带，快跑到前部和尾部的紧急出口处。</t>
  </si>
  <si>
    <t xml:space="preserve">Yī yǒu tīngcóng jīzǔ rényuán de “líkāi fēijī” zhǐhuī, sōng kāi ānquán dài, kuài pǎo dào qián bù hé wěibù de jǐnjí chūkǒu chù.      </t>
  </si>
  <si>
    <t>现在上身保持直立，系好安全带。解开时，先将锁扣打开，拉出连接片。系好安全带，根据您的需要，调节安全带的松紧。</t>
  </si>
  <si>
    <t xml:space="preserve">Xiànzài shàngshēn bǎochí zhílì, xì hǎo ānquán dài. Jiě kāi shí, xiān jiāng suǒ kòu dǎkāi, lā chū liánjiē piàn. Xì hǎo ānquán dài, gēnjù nín de xūyào, tiáojié ānquán dài de sōngjǐn.  </t>
  </si>
  <si>
    <t>安全须知在您座椅前面的口袋里。</t>
  </si>
  <si>
    <t>请您再一次仔细阅读。请留意特别关注紧急出口的位置。</t>
  </si>
  <si>
    <t>Qǐng nín zài yīcì zǐxì yuèdú. Qǐng liúyì tèbié guānzhù jǐnjí chūkǒu de wèizhì.</t>
  </si>
  <si>
    <t xml:space="preserve">Ānquán xūzhī zài nín zuò yǐ qiánmiàn de kǒudài lǐ. </t>
  </si>
  <si>
    <t>我们收到消息，有一个飞机上可设有爆炸装置。</t>
  </si>
  <si>
    <t>Wǒmen shōu dào xiāoxī, yǒu yīgè fēijī shàng kě shè yǒu bàozhà zhuāngzhì.</t>
  </si>
  <si>
    <t>为了安全，必须采取预防措施以检查飞机。</t>
  </si>
  <si>
    <t>Wèile ānquán, bìxū cǎiqǔ yùfáng cuòshī yǐ jiǎnchá fēijī.</t>
  </si>
  <si>
    <t>保持冷静，准备合作。</t>
  </si>
  <si>
    <t>Bǎochí lěngjìng, zhǔnbèi hézuò.</t>
  </si>
  <si>
    <t>要特别注意离您靠近异物的存在。</t>
  </si>
  <si>
    <t>Yào tèbié zhùyì lí nín kàojìn yìwù de cúnzài.</t>
  </si>
  <si>
    <t>如果您发现可疑对象，不碰，与机组人员联系。</t>
  </si>
  <si>
    <t>Rúguǒ nín fāxiàn kěyí duìxiàng, bù pèng, yǔ jīzǔ rényuán liánxì.</t>
  </si>
  <si>
    <t>由于航空公司地面服务的要求，我们必须改变飞行计划，机场的地面人员接到了改变飞行计划。 [выбрать необходимое]</t>
  </si>
  <si>
    <t>我们将降落在最近的可用机场。</t>
  </si>
  <si>
    <t>Wǒmen jiāng jiàngluò zài zuìjìn de kěyòng jīchǎng.</t>
  </si>
  <si>
    <t>我们将返回... [название аэропорта]机场。</t>
  </si>
  <si>
    <t>Wǒmen jiāng fǎnhuí... [название аэропорта] jīchǎng.</t>
  </si>
  <si>
    <t>请您在座位上坐好，等"系好安全带"的指示灯熄灭后，再站起来 [выбрать необходимое]。</t>
  </si>
  <si>
    <t>请把自己的手提物品，离开飞机。</t>
  </si>
  <si>
    <t>Qǐng bǎ zìjǐ de shǒutí wùpǐn, líkāi fēijī.</t>
  </si>
  <si>
    <t>请把自己的手提物品放在飞机上，离开飞机。</t>
  </si>
  <si>
    <t>Qǐng bǎ zìjǐ de shǒutí wùpǐn fàng zài fēijī shàng, líkāi fēijī.</t>
  </si>
  <si>
    <t>更多信息将在机场被给予。</t>
  </si>
  <si>
    <t>Gèng duō xìnxī jiàng zài jīchǎng bèi jǐyǔ.</t>
  </si>
  <si>
    <t>Yóuyú hángkōng gōngsī dìmiàn fúwù de yāoqiú, wǒmen bìxū gǎibiàn fēixíng jìhuà, jīchǎng dì dìmiàn rényuán jiē dàole gǎibiàn fēixíng jìhuà. [выбрать необходимое]</t>
  </si>
  <si>
    <t xml:space="preserve">本架飞机已经降落]。。。 [название аэропорта] 机场。 </t>
  </si>
  <si>
    <t xml:space="preserve">Běnjià fēijī yǐjīng jiàngluò zài… [название аэропорта] jīchǎng.                                                                                                                                                                                                                                                                                                                                                                       </t>
  </si>
  <si>
    <t>Qǐng nín zài zuòwèi shàng zuò hǎo, děng “xì hǎo ānquán dài” de zhǐshì dēng xímiè hòu, zài zhàn qǐlái [выбрать необходимое].</t>
  </si>
  <si>
    <t>现在客舱。。。（前部，中部，尾部）有一处失烟。</t>
  </si>
  <si>
    <t>我们已经采取一切必要措施，以确保飞行安全，并将会及时通知您。</t>
  </si>
  <si>
    <t>Wǒmen yǐjīng cǎiqǔ yīqiè bìyào cuòshī, yǐ quèbǎo fēixíng ānquán, bìng jiāng huì jíshí tōngzhī nín.</t>
  </si>
  <si>
    <t>请大家不要惊慌。</t>
  </si>
  <si>
    <t xml:space="preserve">Qǐng dàjiā bùyào jīnghuāng.                                                                                                                           </t>
  </si>
  <si>
    <t>由于客舱失火有烟雾， 请大家立即弯下腰，低下头，用餐巾，头枕等后住口鼻。</t>
  </si>
  <si>
    <t>Yóuyú kècāng shīhuǒ yǒu yānwù, qǐng dàjiā lìjí wān xiàyāo, dīxià tou, yòng cānjīn, tóu zhěn děng hòu zhùkǒu bí.</t>
  </si>
  <si>
    <t>Xiànzài kècāng… (Qián bù, zhōngbù, wěibù) yǒuyī chù shī yān.</t>
  </si>
  <si>
    <t xml:space="preserve">这是机长说。 (机长通知您。。。) </t>
  </si>
  <si>
    <t>现在飞机已到达安全高度，处于正常状态，您可以取下氧气面罩。</t>
  </si>
  <si>
    <t xml:space="preserve">Xiànzài fēijī yǐ dàodá ānquán gāodù, chǔyú zhèngcháng zhuàngtài, nín kěyǐ qǔ xià yǎngqì </t>
  </si>
  <si>
    <t>Nǚshὶmen, Xiānshēngmen! [выбрать необходимое]</t>
  </si>
  <si>
    <t>请您带好全部手提物品下飞机。</t>
  </si>
  <si>
    <t xml:space="preserve">Qǐng nín dàihǎo quánbù shǒutí wùpǐn xià fēijī.               </t>
  </si>
  <si>
    <t>下飞机时，请把您的手提物品放在飞机上。</t>
  </si>
  <si>
    <t>Xià fēijī shí, qǐng bǎ nín de shǒutí wùpǐn fàng zài fēijī shàng.</t>
  </si>
  <si>
    <t>Zhè shì jī zhǎng shuō. (Jī cháng tōngzhī nín…)</t>
  </si>
  <si>
    <t>女士们，先生们 ！ [выбрать необходимое]</t>
  </si>
  <si>
    <t>Просим Вас оставаться на своих местах и дать возможность медицинскому персоналу  пройти к пассажиру для оказания медицинской помощи. О начале высадки из самолета мы вас проинформируем.</t>
  </si>
  <si>
    <t>Благодарю за понимание.</t>
  </si>
  <si>
    <t>Thank you for understanding.</t>
  </si>
  <si>
    <t>Nous vous prions de rester à vos sièges pour donner la possibilité au personnel médicale d'avoir accès a un passager qui nècessite une assistance médicale. Nous vous informerons du début de débarquement.</t>
  </si>
  <si>
    <t>Merci de votre compréhension.</t>
  </si>
  <si>
    <t>¡Señoras y Señores!</t>
  </si>
  <si>
    <t>Les pedimos permanezer sentados en sus sitios y permitir al personal médico a pasar al pasajero que necesita asistencia médica. Les invitarémos a salír.</t>
  </si>
  <si>
    <t>¡Gracias por su atención!</t>
  </si>
  <si>
    <t>Wir bitten Sie auf Ihren Plätzen zu bleiben, um dem medizinischen Personal einen einfachen Zugang zum Fluggast, der eine medizinische Versorgung braucht, bereitzustellen. Über den Beginn des Aussteigens warden wir Sie informieren.</t>
  </si>
  <si>
    <t>女士们，先生们！</t>
  </si>
  <si>
    <t>Nǚshìmen, xiānshēngmen!</t>
  </si>
  <si>
    <t xml:space="preserve">Yī wèi lǚkè xūyào yīliáo bāngzhù. Qǐng bùyào líkāi zìjǐ de zuòwèi, bìng yǔnxǔ yīwù rényuán fù chéngkè wéi tígōng yīliáo zhàogù. Yī yǒu xiāoxī wǒmen jiāng jíshí tōngzhī nín xià jī. </t>
  </si>
  <si>
    <t>一位旅客需要医疗帮助。请不要离开自己的座位，并允许医务人员赴乘客为提供医疗照顾。                                                                                                                                                                                                                                                                               一有消息我们将及时通知您下机。</t>
  </si>
  <si>
    <t>谢谢各位的合作。</t>
  </si>
  <si>
    <t>Xièxiè gèwèi de hézuò.</t>
  </si>
  <si>
    <t>Минасама!</t>
  </si>
  <si>
    <t>Кангоси-но ката ни саки ни оритэ итадайтэ, гуай-но варуй о-кякусама ни ирё: тэйкё:-о суру тамэ, о-сэки ни цуйта мама дэ о-мати кудасай. О-ори-сай ва  го-аннай итасимасу.</t>
  </si>
  <si>
    <t>Го-рикай ситэ итадаки аригато: годзаимасу.</t>
  </si>
  <si>
    <t>Сэрэмэтиэво ку:ко: то:кёку-но сидзи ни ёри, хико:ки-о ориру сай ни пасупо:то текку-о оконаимасу.</t>
  </si>
  <si>
    <t>О-тэмото-ни то:дзё:кэн то пасупо:то-о го-ё:и кудасай.</t>
  </si>
  <si>
    <t>Кокусайтэкина ру:ру ни ноттори, кинай дэ-но саттю:дзай санпу-о оконаимасу. Корэ ва кокусай хокэн кикан ни ёри митомэрарэтэ иру моно дэ, дзинтай ни эйкё: ва годзаимасэн.</t>
  </si>
  <si>
    <t>Сагё:  сю:рё: мадэ о-сэки нитэ о-мати кудасаимасу ё: о-нэгаи итасимасу.</t>
  </si>
  <si>
    <t>Аригато: годзаимасита.</t>
  </si>
  <si>
    <t>То:ки ва Сэрэмэтиэво ку:ко:, та:минару D/E/F кондзацу-но тамэ, та:минару B/C/D/E/F э то:тяку итасимасу.</t>
  </si>
  <si>
    <t>О-дэмукаи-но о-кякусама ни мо о-цутаэ ситэ оримасу.</t>
  </si>
  <si>
    <t>Го-мэйваку-о о-какэ итасимасу га, го-рикай-но ходо о-нэгаи итасимасу.</t>
  </si>
  <si>
    <t>[название города]-но [название аэропорта] ку:ко: тэнко: фудзюн-но тамэ</t>
  </si>
  <si>
    <t>унко:-но цуго:дзё:</t>
  </si>
  <si>
    <t>гуай-но варуй о-кякусама га ирассяру тамэ</t>
  </si>
  <si>
    <t>[название города] моёри-но ку:ко э тякурику итасимасу.</t>
  </si>
  <si>
    <t xml:space="preserve">Китё: кара-но хо:коку ни ёримасу то </t>
  </si>
  <si>
    <t>[название аэропорта] ку:ко: э ва судэ-ни тиэн ни цуйтэ хо:коку ситэ оримасу нодэ, то:тякуго о-тэцудаи-но хицуё:на о-кякусама ва о-мо:сидэ кудасай.</t>
  </si>
  <si>
    <t>Макото-ни мо:сивакэ годзаимасэн га, го-рикай итадакэмасу ё: о-нэгаи мо:сиагэмасу.</t>
  </si>
  <si>
    <t>Кинай дэ (мэганэ, юбива, сайфу… [указать что именно]-о наку сита о-кякусама га ирассяимасу. Хаккэн сита о-кякусама ва, дзё:муин мадэ о-ватаси кудасай.</t>
  </si>
  <si>
    <t>Кинай/о-тэараи/ ни отитэ ита [указать что именно] га тодоитэ оримасу. О-кокоро атари-но ката ва дзё:муин ни о-мо:сицукэ кудасай.</t>
  </si>
  <si>
    <t>Кансэнсё:-о утагаварэру о-кякусама га ирассяимасу.</t>
  </si>
  <si>
    <t>Росиа то кокусай ирё:кикан-но дзюнсю-о какухо суру тамэ ни, мата ва о-кякусама-но кэнко:хого тамэ ни, дзё:муин ва масуку-о о-кубари итасимасу.</t>
  </si>
  <si>
    <t>О-сэки ни о-цуки ни нари, масуку ни оки, хико:-но овари мадэ ни тайдзай суру хицуё: га аримасу.</t>
  </si>
  <si>
    <t>Ирё:кикан-но сидо: ни ёри, ирё: фо:му-о го-киню: итадакимасу.</t>
  </si>
  <si>
    <t>Фо:му ва, ню:кокуби кара 30 (саннити) инай-но тайдзай басё-о хё:дзи ситэ, бурокку даймондзи дэ го-киню: кудасай.</t>
  </si>
  <si>
    <t>Кансэй сита фо:му-о хико:ки-о ориру мадэ ни дзё:муин ни о-ватаси кудасай.</t>
  </si>
  <si>
    <t>О-тэцудаи га хицуё:на баай, мата ва бё:ки га хассэй сита баай ва, дзё:муин ни о-тадзунэ кудасай.</t>
  </si>
  <si>
    <t>Гуай-но варуй о-кякусама га ирассяимасу.</t>
  </si>
  <si>
    <t>О-кякусама-но нака дэ о-исясама, кангоси-но ката га ирассяимаситара, дзё:муин мадэ о-сирасэ кудасай.</t>
  </si>
  <si>
    <t>Кинай ку:тё: сисутэму садо: ни ёри, кинай ни суйдзё:ки га хассэй ситэ оримасу. Андзэн унко: ни мондай ва годзаимасэн нодэ, го-ансин кудасай.</t>
  </si>
  <si>
    <t>То:тяку дзикан га сэматтэ оримасу тамэ,… [выбрать необходимое]</t>
  </si>
  <si>
    <t>Сукай сёппу сё:хин хамбай</t>
  </si>
  <si>
    <t>о-сёкудзи-но го-тэйкё:</t>
  </si>
  <si>
    <t>...-о тю:дан сасэтэ итадакимасу.</t>
  </si>
  <si>
    <t>Макото-ни мо:сивакэ годзаимасэн га, тадаима о-тэараи-но кю:суй сисутэму ни фугуай га сё:дзитэ оримасу… [выбрать необходимое]</t>
  </si>
  <si>
    <t>дзэмпо:/тю:о:/ко:хо:/-но о-тэараи ва го-риё: итадакэмасэн. Дзэмпо:/тю:о:/ко:хо:/-но о-тэараи-о го-риё: кудасай.</t>
  </si>
  <si>
    <t>кинай-но о-тэараи ва субэтэ сиё: фука то наттэ оримасу нодэ,… [название аэропорта]-но [название города] …ку:ко: э тотю: ко:ки итасимасу.</t>
  </si>
  <si>
    <t>Го-мэйваку-о о-какэ симасита, минасама-но го-рикай то го-кё:рёку-о о-нэгаи мо:сиагэмасу.</t>
  </si>
  <si>
    <t>Кю:суй сисутэму-но фугуай ни ёри, ататакай о-номимоно-но го-ё:и га дэкимасэн. Цумэтай о-номимоно-о о-моти итасимасу.</t>
  </si>
  <si>
    <t>Хондзицу ва Аэрофуро:то росиа ко:ку:-о го-риё: итадаки, аригато: годзаимасу.</t>
  </si>
  <si>
    <t>Ватаси домо ва о-кякусама кара-но коэ-о синси-ни укэтомэ, са:бису кайдзэн ни якудатэтэ маиримасу.</t>
  </si>
  <si>
    <t>Анкэ:то ни го-кайто: итадаки, дзё:муин э о-ватаси итадакэрэба сайвай дэсу.</t>
  </si>
  <si>
    <t>Го-кибо:-но о-кякусама ва, о-ори-но сай ни дзё:муин мадэ о-мо:сицукэ кудасай.</t>
  </si>
  <si>
    <t>Го-кибо:-но о-кякусама ва, хико:ки-га ко:ка тайсэй ни хаиру маэ ни дзё:муин мадэ о-мо:сицукэ кудасай.</t>
  </si>
  <si>
    <t>Кинай такуси: ёяку са:бису-о го-риё: итадакэмасу. Аэрофуро:то дакэ-но токубэцу рё:кин-о го-риё: итадаку тамэ ни, такуси: дзё:сядзи ни ку:пон-о го-тэйдзи кудасай. [выбрать необходимое]</t>
  </si>
  <si>
    <t>Мэндзэйхин хамбай-о го-риё:-но о-кякусама ва, кинай дзэмпо: (тю:о:) нитэ сё:хин-о о-укэтори итадакэмасу.</t>
  </si>
  <si>
    <t>О-тэараи нитэ, табако-но кэмури га канти сарэмасита.</t>
  </si>
  <si>
    <t>Кинай э о-мотикоми ни натта аруко:ру-но сэссю ва кинси сарэтэ оримасу.</t>
  </si>
  <si>
    <t>Росиа рэмпо:  ко:ку:хо: дайхякунана дзё: ни ёри, дзё:кяку га риё: кияку-о дзюнсю синай баай, аруйва дзё:муин-но сидзи ни ситагаванай баай, ко:ку: гайся ва, дзё:кяку-но то:тяку ку:ко: то:кёку э-но хикиватаси, аруйва то:дзё: кёхи-о оконау кэнри-о моттэ оримасу.</t>
  </si>
  <si>
    <t>Риё: кияку ва кинайси «Аэрофуро:то» ни кэйсай ситэ оримасу нодэ, го-какунин кудасай.</t>
  </si>
  <si>
    <t xml:space="preserve">Андзэндзё:-но рию: дэ о-тэнимоцу-но тэнкэн-о итасимасу. О-тэнимоцу-о о-моти ни нари, хико:ки-о о-ори кудасай. </t>
  </si>
  <si>
    <t>Доната-но моно ка токутэй дэкинай о-нимоцу ва то:сай итасимасэн нодэ, го-рё:сё: кудасай.</t>
  </si>
  <si>
    <t>Го-то:дзё:-но … сама, (о-ори-но сай ни) (кякусицу дзё:муин, сёкуин) мадэ о-мо:сидэ кудасай.</t>
  </si>
  <si>
    <t>То:ки ва [пункт вылета] хацу, … [место назначения] ики, … [название авиакомпании по код-шер] то-но кё:до: унко:бин дэ годзаимасу.</t>
  </si>
  <si>
    <t>Тадаима ёри го-то:дзё:-но о-кякусама-но кадзу-о кадзоэсасэтэ итадакимасу.</t>
  </si>
  <si>
    <t>О-сэки ни о-цуки кудасаимасу ё: о-нэгаи итасимасу.</t>
  </si>
  <si>
    <t>То:ки ва мамонаку… [название аэропорта] ку:ко: кара го-то:дзё:- но о-кякусама га ирассяимасу.</t>
  </si>
  <si>
    <t>То:дзё:кэн ни кисай сарэтэ иру о-сэки ни о-цуки итадакэмасу ё: о-нэгаи итасимасу.</t>
  </si>
  <si>
    <t>Кякусицу дзё:муин-о дайхё: итасимаситэ, синнэн-но го-айсацу-о мо:сиагэмасу. Минасама-но го-кэнко: то го-сэйко:, го-тако:-о о-инори итасимасу. Хондзицу ва Аэрофуро:то росиа ко:ку:-о го-риё: итадаки, макото-ни аригато: годзаимасу.</t>
  </si>
  <si>
    <t>То:ки ни ва сакка/саккёкука/гака… [имя и фамилия человека, в честь которого названо ВС]-но намаэ га цукэрарэтэ имасу.</t>
  </si>
  <si>
    <t>Ватакуси домо (дзё:муин) ва минасама ни андзэн дэ кайтэкина сора-но таби-о о-таносими итадаку кото-о мотто: то ситэ оримасу. [выбрать из вариантов]:</t>
  </si>
  <si>
    <t>Хондзицу-но фурайто га кайтэки-ни нару ё: дзё:муин итидо: цутомэтэ маиримасу.</t>
  </si>
  <si>
    <t>Го-ё:-но сай ва о-кигару-ни о-мо:сицукэ кудасай.</t>
  </si>
  <si>
    <t>Кинай дэ юккури то о-куцуроги итадакэру ё: дзё:муин итидо: цутомэтэ маиримасу.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</si>
  <si>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</si>
  <si>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Кайтэкина сора-но таби-о о-таносими кудасай.</t>
  </si>
  <si>
    <t>Китё:-но [имя и фамилия] дэсу. (Тикадзуку) Синнэн то курисумасу о-мэдэто: годзаимасу!</t>
  </si>
  <si>
    <t>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</si>
  <si>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 [место назначения] ики, … [название авиакомпании по код-шер] то-но кё:до: унко:бин дэ годзаимасу.</t>
  </si>
  <si>
    <t>Хондзицу-но хико: дзикан ва… дзикан… фун-о ётэй ситэ оримасу.</t>
  </si>
  <si>
    <t>Кайтэкина го-рёко:-о о-таносими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</si>
  <si>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</si>
  <si>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синхаккэн-но ру:то… [пункт вылета] хацу,… [место назначения] ики,… [название авиакомпании по код-шер] то-но кё:до: унко:бин дэ годзаимасу.</t>
  </si>
  <si>
    <t>Хондзицу-но хико: дзикан ва…  дзикан… фун, кёри ва… киромэ:тору-о ётэй ситэ оримасу.</t>
  </si>
  <si>
    <t>Гэндзай, то:ки ва минасама-о дэгути ни го-аннай суру тамэ, ку:ко: то:кёку-но кёка-о маттэ оримасу. О-сэки ни суватта мама о-мати кудасай.</t>
  </si>
  <si>
    <t>О-ори-но сай ва го-аннай итасимасу.</t>
  </si>
  <si>
    <t>Китё: кара-но хо:коку ни ёримасу то, то:ки ва тю:ки кёка-о маттэ оримасу.</t>
  </si>
  <si>
    <t>Бэруто-о симэта мама дэ, о-дзасэки дэ о-мати кудасай.</t>
  </si>
  <si>
    <t>Го-мэйваку-о о-какэ ситэ мо:сивакэ годзаимасэн.</t>
  </si>
  <si>
    <t>ку:ко: кондзацу-но тамэ тякурику кёка-о маттэ оримасу;</t>
  </si>
  <si>
    <t>ку:ко: фукин-но тэнко: фудзюн ни ёри, тякурику кёка-о маттэ оримасу.</t>
  </si>
  <si>
    <t>[название аэропорта] …ку:ко: то:тяку мадэ има сибараку о-мати кудасай.</t>
  </si>
  <si>
    <t>Китё: кара-но хо:коку ни ёримасу то, то:ки ва… [выбрать необходимое]</t>
  </si>
  <si>
    <t>Бэруто-о симэ о-дзасэки ни о-цуки кудасай.</t>
  </si>
  <si>
    <t>Кю:ю ва сю:рё: итасимасита.</t>
  </si>
  <si>
    <t>То:ки ва ато… фун/пун/ходо дэ сюппацу итасимасу.</t>
  </si>
  <si>
    <t>То:ки ва тадаима нэнрё:-но хокю:-о итаситэ оримасу.</t>
  </si>
  <si>
    <t>Бэруто-о о-симэ-но мама о-сэки нитэ о-мати кудасай.</t>
  </si>
  <si>
    <t>Хидзё:гути, цу:ро ни ва нанимо о-оки ни наранай ё: о-нэгаи итасимасу.</t>
  </si>
  <si>
    <t>Нэнрё: хокю: га овари сидай, о-сирасэ итасимасу.</t>
  </si>
  <si>
    <t>[название аэропорта] …ку:ко: тэнко: фурё:-но тамэ;</t>
  </si>
  <si>
    <t>Китё: кара-но хо:коку ни ёримасу то, то:ки ва… [выбрать необходимое]:</t>
  </si>
  <si>
    <t>…тю:кидзё: ни хикикаэ симасу.</t>
  </si>
  <si>
    <t>Си:то бэруто-о о-симэ-но мама о-сэки дэ о-мати кудасай.</t>
  </si>
  <si>
    <t>Атарасий дзё:хо: га хаири сидай, го-аннай итасимасу.</t>
  </si>
  <si>
    <t>Ти:фу па:са:/китё: ёри/ го-аннай мо:си агэмасу.</t>
  </si>
  <si>
    <t>ку:ко: кондзацу ни ёри, сюппацу кёка-о маттэ иру тамэ</t>
  </si>
  <si>
    <t>…сюппацу дзикан га… дзикан… фун/пун/окурэтэ оримасу.</t>
  </si>
  <si>
    <t>То:ки ва… [указать причину]</t>
  </si>
  <si>
    <t>[название аэропорта] ку:ко: фукин тэнко: фурё:-но тамэ;</t>
  </si>
  <si>
    <t>ку:ко: то:кёку камоцу цумикоми ни дзикан-о ё: ситэ иру тамэ;</t>
  </si>
  <si>
    <t>норицуги-но о-кякусама-о о-мати ситэ иру тамэ;</t>
  </si>
  <si>
    <t>то:дзё: сарэнай о-кякусама-но нимоцу-о оросу тамэ;</t>
  </si>
  <si>
    <t>ку:ко: сёкуин суторайки-но тамэ;</t>
  </si>
  <si>
    <t>сукэдзю:ру-но хэнко: ни ёри;</t>
  </si>
  <si>
    <t>Аэрофуро:то ва сюппацу ни субэтэ-о оконаи, кидзай сэйби-но тамэ;</t>
  </si>
  <si>
    <t>ку:ко: кондзацу-но тамэ;</t>
  </si>
  <si>
    <t>си:то бэруто-о о-симэ-но мама о-сэки дэ о-мати кудасай.</t>
  </si>
  <si>
    <t>соно мама о-сэки дэ о-мати кудасай. О-номимоно (то о-сёкудзи)-о о-моти итасимасу.</t>
  </si>
  <si>
    <t>о-тэнимоцу-о о-моти ни нари, матиаи хо:ру э о-сусуми кудасай. Сюппацу га кано: ни нари сидай, то:дзё:гути э го-аннай итасимасу. То:дзё:кэн-о фунсицу сарэнай ё: го-тю:и кудасай.</t>
  </si>
  <si>
    <t>[название пункта назначения] …ку:ко: э ва, судэ-ни тиэн ни цуйтэ хо:коку ситэ оримасу нодэ, то:тякуго, о-тэцудаи-но хицуё:на о-кякусама ва о-мо:сидэ кудасай.</t>
  </si>
  <si>
    <t>[выбрать необходимое]:</t>
  </si>
  <si>
    <t>Го-то:дзё:-но минасама!</t>
  </si>
  <si>
    <t>PRAM: Хондзицу ва СукайТи:му мэмба: Аэрофуро:то росиа ко:ку:-но хико:ки  э-но го-то:дзё: макото-ни аригато: годзаимасу.</t>
  </si>
  <si>
    <t>СБ: Минасама, о-хаё: годзаимасу / коннитива / комбанва!</t>
  </si>
  <si>
    <t>Хондзицу ва СукайТи:му мэмба: Аэрофуро:то росиа ко:ку: … [выбрать необходимое]:</t>
  </si>
  <si>
    <t>эабасу сан ити кю:/сан ни дзэро/сан ни ити/самбяку сандзю:;</t>
  </si>
  <si>
    <t>бо:ингу нана сан нана/нана року нана/нана нана нана;</t>
  </si>
  <si>
    <t>су:па: дзэтто</t>
  </si>
  <si>
    <t>э-но го-то:дзё:, макото-ни аригато: годзаимасу.</t>
  </si>
  <si>
    <t>Тана кара нака-но нимоцу га отитэ кэга-о суру баай га годзаимасу нодэ, тана-о акэру токи ва го-тю:и кудасай.</t>
  </si>
  <si>
    <t>Китё:-но… [имя и фамилия] дэсу. Дзё:муин итидо:-о дайхё: симаситэ, СукайТи:му мэмба: Аэрофуро:то росиа ко:ку:… [тип ВС] гата ки го-то:дзё:-но минасама ни, кокоро ёри го-айсацу мо:сиагэмасу.</t>
  </si>
  <si>
    <t>То:ки ва… [пункт вылета] хацу, [место назначения] …ики, … [название авиакомпании по код-шер] то-но кё:до: унко:бин дэ годзаимасу.</t>
  </si>
  <si>
    <t>Коно хико:ки ва… [указать причину]</t>
  </si>
  <si>
    <t xml:space="preserve">Ватаси ва ти:фу па:са:-но… [имя] дэсу. Хондзицу ва Аэрофуро:то росиа ко:ку:-о го-риё: итадаки, макото-ни аригато: годзаимасу.
</t>
  </si>
  <si>
    <t>То:ки ни ва сакка (саккёкука, гака, кагакуся, сидзин, сикися, супо:цуман, гундзи сидо:си, утю: хико:си, пайротто, хайю:, дирэкута:, опэра касю) Арэкусандору Пусикин… [имя, фамилия]-но намаэ га цукэрарэтэ имасу.</t>
  </si>
  <si>
    <t>Аэрофуро:то Бо:насу нарабини СукайТи:му Эри:то кайин, Эри:то Пурасу кайин-но о-кякусама ни о-карэмаситэ ва, ицумо го-айко итадаки аригато: годзаимасу. Хондзицу ва Аэрофуро:то Гуру:пу-но го-риё: макото-ни аригато: годзаимасу.</t>
  </si>
  <si>
    <t>PRAM/СБ: Андзэн унко:-но тамэ, о-тэнимоцу ва маэ-но о-дзасэки-но сита ни о-оки кудасай. Каруй о-тэнимоцу номи, уэ-но тана ни о-симаи кудасай.</t>
  </si>
  <si>
    <t>Корэ ёри, кинай-но андзэн ни цуйтэ го-сэцумэй итасимасу. До:дзо го-тю:моку кудасаимасэ.</t>
  </si>
  <si>
    <t>1. Коно хико:ки ни ва, ёццу-но хидзё:гути га годзаимасу.</t>
  </si>
  <si>
    <t>4. Субэтэ-но дэгути ни ва “EXIT”-но хё:дзи га годзаимасу.</t>
  </si>
  <si>
    <t>5. Хидзё:-но сай ни ва, цу:ро-но райто га дэгути мадэ ю:до: итасимасу.</t>
  </si>
  <si>
    <t>О-тикаку-но хидзё:гути-о го-какунин кудасай.</t>
  </si>
  <si>
    <t>2.</t>
  </si>
  <si>
    <t>1. Коно хико:ки ни ва, муццу-но хидзё:гути га годзаимасу.</t>
  </si>
  <si>
    <t>3. Субэтэ-но дэгути ни  ва хидзё:ё: субэридай га со:би сарэтэ оримасу.</t>
  </si>
  <si>
    <t>1. Коно хико:ки ни ва, яццу-но хидзё:гути га годзаимасу.</t>
  </si>
  <si>
    <t>Кинай дзэмпо:-но саю: ни футацу,</t>
  </si>
  <si>
    <t>цубаса бубун-но саю: ни футацу,</t>
  </si>
  <si>
    <t>3. Субэтэ-но дэгути ни ва хидзё:ё: субэридай га со:би сарэтэ оримасу.</t>
  </si>
  <si>
    <t xml:space="preserve">тю:о:бу-но саю: ни футацу, </t>
  </si>
  <si>
    <t xml:space="preserve">цубаса бубун- но саю: ни футацу, </t>
  </si>
  <si>
    <t>цубаса бубун-но саю: ни ёццу,</t>
  </si>
  <si>
    <t xml:space="preserve">Кинай дзэмпо:-но саю: ни футацу, </t>
  </si>
  <si>
    <t xml:space="preserve">цубаса бубун-но саю: ни футацу, </t>
  </si>
  <si>
    <t>6. Кинкю: тякусуй-но сай ни ва, кинай дзэмпо:, тю:о:, ко:хо: ни ару хидзё:ё: субэридай-о бо:то то ситэ риё: итасимасу.</t>
  </si>
  <si>
    <t>6. Кинкю: тякусуй-но сай ни ва, хидзё:ё: субэридай-о бо:то то ситэ риё: итасимасу.</t>
  </si>
  <si>
    <t>1. Коно хико:ки ни ва, то:-но хидзё:гути га годзаимасу.</t>
  </si>
  <si>
    <t xml:space="preserve">Кинай  дзэмпо:-но саю: ни ёццу, </t>
  </si>
  <si>
    <t>6. Кинкю: тякусуй-но сай ни ва, кинай дзэмпо:,цубаса-но дзэмпо:, цубаса-но ко:хо:, кинай ко:хо:-но хидзё:ё: субэридай-о бо:то то ситэ риё: итасимасу.</t>
  </si>
  <si>
    <t>1.Кинай-но киацу га сагару то, дзудзё:-но панэру кара дзидо:тэки-ни сансо масуку га оритэ кимасу.</t>
  </si>
  <si>
    <t>2. Масуку-о хики, ёсэтэ кудасай.</t>
  </si>
  <si>
    <t>3. Хана то кути-но уэ кара сиккари цукэ, цу:дзё:до:ри кокю: ситэ кудасай.</t>
  </si>
  <si>
    <t>4. О-косама дзурэ-но ката ва го-дзибун-но масуку-о со:тяку сита ато, о-косама ни масуку-о со:тяку ситэ кудасай.</t>
  </si>
  <si>
    <t>1. “Си:то бэруто тякуё:” сайн га цуйтара, бэруто-о о-симэ кудасай.</t>
  </si>
  <si>
    <t>2. Канагу-о баккуру ни сасикондэ кудасай.</t>
  </si>
  <si>
    <t>3. Бэруто ва сиккари то о-симэ кудасай.</t>
  </si>
  <si>
    <t>4. Си:то бэруто-о хадзусу баай ва, баккуру-но каба:-о мотиагэтэ кудасай.</t>
  </si>
  <si>
    <t>Кинкю: тякусуй-но сай ни ва, сонаэцукэ-но кю:мэй до:и-о сиё: симасу.</t>
  </si>
  <si>
    <t>1. Кю:мэй до:и ва дзасэки-но сита ни годзаимасу.</t>
  </si>
  <si>
    <t>2. Фукуро кара торидаси, атама кара кабуттэ кудасай.</t>
  </si>
  <si>
    <t>3. Коси-но мавари ни химо-о мусуби, дзэмпо: дэ томэганэ-о томэтэ кудасай.</t>
  </si>
  <si>
    <t>4. Хико:ки-но дэгути дэ акай хикитэ-о сита ни хийтэ, кю:мэй до:и-о фукурамасэтэ кудасай.</t>
  </si>
  <si>
    <t>5. Тю:бу кара фукурамасэру кото га дэкимасу.</t>
  </si>
  <si>
    <t>6. Мидзу-но нака дэ хикару райто га цуйтэ имасу.</t>
  </si>
  <si>
    <t>7. Хико:ки-но нака дэ ва кю:мэй до:и-о фукурамасэнайдэ кудасай.</t>
  </si>
  <si>
    <t>Сё:сай ни цукимаситэ ва, минасама-но дзасэки покэтто ни хаиттэ иру “Андзэн-но сиори”-о го-какунин кудасай.</t>
  </si>
  <si>
    <t>То:ки ва мамонаку ририку итасимасу.</t>
  </si>
  <si>
    <t>О-нимоцу ва дзудзё:-но тана, мата ва маэ-но дзасэки- но асимото ни о-симаи кудасай.</t>
  </si>
  <si>
    <t>Си:то бэруто-о о-симэ кудасай.</t>
  </si>
  <si>
    <t>Дзасэки-но сэмотарэ-о мото-но ити ни модоситэ кудасай.</t>
  </si>
  <si>
    <t>Тэ:буру-о мото-но ити ни модоситэ кудасай.</t>
  </si>
  <si>
    <t>Мадо-но бурайндо-о акэтэ кудасай.</t>
  </si>
  <si>
    <t>Ририку то тякурику-но сай ни ва, кэйтай дэнва то:-но дэнси кики ва, дэнгэн-о о-кири ни нари, го-риё: ни наримасэн ё: о-нэгаи итасимасу.</t>
  </si>
  <si>
    <t>PRAM: Кинай ни о-мотикоми ни натта аруко:ру-но сэссю, дэнси табако-о фукуму кицуэн ва кинси сарэтэ оримасу.</t>
  </si>
  <si>
    <t>О-тэараи ни мо кэмури кантики га сонаэцукэрарэтэ оримасу нодэ, о-табако ва о-суи ни наримасэн ё: о-нэгаи итасимасу.</t>
  </si>
  <si>
    <t>Хико:тю: ва кинай-но сё:мэй-о кураку итасимасу. Докусёто: га годзаимасу нодэ, го-риё: кудасай.</t>
  </si>
  <si>
    <t>Андзэн унко:-но тамэ кидзай ни цуйта ко:ри-о токасу сагё:-о оконаимасу.</t>
  </si>
  <si>
    <t>Си:то бэруто-о симэта мама, о-дзасэки дэ о-мати кудасай.</t>
  </si>
  <si>
    <t>то:ки ва сюппацу кёка-о маттэ оримасу. Ато… фун ходо какару микоми дэ годзаимасу.</t>
  </si>
  <si>
    <t xml:space="preserve">СБ: Китё: кара-но хо:коку ни ёримасу то </t>
  </si>
  <si>
    <t>Субэтэ-но дэнси кики-но дэнгэн-о о-кири кудасай.</t>
  </si>
  <si>
    <t>Дзасэки-но сэмотарэ-о мото ни о-модоси кудасай.</t>
  </si>
  <si>
    <t>Тэ:буру-о о-симаи кудасай.</t>
  </si>
  <si>
    <t>Ватаси ва ти:фу па:са:-но [имя] дэсу.</t>
  </si>
  <si>
    <t>(“Кэйтай дэнва-но дэнгэн-о киру” / “Си:то бэруто тякуё:”)… сайн-но фугуай ни ёри, миссэцуни хо:до:-о канси си, дзё:муин-но сидзи ни ситагау кото-о о-нэгаи итасимасу.</t>
  </si>
  <si>
    <t>Го-тю:мон- о го-кибо:-но ката ва тякурику дзюмби ни хаиру маэ мадэ ни дзё:муин ни о-сирасэ кудасай.</t>
  </si>
  <si>
    <t>О-сёкудзи-но ато, “Сукай сёппу” сё:хин хамбай-о оконаимасу.</t>
  </si>
  <si>
    <t>“Сукай сёппу” сё:хин хамбай-о оконаимасу.</t>
  </si>
  <si>
    <t>“Сукай сёппу” катарогу-но нака ни ару тю:мон си:то-о го-киню: итадаку то, кантан-ни го-ко:ню: итадакэмасу. Синамоно ва тякурику дзюмби ни хаиру маэ мадэ ни го-ё:и итасимасу.</t>
  </si>
  <si>
    <t>Кинай энта:тэймэнто сисутэму бангумихё:  ва сасси “Синэма” дэ го-какунин итадакэмасу.</t>
  </si>
  <si>
    <t>Мо:сивакэ годзаимасэн га, гэндзай, кинай энта:тэймэнто сисутэму ни фугуай га сё:дзитэ ори, го-риё: итадакэмасэн.</t>
  </si>
  <si>
    <t>Кокоро ёри о-ваби мо:сиагэмасу.</t>
  </si>
  <si>
    <t>Ёри ёи са:бису-о мэдзаситэ, о-кякусама-но го-икэн-о о-укагаи ситэ оримасу. Анкэ:то ни го-кё:рёку итадакэру ката ва, о-коэгакэ кудасай.</t>
  </si>
  <si>
    <t>Андзэн-но тамэ, о-дзасэки ни о-цуки-но сай ва, бэруто-о о-симэ кудасаимасу ё: о-нэгаи итасимасу.</t>
  </si>
  <si>
    <t>PRAM: Бидзинэсу курасу-но о-тэараи ва кинай дзэмпо: (оёби тю:о:бу), экономи: курасу-но о-тэараи ва кинай ко:хо: (оёби тю:о:бу) ни годзаимасу.</t>
  </si>
  <si>
    <t>“Бэруто тякуё:” сайн га киэмасита. Корэ ёри, о-дзасэки кара о-тати итадакэмасу.</t>
  </si>
  <si>
    <t>Хико:тю: ни го-риё: итадакэру дэнси кики ни цукимаситэ ва, кинайси “Аэрофуро:то” дэ го-какунин итадакэмасу.</t>
  </si>
  <si>
    <t xml:space="preserve">Минасама! </t>
  </si>
  <si>
    <t>То:ки дэ ва, ю:рё:-но инта:нэтто сэцудзоку га го-риё: итадакэмасу.  «Кэйтай дэнва-но дэнгэн-о киру» сайн га киэта ато, сэцудзоку га кано: ни наримасу.</t>
  </si>
  <si>
    <t xml:space="preserve">О-кякусама-но кэйтай дэнва дэ инта:нэтто бураудза-но нака дэ Аэрофуро:то-но пандзи кара сэцудзоку га итадакэмасу. </t>
  </si>
  <si>
    <t>Риё:-но дзё:хо: то нэдан-ни тайситэ хо:му пэ:дзи кара го-какунин итадакэмасу.</t>
  </si>
  <si>
    <t xml:space="preserve">Мо:сивакэ годзаимасэн га, гэндзай кинай инта:нэтто сэцудзоку сисутэму ни фугуай га сё:дзитэ ори, го-риё: итадакэмасэн. </t>
  </si>
  <si>
    <t>Мамонаку “Сукай сёппу” сё:хин хамбай-о оконаимасу.</t>
  </si>
  <si>
    <t>СБ: Китё: кара-но хо:коку ни ёримасу то</t>
  </si>
  <si>
    <t>то:ки ва гэндзай, ко:до… мэ:тору (фи:то)-о хико:тю: дэ годзаимасу.</t>
  </si>
  <si>
    <t>Дзисоку ва майдзи… киро (майру) дэсу.</t>
  </si>
  <si>
    <t>Хико: кёри ва… киро (майру) дэсу.</t>
  </si>
  <si>
    <t>Гэндзай, [страна, город, горы, океан, море и др.] дзё:ку:-о хико:тю:  дэсу.</t>
  </si>
  <si>
    <t>… [название города]-но [название аэропорта] …ку:ко: то:тяку ва мосукува дзикан/гэнти дзикан/  годзэн/гого… [часов] дзи… [минут] фун-о ётэй ситэ оримасу. [название города] …то мосукува-но айда ни ва… [часов] дзикан-но дзиса га годзаимасу.</t>
  </si>
  <si>
    <t xml:space="preserve">Аэрофуро:то росиа ко:ку: дэ ва фури:куэнто фурайя: пурогураму тоситэ “Аэрофуро:то Бо:насу”-о  го-ё:и ситэ оримасу. Го-ню:кай итадаку то тамэта майру-о Аэрофуро:то Гуру:пу оёби СукайТи:му-но мурё: ко:ку:кэн то ко:кан ситари, тэйкэй гайся дэ-но са:бису-о укэрарэмасу.
</t>
  </si>
  <si>
    <t>Аэрофуро:то оёби СукайТи:му-но дзё:кю: кайин мукэ-но са:бису мо тасу: го-ё:и ситэ оримасу.</t>
  </si>
  <si>
    <t>Сё:сай ни цукимаситэ ва Аэрофуро:то-но хо:му пэ:дзи кара го-какунин итадакэмасу.</t>
  </si>
  <si>
    <t>То:ки ва тадаима кирю:-но варуй токоро-о цу:катю: дэ годзаимасу.</t>
  </si>
  <si>
    <t>О-сэки ни о-цуки ни нари, си:то бэруто-о о-симэ кудасай. “Бэруто тякуё:” сайн га киэру мадэ, о-сэки ни о-сувари кудасай.</t>
  </si>
  <si>
    <t>Мо:сивакэ годзаимасэн га, андзэндзё:-но рию: ни ёри, кинай са:бису-о тю:дан сасэтэ итадайтэ оримасу. Андзэн га какунин дэки, сидай са:бису-о сайкай итасимасу нодэ го-рё:сё: кудасай.</t>
  </si>
  <si>
    <t>Китё: кара хаитта хо:коку ни ёримасу то, то:ки ва тадаима кирю:-но варуй токоро-о цу:катю: дэ годзаимасу.</t>
  </si>
  <si>
    <t>Андзэн-но тамэ, кирю: га антэй суру мадэ, ататакай о-номимоно-но са:бису-о тю:си итасимасу.</t>
  </si>
  <si>
    <t>Минасама, о-хаё: годзаимасу/комбанва!</t>
  </si>
  <si>
    <t>[пункт назначения] мадэ-но хико: дзикан ва… дзикан… фун дэсу.</t>
  </si>
  <si>
    <t>Ню:коку канрикёку-но сидо: ни ёри, [название страны] дзин-но о-кякусама (игай) ва… [выбрать необходимое]:</t>
  </si>
  <si>
    <t>то:тяку ка:до</t>
  </si>
  <si>
    <t>ню:коку ка:до</t>
  </si>
  <si>
    <t>ико: ка:до</t>
  </si>
  <si>
    <t>дзэйкан синкокусё</t>
  </si>
  <si>
    <t>кэнко: сё:мэйсё</t>
  </si>
  <si>
    <t>…-о го-киню: итадакимасу.</t>
  </si>
  <si>
    <t>Фо:му ва ку:ко: дэ тэйкё сарэмасу. Бурокку тай дэ го-киню: кудасай.</t>
  </si>
  <si>
    <t>Бурокку тай дэ го-киню:-но уэ ню:коку кэнсадзё: дэ го-ё:и кудасай.</t>
  </si>
  <si>
    <t>Хико:ки-о ориру мадэ ни го-киню: кудасай.</t>
  </si>
  <si>
    <t>[Для въезда в Японию] Киню: хо:хо: ни цукимаситэ ва, кинайси “Аэрофуро:то” дэ го-какунин итадакэмасу.</t>
  </si>
  <si>
    <t>О-тэцудаи га хицуё:на баай ва, дзё:муин ни о-тадзунэ кудасай.</t>
  </si>
  <si>
    <t>О-норицуги-но о-кякусама ни го-аннай итасимасу.</t>
  </si>
  <si>
    <t>О-норицугибин ни кансуру го-сицумон ва, норицуги каунта: сёкуин мадэ о-тоиавасэ кудасай.</t>
  </si>
  <si>
    <t>О-норицуги-но о-кякусама ни го-аннай итасимасу! [выбрать необходимое]:</t>
  </si>
  <si>
    <t>… [пункт назначения] мадэ-но Аэрофуро:то-но… [номер рейса] бин сюппацу-но гэ:то га хэнко: сарэмасита. Аратана гэ:то ва… [номер выхода] бан гэ:то дэсу.</t>
  </si>
  <si>
    <t>Изменился выход на посадку на… рейс Аэрофлота/рейс… [название авиакомпании] … [номер рейса] в … [пункт назначения]. Новый выход на посадку… [номер выхода].</t>
  </si>
  <si>
    <t>Please pay attention to the departure gate change of… Aeroflot/… [название авиакомпании] flight… [номер рейса] to… [пункт назначения]. The new gate is… [номер выхода].</t>
  </si>
  <si>
    <t>Prêtez attention au changement de la sortie pour… [указать рейс/рейсы]. La sortie actuelle est… [номер выхода].</t>
  </si>
  <si>
    <t>Die Flugsteignummer für den Anschlußflug der Aeroflot… (der Fluggesellschaft…) … [номер рейса] nach… [пункт назначения] wurde abgeändert. Die neue Flugsteignummer ist Nummer… [номер выхода].</t>
  </si>
  <si>
    <t>Se cambia puerta de salida… [указать рейс/рейсы]. La nueva puerta de salida es… [номер выхода].</t>
  </si>
  <si>
    <t>请注意！俄航/… [название авиакомпании] 航班… [номер рейса]前往… [пункт назначения] 的登机口改了。新的登机口是… [номер выхода] 号。</t>
  </si>
  <si>
    <t>Qǐng zhùyì! É háng/… [название авиакомпании] hángbān… [номер рейса] qiánwǎng… [пункт назначения] de dēng jī kǒu gǎile. Xīn de dēng jī kǒu shì… [номер выхода] hào.</t>
  </si>
  <si>
    <t>рейс Аэрофлота/рейс… [название авиакомпании] … [номер рейса] в … [пункт назначения]. Новый выход на посадку… [номер выхода].</t>
  </si>
  <si>
    <t>Aeroflot/… [название авиакомпании] flight… [номер рейса] to… [пункт назначения]. The new gate is… [номер выхода].</t>
  </si>
  <si>
    <t>Le vol… [номер рейса] d’Aéroflot à destination de… [пункт назначения]. La sortie actuelle est… [номер выхода].</t>
  </si>
  <si>
    <t>Die neue Flugsteignummer für den Anschlußflug der Aeroflot… (der Fluggesellschaft…) … [номер рейса] nach… [пункт назначения] ist Nummer… [номер выхода].</t>
  </si>
  <si>
    <t>El vuelo de… [название авиакомпании] … [номер рейса]. La nueva puerta de salida es… [номер выхода].</t>
  </si>
  <si>
    <t>俄航/… [название авиакомпании] 航班… [номер рейса]前往… [пункт назначения].新的登机口是… [номер выхода] 号。</t>
  </si>
  <si>
    <t>É háng/… [название авиакомпании] hángbān… [номер рейса] qiánwǎng… [пункт назначения]. Xīn de dēng jī kǒu shì… [номер выхода] hào.</t>
  </si>
  <si>
    <t>Та:минару биру дэ, хико:ки-о о-ори-но сай ва Аэрофуро:то тидзё: сёкуин га о-норицуги бин-но гэ:то мадэ го-аннай итасимасу.</t>
  </si>
  <si>
    <t>Норицугибин-но исёкудзикан га кагирарэтэ иру нодэ, тиэн синайдэ кудасай.</t>
  </si>
  <si>
    <t xml:space="preserve">Го-сиё: ни нарарэтэ иру о-нимоцу ва, маэ-но о-дзасэки-но сита, мосикува уэ-но тана ни о-ирэ кудасаимасу ё: о-нэгаи мо:сиагэмасу. </t>
  </si>
  <si>
    <t>Китё: кара-но хо:коку ни ёримасу то, то:ки ва ато… фун (пун) го ни дзёдзё-ни ко:до-о сагэ, тякурику тайсэй э то хаиттэ маиримасу.</t>
  </si>
  <si>
    <t>Аэрофуро:то-но… [пункт назначения] мадэ-но… [номер рейса] бин-но о-норицуги-но о-кякусама ни го-аннай итасимасу!</t>
  </si>
  <si>
    <t xml:space="preserve">Китё: ёри, “Си:то бэруто тякуё:”-но сайн га тэнто: итасимасита. </t>
  </si>
  <si>
    <t>О-норицуги-но о-кякусама ва, субэтэ-но та:минару-но тидзу га кинайси “Аэрофуро:то” ни кэйсай сарэтэ оримасу нодэ го-какунин кудасай.</t>
  </si>
  <si>
    <t xml:space="preserve">… [название города]-но… [название аэропорта] ку:ко:, (для Токио дай ити) та:минару… [указать при наличии информации], … [указать при наличии информации] бан гэ:то ни то:тяку итасимасу. </t>
  </si>
  <si>
    <t>То:ки ва ко:ка тайсэй ни хаиттэ маиримасу. …фун (пун) ходо дэ…</t>
  </si>
  <si>
    <t>[название города назначения]-но тэнки ва ко:тэн/харэ/амэ/кумори то наттэ оримасу.</t>
  </si>
  <si>
    <t>Тидзё: кион ва пурасу/майнасу …до то-но хо:коку-о укэтэ оримасу.</t>
  </si>
  <si>
    <t>Тякурику ни сонаэ, кинай са:бису-о сю:рё: сасэтэ итадакимасу. Тякурику ни сай си</t>
  </si>
  <si>
    <t>мадо-но бурайндо-о о-агэ кудасай;</t>
  </si>
  <si>
    <t>о-цукаи-но о-тэнимоцу-о маэ-но дзасэки-но сита, мосикува уэ-но тана ни о-ирэ кудасай.</t>
  </si>
  <si>
    <t>тэ:буру-о о-симаи кудасай;</t>
  </si>
  <si>
    <t>сэмотарэ-но ити-о мото ни о-модоси кудасай;</t>
  </si>
  <si>
    <t>си:то бэруто-о сиккари то о-симэ кудасай;</t>
  </si>
  <si>
    <t>о-сэки ни о-цуки ни нари;</t>
  </si>
  <si>
    <t>Хико:ки га тэйси симасу мадэ-но айда, дэнки кикируй-но сиё:-о о-хикаэ кудасай.</t>
  </si>
  <si>
    <t>О-ори-но сай мо:фу то макура ва соно мама о-дзасэки ни ойтэ итадакэмасу ё: о-нэгаи итасимасу.</t>
  </si>
  <si>
    <t>Тякурику ни сай симаситэ, кинай-но сё:мэй-о кураку сасэтэ итадакимасу. Докусёто: га годзаимасу нодэ, го-риё: кудасай.</t>
  </si>
  <si>
    <t>То:ки ва мамонаку тякурику итасимасу.</t>
  </si>
  <si>
    <t>Минасама! [выбрать необходимое]:</t>
  </si>
  <si>
    <t>Мосукува э ё:косо.
То:ки ва, Сэрэмэтиэво ку:ко:, та:минару B/C/D/E/F ни то:тяку итасимасита.</t>
  </si>
  <si>
    <t>То:ки ва, [название города]-но, [название аэропорта] ку:ко:, (для Токио дай ити) та:минару… [указать] ни то:тяку итасимасита.</t>
  </si>
  <si>
    <t>Тадаима-но гэнти (мосукува) дзикан ва годзэн/гого …дзи …фун (пун) дэ годзаимасу.</t>
  </si>
  <si>
    <t>… [название города назначения]-но тэнки ва ко:тэн/харэ/амэ/кумори то наттэ оримасу.</t>
  </si>
  <si>
    <t>Тидзё: кион ва пурасу/майнасу… до то-но хо:коку-о укэтэ оримасу.</t>
  </si>
  <si>
    <t>Хондзицу-но хико: дзикан ва …дзикан …фун-о ётэй ситэ оримасу.</t>
  </si>
  <si>
    <t>[пункт назначения] …мадэ-но хико:  дзикан ва …дзикан …фун-о ётэй ситэ оримасу.</t>
  </si>
  <si>
    <t>…дзикан …фун го ни [страна, город, горы, океан, море и др.]-о цу:ка ётэй дэ годзаимасу.</t>
  </si>
  <si>
    <t>Андзэн какухо-но тамэ, “Бэруто тякуё:”-но сайн га киэмасу мадэ-но айда, о-сэки ни о-цуки-но мама дзасэки бэруто-о о-симэоки кудасай.</t>
  </si>
  <si>
    <t>О-ори-но сай ва о-васурэмоно-но най ё: го-тю:и кудасай.</t>
  </si>
  <si>
    <t>Бидзинэсу курасу-но о-кякусама ни саки-ни оритэ итадаку тамэ, о-сэки ни цуйта мама дэ о-мати кудасай.</t>
  </si>
  <si>
    <t>Рэнта ка:-но хицуё: га арэба, Аэрофуро:то-но о-кякусама то Аэрофуро:то бо:насу-но дзё:кю:кайин мукэ-но токубэцу рё:кин-о го-риё: итадаку тамэ ни,… ку:ко:-но ё:роппака: каунта: ни о-тадзунэ кудасай.</t>
  </si>
  <si>
    <t>Хико:ки га окурэ, минасама ни го-мэйваку-о о-какэ симасита кото, касанэтэ кокоро ёри о-ваби мо:сиагэмасу.</t>
  </si>
  <si>
    <t>Хондзицу-но минасама-но фурайто га кайтэкина моно дэ атта кото, кокоро ёри нэгаттэ оримасу. Мата минасама то кинай дэ о-аидэкиру кото-о кокоро ёри о-мати мо:сиагэтэ оримасу.</t>
  </si>
  <si>
    <t>Саё:нара!</t>
  </si>
  <si>
    <t>[пункт назначения] мадэ-но о-кякусама ва, о-тэнимоцу-о о-моти-но уэ, иттан хико:ки-о оритэ итадаки, матиаи хо:ру нитэ о-мати кудасай. Сэрэмэтиэво ку:ко: нитэ, кидзай оёби дзё:муин-но ко:тай га годзаимасу.</t>
  </si>
  <si>
    <t>О-мати итадаку дзикан ва …дзикан …фун (пун) дэ годзаимасу.</t>
  </si>
  <si>
    <t>Аригато: годзаимасу.</t>
  </si>
  <si>
    <t>То:ки ва мада идо: итасимасу.</t>
  </si>
  <si>
    <t>Андзэн-но тамэ, “Бэруто тякуё:” сайн га киэру мадэ бэруто-о о-симэ ни нари, о-сэки нитэ о-мати кудасай.</t>
  </si>
  <si>
    <t>То:ки ва будзи то:тяку итасимасита.</t>
  </si>
  <si>
    <t>Дзё:муин итидо:-о дайхё: си, СукайТи:му мэмба: Аэрофуро:то росиа ко:ку: нарабини… [название авиакомпании по код-шер]-о го-риё: итадайта минасама ни онрэй мо:сиагэмасу.</t>
  </si>
  <si>
    <t>Ёи итинити-о о-сугоси кудасай.</t>
  </si>
  <si>
    <t>СБ: Le commandant nous informe que notre vol est terminé. De la part de l'équipage le commandant vous remercíe d'avoir choisi “Aéroflot – Russian Airlines”, membre de SkyTeam (et… [название авиакомпании по код-шер]) et vous souhaite une agréable journée/soirée.</t>
  </si>
  <si>
    <t>Мамонаку, басу нитэ минасама-о та:минару биру мадэ го-аннай итасимасу.</t>
  </si>
  <si>
    <t>О-асимото ни о-ки-о цукэ ни нари, кайдан-о о-ори кудасай.</t>
  </si>
  <si>
    <t>Хико:ки-о орита ато, гэ:то ни идо: ситэ, та:минару биру мадэ-но басу ни нору тамэ ни кайдан-о о-ори кудасай.</t>
  </si>
  <si>
    <t>Ню:коку канрикёку-но сидо: ни ёри, хико:ки-о ориру сай ни пасупо:то текку-о оконаимасу.</t>
  </si>
  <si>
    <t>О-тэмото-ни пасупо:то-о го-ё:и кудасай.</t>
  </si>
  <si>
    <t>Минасама, о-матасэ итасимасита!</t>
  </si>
  <si>
    <t>О-дэгути ва [выбрать необходимое]:</t>
  </si>
  <si>
    <t>кинай дзэмпо:</t>
  </si>
  <si>
    <t>кинай тю:о:</t>
  </si>
  <si>
    <t>кинай дзэмпо: оёби тю:о:</t>
  </si>
  <si>
    <t>кинай дзэмпо: оёби ко:хо:</t>
  </si>
  <si>
    <t>…ни годзаимасу.</t>
  </si>
  <si>
    <t xml:space="preserve">О-норицуги-но о-кякусама га ирассяимасу. [название пункта назначения] …юки-но о-кякусама ни саки-ни оритэ итадаку тамэ, о-сэки ни цуйта мама дэ о-мати кудасай. </t>
  </si>
  <si>
    <t>…сюппацу га окурэ, минасама ни го-мэйваку-о о-какэ симасита кото, о-ваби мо:сиагэмасу.</t>
  </si>
  <si>
    <t>Минасама, о-хаё: годзаимасу/коннитива/комбанва!</t>
  </si>
  <si>
    <t>ко:хо:-но саю: ни футацу годзаимасу.</t>
  </si>
  <si>
    <t>кинай ко:хо:-но саю: ни ёццу годзаимасу.</t>
  </si>
  <si>
    <t>СБ: Кинай ни о-мотикоми ни натта аруко:ру-но сэссю, дэнси табако-о фукуму кицуэн ва кинси сарэтэ оримасу.</t>
  </si>
  <si>
    <t>сюппацу ку:ко: / то:тяку ку:ко: / цу:ка титэн / тэнко: фурё:-но тамэ;</t>
  </si>
  <si>
    <t>ку:ко: то:кёку сюппацу дзюмби-но тамэ;</t>
  </si>
  <si>
    <t>о-норицуги-но о-кякусама-о о-мати ситэ иру тамэ;</t>
  </si>
  <si>
    <t>дзэмбин-но то:тяку окурэ-но тамэ;</t>
  </si>
  <si>
    <t>ку:ко: кондзацу ни ёри сюппацу кёка-о маттэ иру тамэ;</t>
  </si>
  <si>
    <t>кэйсёку</t>
  </si>
  <si>
    <t>тё:сёку</t>
  </si>
  <si>
    <t>тю:сёку</t>
  </si>
  <si>
    <t>ю:сёку</t>
  </si>
  <si>
    <t>…то о-номимоно-о о-моти итасимасу.</t>
  </si>
  <si>
    <t>Сюппацуго,… [выбрать необходимое]</t>
  </si>
  <si>
    <t>то… [выбрать 2-й рацион питания]</t>
  </si>
  <si>
    <t>…-о го-ё:и итасимасу.</t>
  </si>
  <si>
    <t>Хико:тю:… [выбрать 1-й рацион питания]</t>
  </si>
  <si>
    <t>…-о о-моти итасимасу.</t>
  </si>
  <si>
    <t>Тадаима ёри,… [выбрать необходимое]:</t>
  </si>
  <si>
    <t>color_ID</t>
  </si>
  <si>
    <t>language_Name</t>
  </si>
  <si>
    <t>R</t>
  </si>
  <si>
    <t>G</t>
  </si>
  <si>
    <t>B</t>
  </si>
  <si>
    <t>JapanTranscription</t>
  </si>
  <si>
    <t>partName</t>
  </si>
  <si>
    <t>RU</t>
  </si>
  <si>
    <t>EN</t>
  </si>
  <si>
    <t>FR</t>
  </si>
  <si>
    <t>DE</t>
  </si>
  <si>
    <t>ES</t>
  </si>
  <si>
    <t>ZH</t>
  </si>
  <si>
    <t>PY</t>
  </si>
  <si>
    <t>JA</t>
  </si>
  <si>
    <t>JT</t>
  </si>
  <si>
    <t>KO</t>
  </si>
  <si>
    <t>VI</t>
  </si>
  <si>
    <t>Необходимость медицинской помощи по прилету, когда пассажиры встают с мест (СБ или PRAM) (дневной/ночной рейс)</t>
  </si>
  <si>
    <t>We will appreciate your comments and feedback about the quality of our service.</t>
  </si>
  <si>
    <t>Huānyíng Nín liúxià bǎoguì yìjiàn hé jiànyì.</t>
  </si>
  <si>
    <t>На рейсах в/из Гонконга, Пекина, Шанхая, Гуанчжоу, Дубая, Стамбула</t>
  </si>
  <si>
    <t>Просим вас не оставлять без внимания свои ценные вещи и проездные документы.</t>
  </si>
  <si>
    <t>Please do not leave your valuables and travel documents unattended.</t>
  </si>
  <si>
    <t>请您不要忽视贵重物品和旅行证件。</t>
  </si>
  <si>
    <t>Qǐng nín bùyào hūshì guìzhòng wùpǐn hé lǚxíng zhèngjiàn.</t>
  </si>
  <si>
    <t>We kindly ask you to remain in your seats to allow medical personnel to get to the passenger who requires medical assistance. We will inform you as the disembarcation will be allowed.</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</si>
</sst>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1"/>
      <color theme="1"/>
      <name val="Calibri"/>
      <family val="2"/>
      <charset val="204"/>
      <scheme val="minor"/>
    </font>
    <font>
      <b/>
      <sz val="11"/>
      <color theme="1"/>
      <name val="Calibri"/>
      <family val="2"/>
      <charset val="204"/>
      <scheme val="minor"/>
    </font>
    <font>
      <b/>
      <sz val="11"/>
      <color theme="2" tint="-0.249977111117893"/>
      <name val="Calibri"/>
      <family val="2"/>
      <charset val="204"/>
      <scheme val="minor"/>
    </font>
    <font>
      <b/>
      <sz val="11"/>
      <color theme="3" tint="0.39997558519241921"/>
      <name val="Calibri"/>
      <family val="2"/>
      <charset val="204"/>
      <scheme val="minor"/>
    </font>
    <font>
      <sz val="11"/>
      <color theme="3" tint="0.39997558519241921"/>
      <name val="Calibri"/>
      <family val="2"/>
      <charset val="204"/>
      <scheme val="minor"/>
    </font>
    <font>
      <b/>
      <sz val="11"/>
      <color theme="5" tint="-0.249977111117893"/>
      <name val="Calibri"/>
      <family val="2"/>
      <charset val="204"/>
      <scheme val="minor"/>
    </font>
    <font>
      <sz val="11"/>
      <color theme="5" tint="-0.249977111117893"/>
      <name val="Calibri"/>
      <family val="2"/>
      <charset val="204"/>
      <scheme val="minor"/>
    </font>
    <font>
      <b/>
      <sz val="11"/>
      <color theme="6" tint="-0.249977111117893"/>
      <name val="Calibri"/>
      <family val="2"/>
      <charset val="204"/>
      <scheme val="minor"/>
    </font>
    <font>
      <sz val="11"/>
      <color theme="6" tint="-0.249977111117893"/>
      <name val="Calibri"/>
      <family val="2"/>
      <charset val="204"/>
      <scheme val="minor"/>
    </font>
    <font>
      <b/>
      <sz val="11"/>
      <color theme="9" tint="-0.499984740745262"/>
      <name val="Calibri"/>
      <family val="2"/>
      <charset val="204"/>
      <scheme val="minor"/>
    </font>
    <font>
      <sz val="11"/>
      <color theme="9" tint="-0.499984740745262"/>
      <name val="Calibri"/>
      <family val="2"/>
      <charset val="204"/>
      <scheme val="minor"/>
    </font>
    <font>
      <sz val="11"/>
      <color theme="2" tint="-0.249977111117893"/>
      <name val="Calibri"/>
      <family val="2"/>
      <charset val="204"/>
      <scheme val="min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8"/>
      <color theme="1"/>
      <name val="Calibri"/>
      <family val="2"/>
      <charset val="204"/>
      <scheme val="minor"/>
    </font>
    <font>
      <b/>
      <i/>
      <sz val="11"/>
      <color theme="1" tint="0.499984740745262"/>
      <name val="Calibri"/>
      <family val="2"/>
      <charset val="204"/>
      <scheme val="minor"/>
    </font>
    <font>
      <b/>
      <sz val="11"/>
      <color theme="4"/>
      <name val="Calibri"/>
      <family val="2"/>
      <charset val="204"/>
      <scheme val="minor"/>
    </font>
    <font>
      <b/>
      <sz val="11"/>
      <name val="Calibri"/>
      <family val="2"/>
      <charset val="204"/>
      <scheme val="minor"/>
    </font>
    <font>
      <sz val="11"/>
      <color rgb="FF000000"/>
      <name val="Calibri"/>
      <family val="2"/>
      <charset val="204"/>
      <scheme val="minor"/>
    </font>
    <font>
      <sz val="11"/>
      <color rgb="FF538DD5"/>
      <name val="Calibri"/>
      <family val="2"/>
      <charset val="204"/>
      <scheme val="minor"/>
    </font>
    <font>
      <sz val="11"/>
      <color rgb="FF963634"/>
      <name val="Calibri"/>
      <family val="2"/>
      <charset val="204"/>
      <scheme val="minor"/>
    </font>
    <font>
      <sz val="11"/>
      <color rgb="FF76933C"/>
      <name val="Calibri"/>
      <family val="2"/>
      <charset val="204"/>
      <scheme val="minor"/>
    </font>
    <font>
      <sz val="11"/>
      <color rgb="FF974706"/>
      <name val="Calibri"/>
      <family val="2"/>
      <charset val="204"/>
      <scheme val="minor"/>
    </font>
    <font>
      <sz val="11"/>
      <color rgb="FF8018C0"/>
      <name val="Calibri"/>
      <family val="2"/>
      <charset val="204"/>
      <scheme val="minor"/>
    </font>
    <font>
      <sz val="11"/>
      <color rgb="FF00A09C"/>
      <name val="Calibri"/>
      <family val="2"/>
      <charset val="204"/>
      <scheme val="minor"/>
    </font>
    <font>
      <sz val="11"/>
      <color rgb="FF187820"/>
      <name val="Calibri"/>
      <family val="2"/>
      <charset val="204"/>
      <scheme val="minor"/>
    </font>
    <font>
      <sz val="11"/>
      <color rgb="FF665000"/>
      <name val="Calibri"/>
      <family val="2"/>
      <charset val="204"/>
      <scheme val="minor"/>
    </font>
    <font>
      <sz val="11"/>
      <color rgb="FF000000"/>
      <name val="Times New Roman"/>
      <family val="1"/>
      <charset val="204"/>
    </font>
    <font>
      <sz val="11"/>
      <color rgb="FF963634"/>
      <name val="Calibri"/>
      <family val="2"/>
      <charset val="204"/>
    </font>
    <font>
      <sz val="11"/>
      <color rgb="FF974706"/>
      <name val="Calibri"/>
      <family val="2"/>
      <charset val="204"/>
    </font>
    <font>
      <sz val="11"/>
      <color rgb="FF8018C0"/>
      <name val="Arial Unicode MS"/>
      <family val="2"/>
    </font>
    <font>
      <sz val="9.9"/>
      <color rgb="FF8018C0"/>
      <name val="Calibri"/>
      <family val="2"/>
      <charset val="204"/>
    </font>
    <font>
      <sz val="11"/>
      <color rgb="FF8018C0"/>
      <name val="Arial Unicode MS"/>
      <family val="2"/>
      <charset val="128"/>
    </font>
    <font>
      <sz val="11"/>
      <color rgb="FF8018C0"/>
      <name val="Calibri"/>
      <family val="2"/>
      <charset val="204"/>
    </font>
    <font>
      <sz val="11"/>
      <color rgb="FF665000"/>
      <name val="Calibri"/>
      <family val="2"/>
      <charset val="204"/>
      <scheme val="minor"/>
    </font>
    <font>
      <sz val="11"/>
      <color rgb="FF66709A"/>
      <name val="Calibri"/>
      <family val="2"/>
      <charset val="204"/>
      <scheme val="minor"/>
    </font>
  </fonts>
  <fills count="6">
    <fill>
      <patternFill patternType="none"/>
    </fill>
    <fill>
      <patternFill patternType="gray125"/>
    </fill>
    <fill>
      <patternFill patternType="solid">
        <fgColor theme="2" tint="-9.9978637043366805E-2"/>
        <bgColor indexed="64"/>
      </patternFill>
    </fill>
    <fill>
      <patternFill patternType="solid">
        <fgColor theme="1"/>
        <bgColor indexed="64"/>
      </patternFill>
    </fill>
    <fill>
      <patternFill patternType="solid">
        <fgColor theme="0" tint="-0.14996795556505021"/>
        <bgColor indexed="64"/>
      </patternFill>
    </fill>
    <fill>
      <patternFill patternType="solid">
        <fgColor theme="3" tint="0.79998168889431442"/>
        <bgColor indexed="64"/>
      </patternFill>
    </fill>
  </fills>
  <borders count="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thin">
        <color theme="0" tint="-0.499984740745262"/>
      </bottom>
      <diagonal/>
    </border>
    <border>
      <left/>
      <right style="medium">
        <color indexed="64"/>
      </right>
      <top/>
      <bottom/>
      <diagonal/>
    </border>
  </borders>
  <cellStyleXfs count="6">
    <xf numFmtId="0" fontId="0" fillId="0" borderId="0">
      <alignment vertical="top"/>
    </xf>
    <xf numFmtId="0" fontId="12" fillId="0" borderId="1" applyNumberFormat="0" applyFill="0" applyProtection="0"/>
    <xf numFmtId="0" fontId="13" fillId="0" borderId="2" applyNumberFormat="0" applyFill="0" applyProtection="0"/>
    <xf numFmtId="0" fontId="14" fillId="0" borderId="3" applyNumberFormat="0" applyFill="0" applyProtection="0"/>
    <xf numFmtId="49" fontId="17" fillId="5" borderId="4">
      <alignment vertical="top" wrapText="1"/>
    </xf>
    <xf numFmtId="49" fontId="16" fillId="4" borderId="4">
      <alignment vertical="top"/>
    </xf>
  </cellStyleXfs>
  <cellXfs count="91">
    <xf numFmtId="0" fontId="0" fillId="0" borderId="0" xfId="0">
      <alignment vertical="top"/>
    </xf>
    <xf numFmtId="0" fontId="2" fillId="2" borderId="5" xfId="0" applyFont="1" applyFill="1" applyBorder="1" applyAlignment="1" applyProtection="1">
      <alignment vertical="top"/>
      <protection locked="0"/>
    </xf>
    <xf numFmtId="0" fontId="2" fillId="2" borderId="0" xfId="0" applyFont="1" applyFill="1" applyAlignment="1" applyProtection="1">
      <alignment vertical="top"/>
      <protection locked="0"/>
    </xf>
    <xf numFmtId="49" fontId="18" fillId="2" borderId="0" xfId="0" applyNumberFormat="1" applyFont="1" applyFill="1" applyAlignment="1" applyProtection="1">
      <alignment vertical="top"/>
      <protection locked="0"/>
    </xf>
    <xf numFmtId="49" fontId="3" fillId="2" borderId="0" xfId="0" applyNumberFormat="1" applyFont="1" applyFill="1" applyAlignment="1" applyProtection="1">
      <alignment vertical="top"/>
      <protection locked="0"/>
    </xf>
    <xf numFmtId="49" fontId="5" fillId="2" borderId="0" xfId="0" applyNumberFormat="1" applyFont="1" applyFill="1" applyAlignment="1" applyProtection="1">
      <alignment vertical="top"/>
      <protection locked="0"/>
    </xf>
    <xf numFmtId="49" fontId="7" fillId="2" borderId="0" xfId="0" applyNumberFormat="1" applyFont="1" applyFill="1" applyAlignment="1" applyProtection="1">
      <alignment vertical="top"/>
      <protection locked="0"/>
    </xf>
    <xf numFmtId="49" fontId="9" fillId="2" borderId="0" xfId="0" applyNumberFormat="1" applyFont="1" applyFill="1" applyAlignment="1" applyProtection="1">
      <alignment vertical="top"/>
      <protection locked="0"/>
    </xf>
    <xf numFmtId="0" fontId="1" fillId="2" borderId="0" xfId="0" applyFont="1" applyFill="1" applyAlignment="1" applyProtection="1">
      <alignment vertical="top"/>
      <protection locked="0"/>
    </xf>
    <xf numFmtId="0" fontId="15" fillId="0" borderId="5" xfId="0" applyFont="1" applyFill="1" applyBorder="1" applyAlignment="1" applyProtection="1">
      <alignment vertical="top" wrapText="1"/>
      <protection locked="0"/>
    </xf>
    <xf numFmtId="0" fontId="0" fillId="0" borderId="0" xfId="0" applyFont="1" applyFill="1" applyAlignment="1" applyProtection="1">
      <alignment vertical="top" wrapText="1"/>
      <protection locked="0"/>
    </xf>
    <xf numFmtId="0" fontId="12" fillId="0" borderId="1" xfId="1" applyProtection="1">
      <protection locked="0"/>
    </xf>
    <xf numFmtId="0" fontId="11" fillId="3" borderId="0" xfId="0" applyFont="1" applyFill="1" applyAlignment="1" applyProtection="1">
      <alignment vertical="top" wrapText="1"/>
      <protection locked="0"/>
    </xf>
    <xf numFmtId="0" fontId="0" fillId="3" borderId="0" xfId="0" applyFill="1" applyAlignment="1" applyProtection="1">
      <alignment vertical="top" wrapText="1"/>
      <protection locked="0"/>
    </xf>
    <xf numFmtId="0" fontId="0" fillId="0" borderId="0" xfId="0" applyAlignment="1" applyProtection="1">
      <alignment vertical="top" wrapText="1"/>
      <protection locked="0"/>
    </xf>
    <xf numFmtId="49" fontId="0" fillId="0" borderId="0" xfId="0" applyNumberFormat="1" applyFont="1" applyAlignment="1" applyProtection="1">
      <alignment vertical="top" wrapText="1"/>
      <protection locked="0"/>
    </xf>
    <xf numFmtId="49" fontId="4" fillId="0" borderId="0" xfId="0" applyNumberFormat="1" applyFont="1" applyAlignment="1" applyProtection="1">
      <alignment vertical="top" wrapText="1"/>
      <protection locked="0"/>
    </xf>
    <xf numFmtId="49" fontId="6" fillId="0" borderId="0" xfId="0" applyNumberFormat="1" applyFont="1" applyAlignment="1" applyProtection="1">
      <alignment vertical="top" wrapText="1"/>
      <protection locked="0"/>
    </xf>
    <xf numFmtId="49" fontId="8" fillId="0" borderId="0" xfId="0" applyNumberFormat="1" applyFont="1" applyAlignment="1" applyProtection="1">
      <alignment vertical="top" wrapText="1"/>
      <protection locked="0"/>
    </xf>
    <xf numFmtId="49" fontId="10" fillId="0" borderId="0" xfId="0" applyNumberFormat="1" applyFont="1" applyAlignment="1" applyProtection="1">
      <alignment vertical="top" wrapText="1"/>
      <protection locked="0"/>
    </xf>
    <xf numFmtId="0" fontId="0" fillId="0" borderId="0" xfId="0" applyFill="1" applyAlignment="1" applyProtection="1">
      <alignment vertical="top" wrapText="1"/>
      <protection locked="0"/>
    </xf>
    <xf numFmtId="49" fontId="0" fillId="0" borderId="0" xfId="0" applyNumberFormat="1" applyFont="1" applyFill="1" applyAlignment="1" applyProtection="1">
      <alignment vertical="top" wrapText="1"/>
      <protection locked="0"/>
    </xf>
    <xf numFmtId="49" fontId="4" fillId="0" borderId="0" xfId="0" applyNumberFormat="1" applyFont="1" applyFill="1" applyAlignment="1" applyProtection="1">
      <alignment vertical="top" wrapText="1"/>
      <protection locked="0"/>
    </xf>
    <xf numFmtId="49" fontId="6" fillId="0" borderId="0" xfId="0" applyNumberFormat="1" applyFont="1" applyFill="1" applyAlignment="1" applyProtection="1">
      <alignment vertical="top" wrapText="1"/>
      <protection locked="0"/>
    </xf>
    <xf numFmtId="49" fontId="8" fillId="0" borderId="0" xfId="0" applyNumberFormat="1" applyFont="1" applyFill="1" applyAlignment="1" applyProtection="1">
      <alignment vertical="top" wrapText="1"/>
      <protection locked="0"/>
    </xf>
    <xf numFmtId="49" fontId="10" fillId="0" borderId="0" xfId="0" applyNumberFormat="1" applyFont="1" applyFill="1" applyAlignment="1" applyProtection="1">
      <alignment vertical="top" wrapText="1"/>
      <protection locked="0"/>
    </xf>
    <xf numFmtId="0" fontId="15" fillId="0" borderId="5" xfId="0" applyFont="1" applyBorder="1" applyAlignment="1" applyProtection="1">
      <alignment vertical="top" wrapText="1"/>
      <protection locked="0"/>
    </xf>
    <xf numFmtId="0" fontId="2" fillId="2" borderId="0" xfId="0" applyFont="1" applyFill="1" applyAlignment="1" applyProtection="1">
      <alignment vertical="top"/>
    </xf>
    <xf numFmtId="0" fontId="0" fillId="0" borderId="0" xfId="0" applyFont="1" applyFill="1" applyAlignment="1" applyProtection="1">
      <alignment vertical="top" wrapText="1"/>
    </xf>
    <xf numFmtId="0" fontId="12" fillId="0" borderId="1" xfId="1" applyProtection="1"/>
    <xf numFmtId="0" fontId="0" fillId="0" borderId="0" xfId="0" applyAlignment="1" applyProtection="1">
      <alignment vertical="top" wrapText="1"/>
    </xf>
    <xf numFmtId="0" fontId="0" fillId="0" borderId="0" xfId="0" applyFill="1" applyAlignment="1" applyProtection="1">
      <alignment vertical="top" wrapText="1"/>
    </xf>
    <xf numFmtId="0" fontId="0" fillId="0" borderId="0" xfId="0" applyFont="1" applyAlignment="1" applyProtection="1">
      <alignment vertical="top" wrapText="1"/>
    </xf>
    <xf numFmtId="0" fontId="19" fillId="0" borderId="0" xfId="0" applyFont="1" applyAlignment="1" applyProtection="1">
      <alignment wrapText="1"/>
      <protection locked="0"/>
    </xf>
    <xf numFmtId="0" fontId="20" fillId="0" borderId="0" xfId="0" applyFont="1" applyAlignment="1" applyProtection="1">
      <alignment wrapText="1"/>
      <protection locked="0"/>
    </xf>
    <xf numFmtId="0" fontId="21" fillId="0" borderId="0" xfId="0" applyFont="1" applyAlignment="1" applyProtection="1">
      <alignment wrapText="1"/>
      <protection locked="0"/>
    </xf>
    <xf numFmtId="0" fontId="22" fillId="0" borderId="0" xfId="0" applyFont="1" applyAlignment="1" applyProtection="1">
      <alignment wrapText="1"/>
      <protection locked="0"/>
    </xf>
    <xf numFmtId="0" fontId="23" fillId="0" borderId="0" xfId="0" applyFont="1" applyAlignment="1" applyProtection="1">
      <alignment wrapText="1"/>
      <protection locked="0"/>
    </xf>
    <xf numFmtId="0" fontId="26" fillId="0" borderId="0" xfId="0" applyFont="1" applyAlignment="1" applyProtection="1">
      <alignment wrapText="1"/>
      <protection locked="0"/>
    </xf>
    <xf numFmtId="0" fontId="24" fillId="0" borderId="0" xfId="0" applyFont="1" applyAlignment="1" applyProtection="1">
      <alignment wrapText="1"/>
      <protection locked="0"/>
    </xf>
    <xf numFmtId="0" fontId="27" fillId="0" borderId="0" xfId="0" applyFont="1" applyAlignment="1" applyProtection="1">
      <alignment wrapText="1"/>
      <protection locked="0"/>
    </xf>
    <xf numFmtId="0" fontId="25" fillId="0" borderId="0" xfId="0" applyFont="1" applyAlignment="1" applyProtection="1">
      <alignment wrapText="1"/>
      <protection locked="0"/>
    </xf>
    <xf numFmtId="0" fontId="19" fillId="0" borderId="0" xfId="0" applyFont="1" applyAlignment="1">
      <alignment vertical="top" wrapText="1"/>
    </xf>
    <xf numFmtId="0" fontId="20" fillId="0" borderId="0" xfId="0" applyFont="1" applyAlignment="1">
      <alignment vertical="top" wrapText="1"/>
    </xf>
    <xf numFmtId="0" fontId="21" fillId="0" borderId="0" xfId="0" applyFont="1" applyAlignment="1">
      <alignment vertical="top" wrapText="1"/>
    </xf>
    <xf numFmtId="0" fontId="22" fillId="0" borderId="0" xfId="0" applyFont="1" applyAlignment="1">
      <alignment vertical="top" wrapText="1"/>
    </xf>
    <xf numFmtId="0" fontId="23" fillId="0" borderId="0" xfId="0" applyFont="1" applyAlignment="1">
      <alignment vertical="top" wrapText="1"/>
    </xf>
    <xf numFmtId="0" fontId="26" fillId="0" borderId="0" xfId="0" applyFont="1" applyAlignment="1">
      <alignment vertical="top" wrapText="1"/>
    </xf>
    <xf numFmtId="0" fontId="24" fillId="0" borderId="0" xfId="0" applyFont="1" applyAlignment="1">
      <alignment vertical="top" wrapText="1"/>
    </xf>
    <xf numFmtId="0" fontId="27" fillId="0" borderId="0" xfId="0" applyFont="1" applyAlignment="1">
      <alignment vertical="top" wrapText="1"/>
    </xf>
    <xf numFmtId="0" fontId="25" fillId="0" borderId="0" xfId="0" applyFont="1" applyAlignment="1">
      <alignment vertical="top" wrapText="1"/>
    </xf>
    <xf numFmtId="0" fontId="13" fillId="0" borderId="2" xfId="2" applyAlignment="1" applyProtection="1"/>
    <xf numFmtId="49" fontId="13" fillId="0" borderId="2" xfId="2" applyNumberFormat="1" applyAlignment="1" applyProtection="1">
      <protection locked="0"/>
    </xf>
    <xf numFmtId="49" fontId="17" fillId="5" borderId="4" xfId="4" applyAlignment="1">
      <alignment vertical="top"/>
    </xf>
    <xf numFmtId="0" fontId="13" fillId="0" borderId="2" xfId="2" applyAlignment="1"/>
    <xf numFmtId="0" fontId="14" fillId="0" borderId="3" xfId="3" applyAlignment="1"/>
    <xf numFmtId="0" fontId="0" fillId="0" borderId="0" xfId="0" applyAlignment="1">
      <alignment vertical="top"/>
    </xf>
    <xf numFmtId="0" fontId="13" fillId="0" borderId="2" xfId="2" applyAlignment="1" applyProtection="1">
      <protection locked="0"/>
    </xf>
    <xf numFmtId="49" fontId="16" fillId="4" borderId="4" xfId="5" applyAlignment="1">
      <alignment vertical="top"/>
    </xf>
    <xf numFmtId="0" fontId="0" fillId="0" borderId="0" xfId="0" applyFont="1" applyAlignment="1">
      <alignment vertical="top" wrapText="1"/>
    </xf>
    <xf numFmtId="0" fontId="0" fillId="0" borderId="0" xfId="0" applyFont="1" applyAlignment="1">
      <alignment vertical="top"/>
    </xf>
    <xf numFmtId="49" fontId="19" fillId="0" borderId="0" xfId="0" applyNumberFormat="1" applyFont="1" applyAlignment="1">
      <alignment vertical="top" wrapText="1"/>
    </xf>
    <xf numFmtId="49" fontId="20" fillId="0" borderId="0" xfId="0" applyNumberFormat="1" applyFont="1" applyAlignment="1">
      <alignment vertical="top" wrapText="1"/>
    </xf>
    <xf numFmtId="49" fontId="21" fillId="0" borderId="0" xfId="0" applyNumberFormat="1" applyFont="1" applyAlignment="1">
      <alignment vertical="top" wrapText="1"/>
    </xf>
    <xf numFmtId="49" fontId="22" fillId="0" borderId="0" xfId="0" applyNumberFormat="1" applyFont="1" applyAlignment="1">
      <alignment vertical="top" wrapText="1"/>
    </xf>
    <xf numFmtId="49" fontId="23" fillId="0" borderId="0" xfId="0" applyNumberFormat="1" applyFont="1" applyAlignment="1">
      <alignment vertical="top" wrapText="1"/>
    </xf>
    <xf numFmtId="49" fontId="12" fillId="0" borderId="1" xfId="1" applyNumberFormat="1" applyProtection="1">
      <protection locked="0"/>
    </xf>
    <xf numFmtId="49" fontId="17" fillId="5" borderId="4" xfId="4" applyNumberFormat="1" applyAlignment="1">
      <alignment vertical="top"/>
    </xf>
    <xf numFmtId="49" fontId="13" fillId="0" borderId="2" xfId="2" applyNumberFormat="1" applyAlignment="1"/>
    <xf numFmtId="49" fontId="16" fillId="4" borderId="4" xfId="5" applyNumberFormat="1" applyAlignment="1">
      <alignment vertical="top"/>
    </xf>
    <xf numFmtId="49" fontId="14" fillId="0" borderId="3" xfId="3" applyNumberFormat="1" applyAlignment="1"/>
    <xf numFmtId="49" fontId="26" fillId="0" borderId="0" xfId="0" applyNumberFormat="1" applyFont="1" applyAlignment="1">
      <alignment vertical="top" wrapText="1"/>
    </xf>
    <xf numFmtId="49" fontId="24" fillId="0" borderId="0" xfId="0" applyNumberFormat="1" applyFont="1" applyAlignment="1">
      <alignment vertical="top" wrapText="1"/>
    </xf>
    <xf numFmtId="49" fontId="27" fillId="0" borderId="0" xfId="0" applyNumberFormat="1" applyFont="1" applyAlignment="1">
      <alignment vertical="top" wrapText="1"/>
    </xf>
    <xf numFmtId="49" fontId="25" fillId="0" borderId="0" xfId="0" applyNumberFormat="1" applyFont="1" applyAlignment="1">
      <alignment vertical="top" wrapText="1"/>
    </xf>
    <xf numFmtId="0" fontId="21" fillId="0" borderId="0" xfId="0" quotePrefix="1" applyFont="1" applyAlignment="1">
      <alignment vertical="top" wrapText="1"/>
    </xf>
    <xf numFmtId="49" fontId="27" fillId="0" borderId="0" xfId="0" applyNumberFormat="1" applyFont="1" applyAlignment="1" applyProtection="1">
      <alignment vertical="top" wrapText="1"/>
      <protection locked="0"/>
    </xf>
    <xf numFmtId="49" fontId="35" fillId="0" borderId="0" xfId="0" applyNumberFormat="1" applyFont="1" applyAlignment="1" applyProtection="1">
      <alignment vertical="top" wrapText="1"/>
      <protection locked="0"/>
    </xf>
    <xf numFmtId="0" fontId="1" fillId="0" borderId="0" xfId="0" applyFont="1" applyAlignment="1">
      <alignment vertical="top"/>
    </xf>
    <xf numFmtId="0" fontId="19" fillId="0" borderId="0" xfId="0" applyFont="1">
      <alignment vertical="top"/>
    </xf>
    <xf numFmtId="0" fontId="20" fillId="0" borderId="0" xfId="0" applyFont="1">
      <alignment vertical="top"/>
    </xf>
    <xf numFmtId="0" fontId="21" fillId="0" borderId="0" xfId="0" applyFont="1">
      <alignment vertical="top"/>
    </xf>
    <xf numFmtId="0" fontId="22" fillId="0" borderId="0" xfId="0" applyFont="1">
      <alignment vertical="top"/>
    </xf>
    <xf numFmtId="0" fontId="23" fillId="0" borderId="0" xfId="0" applyFont="1">
      <alignment vertical="top"/>
    </xf>
    <xf numFmtId="0" fontId="26" fillId="0" borderId="0" xfId="0" applyFont="1">
      <alignment vertical="top"/>
    </xf>
    <xf numFmtId="0" fontId="24" fillId="0" borderId="0" xfId="0" applyFont="1">
      <alignment vertical="top"/>
    </xf>
    <xf numFmtId="0" fontId="27" fillId="0" borderId="0" xfId="0" applyFont="1">
      <alignment vertical="top"/>
    </xf>
    <xf numFmtId="0" fontId="25" fillId="0" borderId="0" xfId="0" applyFont="1">
      <alignment vertical="top"/>
    </xf>
    <xf numFmtId="0" fontId="36" fillId="0" borderId="0" xfId="0" applyFont="1">
      <alignment vertical="top"/>
    </xf>
    <xf numFmtId="0" fontId="13" fillId="0" borderId="2" xfId="2"/>
    <xf numFmtId="0" fontId="36" fillId="0" borderId="0" xfId="0" applyFont="1" applyAlignment="1">
      <alignment vertical="top" wrapText="1"/>
    </xf>
  </cellXfs>
  <cellStyles count="6">
    <cellStyle name="Заголовок 1" xfId="1" builtinId="16" customBuiltin="1"/>
    <cellStyle name="Заголовок 2" xfId="2" builtinId="17" customBuiltin="1"/>
    <cellStyle name="Заголовок 3" xfId="3" builtinId="18" customBuiltin="1"/>
    <cellStyle name="Обычный" xfId="0" builtinId="0" customBuiltin="1"/>
    <cellStyle name="Уточнение1" xfId="4"/>
    <cellStyle name="Уточнение2" xfId="5"/>
  </cellStyles>
  <dxfs count="64">
    <dxf>
      <font>
        <strike val="0"/>
        <outline val="0"/>
        <shadow val="0"/>
        <u val="none"/>
        <vertAlign val="baseline"/>
        <sz val="11"/>
        <color auto="1"/>
        <name val="Calibri"/>
        <scheme val="minor"/>
      </font>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8018C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
      <fill>
        <patternFill patternType="solid">
          <fgColor indexed="64"/>
          <bgColor theme="1"/>
        </patternFill>
      </fill>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66500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rgb="FF187820"/>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9" tint="-0.499984740745262"/>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6"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5" tint="-0.249977111117893"/>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3" tint="0.39997558519241921"/>
        <name val="Calibri"/>
        <scheme val="minor"/>
      </font>
      <numFmt numFmtId="30" formatCode="@"/>
      <alignment horizontal="general" vertical="top" textRotation="0" wrapText="1" indent="0" justifyLastLine="0" shrinkToFit="0" readingOrder="0"/>
      <protection locked="0" hidden="0"/>
    </dxf>
    <dxf>
      <font>
        <b val="0"/>
        <i val="0"/>
        <strike val="0"/>
        <condense val="0"/>
        <extend val="0"/>
        <outline val="0"/>
        <shadow val="0"/>
        <u val="none"/>
        <vertAlign val="baseline"/>
        <sz val="11"/>
        <color theme="1"/>
        <name val="Calibri"/>
        <scheme val="minor"/>
      </font>
      <numFmt numFmtId="30" formatCode="@"/>
      <alignment horizontal="general" vertical="top" textRotation="0" wrapText="1" indent="0" justifyLastLine="0" shrinkToFit="0" readingOrder="0"/>
      <protection locked="0" hidden="0"/>
    </dxf>
    <dxf>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top" textRotation="0" wrapText="1" indent="0" justifyLastLine="0" shrinkToFit="0" readingOrder="0"/>
      <protection locked="1" hidden="0"/>
    </dxf>
    <dxf>
      <font>
        <b val="0"/>
        <i val="0"/>
        <strike val="0"/>
        <condense val="0"/>
        <extend val="0"/>
        <outline val="0"/>
        <shadow val="0"/>
        <u val="none"/>
        <vertAlign val="baseline"/>
        <sz val="8"/>
        <color theme="1"/>
        <name val="Calibri"/>
        <scheme val="minor"/>
      </font>
      <fill>
        <patternFill patternType="none">
          <fgColor indexed="64"/>
          <bgColor indexed="65"/>
        </patternFill>
      </fill>
      <alignment horizontal="general" vertical="top" textRotation="0" wrapText="1" indent="0" justifyLastLine="0" shrinkToFit="0" readingOrder="0"/>
      <protection locked="0" hidden="0"/>
    </dxf>
    <dxf>
      <protection locked="0" hidden="0"/>
    </dxf>
    <dxf>
      <protection locked="0" hidden="0"/>
    </dxf>
    <dxf>
      <numFmt numFmtId="164" formatCode="\•\ \ \ @"/>
    </dxf>
  </dxfs>
  <tableStyles count="0" defaultTableStyle="TableStyleMedium2" defaultPivotStyle="PivotStyleLight16"/>
  <colors>
    <mruColors>
      <color rgb="FFFFCC99"/>
      <color rgb="FFFF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Chapter1" displayName="Chapter1" ref="A1:R472" totalsRowShown="0" headerRowDxfId="62" dataDxfId="61">
  <autoFilter ref="A1:R472"/>
  <tableColumns count="18">
    <tableColumn id="1" name="TxtStyle" dataDxfId="60"/>
    <tableColumn id="2" name="TxtStyleN" dataDxfId="59">
      <calculatedColumnFormula>IF(ISBLANK(A2),0,INDEX(txtstylestab[],MATCH(A2,txtstylestab[style_Name],0),1))</calculatedColumnFormula>
    </tableColumn>
    <tableColumn id="3" name="C1" dataDxfId="58">
      <calculatedColumnFormula>IF(B2=1,C1+1,C1)</calculatedColumnFormula>
    </tableColumn>
    <tableColumn id="4" name="C2" dataDxfId="57">
      <calculatedColumnFormula>IF(B2=1,0,IF(B2=2,D1+1,IF(AND(B2=3,D1=0),1,D1)))</calculatedColumnFormula>
    </tableColumn>
    <tableColumn id="5" name="C3" dataDxfId="56">
      <calculatedColumnFormula>IF(OR(B2=1,B2=2),0,IF(B2=3,E1+1,E1))</calculatedColumnFormula>
    </tableColumn>
    <tableColumn id="6" name="LstNum" dataDxfId="55">
      <calculatedColumnFormula>IF(OR(B2=1,B2=2,B2=3),TEXT(C2,"#")&amp;".","")&amp;IF(OR(B2=2,B2=3),TEXT(D2,"#")&amp;".","")&amp;IF(B2=3,TEXT(E2,"#")&amp;".","")</calculatedColumnFormula>
    </tableColumn>
    <tableColumn id="7" name="Russian" dataDxfId="54"/>
    <tableColumn id="8" name="English" dataDxfId="53"/>
    <tableColumn id="9" name="French" dataDxfId="52"/>
    <tableColumn id="10" name="German" dataDxfId="51"/>
    <tableColumn id="11" name="Spanish" dataDxfId="50"/>
    <tableColumn id="12" name="Chinese" dataDxfId="49"/>
    <tableColumn id="17" name="Pinyin" dataDxfId="48"/>
    <tableColumn id="13" name="Japanese" dataDxfId="47"/>
    <tableColumn id="18" name="JapanTranscription" dataDxfId="46"/>
    <tableColumn id="14" name="Korean" dataDxfId="45"/>
    <tableColumn id="15" name="Vietnamese" dataDxfId="44"/>
    <tableColumn id="16" name="Separator" dataDxfId="43"/>
  </tableColumns>
  <tableStyleInfo name="TableStyleLight8" showFirstColumn="0" showLastColumn="0" showRowStripes="1" showColumnStripes="0"/>
</table>
</file>

<file path=xl/tables/table2.xml><?xml version="1.0" encoding="utf-8"?>
<table xmlns="http://schemas.openxmlformats.org/spreadsheetml/2006/main" id="2" name="Chapter2" displayName="Chapter2" ref="A1:R246" totalsRowShown="0" headerRowDxfId="41" dataDxfId="40">
  <autoFilter ref="A1:R246"/>
  <tableColumns count="18">
    <tableColumn id="1" name="TxtStyle" dataDxfId="39"/>
    <tableColumn id="2" name="TxtStyleN" dataDxfId="38">
      <calculatedColumnFormula>IF(ISBLANK(A2),0,INDEX(txtstylestab[],MATCH(A2,txtstylestab[style_Name],0),1))</calculatedColumnFormula>
    </tableColumn>
    <tableColumn id="3" name="C1" dataDxfId="37">
      <calculatedColumnFormula>IF(B2=1,C1+1,C1)</calculatedColumnFormula>
    </tableColumn>
    <tableColumn id="4" name="C2" dataDxfId="36">
      <calculatedColumnFormula>IF(B2=1,0,IF(B2=2,D1+1,IF(AND(B2=3,D1=0),1,D1)))</calculatedColumnFormula>
    </tableColumn>
    <tableColumn id="5" name="C3" dataDxfId="35">
      <calculatedColumnFormula>IF(OR(B2=1,B2=2),0,IF(B2=3,E1+1,E1))</calculatedColumnFormula>
    </tableColumn>
    <tableColumn id="6" name="LstNum" dataDxfId="34">
      <calculatedColumnFormula>IF(OR(B2=1,B2=2,B2=3),TEXT(C2,"#")&amp;".","")&amp;IF(OR(B2=2,B2=3),TEXT(D2,"#")&amp;".","")&amp;IF(B2=3,TEXT(E2,"#")&amp;".","")</calculatedColumnFormula>
    </tableColumn>
    <tableColumn id="7" name="Russian" dataDxfId="33"/>
    <tableColumn id="8" name="English" dataDxfId="32"/>
    <tableColumn id="9" name="French" dataDxfId="31"/>
    <tableColumn id="10" name="German" dataDxfId="30"/>
    <tableColumn id="11" name="Spanish" dataDxfId="29"/>
    <tableColumn id="12" name="Chinese" dataDxfId="28"/>
    <tableColumn id="17" name="Pinyin" dataDxfId="27"/>
    <tableColumn id="13" name="Japanese" dataDxfId="26"/>
    <tableColumn id="18" name="JapanTranscription" dataDxfId="25"/>
    <tableColumn id="14" name="Korean" dataDxfId="24"/>
    <tableColumn id="15" name="Vietnamese" dataDxfId="23"/>
    <tableColumn id="16" name="Separator" dataDxfId="22"/>
  </tableColumns>
  <tableStyleInfo name="TableStyleLight8" showFirstColumn="0" showLastColumn="0" showRowStripes="1" showColumnStripes="0"/>
</table>
</file>

<file path=xl/tables/table3.xml><?xml version="1.0" encoding="utf-8"?>
<table xmlns="http://schemas.openxmlformats.org/spreadsheetml/2006/main" id="4" name="Chapter3" displayName="Chapter3" ref="A1:R190" totalsRowShown="0" headerRowDxfId="20" dataDxfId="19">
  <autoFilter ref="A1:R190"/>
  <tableColumns count="18">
    <tableColumn id="1" name="TxtStyle" dataDxfId="18"/>
    <tableColumn id="2" name="TxtStyleN" dataDxfId="17">
      <calculatedColumnFormula>IF(ISBLANK(A2),0,INDEX(txtstylestab[],MATCH(A2,txtstylestab[style_Name],0),1))</calculatedColumnFormula>
    </tableColumn>
    <tableColumn id="3" name="C1" dataDxfId="16">
      <calculatedColumnFormula>IF(B2=1,C1+1,C1)</calculatedColumnFormula>
    </tableColumn>
    <tableColumn id="4" name="C2" dataDxfId="15">
      <calculatedColumnFormula>IF(B2=1,0,IF(B2=2,D1+1,IF(AND(B2=3,D1=0),1,D1)))</calculatedColumnFormula>
    </tableColumn>
    <tableColumn id="5" name="C3" dataDxfId="14">
      <calculatedColumnFormula>IF(OR(B2=1,B2=2),0,IF(B2=3,E1+1,E1))</calculatedColumnFormula>
    </tableColumn>
    <tableColumn id="6" name="LstNum" dataDxfId="13">
      <calculatedColumnFormula>IF(OR(B2=1,B2=2,B2=3),TEXT(C2,"#")&amp;".","")&amp;IF(OR(B2=2,B2=3),TEXT(D2,"#")&amp;".","")&amp;IF(B2=3,TEXT(E2,"#")&amp;".","")</calculatedColumnFormula>
    </tableColumn>
    <tableColumn id="7" name="Russian" dataDxfId="12"/>
    <tableColumn id="8" name="English" dataDxfId="11"/>
    <tableColumn id="9" name="French" dataDxfId="10"/>
    <tableColumn id="10" name="German" dataDxfId="9"/>
    <tableColumn id="11" name="Spanish" dataDxfId="8"/>
    <tableColumn id="12" name="Chinese" dataDxfId="7"/>
    <tableColumn id="17" name="Pinyin" dataDxfId="6"/>
    <tableColumn id="13" name="Japanese" dataDxfId="5"/>
    <tableColumn id="18" name="JapanTranscription" dataDxfId="4"/>
    <tableColumn id="14" name="Korean" dataDxfId="3"/>
    <tableColumn id="15" name="Vietnamese" dataDxfId="2"/>
    <tableColumn id="16" name="Separator" dataDxfId="1"/>
  </tableColumns>
  <tableStyleInfo name="TableStyleLight8" showFirstColumn="0" showLastColumn="0" showRowStripes="1" showColumnStripes="0"/>
</table>
</file>

<file path=xl/tables/table4.xml><?xml version="1.0" encoding="utf-8"?>
<table xmlns="http://schemas.openxmlformats.org/spreadsheetml/2006/main" id="3" name="txtstylestab" displayName="txtstylestab" ref="A1:B10" totalsRowShown="0">
  <autoFilter ref="A1:B10"/>
  <tableColumns count="2">
    <tableColumn id="1" name="style_ID"/>
    <tableColumn id="2" name="style_Name"/>
  </tableColumns>
  <tableStyleInfo name="TableStyleLight8" showFirstColumn="0" showLastColumn="0" showRowStripes="1" showColumnStripes="0"/>
</table>
</file>

<file path=xl/tables/table5.xml><?xml version="1.0" encoding="utf-8"?>
<table xmlns="http://schemas.openxmlformats.org/spreadsheetml/2006/main" id="5" name="colorstab" displayName="colorstab" ref="A14:F25" totalsRowShown="0">
  <autoFilter ref="A14:F25"/>
  <tableColumns count="6">
    <tableColumn id="1" name="color_ID"/>
    <tableColumn id="2" name="language_Name" dataDxfId="0"/>
    <tableColumn id="3" name="partName"/>
    <tableColumn id="4" name="R"/>
    <tableColumn id="5" name="G"/>
    <tableColumn id="6" name="B"/>
  </tableColumns>
  <tableStyleInfo name="TableStyleLight8"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outlinePr summaryBelow="0" summaryRight="0"/>
  </sheetPr>
  <dimension ref="A1:R2440"/>
  <sheetViews>
    <sheetView tabSelected="1" zoomScale="90" zoomScaleNormal="90" workbookViewId="0">
      <pane ySplit="1" topLeftCell="A459" activePane="bottomLeft" state="frozen"/>
      <selection pane="bottomLeft" activeCell="M236" sqref="M236"/>
    </sheetView>
  </sheetViews>
  <sheetFormatPr defaultRowHeight="15" x14ac:dyDescent="0.25"/>
  <cols>
    <col min="1" max="1" width="13.28515625" style="26" customWidth="1"/>
    <col min="2" max="2" width="12.140625" style="32" hidden="1" customWidth="1"/>
    <col min="3" max="5" width="9.140625" style="32" hidden="1" customWidth="1"/>
    <col min="6" max="6" width="8.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1</v>
      </c>
      <c r="D2" s="28">
        <v>0</v>
      </c>
      <c r="E2" s="28">
        <v>0</v>
      </c>
      <c r="F2" s="29" t="str">
        <f>IF(OR(B2=1,B2=2,B2=3),TEXT(C2,"#")&amp;".","")&amp;IF(OR(B2=2,B2=3),TEXT(D2,"#")&amp;".","")&amp;IF(B2=3,TEXT(E2,"#")&amp;".","")</f>
        <v>1.</v>
      </c>
      <c r="G2" s="66" t="s">
        <v>17</v>
      </c>
      <c r="H2" s="66"/>
      <c r="I2" s="66"/>
      <c r="J2" s="66"/>
      <c r="K2" s="66"/>
      <c r="L2" s="66"/>
      <c r="M2" s="66"/>
      <c r="N2" s="66"/>
      <c r="O2" s="66"/>
      <c r="P2" s="66"/>
      <c r="Q2" s="66"/>
      <c r="R2" s="12"/>
    </row>
    <row r="3" spans="1:18" ht="15.75" thickTop="1" x14ac:dyDescent="0.25">
      <c r="A3" s="9" t="s">
        <v>13</v>
      </c>
      <c r="B3" s="28">
        <f>IF(ISBLANK(A3),0,INDEX(txtstylestab[],MATCH(A3,txtstylestab[style_Name],0),1))</f>
        <v>7</v>
      </c>
      <c r="C3" s="28">
        <f>IF(B3=1,C2+1,C2)</f>
        <v>1</v>
      </c>
      <c r="D3" s="28">
        <f>IF(B3=1,0,IF(B3=2,D2+1,IF(AND(B3=3,D2=0),1,D2)))</f>
        <v>0</v>
      </c>
      <c r="E3" s="28">
        <f>IF(OR(B3=1,B3=2),0,IF(B3=3,E2+1,E2))</f>
        <v>0</v>
      </c>
      <c r="F3" s="78" t="str">
        <f>IF(OR(B3=1,B3=2,B3=3),TEXT(C3,"#")&amp;".","")&amp;IF(OR(B3=2,B3=3),TEXT(D3,"#")&amp;".","")&amp;IF(B3=3,TEXT(E3,"#")&amp;".","")</f>
        <v/>
      </c>
      <c r="G3" s="78" t="s">
        <v>18</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1</v>
      </c>
      <c r="D4" s="28">
        <f t="shared" ref="D4:D67" si="1">IF(B4=1,0,IF(B4=2,D3+1,IF(AND(B4=3,D3=0),1,D3)))</f>
        <v>1</v>
      </c>
      <c r="E4" s="28">
        <f t="shared" ref="E4:E67" si="2">IF(OR(B4=1,B4=2),0,IF(B4=3,E3+1,E3))</f>
        <v>0</v>
      </c>
      <c r="F4" s="51" t="str">
        <f t="shared" ref="F4:F67" si="3">IF(OR(B4=1,B4=2,B4=3),TEXT(C4,"#")&amp;".","")&amp;IF(OR(B4=2,B4=3),TEXT(D4,"#")&amp;".","")&amp;IF(B4=3,TEXT(E4,"#")&amp;".","")</f>
        <v>1.1.</v>
      </c>
      <c r="G4" s="52" t="s">
        <v>2</v>
      </c>
      <c r="H4" s="52"/>
      <c r="I4" s="52"/>
      <c r="J4" s="52"/>
      <c r="K4" s="52"/>
      <c r="L4" s="52"/>
      <c r="M4" s="52"/>
      <c r="N4" s="52"/>
      <c r="O4" s="52"/>
      <c r="P4" s="52"/>
      <c r="Q4" s="52"/>
      <c r="R4" s="13"/>
    </row>
    <row r="5" spans="1:18" ht="15.75" thickTop="1" x14ac:dyDescent="0.25">
      <c r="A5" s="9" t="s">
        <v>22</v>
      </c>
      <c r="B5" s="28">
        <f>IF(ISBLANK(A5),0,INDEX(txtstylestab[],MATCH(A5,txtstylestab[style_Name],0),1))</f>
        <v>4</v>
      </c>
      <c r="C5" s="28">
        <f t="shared" si="0"/>
        <v>1</v>
      </c>
      <c r="D5" s="28">
        <f t="shared" si="1"/>
        <v>1</v>
      </c>
      <c r="E5" s="28">
        <f t="shared" si="2"/>
        <v>0</v>
      </c>
      <c r="F5" s="56" t="str">
        <f t="shared" si="3"/>
        <v/>
      </c>
      <c r="G5" s="67" t="s">
        <v>3</v>
      </c>
      <c r="H5" s="67"/>
      <c r="I5" s="67"/>
      <c r="J5" s="67"/>
      <c r="K5" s="67"/>
      <c r="L5" s="67"/>
      <c r="M5" s="67"/>
      <c r="N5" s="67"/>
      <c r="O5" s="67"/>
      <c r="P5" s="67"/>
      <c r="Q5" s="67"/>
      <c r="R5" s="13"/>
    </row>
    <row r="6" spans="1:18" x14ac:dyDescent="0.25">
      <c r="A6" s="9" t="s">
        <v>21</v>
      </c>
      <c r="B6" s="28">
        <f>IF(ISBLANK(A6),0,INDEX(txtstylestab[],MATCH(A6,txtstylestab[style_Name],0),1))</f>
        <v>0</v>
      </c>
      <c r="C6" s="28">
        <f t="shared" si="0"/>
        <v>1</v>
      </c>
      <c r="D6" s="28">
        <f t="shared" si="1"/>
        <v>1</v>
      </c>
      <c r="E6" s="28">
        <f t="shared" si="2"/>
        <v>0</v>
      </c>
      <c r="F6" s="59" t="str">
        <f t="shared" si="3"/>
        <v/>
      </c>
      <c r="G6" s="42" t="s">
        <v>82</v>
      </c>
      <c r="H6" s="43" t="s">
        <v>83</v>
      </c>
      <c r="I6" s="44" t="s">
        <v>84</v>
      </c>
      <c r="J6" s="45" t="s">
        <v>85</v>
      </c>
      <c r="K6" s="46" t="s">
        <v>86</v>
      </c>
      <c r="L6" s="47" t="s">
        <v>2331</v>
      </c>
      <c r="M6" s="48" t="s">
        <v>2332</v>
      </c>
      <c r="N6" s="49"/>
      <c r="O6" s="50" t="s">
        <v>3273</v>
      </c>
      <c r="P6" s="59"/>
      <c r="Q6" s="59"/>
      <c r="R6" s="13"/>
    </row>
    <row r="7" spans="1:18" ht="90" x14ac:dyDescent="0.25">
      <c r="A7" s="9" t="s">
        <v>21</v>
      </c>
      <c r="B7" s="28">
        <f>IF(ISBLANK(A7),0,INDEX(txtstylestab[],MATCH(A7,txtstylestab[style_Name],0),1))</f>
        <v>0</v>
      </c>
      <c r="C7" s="28">
        <f t="shared" si="0"/>
        <v>1</v>
      </c>
      <c r="D7" s="28">
        <f t="shared" si="1"/>
        <v>1</v>
      </c>
      <c r="E7" s="28">
        <f t="shared" si="2"/>
        <v>0</v>
      </c>
      <c r="F7" s="59" t="str">
        <f t="shared" si="3"/>
        <v/>
      </c>
      <c r="G7" s="42" t="s">
        <v>2152</v>
      </c>
      <c r="H7" s="43" t="s">
        <v>2215</v>
      </c>
      <c r="I7" s="44" t="s">
        <v>2234</v>
      </c>
      <c r="J7" s="45" t="s">
        <v>2153</v>
      </c>
      <c r="K7" s="46" t="s">
        <v>2154</v>
      </c>
      <c r="L7" s="47" t="s">
        <v>2333</v>
      </c>
      <c r="M7" s="48" t="s">
        <v>2334</v>
      </c>
      <c r="N7" s="49"/>
      <c r="O7" s="50" t="s">
        <v>3274</v>
      </c>
      <c r="P7" s="59"/>
      <c r="Q7" s="59"/>
      <c r="R7" s="13"/>
    </row>
    <row r="8" spans="1:18" ht="60" x14ac:dyDescent="0.25">
      <c r="A8" s="9" t="s">
        <v>21</v>
      </c>
      <c r="B8" s="28">
        <f>IF(ISBLANK(A8),0,INDEX(txtstylestab[],MATCH(A8,txtstylestab[style_Name],0),1))</f>
        <v>0</v>
      </c>
      <c r="C8" s="28">
        <f t="shared" si="0"/>
        <v>1</v>
      </c>
      <c r="D8" s="28">
        <f t="shared" si="1"/>
        <v>1</v>
      </c>
      <c r="E8" s="28">
        <f t="shared" si="2"/>
        <v>0</v>
      </c>
      <c r="F8" s="59" t="str">
        <f t="shared" si="3"/>
        <v/>
      </c>
      <c r="G8" s="42" t="s">
        <v>2165</v>
      </c>
      <c r="H8" s="43" t="s">
        <v>2166</v>
      </c>
      <c r="I8" s="44" t="s">
        <v>2167</v>
      </c>
      <c r="J8" s="45" t="s">
        <v>2168</v>
      </c>
      <c r="K8" s="46" t="s">
        <v>2169</v>
      </c>
      <c r="L8" s="47" t="s">
        <v>2335</v>
      </c>
      <c r="M8" s="48" t="s">
        <v>2336</v>
      </c>
      <c r="N8" s="49"/>
      <c r="O8" s="50" t="s">
        <v>3275</v>
      </c>
      <c r="P8" s="59"/>
      <c r="Q8" s="59"/>
      <c r="R8" s="13"/>
    </row>
    <row r="9" spans="1:18" ht="75" x14ac:dyDescent="0.25">
      <c r="A9" s="9" t="s">
        <v>21</v>
      </c>
      <c r="B9" s="28">
        <f>IF(ISBLANK(A9),0,INDEX(txtstylestab[],MATCH(A9,txtstylestab[style_Name],0),1))</f>
        <v>0</v>
      </c>
      <c r="C9" s="28">
        <f t="shared" si="0"/>
        <v>1</v>
      </c>
      <c r="D9" s="28">
        <f t="shared" si="1"/>
        <v>1</v>
      </c>
      <c r="E9" s="28">
        <f t="shared" si="2"/>
        <v>0</v>
      </c>
      <c r="F9" s="59" t="str">
        <f t="shared" si="3"/>
        <v/>
      </c>
      <c r="G9" s="42" t="s">
        <v>1767</v>
      </c>
      <c r="H9" s="43" t="s">
        <v>2216</v>
      </c>
      <c r="I9" s="44" t="s">
        <v>2235</v>
      </c>
      <c r="J9" s="45" t="s">
        <v>2129</v>
      </c>
      <c r="K9" s="46" t="s">
        <v>2130</v>
      </c>
      <c r="L9" s="47" t="s">
        <v>2389</v>
      </c>
      <c r="M9" s="48" t="s">
        <v>2391</v>
      </c>
      <c r="N9" s="49"/>
      <c r="O9" s="50" t="s">
        <v>3276</v>
      </c>
      <c r="P9" s="59"/>
      <c r="Q9" s="59"/>
      <c r="R9" s="13"/>
    </row>
    <row r="10" spans="1:18" ht="30" x14ac:dyDescent="0.25">
      <c r="A10" s="9" t="s">
        <v>14</v>
      </c>
      <c r="B10" s="28">
        <f>IF(ISBLANK(A10),0,INDEX(txtstylestab[],MATCH(A10,txtstylestab[style_Name],0),1))</f>
        <v>6</v>
      </c>
      <c r="C10" s="28">
        <f t="shared" si="0"/>
        <v>1</v>
      </c>
      <c r="D10" s="28">
        <f t="shared" si="1"/>
        <v>1</v>
      </c>
      <c r="E10" s="28">
        <f t="shared" si="2"/>
        <v>0</v>
      </c>
      <c r="F10" s="59" t="str">
        <f t="shared" si="3"/>
        <v/>
      </c>
      <c r="G10" s="42" t="s">
        <v>31</v>
      </c>
      <c r="H10" s="43" t="s">
        <v>34</v>
      </c>
      <c r="I10" s="44" t="s">
        <v>46</v>
      </c>
      <c r="J10" s="45" t="s">
        <v>46</v>
      </c>
      <c r="K10" s="46" t="s">
        <v>34</v>
      </c>
      <c r="L10" s="47" t="s">
        <v>2337</v>
      </c>
      <c r="M10" s="48" t="s">
        <v>2350</v>
      </c>
      <c r="N10" s="49"/>
      <c r="O10" s="50" t="s">
        <v>3277</v>
      </c>
      <c r="P10" s="59"/>
      <c r="Q10" s="59"/>
      <c r="R10" s="13"/>
    </row>
    <row r="11" spans="1:18" ht="30" x14ac:dyDescent="0.25">
      <c r="A11" s="9" t="s">
        <v>14</v>
      </c>
      <c r="B11" s="28">
        <f>IF(ISBLANK(A11),0,INDEX(txtstylestab[],MATCH(A11,txtstylestab[style_Name],0),1))</f>
        <v>6</v>
      </c>
      <c r="C11" s="28">
        <f t="shared" si="0"/>
        <v>1</v>
      </c>
      <c r="D11" s="28">
        <f t="shared" si="1"/>
        <v>1</v>
      </c>
      <c r="E11" s="28">
        <f t="shared" si="2"/>
        <v>0</v>
      </c>
      <c r="F11" s="59" t="str">
        <f t="shared" si="3"/>
        <v/>
      </c>
      <c r="G11" s="42" t="s">
        <v>32</v>
      </c>
      <c r="H11" s="43" t="s">
        <v>35</v>
      </c>
      <c r="I11" s="44" t="s">
        <v>35</v>
      </c>
      <c r="J11" s="45" t="s">
        <v>35</v>
      </c>
      <c r="K11" s="46" t="s">
        <v>35</v>
      </c>
      <c r="L11" s="47" t="s">
        <v>2338</v>
      </c>
      <c r="M11" s="48" t="s">
        <v>2339</v>
      </c>
      <c r="N11" s="49"/>
      <c r="O11" s="50" t="s">
        <v>3278</v>
      </c>
      <c r="P11" s="59"/>
      <c r="Q11" s="59"/>
      <c r="R11" s="13"/>
    </row>
    <row r="12" spans="1:18" x14ac:dyDescent="0.25">
      <c r="A12" s="9" t="s">
        <v>14</v>
      </c>
      <c r="B12" s="28">
        <f>IF(ISBLANK(A12),0,INDEX(txtstylestab[],MATCH(A12,txtstylestab[style_Name],0),1))</f>
        <v>6</v>
      </c>
      <c r="C12" s="28">
        <f t="shared" si="0"/>
        <v>1</v>
      </c>
      <c r="D12" s="28">
        <f t="shared" si="1"/>
        <v>1</v>
      </c>
      <c r="E12" s="28">
        <f t="shared" si="2"/>
        <v>0</v>
      </c>
      <c r="F12" s="59" t="str">
        <f t="shared" si="3"/>
        <v/>
      </c>
      <c r="G12" s="42" t="s">
        <v>33</v>
      </c>
      <c r="H12" s="43" t="s">
        <v>36</v>
      </c>
      <c r="I12" s="44" t="s">
        <v>36</v>
      </c>
      <c r="J12" s="45" t="s">
        <v>36</v>
      </c>
      <c r="K12" s="46" t="s">
        <v>36</v>
      </c>
      <c r="L12" s="47" t="s">
        <v>2340</v>
      </c>
      <c r="M12" s="48" t="s">
        <v>2341</v>
      </c>
      <c r="N12" s="49"/>
      <c r="O12" s="50" t="s">
        <v>3279</v>
      </c>
      <c r="P12" s="59"/>
      <c r="Q12" s="59"/>
      <c r="R12" s="13"/>
    </row>
    <row r="13" spans="1:18" ht="60" x14ac:dyDescent="0.25">
      <c r="A13" s="9" t="s">
        <v>21</v>
      </c>
      <c r="B13" s="28">
        <f>IF(ISBLANK(A13),0,INDEX(txtstylestab[],MATCH(A13,txtstylestab[style_Name],0),1))</f>
        <v>0</v>
      </c>
      <c r="C13" s="28">
        <f t="shared" si="0"/>
        <v>1</v>
      </c>
      <c r="D13" s="28">
        <f t="shared" si="1"/>
        <v>1</v>
      </c>
      <c r="E13" s="28">
        <f t="shared" si="2"/>
        <v>0</v>
      </c>
      <c r="F13" s="59" t="str">
        <f t="shared" si="3"/>
        <v/>
      </c>
      <c r="G13" s="42" t="s">
        <v>7</v>
      </c>
      <c r="H13" s="43"/>
      <c r="I13" s="44"/>
      <c r="J13" s="45" t="s">
        <v>51</v>
      </c>
      <c r="K13" s="46" t="s">
        <v>56</v>
      </c>
      <c r="L13" s="47" t="s">
        <v>2342</v>
      </c>
      <c r="M13" s="48" t="s">
        <v>2343</v>
      </c>
      <c r="N13" s="49"/>
      <c r="O13" s="50" t="s">
        <v>3280</v>
      </c>
      <c r="P13" s="59"/>
      <c r="Q13" s="59"/>
      <c r="R13" s="13"/>
    </row>
    <row r="14" spans="1:18" ht="120" x14ac:dyDescent="0.25">
      <c r="A14" s="9" t="s">
        <v>21</v>
      </c>
      <c r="B14" s="28">
        <f>IF(ISBLANK(A14),0,INDEX(txtstylestab[],MATCH(A14,txtstylestab[style_Name],0),1))</f>
        <v>0</v>
      </c>
      <c r="C14" s="28">
        <f t="shared" si="0"/>
        <v>1</v>
      </c>
      <c r="D14" s="28">
        <f t="shared" si="1"/>
        <v>1</v>
      </c>
      <c r="E14" s="28">
        <f t="shared" si="2"/>
        <v>0</v>
      </c>
      <c r="F14" s="59" t="str">
        <f t="shared" si="3"/>
        <v/>
      </c>
      <c r="G14" s="42" t="s">
        <v>2181</v>
      </c>
      <c r="H14" s="43" t="s">
        <v>2182</v>
      </c>
      <c r="I14" s="44" t="s">
        <v>2183</v>
      </c>
      <c r="J14" s="45" t="s">
        <v>2184</v>
      </c>
      <c r="K14" s="46" t="s">
        <v>2185</v>
      </c>
      <c r="L14" s="47" t="s">
        <v>2344</v>
      </c>
      <c r="M14" s="48" t="s">
        <v>2345</v>
      </c>
      <c r="N14" s="49"/>
      <c r="O14" s="50" t="s">
        <v>3288</v>
      </c>
      <c r="P14" s="59"/>
      <c r="Q14" s="59"/>
      <c r="R14" s="13"/>
    </row>
    <row r="15" spans="1:18" ht="60" x14ac:dyDescent="0.25">
      <c r="A15" s="9" t="s">
        <v>21</v>
      </c>
      <c r="B15" s="28">
        <f>IF(ISBLANK(A15),0,INDEX(txtstylestab[],MATCH(A15,txtstylestab[style_Name],0),1))</f>
        <v>0</v>
      </c>
      <c r="C15" s="28">
        <f t="shared" si="0"/>
        <v>1</v>
      </c>
      <c r="D15" s="28">
        <f t="shared" si="1"/>
        <v>1</v>
      </c>
      <c r="E15" s="28">
        <f t="shared" si="2"/>
        <v>0</v>
      </c>
      <c r="F15" s="59" t="str">
        <f t="shared" si="3"/>
        <v/>
      </c>
      <c r="G15" s="42" t="s">
        <v>4</v>
      </c>
      <c r="H15" s="43" t="s">
        <v>24</v>
      </c>
      <c r="I15" s="44" t="s">
        <v>1628</v>
      </c>
      <c r="J15" s="45" t="s">
        <v>52</v>
      </c>
      <c r="K15" s="46" t="s">
        <v>57</v>
      </c>
      <c r="L15" s="47" t="s">
        <v>2346</v>
      </c>
      <c r="M15" s="48" t="s">
        <v>2347</v>
      </c>
      <c r="N15" s="49"/>
      <c r="O15" s="50" t="s">
        <v>3281</v>
      </c>
      <c r="P15" s="59"/>
      <c r="Q15" s="59"/>
      <c r="R15" s="13"/>
    </row>
    <row r="16" spans="1:18" ht="45" x14ac:dyDescent="0.25">
      <c r="A16" s="9" t="s">
        <v>21</v>
      </c>
      <c r="B16" s="28">
        <f>IF(ISBLANK(A16),0,INDEX(txtstylestab[],MATCH(A16,txtstylestab[style_Name],0),1))</f>
        <v>0</v>
      </c>
      <c r="C16" s="28">
        <f t="shared" si="0"/>
        <v>1</v>
      </c>
      <c r="D16" s="28">
        <f t="shared" si="1"/>
        <v>1</v>
      </c>
      <c r="E16" s="28">
        <f t="shared" si="2"/>
        <v>0</v>
      </c>
      <c r="F16" s="59" t="str">
        <f t="shared" si="3"/>
        <v/>
      </c>
      <c r="G16" s="42" t="s">
        <v>5</v>
      </c>
      <c r="H16" s="43" t="s">
        <v>25</v>
      </c>
      <c r="I16" s="44" t="s">
        <v>47</v>
      </c>
      <c r="J16" s="45" t="s">
        <v>53</v>
      </c>
      <c r="K16" s="46" t="s">
        <v>58</v>
      </c>
      <c r="L16" s="47" t="s">
        <v>2348</v>
      </c>
      <c r="M16" s="48" t="s">
        <v>2349</v>
      </c>
      <c r="N16" s="49"/>
      <c r="O16" s="50" t="s">
        <v>3223</v>
      </c>
      <c r="P16" s="59"/>
      <c r="Q16" s="59"/>
      <c r="R16" s="13"/>
    </row>
    <row r="17" spans="1:18" x14ac:dyDescent="0.25">
      <c r="A17" s="9" t="s">
        <v>21</v>
      </c>
      <c r="B17" s="28">
        <f>IF(ISBLANK(A17),0,INDEX(txtstylestab[],MATCH(A17,txtstylestab[style_Name],0),1))</f>
        <v>0</v>
      </c>
      <c r="C17" s="28">
        <f t="shared" si="0"/>
        <v>1</v>
      </c>
      <c r="D17" s="28">
        <f t="shared" si="1"/>
        <v>1</v>
      </c>
      <c r="E17" s="28">
        <f t="shared" si="2"/>
        <v>0</v>
      </c>
      <c r="F17" s="59" t="str">
        <f t="shared" si="3"/>
        <v/>
      </c>
      <c r="G17" s="42" t="s">
        <v>6</v>
      </c>
      <c r="H17" s="43" t="s">
        <v>26</v>
      </c>
      <c r="I17" s="44" t="s">
        <v>48</v>
      </c>
      <c r="J17" s="45" t="s">
        <v>397</v>
      </c>
      <c r="K17" s="46" t="s">
        <v>59</v>
      </c>
      <c r="L17" s="47" t="s">
        <v>2383</v>
      </c>
      <c r="M17" s="48" t="s">
        <v>2384</v>
      </c>
      <c r="N17" s="49"/>
      <c r="O17" s="50" t="s">
        <v>3168</v>
      </c>
      <c r="P17" s="59"/>
      <c r="Q17" s="59"/>
      <c r="R17" s="13"/>
    </row>
    <row r="18" spans="1:18" ht="18" thickBot="1" x14ac:dyDescent="0.35">
      <c r="A18" s="9" t="s">
        <v>11</v>
      </c>
      <c r="B18" s="28">
        <f>IF(ISBLANK(A18),0,INDEX(txtstylestab[],MATCH(A18,txtstylestab[style_Name],0),1))</f>
        <v>2</v>
      </c>
      <c r="C18" s="28">
        <f t="shared" si="0"/>
        <v>1</v>
      </c>
      <c r="D18" s="28">
        <f t="shared" si="1"/>
        <v>2</v>
      </c>
      <c r="E18" s="28">
        <f t="shared" si="2"/>
        <v>0</v>
      </c>
      <c r="F18" s="51" t="str">
        <f t="shared" si="3"/>
        <v>1.2.</v>
      </c>
      <c r="G18" s="52" t="s">
        <v>19</v>
      </c>
      <c r="H18" s="52"/>
      <c r="I18" s="52"/>
      <c r="J18" s="52"/>
      <c r="K18" s="52"/>
      <c r="L18" s="52"/>
      <c r="M18" s="52"/>
      <c r="N18" s="52"/>
      <c r="O18" s="52"/>
      <c r="P18" s="52"/>
      <c r="Q18" s="52"/>
      <c r="R18" s="13"/>
    </row>
    <row r="19" spans="1:18" ht="60.75" thickTop="1" x14ac:dyDescent="0.25">
      <c r="A19" s="9" t="s">
        <v>21</v>
      </c>
      <c r="B19" s="28">
        <f>IF(ISBLANK(A19),0,INDEX(txtstylestab[],MATCH(A19,txtstylestab[style_Name],0),1))</f>
        <v>0</v>
      </c>
      <c r="C19" s="28">
        <f t="shared" si="0"/>
        <v>1</v>
      </c>
      <c r="D19" s="28">
        <f t="shared" si="1"/>
        <v>2</v>
      </c>
      <c r="E19" s="28">
        <f t="shared" si="2"/>
        <v>0</v>
      </c>
      <c r="F19" s="59" t="str">
        <f t="shared" si="3"/>
        <v/>
      </c>
      <c r="G19" s="42" t="s">
        <v>1999</v>
      </c>
      <c r="H19" s="43" t="s">
        <v>616</v>
      </c>
      <c r="I19" s="44" t="s">
        <v>618</v>
      </c>
      <c r="J19" s="45" t="s">
        <v>619</v>
      </c>
      <c r="K19" s="46" t="s">
        <v>60</v>
      </c>
      <c r="L19" s="47" t="s">
        <v>2351</v>
      </c>
      <c r="M19" s="48" t="s">
        <v>2393</v>
      </c>
      <c r="N19" s="49"/>
      <c r="O19" s="50" t="s">
        <v>3472</v>
      </c>
      <c r="P19" s="59"/>
      <c r="Q19" s="59"/>
      <c r="R19" s="13"/>
    </row>
    <row r="20" spans="1:18" ht="105" x14ac:dyDescent="0.25">
      <c r="A20" s="9" t="s">
        <v>21</v>
      </c>
      <c r="B20" s="28">
        <f>IF(ISBLANK(A20),0,INDEX(txtstylestab[],MATCH(A20,txtstylestab[style_Name],0),1))</f>
        <v>0</v>
      </c>
      <c r="C20" s="28">
        <f t="shared" si="0"/>
        <v>1</v>
      </c>
      <c r="D20" s="28">
        <f t="shared" si="1"/>
        <v>2</v>
      </c>
      <c r="E20" s="28">
        <f t="shared" si="2"/>
        <v>0</v>
      </c>
      <c r="F20" s="59" t="str">
        <f t="shared" si="3"/>
        <v/>
      </c>
      <c r="G20" s="42" t="s">
        <v>75</v>
      </c>
      <c r="H20" s="43" t="s">
        <v>2217</v>
      </c>
      <c r="I20" s="44" t="s">
        <v>2236</v>
      </c>
      <c r="J20" s="45" t="s">
        <v>398</v>
      </c>
      <c r="K20" s="46" t="s">
        <v>76</v>
      </c>
      <c r="L20" s="47" t="s">
        <v>2390</v>
      </c>
      <c r="M20" s="48" t="s">
        <v>2392</v>
      </c>
      <c r="N20" s="49"/>
      <c r="O20" s="50" t="s">
        <v>3282</v>
      </c>
      <c r="P20" s="59"/>
      <c r="Q20" s="59"/>
      <c r="R20" s="13"/>
    </row>
    <row r="21" spans="1:18" ht="90" x14ac:dyDescent="0.25">
      <c r="A21" s="9" t="s">
        <v>21</v>
      </c>
      <c r="B21" s="28">
        <f>IF(ISBLANK(A21),0,INDEX(txtstylestab[],MATCH(A21,txtstylestab[style_Name],0),1))</f>
        <v>0</v>
      </c>
      <c r="C21" s="28">
        <f t="shared" si="0"/>
        <v>1</v>
      </c>
      <c r="D21" s="28">
        <f t="shared" si="1"/>
        <v>2</v>
      </c>
      <c r="E21" s="28">
        <f t="shared" si="2"/>
        <v>0</v>
      </c>
      <c r="F21" s="59" t="str">
        <f t="shared" si="3"/>
        <v/>
      </c>
      <c r="G21" s="42"/>
      <c r="H21" s="43"/>
      <c r="I21" s="44" t="s">
        <v>2282</v>
      </c>
      <c r="J21" s="45" t="s">
        <v>2281</v>
      </c>
      <c r="K21" s="46" t="s">
        <v>2170</v>
      </c>
      <c r="L21" s="47"/>
      <c r="M21" s="48"/>
      <c r="N21" s="49"/>
      <c r="O21" s="50"/>
      <c r="P21" s="59"/>
      <c r="Q21" s="59"/>
      <c r="R21" s="13"/>
    </row>
    <row r="22" spans="1:18" ht="75" x14ac:dyDescent="0.25">
      <c r="A22" s="9" t="s">
        <v>21</v>
      </c>
      <c r="B22" s="28">
        <f>IF(ISBLANK(A22),0,INDEX(txtstylestab[],MATCH(A22,txtstylestab[style_Name],0),1))</f>
        <v>0</v>
      </c>
      <c r="C22" s="28">
        <f t="shared" si="0"/>
        <v>1</v>
      </c>
      <c r="D22" s="28">
        <f t="shared" si="1"/>
        <v>2</v>
      </c>
      <c r="E22" s="28">
        <f t="shared" si="2"/>
        <v>0</v>
      </c>
      <c r="F22" s="59" t="str">
        <f t="shared" si="3"/>
        <v/>
      </c>
      <c r="G22" s="42" t="s">
        <v>1904</v>
      </c>
      <c r="H22" s="43" t="s">
        <v>2131</v>
      </c>
      <c r="I22" s="44" t="s">
        <v>49</v>
      </c>
      <c r="J22" s="45" t="s">
        <v>399</v>
      </c>
      <c r="K22" s="46" t="s">
        <v>61</v>
      </c>
      <c r="L22" s="47" t="s">
        <v>2352</v>
      </c>
      <c r="M22" s="48" t="s">
        <v>2394</v>
      </c>
      <c r="N22" s="49"/>
      <c r="O22" s="50" t="s">
        <v>3283</v>
      </c>
      <c r="P22" s="59"/>
      <c r="Q22" s="59"/>
      <c r="R22" s="13"/>
    </row>
    <row r="23" spans="1:18" ht="45" x14ac:dyDescent="0.25">
      <c r="A23" s="9" t="s">
        <v>21</v>
      </c>
      <c r="B23" s="28">
        <f>IF(ISBLANK(A23),0,INDEX(txtstylestab[],MATCH(A23,txtstylestab[style_Name],0),1))</f>
        <v>0</v>
      </c>
      <c r="C23" s="28">
        <f t="shared" si="0"/>
        <v>1</v>
      </c>
      <c r="D23" s="28">
        <f t="shared" si="1"/>
        <v>2</v>
      </c>
      <c r="E23" s="28">
        <f t="shared" si="2"/>
        <v>0</v>
      </c>
      <c r="F23" s="59" t="str">
        <f t="shared" si="3"/>
        <v/>
      </c>
      <c r="G23" s="42" t="s">
        <v>42</v>
      </c>
      <c r="H23" s="43" t="s">
        <v>43</v>
      </c>
      <c r="I23" s="44" t="s">
        <v>50</v>
      </c>
      <c r="J23" s="45" t="s">
        <v>55</v>
      </c>
      <c r="K23" s="46" t="s">
        <v>62</v>
      </c>
      <c r="L23" s="47" t="s">
        <v>2353</v>
      </c>
      <c r="M23" s="48" t="s">
        <v>2395</v>
      </c>
      <c r="N23" s="49"/>
      <c r="O23" s="50" t="s">
        <v>3439</v>
      </c>
      <c r="P23" s="59"/>
      <c r="Q23" s="59"/>
      <c r="R23" s="13"/>
    </row>
    <row r="24" spans="1:18" x14ac:dyDescent="0.25">
      <c r="A24" s="9" t="s">
        <v>22</v>
      </c>
      <c r="B24" s="28">
        <f>IF(ISBLANK(A24),0,INDEX(txtstylestab[],MATCH(A24,txtstylestab[style_Name],0),1))</f>
        <v>4</v>
      </c>
      <c r="C24" s="28">
        <f t="shared" si="0"/>
        <v>1</v>
      </c>
      <c r="D24" s="28">
        <f t="shared" si="1"/>
        <v>2</v>
      </c>
      <c r="E24" s="28">
        <f t="shared" si="2"/>
        <v>0</v>
      </c>
      <c r="F24" s="56" t="str">
        <f t="shared" si="3"/>
        <v/>
      </c>
      <c r="G24" s="67" t="s">
        <v>44</v>
      </c>
      <c r="H24" s="67"/>
      <c r="I24" s="67"/>
      <c r="J24" s="67"/>
      <c r="K24" s="67"/>
      <c r="L24" s="67"/>
      <c r="M24" s="67"/>
      <c r="N24" s="67"/>
      <c r="O24" s="67"/>
      <c r="P24" s="67"/>
      <c r="Q24" s="67"/>
      <c r="R24" s="13"/>
    </row>
    <row r="25" spans="1:18" ht="60" x14ac:dyDescent="0.25">
      <c r="A25" s="9" t="s">
        <v>21</v>
      </c>
      <c r="B25" s="28">
        <f>IF(ISBLANK(A25),0,INDEX(txtstylestab[],MATCH(A25,txtstylestab[style_Name],0),1))</f>
        <v>0</v>
      </c>
      <c r="C25" s="28">
        <f t="shared" si="0"/>
        <v>1</v>
      </c>
      <c r="D25" s="28">
        <f t="shared" si="1"/>
        <v>2</v>
      </c>
      <c r="E25" s="28">
        <f t="shared" si="2"/>
        <v>0</v>
      </c>
      <c r="F25" s="59" t="str">
        <f t="shared" si="3"/>
        <v/>
      </c>
      <c r="G25" s="42" t="s">
        <v>2132</v>
      </c>
      <c r="H25" s="43" t="s">
        <v>2133</v>
      </c>
      <c r="I25" s="44" t="s">
        <v>2134</v>
      </c>
      <c r="J25" s="45" t="s">
        <v>1768</v>
      </c>
      <c r="K25" s="46" t="s">
        <v>2135</v>
      </c>
      <c r="L25" s="47" t="s">
        <v>2354</v>
      </c>
      <c r="M25" s="48" t="s">
        <v>2396</v>
      </c>
      <c r="N25" s="49"/>
      <c r="O25" s="50" t="s">
        <v>3284</v>
      </c>
      <c r="P25" s="59"/>
      <c r="Q25" s="59"/>
      <c r="R25" s="13"/>
    </row>
    <row r="26" spans="1:18" ht="75" x14ac:dyDescent="0.25">
      <c r="A26" s="9" t="s">
        <v>14</v>
      </c>
      <c r="B26" s="28">
        <f>IF(ISBLANK(A26),0,INDEX(txtstylestab[],MATCH(A26,txtstylestab[style_Name],0),1))</f>
        <v>6</v>
      </c>
      <c r="C26" s="28">
        <f t="shared" si="0"/>
        <v>1</v>
      </c>
      <c r="D26" s="28">
        <f t="shared" si="1"/>
        <v>2</v>
      </c>
      <c r="E26" s="28">
        <f t="shared" si="2"/>
        <v>0</v>
      </c>
      <c r="F26" s="59" t="str">
        <f t="shared" si="3"/>
        <v/>
      </c>
      <c r="G26" s="42" t="s">
        <v>1769</v>
      </c>
      <c r="H26" s="43" t="s">
        <v>1770</v>
      </c>
      <c r="I26" s="44" t="s">
        <v>1790</v>
      </c>
      <c r="J26" s="45" t="s">
        <v>466</v>
      </c>
      <c r="K26" s="46" t="s">
        <v>1795</v>
      </c>
      <c r="L26" s="47" t="s">
        <v>2355</v>
      </c>
      <c r="M26" s="48" t="s">
        <v>2356</v>
      </c>
      <c r="N26" s="49"/>
      <c r="O26" s="50" t="s">
        <v>3476</v>
      </c>
      <c r="P26" s="59"/>
      <c r="Q26" s="59"/>
      <c r="R26" s="13"/>
    </row>
    <row r="27" spans="1:18" ht="60" x14ac:dyDescent="0.25">
      <c r="A27" s="9" t="s">
        <v>14</v>
      </c>
      <c r="B27" s="28">
        <f>IF(ISBLANK(A27),0,INDEX(txtstylestab[],MATCH(A27,txtstylestab[style_Name],0),1))</f>
        <v>6</v>
      </c>
      <c r="C27" s="28">
        <f t="shared" si="0"/>
        <v>1</v>
      </c>
      <c r="D27" s="28">
        <f t="shared" si="1"/>
        <v>2</v>
      </c>
      <c r="E27" s="28">
        <f t="shared" si="2"/>
        <v>0</v>
      </c>
      <c r="F27" s="59" t="str">
        <f t="shared" si="3"/>
        <v/>
      </c>
      <c r="G27" s="42" t="s">
        <v>1773</v>
      </c>
      <c r="H27" s="43" t="s">
        <v>1774</v>
      </c>
      <c r="I27" s="44" t="s">
        <v>2193</v>
      </c>
      <c r="J27" s="45" t="s">
        <v>2328</v>
      </c>
      <c r="K27" s="46" t="s">
        <v>2192</v>
      </c>
      <c r="L27" s="47" t="s">
        <v>2357</v>
      </c>
      <c r="M27" s="48" t="s">
        <v>2358</v>
      </c>
      <c r="N27" s="49"/>
      <c r="O27" s="50" t="s">
        <v>3477</v>
      </c>
      <c r="P27" s="59"/>
      <c r="Q27" s="59"/>
      <c r="R27" s="13"/>
    </row>
    <row r="28" spans="1:18" ht="30" x14ac:dyDescent="0.25">
      <c r="A28" s="9" t="s">
        <v>14</v>
      </c>
      <c r="B28" s="28">
        <f>IF(ISBLANK(A28),0,INDEX(txtstylestab[],MATCH(A28,txtstylestab[style_Name],0),1))</f>
        <v>6</v>
      </c>
      <c r="C28" s="28">
        <f t="shared" si="0"/>
        <v>1</v>
      </c>
      <c r="D28" s="28">
        <f t="shared" si="1"/>
        <v>2</v>
      </c>
      <c r="E28" s="28">
        <f t="shared" si="2"/>
        <v>0</v>
      </c>
      <c r="F28" s="59" t="str">
        <f t="shared" si="3"/>
        <v/>
      </c>
      <c r="G28" s="42" t="s">
        <v>37</v>
      </c>
      <c r="H28" s="43" t="s">
        <v>1771</v>
      </c>
      <c r="I28" s="44" t="s">
        <v>1791</v>
      </c>
      <c r="J28" s="45" t="s">
        <v>400</v>
      </c>
      <c r="K28" s="46" t="s">
        <v>1796</v>
      </c>
      <c r="L28" s="47" t="s">
        <v>2359</v>
      </c>
      <c r="M28" s="48" t="s">
        <v>2360</v>
      </c>
      <c r="N28" s="49"/>
      <c r="O28" s="50" t="s">
        <v>3478</v>
      </c>
      <c r="P28" s="59"/>
      <c r="Q28" s="59"/>
      <c r="R28" s="13"/>
    </row>
    <row r="29" spans="1:18" ht="30" x14ac:dyDescent="0.25">
      <c r="A29" s="9" t="s">
        <v>14</v>
      </c>
      <c r="B29" s="28">
        <f>IF(ISBLANK(A29),0,INDEX(txtstylestab[],MATCH(A29,txtstylestab[style_Name],0),1))</f>
        <v>6</v>
      </c>
      <c r="C29" s="28">
        <f t="shared" si="0"/>
        <v>1</v>
      </c>
      <c r="D29" s="28">
        <f t="shared" si="1"/>
        <v>2</v>
      </c>
      <c r="E29" s="28">
        <f t="shared" si="2"/>
        <v>0</v>
      </c>
      <c r="F29" s="59" t="str">
        <f t="shared" si="3"/>
        <v/>
      </c>
      <c r="G29" s="42" t="s">
        <v>38</v>
      </c>
      <c r="H29" s="43" t="s">
        <v>1772</v>
      </c>
      <c r="I29" s="44" t="s">
        <v>1792</v>
      </c>
      <c r="J29" s="45" t="s">
        <v>401</v>
      </c>
      <c r="K29" s="46" t="s">
        <v>1797</v>
      </c>
      <c r="L29" s="47" t="s">
        <v>2361</v>
      </c>
      <c r="M29" s="48" t="s">
        <v>2362</v>
      </c>
      <c r="N29" s="49"/>
      <c r="O29" s="50" t="s">
        <v>3479</v>
      </c>
      <c r="P29" s="59"/>
      <c r="Q29" s="59"/>
      <c r="R29" s="13"/>
    </row>
    <row r="30" spans="1:18" ht="30" x14ac:dyDescent="0.25">
      <c r="A30" s="9" t="s">
        <v>14</v>
      </c>
      <c r="B30" s="28">
        <f>IF(ISBLANK(A30),0,INDEX(txtstylestab[],MATCH(A30,txtstylestab[style_Name],0),1))</f>
        <v>6</v>
      </c>
      <c r="C30" s="28">
        <f t="shared" si="0"/>
        <v>1</v>
      </c>
      <c r="D30" s="28">
        <f t="shared" si="1"/>
        <v>2</v>
      </c>
      <c r="E30" s="28">
        <f t="shared" si="2"/>
        <v>0</v>
      </c>
      <c r="F30" s="59" t="str">
        <f t="shared" si="3"/>
        <v/>
      </c>
      <c r="G30" s="42" t="s">
        <v>39</v>
      </c>
      <c r="H30" s="43" t="s">
        <v>1775</v>
      </c>
      <c r="I30" s="44" t="s">
        <v>1793</v>
      </c>
      <c r="J30" s="45" t="s">
        <v>402</v>
      </c>
      <c r="K30" s="46" t="s">
        <v>1794</v>
      </c>
      <c r="L30" s="47" t="s">
        <v>2363</v>
      </c>
      <c r="M30" s="48" t="s">
        <v>2364</v>
      </c>
      <c r="N30" s="49"/>
      <c r="O30" s="50" t="s">
        <v>3264</v>
      </c>
      <c r="P30" s="59"/>
      <c r="Q30" s="59"/>
      <c r="R30" s="13"/>
    </row>
    <row r="31" spans="1:18" ht="45" x14ac:dyDescent="0.25">
      <c r="A31" s="9" t="s">
        <v>14</v>
      </c>
      <c r="B31" s="28">
        <f>IF(ISBLANK(A31),0,INDEX(txtstylestab[],MATCH(A31,txtstylestab[style_Name],0),1))</f>
        <v>6</v>
      </c>
      <c r="C31" s="28">
        <f t="shared" si="0"/>
        <v>1</v>
      </c>
      <c r="D31" s="28">
        <f t="shared" si="1"/>
        <v>2</v>
      </c>
      <c r="E31" s="28">
        <f t="shared" si="2"/>
        <v>0</v>
      </c>
      <c r="F31" s="59" t="str">
        <f t="shared" si="3"/>
        <v/>
      </c>
      <c r="G31" s="42" t="s">
        <v>1776</v>
      </c>
      <c r="H31" s="43" t="s">
        <v>1777</v>
      </c>
      <c r="I31" s="44" t="s">
        <v>2195</v>
      </c>
      <c r="J31" s="45" t="s">
        <v>2196</v>
      </c>
      <c r="K31" s="46" t="s">
        <v>2194</v>
      </c>
      <c r="L31" s="47" t="s">
        <v>2365</v>
      </c>
      <c r="M31" s="48" t="s">
        <v>2366</v>
      </c>
      <c r="N31" s="49"/>
      <c r="O31" s="50" t="s">
        <v>3267</v>
      </c>
      <c r="P31" s="59"/>
      <c r="Q31" s="59"/>
      <c r="R31" s="13"/>
    </row>
    <row r="32" spans="1:18" ht="60" x14ac:dyDescent="0.25">
      <c r="A32" s="9" t="s">
        <v>14</v>
      </c>
      <c r="B32" s="28">
        <f>IF(ISBLANK(A32),0,INDEX(txtstylestab[],MATCH(A32,txtstylestab[style_Name],0),1))</f>
        <v>6</v>
      </c>
      <c r="C32" s="28">
        <f t="shared" si="0"/>
        <v>1</v>
      </c>
      <c r="D32" s="28">
        <f t="shared" si="1"/>
        <v>2</v>
      </c>
      <c r="E32" s="28">
        <f t="shared" si="2"/>
        <v>0</v>
      </c>
      <c r="F32" s="59" t="str">
        <f t="shared" si="3"/>
        <v/>
      </c>
      <c r="G32" s="42" t="s">
        <v>1778</v>
      </c>
      <c r="H32" s="43" t="s">
        <v>1779</v>
      </c>
      <c r="I32" s="44" t="s">
        <v>2197</v>
      </c>
      <c r="J32" s="45" t="s">
        <v>2198</v>
      </c>
      <c r="K32" s="46" t="s">
        <v>2301</v>
      </c>
      <c r="L32" s="47" t="s">
        <v>2367</v>
      </c>
      <c r="M32" s="48" t="s">
        <v>2368</v>
      </c>
      <c r="N32" s="49"/>
      <c r="O32" s="50" t="s">
        <v>3480</v>
      </c>
      <c r="P32" s="59"/>
      <c r="Q32" s="59"/>
      <c r="R32" s="13"/>
    </row>
    <row r="33" spans="1:18" ht="30" x14ac:dyDescent="0.25">
      <c r="A33" s="9" t="s">
        <v>14</v>
      </c>
      <c r="B33" s="28">
        <f>IF(ISBLANK(A33),0,INDEX(txtstylestab[],MATCH(A33,txtstylestab[style_Name],0),1))</f>
        <v>6</v>
      </c>
      <c r="C33" s="28">
        <f t="shared" si="0"/>
        <v>1</v>
      </c>
      <c r="D33" s="28">
        <f t="shared" si="1"/>
        <v>2</v>
      </c>
      <c r="E33" s="28">
        <f t="shared" si="2"/>
        <v>0</v>
      </c>
      <c r="F33" s="59" t="str">
        <f t="shared" si="3"/>
        <v/>
      </c>
      <c r="G33" s="42" t="s">
        <v>40</v>
      </c>
      <c r="H33" s="43" t="s">
        <v>1780</v>
      </c>
      <c r="I33" s="44" t="s">
        <v>1781</v>
      </c>
      <c r="J33" s="45" t="s">
        <v>403</v>
      </c>
      <c r="K33" s="46" t="s">
        <v>1782</v>
      </c>
      <c r="L33" s="47"/>
      <c r="M33" s="48" t="s">
        <v>2369</v>
      </c>
      <c r="N33" s="49"/>
      <c r="O33" s="50" t="s">
        <v>3173</v>
      </c>
      <c r="P33" s="59"/>
      <c r="Q33" s="59"/>
      <c r="R33" s="13"/>
    </row>
    <row r="34" spans="1:18" ht="45" x14ac:dyDescent="0.25">
      <c r="A34" s="9" t="s">
        <v>21</v>
      </c>
      <c r="B34" s="28">
        <f>IF(ISBLANK(A34),0,INDEX(txtstylestab[],MATCH(A34,txtstylestab[style_Name],0),1))</f>
        <v>0</v>
      </c>
      <c r="C34" s="28">
        <f t="shared" si="0"/>
        <v>1</v>
      </c>
      <c r="D34" s="28">
        <f t="shared" si="1"/>
        <v>2</v>
      </c>
      <c r="E34" s="28">
        <f t="shared" si="2"/>
        <v>0</v>
      </c>
      <c r="F34" s="59" t="str">
        <f t="shared" si="3"/>
        <v/>
      </c>
      <c r="G34" s="42"/>
      <c r="H34" s="43"/>
      <c r="I34" s="44"/>
      <c r="J34" s="45"/>
      <c r="K34" s="46"/>
      <c r="L34" s="47"/>
      <c r="M34" s="48"/>
      <c r="N34" s="49"/>
      <c r="O34" s="50" t="s">
        <v>3471</v>
      </c>
      <c r="P34" s="59"/>
      <c r="Q34" s="59"/>
      <c r="R34" s="13"/>
    </row>
    <row r="35" spans="1:18" ht="30" x14ac:dyDescent="0.25">
      <c r="A35" s="9" t="s">
        <v>21</v>
      </c>
      <c r="B35" s="28">
        <f>IF(ISBLANK(A35),0,INDEX(txtstylestab[],MATCH(A35,txtstylestab[style_Name],0),1))</f>
        <v>0</v>
      </c>
      <c r="C35" s="28">
        <f t="shared" si="0"/>
        <v>1</v>
      </c>
      <c r="D35" s="28">
        <f t="shared" si="1"/>
        <v>2</v>
      </c>
      <c r="E35" s="28">
        <f t="shared" si="2"/>
        <v>0</v>
      </c>
      <c r="F35" s="59" t="str">
        <f t="shared" si="3"/>
        <v/>
      </c>
      <c r="G35" s="42" t="s">
        <v>20</v>
      </c>
      <c r="H35" s="43" t="s">
        <v>45</v>
      </c>
      <c r="I35" s="44" t="s">
        <v>2283</v>
      </c>
      <c r="J35" s="45" t="s">
        <v>528</v>
      </c>
      <c r="K35" s="46" t="s">
        <v>63</v>
      </c>
      <c r="L35" s="47" t="s">
        <v>2370</v>
      </c>
      <c r="M35" s="48" t="s">
        <v>2371</v>
      </c>
      <c r="N35" s="49"/>
      <c r="O35" s="50" t="s">
        <v>3231</v>
      </c>
      <c r="P35" s="59"/>
      <c r="Q35" s="59"/>
      <c r="R35" s="13"/>
    </row>
    <row r="36" spans="1:18" ht="30" x14ac:dyDescent="0.25">
      <c r="A36" s="9" t="s">
        <v>21</v>
      </c>
      <c r="B36" s="28">
        <f>IF(ISBLANK(A36),0,INDEX(txtstylestab[],MATCH(A36,txtstylestab[style_Name],0),1))</f>
        <v>0</v>
      </c>
      <c r="C36" s="28">
        <f t="shared" si="0"/>
        <v>1</v>
      </c>
      <c r="D36" s="28">
        <f t="shared" si="1"/>
        <v>2</v>
      </c>
      <c r="E36" s="28">
        <f t="shared" si="2"/>
        <v>0</v>
      </c>
      <c r="F36" s="59" t="str">
        <f t="shared" si="3"/>
        <v/>
      </c>
      <c r="G36" s="42"/>
      <c r="H36" s="43"/>
      <c r="I36" s="44" t="s">
        <v>2285</v>
      </c>
      <c r="J36" s="45" t="s">
        <v>404</v>
      </c>
      <c r="K36" s="46" t="s">
        <v>78</v>
      </c>
      <c r="L36" s="47"/>
      <c r="M36" s="48"/>
      <c r="N36" s="49"/>
      <c r="O36" s="77"/>
      <c r="P36" s="59"/>
      <c r="Q36" s="59"/>
      <c r="R36" s="13"/>
    </row>
    <row r="37" spans="1:18" ht="18" thickBot="1" x14ac:dyDescent="0.35">
      <c r="A37" s="9" t="s">
        <v>11</v>
      </c>
      <c r="B37" s="28">
        <f>IF(ISBLANK(A37),0,INDEX(txtstylestab[],MATCH(A37,txtstylestab[style_Name],0),1))</f>
        <v>2</v>
      </c>
      <c r="C37" s="28">
        <f t="shared" si="0"/>
        <v>1</v>
      </c>
      <c r="D37" s="28">
        <f t="shared" si="1"/>
        <v>3</v>
      </c>
      <c r="E37" s="28">
        <f t="shared" si="2"/>
        <v>0</v>
      </c>
      <c r="F37" s="51" t="str">
        <f t="shared" si="3"/>
        <v>1.3.</v>
      </c>
      <c r="G37" s="68" t="s">
        <v>79</v>
      </c>
      <c r="H37" s="68"/>
      <c r="I37" s="68"/>
      <c r="J37" s="68"/>
      <c r="K37" s="68"/>
      <c r="L37" s="68"/>
      <c r="M37" s="68"/>
      <c r="N37" s="68"/>
      <c r="O37" s="68"/>
      <c r="P37" s="68"/>
      <c r="Q37" s="68"/>
      <c r="R37" s="13"/>
    </row>
    <row r="38" spans="1:18" ht="15.75" thickTop="1" x14ac:dyDescent="0.25">
      <c r="A38" s="9" t="s">
        <v>22</v>
      </c>
      <c r="B38" s="28">
        <f>IF(ISBLANK(A38),0,INDEX(txtstylestab[],MATCH(A38,txtstylestab[style_Name],0),1))</f>
        <v>4</v>
      </c>
      <c r="C38" s="28">
        <f t="shared" si="0"/>
        <v>1</v>
      </c>
      <c r="D38" s="28">
        <f t="shared" si="1"/>
        <v>3</v>
      </c>
      <c r="E38" s="28">
        <f t="shared" si="2"/>
        <v>0</v>
      </c>
      <c r="F38" s="56" t="str">
        <f t="shared" si="3"/>
        <v/>
      </c>
      <c r="G38" s="67" t="s">
        <v>80</v>
      </c>
      <c r="H38" s="67"/>
      <c r="I38" s="67"/>
      <c r="J38" s="67"/>
      <c r="K38" s="67"/>
      <c r="L38" s="67"/>
      <c r="M38" s="67"/>
      <c r="N38" s="67"/>
      <c r="O38" s="67"/>
      <c r="P38" s="67"/>
      <c r="Q38" s="67"/>
      <c r="R38" s="13"/>
    </row>
    <row r="39" spans="1:18" x14ac:dyDescent="0.25">
      <c r="A39" s="9" t="s">
        <v>23</v>
      </c>
      <c r="B39" s="28">
        <f>IF(ISBLANK(A39),0,INDEX(txtstylestab[],MATCH(A39,txtstylestab[style_Name],0),1))</f>
        <v>5</v>
      </c>
      <c r="C39" s="28">
        <f t="shared" si="0"/>
        <v>1</v>
      </c>
      <c r="D39" s="28">
        <f t="shared" si="1"/>
        <v>3</v>
      </c>
      <c r="E39" s="28">
        <f t="shared" si="2"/>
        <v>0</v>
      </c>
      <c r="F39" s="56" t="str">
        <f t="shared" si="3"/>
        <v/>
      </c>
      <c r="G39" s="69" t="s">
        <v>81</v>
      </c>
      <c r="H39" s="69"/>
      <c r="I39" s="69"/>
      <c r="J39" s="69"/>
      <c r="K39" s="69"/>
      <c r="L39" s="69"/>
      <c r="M39" s="69"/>
      <c r="N39" s="69"/>
      <c r="O39" s="69"/>
      <c r="P39" s="69"/>
      <c r="Q39" s="69"/>
      <c r="R39" s="13"/>
    </row>
    <row r="40" spans="1:18" x14ac:dyDescent="0.25">
      <c r="A40" s="9" t="s">
        <v>21</v>
      </c>
      <c r="B40" s="28">
        <f>IF(ISBLANK(A40),0,INDEX(txtstylestab[],MATCH(A40,txtstylestab[style_Name],0),1))</f>
        <v>0</v>
      </c>
      <c r="C40" s="28">
        <f t="shared" si="0"/>
        <v>1</v>
      </c>
      <c r="D40" s="28">
        <f t="shared" si="1"/>
        <v>3</v>
      </c>
      <c r="E40" s="28">
        <f t="shared" si="2"/>
        <v>0</v>
      </c>
      <c r="F40" s="59" t="str">
        <f t="shared" si="3"/>
        <v/>
      </c>
      <c r="G40" s="42" t="s">
        <v>82</v>
      </c>
      <c r="H40" s="43" t="s">
        <v>83</v>
      </c>
      <c r="I40" s="44" t="s">
        <v>84</v>
      </c>
      <c r="J40" s="45" t="s">
        <v>85</v>
      </c>
      <c r="K40" s="46" t="s">
        <v>86</v>
      </c>
      <c r="L40" s="47" t="s">
        <v>2372</v>
      </c>
      <c r="M40" s="48" t="s">
        <v>2332</v>
      </c>
      <c r="N40" s="49"/>
      <c r="O40" s="50" t="s">
        <v>3161</v>
      </c>
      <c r="P40" s="59"/>
      <c r="Q40" s="59"/>
      <c r="R40" s="13"/>
    </row>
    <row r="41" spans="1:18" ht="75" x14ac:dyDescent="0.25">
      <c r="A41" s="9" t="s">
        <v>21</v>
      </c>
      <c r="B41" s="28">
        <f>IF(ISBLANK(A41),0,INDEX(txtstylestab[],MATCH(A41,txtstylestab[style_Name],0),1))</f>
        <v>0</v>
      </c>
      <c r="C41" s="28">
        <f t="shared" si="0"/>
        <v>1</v>
      </c>
      <c r="D41" s="28">
        <f t="shared" si="1"/>
        <v>3</v>
      </c>
      <c r="E41" s="28">
        <f t="shared" si="2"/>
        <v>0</v>
      </c>
      <c r="F41" s="59" t="str">
        <f t="shared" si="3"/>
        <v/>
      </c>
      <c r="G41" s="42" t="s">
        <v>87</v>
      </c>
      <c r="H41" s="43" t="s">
        <v>88</v>
      </c>
      <c r="I41" s="44" t="s">
        <v>89</v>
      </c>
      <c r="J41" s="45" t="s">
        <v>90</v>
      </c>
      <c r="K41" s="46" t="s">
        <v>91</v>
      </c>
      <c r="L41" s="47" t="s">
        <v>2385</v>
      </c>
      <c r="M41" s="48" t="s">
        <v>2386</v>
      </c>
      <c r="N41" s="49"/>
      <c r="O41" s="50" t="s">
        <v>3285</v>
      </c>
      <c r="P41" s="59"/>
      <c r="Q41" s="59"/>
      <c r="R41" s="13"/>
    </row>
    <row r="42" spans="1:18" ht="120" x14ac:dyDescent="0.25">
      <c r="A42" s="9" t="s">
        <v>21</v>
      </c>
      <c r="B42" s="28">
        <f>IF(ISBLANK(A42),0,INDEX(txtstylestab[],MATCH(A42,txtstylestab[style_Name],0),1))</f>
        <v>0</v>
      </c>
      <c r="C42" s="28">
        <f t="shared" si="0"/>
        <v>1</v>
      </c>
      <c r="D42" s="28">
        <f t="shared" si="1"/>
        <v>3</v>
      </c>
      <c r="E42" s="28">
        <f t="shared" si="2"/>
        <v>0</v>
      </c>
      <c r="F42" s="59" t="str">
        <f t="shared" si="3"/>
        <v/>
      </c>
      <c r="G42" s="42" t="s">
        <v>92</v>
      </c>
      <c r="H42" s="43" t="s">
        <v>465</v>
      </c>
      <c r="I42" s="44" t="s">
        <v>2286</v>
      </c>
      <c r="J42" s="45" t="s">
        <v>529</v>
      </c>
      <c r="K42" s="46" t="s">
        <v>93</v>
      </c>
      <c r="L42" s="47" t="s">
        <v>2387</v>
      </c>
      <c r="M42" s="48" t="s">
        <v>2388</v>
      </c>
      <c r="N42" s="49"/>
      <c r="O42" s="50" t="s">
        <v>3286</v>
      </c>
      <c r="P42" s="59"/>
      <c r="Q42" s="59"/>
      <c r="R42" s="13"/>
    </row>
    <row r="43" spans="1:18" ht="75" x14ac:dyDescent="0.25">
      <c r="A43" s="9" t="s">
        <v>21</v>
      </c>
      <c r="B43" s="28">
        <f>IF(ISBLANK(A43),0,INDEX(txtstylestab[],MATCH(A43,txtstylestab[style_Name],0),1))</f>
        <v>0</v>
      </c>
      <c r="C43" s="28">
        <f t="shared" si="0"/>
        <v>1</v>
      </c>
      <c r="D43" s="28">
        <f t="shared" si="1"/>
        <v>3</v>
      </c>
      <c r="E43" s="28">
        <f t="shared" si="2"/>
        <v>0</v>
      </c>
      <c r="F43" s="59" t="str">
        <f t="shared" si="3"/>
        <v/>
      </c>
      <c r="G43" s="42" t="s">
        <v>1783</v>
      </c>
      <c r="H43" s="43" t="s">
        <v>1784</v>
      </c>
      <c r="I43" s="44" t="s">
        <v>1785</v>
      </c>
      <c r="J43" s="45" t="s">
        <v>1786</v>
      </c>
      <c r="K43" s="46" t="s">
        <v>1787</v>
      </c>
      <c r="L43" s="47" t="s">
        <v>2373</v>
      </c>
      <c r="M43" s="48" t="s">
        <v>2374</v>
      </c>
      <c r="N43" s="49"/>
      <c r="O43" s="50" t="s">
        <v>3221</v>
      </c>
      <c r="P43" s="59"/>
      <c r="Q43" s="59"/>
      <c r="R43" s="13"/>
    </row>
    <row r="44" spans="1:18" ht="60" x14ac:dyDescent="0.25">
      <c r="A44" s="9" t="s">
        <v>14</v>
      </c>
      <c r="B44" s="28">
        <f>IF(ISBLANK(A44),0,INDEX(txtstylestab[],MATCH(A44,txtstylestab[style_Name],0),1))</f>
        <v>6</v>
      </c>
      <c r="C44" s="28">
        <f t="shared" si="0"/>
        <v>1</v>
      </c>
      <c r="D44" s="28">
        <f t="shared" si="1"/>
        <v>3</v>
      </c>
      <c r="E44" s="28">
        <f t="shared" si="2"/>
        <v>0</v>
      </c>
      <c r="F44" s="59" t="str">
        <f t="shared" si="3"/>
        <v/>
      </c>
      <c r="G44" s="42" t="s">
        <v>975</v>
      </c>
      <c r="H44" s="43" t="s">
        <v>978</v>
      </c>
      <c r="I44" s="44" t="s">
        <v>980</v>
      </c>
      <c r="J44" s="45" t="s">
        <v>982</v>
      </c>
      <c r="K44" s="46" t="s">
        <v>1710</v>
      </c>
      <c r="L44" s="47" t="s">
        <v>2375</v>
      </c>
      <c r="M44" s="48" t="s">
        <v>2376</v>
      </c>
      <c r="N44" s="49"/>
      <c r="O44" s="50" t="s">
        <v>3222</v>
      </c>
      <c r="P44" s="59"/>
      <c r="Q44" s="59"/>
      <c r="R44" s="13"/>
    </row>
    <row r="45" spans="1:18" ht="60" x14ac:dyDescent="0.25">
      <c r="A45" s="9" t="s">
        <v>14</v>
      </c>
      <c r="B45" s="28">
        <f>IF(ISBLANK(A45),0,INDEX(txtstylestab[],MATCH(A45,txtstylestab[style_Name],0),1))</f>
        <v>6</v>
      </c>
      <c r="C45" s="28">
        <f t="shared" si="0"/>
        <v>1</v>
      </c>
      <c r="D45" s="28">
        <f t="shared" si="1"/>
        <v>3</v>
      </c>
      <c r="E45" s="28">
        <f t="shared" si="2"/>
        <v>0</v>
      </c>
      <c r="F45" s="59" t="str">
        <f t="shared" si="3"/>
        <v/>
      </c>
      <c r="G45" s="42" t="s">
        <v>976</v>
      </c>
      <c r="H45" s="43" t="s">
        <v>979</v>
      </c>
      <c r="I45" s="44" t="s">
        <v>981</v>
      </c>
      <c r="J45" s="45" t="s">
        <v>983</v>
      </c>
      <c r="K45" s="46" t="s">
        <v>986</v>
      </c>
      <c r="L45" s="47" t="s">
        <v>2377</v>
      </c>
      <c r="M45" s="48" t="s">
        <v>2378</v>
      </c>
      <c r="N45" s="49"/>
      <c r="O45" s="50" t="s">
        <v>3223</v>
      </c>
      <c r="P45" s="59"/>
      <c r="Q45" s="59"/>
      <c r="R45" s="13"/>
    </row>
    <row r="46" spans="1:18" ht="45" x14ac:dyDescent="0.25">
      <c r="A46" s="9" t="s">
        <v>14</v>
      </c>
      <c r="B46" s="28">
        <f>IF(ISBLANK(A46),0,INDEX(txtstylestab[],MATCH(A46,txtstylestab[style_Name],0),1))</f>
        <v>6</v>
      </c>
      <c r="C46" s="28">
        <f t="shared" si="0"/>
        <v>1</v>
      </c>
      <c r="D46" s="28">
        <f t="shared" si="1"/>
        <v>3</v>
      </c>
      <c r="E46" s="28">
        <f t="shared" si="2"/>
        <v>0</v>
      </c>
      <c r="F46" s="59" t="str">
        <f t="shared" si="3"/>
        <v/>
      </c>
      <c r="G46" s="42" t="s">
        <v>977</v>
      </c>
      <c r="H46" s="43" t="s">
        <v>978</v>
      </c>
      <c r="I46" s="44" t="s">
        <v>980</v>
      </c>
      <c r="J46" s="45" t="s">
        <v>984</v>
      </c>
      <c r="K46" s="46" t="s">
        <v>987</v>
      </c>
      <c r="L46" s="47" t="s">
        <v>2379</v>
      </c>
      <c r="M46" s="48" t="s">
        <v>2380</v>
      </c>
      <c r="N46" s="49"/>
      <c r="O46" s="50" t="s">
        <v>3224</v>
      </c>
      <c r="P46" s="59"/>
      <c r="Q46" s="59"/>
      <c r="R46" s="13"/>
    </row>
    <row r="47" spans="1:18" ht="135" x14ac:dyDescent="0.25">
      <c r="A47" s="9" t="s">
        <v>21</v>
      </c>
      <c r="B47" s="28">
        <f>IF(ISBLANK(A47),0,INDEX(txtstylestab[],MATCH(A47,txtstylestab[style_Name],0),1))</f>
        <v>0</v>
      </c>
      <c r="C47" s="28">
        <f t="shared" si="0"/>
        <v>1</v>
      </c>
      <c r="D47" s="28">
        <f t="shared" si="1"/>
        <v>3</v>
      </c>
      <c r="E47" s="28">
        <f t="shared" si="2"/>
        <v>0</v>
      </c>
      <c r="F47" s="59" t="str">
        <f t="shared" si="3"/>
        <v/>
      </c>
      <c r="G47" s="42" t="s">
        <v>2213</v>
      </c>
      <c r="H47" s="43" t="s">
        <v>2214</v>
      </c>
      <c r="I47" s="44" t="s">
        <v>2237</v>
      </c>
      <c r="J47" s="45" t="s">
        <v>94</v>
      </c>
      <c r="K47" s="46" t="s">
        <v>1711</v>
      </c>
      <c r="L47" s="47" t="s">
        <v>2381</v>
      </c>
      <c r="M47" s="48" t="s">
        <v>2382</v>
      </c>
      <c r="N47" s="49"/>
      <c r="O47" s="50" t="s">
        <v>3287</v>
      </c>
      <c r="P47" s="59"/>
      <c r="Q47" s="59"/>
      <c r="R47" s="13"/>
    </row>
    <row r="48" spans="1:18" ht="30" x14ac:dyDescent="0.25">
      <c r="A48" s="9" t="s">
        <v>21</v>
      </c>
      <c r="B48" s="28">
        <f>IF(ISBLANK(A48),0,INDEX(txtstylestab[],MATCH(A48,txtstylestab[style_Name],0),1))</f>
        <v>0</v>
      </c>
      <c r="C48" s="28">
        <f t="shared" si="0"/>
        <v>1</v>
      </c>
      <c r="D48" s="28">
        <f t="shared" si="1"/>
        <v>3</v>
      </c>
      <c r="E48" s="28">
        <f t="shared" si="2"/>
        <v>0</v>
      </c>
      <c r="F48" s="59" t="str">
        <f t="shared" si="3"/>
        <v/>
      </c>
      <c r="G48" s="42" t="s">
        <v>97</v>
      </c>
      <c r="H48" s="43" t="s">
        <v>96</v>
      </c>
      <c r="I48" s="44" t="s">
        <v>48</v>
      </c>
      <c r="J48" s="45" t="s">
        <v>397</v>
      </c>
      <c r="K48" s="46" t="s">
        <v>59</v>
      </c>
      <c r="L48" s="47" t="s">
        <v>2383</v>
      </c>
      <c r="M48" s="48" t="s">
        <v>2384</v>
      </c>
      <c r="N48" s="49"/>
      <c r="O48" s="50" t="s">
        <v>3226</v>
      </c>
      <c r="P48" s="59"/>
      <c r="Q48" s="59"/>
      <c r="R48" s="13"/>
    </row>
    <row r="49" spans="1:18" ht="15.75" thickBot="1" x14ac:dyDescent="0.3">
      <c r="A49" s="9" t="s">
        <v>12</v>
      </c>
      <c r="B49" s="28">
        <f>IF(ISBLANK(A49),0,INDEX(txtstylestab[],MATCH(A49,txtstylestab[style_Name],0),1))</f>
        <v>3</v>
      </c>
      <c r="C49" s="28">
        <f t="shared" si="0"/>
        <v>1</v>
      </c>
      <c r="D49" s="28">
        <f t="shared" si="1"/>
        <v>3</v>
      </c>
      <c r="E49" s="28">
        <f t="shared" si="2"/>
        <v>1</v>
      </c>
      <c r="F49" s="55" t="str">
        <f t="shared" si="3"/>
        <v>1.3.1.</v>
      </c>
      <c r="G49" s="70" t="s">
        <v>98</v>
      </c>
      <c r="H49" s="70"/>
      <c r="I49" s="70"/>
      <c r="J49" s="70"/>
      <c r="K49" s="70"/>
      <c r="L49" s="71"/>
      <c r="M49" s="71"/>
      <c r="N49" s="70"/>
      <c r="O49" s="70"/>
      <c r="P49" s="70"/>
      <c r="Q49" s="70"/>
      <c r="R49" s="13"/>
    </row>
    <row r="50" spans="1:18" x14ac:dyDescent="0.25">
      <c r="A50" s="9" t="s">
        <v>22</v>
      </c>
      <c r="B50" s="28">
        <f>IF(ISBLANK(A50),0,INDEX(txtstylestab[],MATCH(A50,txtstylestab[style_Name],0),1))</f>
        <v>4</v>
      </c>
      <c r="C50" s="28">
        <f t="shared" si="0"/>
        <v>1</v>
      </c>
      <c r="D50" s="28">
        <f t="shared" si="1"/>
        <v>3</v>
      </c>
      <c r="E50" s="28">
        <f t="shared" si="2"/>
        <v>1</v>
      </c>
      <c r="F50" s="56" t="str">
        <f t="shared" si="3"/>
        <v/>
      </c>
      <c r="G50" s="67" t="s">
        <v>1788</v>
      </c>
      <c r="H50" s="67"/>
      <c r="I50" s="67"/>
      <c r="J50" s="67"/>
      <c r="K50" s="67"/>
      <c r="L50" s="67"/>
      <c r="M50" s="67"/>
      <c r="N50" s="67"/>
      <c r="O50" s="67"/>
      <c r="P50" s="67"/>
      <c r="Q50" s="67"/>
      <c r="R50" s="13"/>
    </row>
    <row r="51" spans="1:18" x14ac:dyDescent="0.25">
      <c r="A51" s="9" t="s">
        <v>21</v>
      </c>
      <c r="B51" s="28">
        <f>IF(ISBLANK(A51),0,INDEX(txtstylestab[],MATCH(A51,txtstylestab[style_Name],0),1))</f>
        <v>0</v>
      </c>
      <c r="C51" s="28">
        <f t="shared" si="0"/>
        <v>1</v>
      </c>
      <c r="D51" s="28">
        <f t="shared" si="1"/>
        <v>3</v>
      </c>
      <c r="E51" s="28">
        <f t="shared" si="2"/>
        <v>1</v>
      </c>
      <c r="F51" s="59" t="str">
        <f t="shared" si="3"/>
        <v/>
      </c>
      <c r="G51" s="61" t="s">
        <v>82</v>
      </c>
      <c r="H51" s="62"/>
      <c r="I51" s="63"/>
      <c r="J51" s="64"/>
      <c r="K51" s="65"/>
      <c r="L51" s="71"/>
      <c r="M51" s="71"/>
      <c r="N51" s="72"/>
      <c r="O51" s="72"/>
      <c r="P51" s="73"/>
      <c r="Q51" s="74"/>
      <c r="R51" s="13"/>
    </row>
    <row r="52" spans="1:18" ht="60" x14ac:dyDescent="0.25">
      <c r="A52" s="9" t="s">
        <v>21</v>
      </c>
      <c r="B52" s="28">
        <f>IF(ISBLANK(A52),0,INDEX(txtstylestab[],MATCH(A52,txtstylestab[style_Name],0),1))</f>
        <v>0</v>
      </c>
      <c r="C52" s="28">
        <f t="shared" si="0"/>
        <v>1</v>
      </c>
      <c r="D52" s="28">
        <f t="shared" si="1"/>
        <v>3</v>
      </c>
      <c r="E52" s="28">
        <f t="shared" si="2"/>
        <v>1</v>
      </c>
      <c r="F52" s="59" t="str">
        <f t="shared" si="3"/>
        <v/>
      </c>
      <c r="G52" s="61" t="s">
        <v>99</v>
      </c>
      <c r="H52" s="62"/>
      <c r="I52" s="63"/>
      <c r="J52" s="64"/>
      <c r="K52" s="65"/>
      <c r="L52" s="71"/>
      <c r="M52" s="71"/>
      <c r="N52" s="72"/>
      <c r="O52" s="72"/>
      <c r="P52" s="73"/>
      <c r="Q52" s="74"/>
      <c r="R52" s="13"/>
    </row>
    <row r="53" spans="1:18" x14ac:dyDescent="0.25">
      <c r="A53" s="9" t="s">
        <v>21</v>
      </c>
      <c r="B53" s="28">
        <f>IF(ISBLANK(A53),0,INDEX(txtstylestab[],MATCH(A53,txtstylestab[style_Name],0),1))</f>
        <v>0</v>
      </c>
      <c r="C53" s="28">
        <f t="shared" si="0"/>
        <v>1</v>
      </c>
      <c r="D53" s="28">
        <f t="shared" si="1"/>
        <v>3</v>
      </c>
      <c r="E53" s="28">
        <f t="shared" si="2"/>
        <v>1</v>
      </c>
      <c r="F53" s="59" t="str">
        <f t="shared" si="3"/>
        <v/>
      </c>
      <c r="G53" s="61" t="s">
        <v>100</v>
      </c>
      <c r="H53" s="62"/>
      <c r="I53" s="63"/>
      <c r="J53" s="64"/>
      <c r="K53" s="65"/>
      <c r="L53" s="71"/>
      <c r="M53" s="71"/>
      <c r="N53" s="72"/>
      <c r="O53" s="72"/>
      <c r="P53" s="73"/>
      <c r="Q53" s="74"/>
      <c r="R53" s="13"/>
    </row>
    <row r="54" spans="1:18" ht="18" thickBot="1" x14ac:dyDescent="0.35">
      <c r="A54" s="9" t="s">
        <v>11</v>
      </c>
      <c r="B54" s="28">
        <f>IF(ISBLANK(A54),0,INDEX(txtstylestab[],MATCH(A54,txtstylestab[style_Name],0),1))</f>
        <v>2</v>
      </c>
      <c r="C54" s="28">
        <f t="shared" si="0"/>
        <v>1</v>
      </c>
      <c r="D54" s="28">
        <f t="shared" si="1"/>
        <v>4</v>
      </c>
      <c r="E54" s="28">
        <f t="shared" si="2"/>
        <v>0</v>
      </c>
      <c r="F54" s="54" t="str">
        <f t="shared" si="3"/>
        <v>1.4.</v>
      </c>
      <c r="G54" s="68" t="s">
        <v>101</v>
      </c>
      <c r="H54" s="68"/>
      <c r="I54" s="68"/>
      <c r="J54" s="68"/>
      <c r="K54" s="68"/>
      <c r="L54" s="68"/>
      <c r="M54" s="68"/>
      <c r="N54" s="68"/>
      <c r="O54" s="68"/>
      <c r="P54" s="68"/>
      <c r="Q54" s="68"/>
      <c r="R54" s="13"/>
    </row>
    <row r="55" spans="1:18" ht="15.75" thickTop="1" x14ac:dyDescent="0.25">
      <c r="A55" s="9" t="s">
        <v>21</v>
      </c>
      <c r="B55" s="28">
        <f>IF(ISBLANK(A55),0,INDEX(txtstylestab[],MATCH(A55,txtstylestab[style_Name],0),1))</f>
        <v>0</v>
      </c>
      <c r="C55" s="28">
        <f t="shared" si="0"/>
        <v>1</v>
      </c>
      <c r="D55" s="28">
        <f t="shared" si="1"/>
        <v>4</v>
      </c>
      <c r="E55" s="28">
        <f t="shared" si="2"/>
        <v>0</v>
      </c>
      <c r="F55" s="59" t="str">
        <f t="shared" si="3"/>
        <v/>
      </c>
      <c r="G55" s="42" t="s">
        <v>82</v>
      </c>
      <c r="H55" s="43" t="s">
        <v>83</v>
      </c>
      <c r="I55" s="44" t="s">
        <v>84</v>
      </c>
      <c r="J55" s="45" t="s">
        <v>85</v>
      </c>
      <c r="K55" s="46" t="s">
        <v>86</v>
      </c>
      <c r="L55" s="47" t="s">
        <v>2397</v>
      </c>
      <c r="M55" s="48" t="s">
        <v>2332</v>
      </c>
      <c r="N55" s="49"/>
      <c r="O55" s="50" t="s">
        <v>3161</v>
      </c>
      <c r="P55" s="59"/>
      <c r="Q55" s="59"/>
      <c r="R55" s="13"/>
    </row>
    <row r="56" spans="1:18" ht="60" x14ac:dyDescent="0.25">
      <c r="A56" s="9" t="s">
        <v>21</v>
      </c>
      <c r="B56" s="28">
        <f>IF(ISBLANK(A56),0,INDEX(txtstylestab[],MATCH(A56,txtstylestab[style_Name],0),1))</f>
        <v>0</v>
      </c>
      <c r="C56" s="28">
        <f t="shared" si="0"/>
        <v>1</v>
      </c>
      <c r="D56" s="28">
        <f t="shared" si="1"/>
        <v>4</v>
      </c>
      <c r="E56" s="28">
        <f t="shared" si="2"/>
        <v>0</v>
      </c>
      <c r="F56" s="59" t="str">
        <f t="shared" si="3"/>
        <v/>
      </c>
      <c r="G56" s="42" t="s">
        <v>102</v>
      </c>
      <c r="H56" s="43" t="s">
        <v>103</v>
      </c>
      <c r="I56" s="44" t="s">
        <v>104</v>
      </c>
      <c r="J56" s="45" t="s">
        <v>105</v>
      </c>
      <c r="K56" s="46" t="s">
        <v>106</v>
      </c>
      <c r="L56" s="47" t="s">
        <v>2398</v>
      </c>
      <c r="M56" s="48" t="s">
        <v>2399</v>
      </c>
      <c r="N56" s="49"/>
      <c r="O56" s="50" t="s">
        <v>3289</v>
      </c>
      <c r="P56" s="59"/>
      <c r="Q56" s="59"/>
      <c r="R56" s="13"/>
    </row>
    <row r="57" spans="1:18" ht="15.75" thickBot="1" x14ac:dyDescent="0.3">
      <c r="A57" s="9" t="s">
        <v>12</v>
      </c>
      <c r="B57" s="28">
        <f>IF(ISBLANK(A57),0,INDEX(txtstylestab[],MATCH(A57,txtstylestab[style_Name],0),1))</f>
        <v>3</v>
      </c>
      <c r="C57" s="28">
        <f t="shared" si="0"/>
        <v>1</v>
      </c>
      <c r="D57" s="28">
        <f t="shared" si="1"/>
        <v>4</v>
      </c>
      <c r="E57" s="28">
        <f t="shared" si="2"/>
        <v>1</v>
      </c>
      <c r="F57" s="55" t="str">
        <f t="shared" si="3"/>
        <v>1.4.1.</v>
      </c>
      <c r="G57" s="70" t="s">
        <v>107</v>
      </c>
      <c r="H57" s="70"/>
      <c r="I57" s="70"/>
      <c r="J57" s="70"/>
      <c r="K57" s="70"/>
      <c r="L57" s="70"/>
      <c r="M57" s="70"/>
      <c r="N57" s="70"/>
      <c r="O57" s="70"/>
      <c r="P57" s="70"/>
      <c r="Q57" s="70"/>
      <c r="R57" s="13"/>
    </row>
    <row r="58" spans="1:18" x14ac:dyDescent="0.25">
      <c r="A58" s="9" t="s">
        <v>22</v>
      </c>
      <c r="B58" s="28">
        <f>IF(ISBLANK(A58),0,INDEX(txtstylestab[],MATCH(A58,txtstylestab[style_Name],0),1))</f>
        <v>4</v>
      </c>
      <c r="C58" s="28">
        <f t="shared" si="0"/>
        <v>1</v>
      </c>
      <c r="D58" s="28">
        <f t="shared" si="1"/>
        <v>4</v>
      </c>
      <c r="E58" s="28">
        <f t="shared" si="2"/>
        <v>1</v>
      </c>
      <c r="F58" s="56" t="str">
        <f t="shared" si="3"/>
        <v/>
      </c>
      <c r="G58" s="67" t="s">
        <v>108</v>
      </c>
      <c r="H58" s="67"/>
      <c r="I58" s="67"/>
      <c r="J58" s="67"/>
      <c r="K58" s="67"/>
      <c r="L58" s="67"/>
      <c r="M58" s="67"/>
      <c r="N58" s="67"/>
      <c r="O58" s="67"/>
      <c r="P58" s="67"/>
      <c r="Q58" s="67"/>
      <c r="R58" s="13"/>
    </row>
    <row r="59" spans="1:18" ht="30" x14ac:dyDescent="0.25">
      <c r="A59" s="9" t="s">
        <v>21</v>
      </c>
      <c r="B59" s="28">
        <f>IF(ISBLANK(A59),0,INDEX(txtstylestab[],MATCH(A59,txtstylestab[style_Name],0),1))</f>
        <v>0</v>
      </c>
      <c r="C59" s="28">
        <f t="shared" si="0"/>
        <v>1</v>
      </c>
      <c r="D59" s="28">
        <f t="shared" si="1"/>
        <v>4</v>
      </c>
      <c r="E59" s="28">
        <f t="shared" si="2"/>
        <v>1</v>
      </c>
      <c r="F59" s="59" t="str">
        <f t="shared" si="3"/>
        <v/>
      </c>
      <c r="G59" s="42" t="s">
        <v>109</v>
      </c>
      <c r="H59" s="43" t="s">
        <v>110</v>
      </c>
      <c r="I59" s="44" t="s">
        <v>111</v>
      </c>
      <c r="J59" s="45" t="s">
        <v>112</v>
      </c>
      <c r="K59" s="46" t="s">
        <v>113</v>
      </c>
      <c r="L59" s="47" t="s">
        <v>2400</v>
      </c>
      <c r="M59" s="48" t="s">
        <v>2401</v>
      </c>
      <c r="N59" s="49"/>
      <c r="O59" s="50" t="s">
        <v>3290</v>
      </c>
      <c r="P59" s="59"/>
      <c r="Q59" s="59"/>
      <c r="R59" s="13"/>
    </row>
    <row r="60" spans="1:18" ht="45" x14ac:dyDescent="0.25">
      <c r="A60" s="9" t="s">
        <v>21</v>
      </c>
      <c r="B60" s="28">
        <f>IF(ISBLANK(A60),0,INDEX(txtstylestab[],MATCH(A60,txtstylestab[style_Name],0),1))</f>
        <v>0</v>
      </c>
      <c r="C60" s="28">
        <f t="shared" si="0"/>
        <v>1</v>
      </c>
      <c r="D60" s="28">
        <f t="shared" si="1"/>
        <v>4</v>
      </c>
      <c r="E60" s="28">
        <f t="shared" si="2"/>
        <v>1</v>
      </c>
      <c r="F60" s="59" t="str">
        <f t="shared" si="3"/>
        <v/>
      </c>
      <c r="G60" s="42" t="s">
        <v>114</v>
      </c>
      <c r="H60" s="43" t="s">
        <v>115</v>
      </c>
      <c r="I60" s="44" t="s">
        <v>116</v>
      </c>
      <c r="J60" s="45" t="s">
        <v>117</v>
      </c>
      <c r="K60" s="46" t="s">
        <v>118</v>
      </c>
      <c r="L60" s="47" t="s">
        <v>2402</v>
      </c>
      <c r="M60" s="48" t="s">
        <v>2403</v>
      </c>
      <c r="N60" s="49"/>
      <c r="O60" s="50" t="s">
        <v>3294</v>
      </c>
      <c r="P60" s="59"/>
      <c r="Q60" s="59"/>
      <c r="R60" s="13"/>
    </row>
    <row r="61" spans="1:18" x14ac:dyDescent="0.25">
      <c r="A61" s="9" t="s">
        <v>21</v>
      </c>
      <c r="B61" s="28">
        <f>IF(ISBLANK(A61),0,INDEX(txtstylestab[],MATCH(A61,txtstylestab[style_Name],0),1))</f>
        <v>0</v>
      </c>
      <c r="C61" s="28">
        <f t="shared" si="0"/>
        <v>1</v>
      </c>
      <c r="D61" s="28">
        <f t="shared" si="1"/>
        <v>4</v>
      </c>
      <c r="E61" s="28">
        <f t="shared" si="2"/>
        <v>1</v>
      </c>
      <c r="F61" s="59" t="str">
        <f t="shared" si="3"/>
        <v/>
      </c>
      <c r="G61" s="42" t="s">
        <v>119</v>
      </c>
      <c r="H61" s="43" t="s">
        <v>120</v>
      </c>
      <c r="I61" s="44" t="s">
        <v>121</v>
      </c>
      <c r="J61" s="45" t="s">
        <v>122</v>
      </c>
      <c r="K61" s="46" t="s">
        <v>123</v>
      </c>
      <c r="L61" s="47" t="s">
        <v>2404</v>
      </c>
      <c r="M61" s="48" t="s">
        <v>2405</v>
      </c>
      <c r="N61" s="49"/>
      <c r="O61" s="50" t="s">
        <v>3298</v>
      </c>
      <c r="P61" s="59"/>
      <c r="Q61" s="59"/>
      <c r="R61" s="13"/>
    </row>
    <row r="62" spans="1:18" ht="30" x14ac:dyDescent="0.25">
      <c r="A62" s="9" t="s">
        <v>21</v>
      </c>
      <c r="B62" s="28">
        <f>IF(ISBLANK(A62),0,INDEX(txtstylestab[],MATCH(A62,txtstylestab[style_Name],0),1))</f>
        <v>0</v>
      </c>
      <c r="C62" s="28">
        <f t="shared" si="0"/>
        <v>1</v>
      </c>
      <c r="D62" s="28">
        <f t="shared" si="1"/>
        <v>4</v>
      </c>
      <c r="E62" s="28">
        <f t="shared" si="2"/>
        <v>1</v>
      </c>
      <c r="F62" s="59" t="str">
        <f t="shared" si="3"/>
        <v/>
      </c>
      <c r="G62" s="42" t="s">
        <v>124</v>
      </c>
      <c r="H62" s="43" t="s">
        <v>125</v>
      </c>
      <c r="I62" s="44" t="s">
        <v>126</v>
      </c>
      <c r="J62" s="45" t="s">
        <v>127</v>
      </c>
      <c r="K62" s="46" t="s">
        <v>128</v>
      </c>
      <c r="L62" s="47" t="s">
        <v>2406</v>
      </c>
      <c r="M62" s="48" t="s">
        <v>2407</v>
      </c>
      <c r="N62" s="49"/>
      <c r="O62" s="50" t="s">
        <v>3473</v>
      </c>
      <c r="P62" s="59"/>
      <c r="Q62" s="59"/>
      <c r="R62" s="13"/>
    </row>
    <row r="63" spans="1:18" ht="45" x14ac:dyDescent="0.25">
      <c r="A63" s="9" t="s">
        <v>21</v>
      </c>
      <c r="B63" s="28">
        <f>IF(ISBLANK(A63),0,INDEX(txtstylestab[],MATCH(A63,txtstylestab[style_Name],0),1))</f>
        <v>0</v>
      </c>
      <c r="C63" s="28">
        <f t="shared" si="0"/>
        <v>1</v>
      </c>
      <c r="D63" s="28">
        <f t="shared" si="1"/>
        <v>4</v>
      </c>
      <c r="E63" s="28">
        <f t="shared" si="2"/>
        <v>1</v>
      </c>
      <c r="F63" s="59" t="str">
        <f t="shared" si="3"/>
        <v/>
      </c>
      <c r="G63" s="42" t="s">
        <v>129</v>
      </c>
      <c r="H63" s="43" t="s">
        <v>130</v>
      </c>
      <c r="I63" s="44" t="s">
        <v>131</v>
      </c>
      <c r="J63" s="45" t="s">
        <v>132</v>
      </c>
      <c r="K63" s="46" t="s">
        <v>133</v>
      </c>
      <c r="L63" s="47" t="s">
        <v>2408</v>
      </c>
      <c r="M63" s="48" t="s">
        <v>2409</v>
      </c>
      <c r="N63" s="49"/>
      <c r="O63" s="50" t="s">
        <v>3300</v>
      </c>
      <c r="P63" s="59"/>
      <c r="Q63" s="59"/>
      <c r="R63" s="13"/>
    </row>
    <row r="64" spans="1:18" ht="45" x14ac:dyDescent="0.25">
      <c r="A64" s="9" t="s">
        <v>21</v>
      </c>
      <c r="B64" s="28">
        <f>IF(ISBLANK(A64),0,INDEX(txtstylestab[],MATCH(A64,txtstylestab[style_Name],0),1))</f>
        <v>0</v>
      </c>
      <c r="C64" s="28">
        <f t="shared" si="0"/>
        <v>1</v>
      </c>
      <c r="D64" s="28">
        <f t="shared" si="1"/>
        <v>4</v>
      </c>
      <c r="E64" s="28">
        <f t="shared" si="2"/>
        <v>1</v>
      </c>
      <c r="F64" s="59" t="str">
        <f t="shared" si="3"/>
        <v/>
      </c>
      <c r="G64" s="42" t="s">
        <v>134</v>
      </c>
      <c r="H64" s="43" t="s">
        <v>163</v>
      </c>
      <c r="I64" s="44" t="s">
        <v>135</v>
      </c>
      <c r="J64" s="45" t="s">
        <v>136</v>
      </c>
      <c r="K64" s="46" t="s">
        <v>137</v>
      </c>
      <c r="L64" s="47" t="s">
        <v>2410</v>
      </c>
      <c r="M64" s="48" t="s">
        <v>2411</v>
      </c>
      <c r="N64" s="49"/>
      <c r="O64" s="50" t="s">
        <v>3291</v>
      </c>
      <c r="P64" s="59"/>
      <c r="Q64" s="59"/>
      <c r="R64" s="13"/>
    </row>
    <row r="65" spans="1:18" ht="75" x14ac:dyDescent="0.25">
      <c r="A65" s="9" t="s">
        <v>21</v>
      </c>
      <c r="B65" s="28">
        <f>IF(ISBLANK(A65),0,INDEX(txtstylestab[],MATCH(A65,txtstylestab[style_Name],0),1))</f>
        <v>0</v>
      </c>
      <c r="C65" s="28">
        <f t="shared" si="0"/>
        <v>1</v>
      </c>
      <c r="D65" s="28">
        <f t="shared" si="1"/>
        <v>4</v>
      </c>
      <c r="E65" s="28">
        <f t="shared" si="2"/>
        <v>1</v>
      </c>
      <c r="F65" s="59" t="str">
        <f t="shared" si="3"/>
        <v/>
      </c>
      <c r="G65" s="42" t="s">
        <v>138</v>
      </c>
      <c r="H65" s="43" t="s">
        <v>139</v>
      </c>
      <c r="I65" s="44" t="s">
        <v>140</v>
      </c>
      <c r="J65" s="45" t="s">
        <v>141</v>
      </c>
      <c r="K65" s="46" t="s">
        <v>142</v>
      </c>
      <c r="L65" s="47" t="s">
        <v>2412</v>
      </c>
      <c r="M65" s="48" t="s">
        <v>2413</v>
      </c>
      <c r="N65" s="49"/>
      <c r="O65" s="50" t="s">
        <v>3292</v>
      </c>
      <c r="P65" s="59"/>
      <c r="Q65" s="59"/>
      <c r="R65" s="13"/>
    </row>
    <row r="66" spans="1:18" ht="30" x14ac:dyDescent="0.25">
      <c r="A66" s="9" t="s">
        <v>21</v>
      </c>
      <c r="B66" s="28">
        <f>IF(ISBLANK(A66),0,INDEX(txtstylestab[],MATCH(A66,txtstylestab[style_Name],0),1))</f>
        <v>0</v>
      </c>
      <c r="C66" s="28">
        <f t="shared" si="0"/>
        <v>1</v>
      </c>
      <c r="D66" s="28">
        <f t="shared" si="1"/>
        <v>4</v>
      </c>
      <c r="E66" s="28">
        <f t="shared" si="2"/>
        <v>1</v>
      </c>
      <c r="F66" s="59" t="str">
        <f t="shared" si="3"/>
        <v/>
      </c>
      <c r="G66" s="42" t="s">
        <v>143</v>
      </c>
      <c r="H66" s="43" t="s">
        <v>144</v>
      </c>
      <c r="I66" s="44" t="s">
        <v>145</v>
      </c>
      <c r="J66" s="45" t="s">
        <v>146</v>
      </c>
      <c r="K66" s="46" t="s">
        <v>147</v>
      </c>
      <c r="L66" s="47" t="s">
        <v>2414</v>
      </c>
      <c r="M66" s="48" t="s">
        <v>2415</v>
      </c>
      <c r="N66" s="49"/>
      <c r="O66" s="50" t="s">
        <v>3293</v>
      </c>
      <c r="P66" s="59"/>
      <c r="Q66" s="59"/>
      <c r="R66" s="13"/>
    </row>
    <row r="67" spans="1:18" x14ac:dyDescent="0.25">
      <c r="A67" s="9" t="s">
        <v>22</v>
      </c>
      <c r="B67" s="28">
        <f>IF(ISBLANK(A67),0,INDEX(txtstylestab[],MATCH(A67,txtstylestab[style_Name],0),1))</f>
        <v>4</v>
      </c>
      <c r="C67" s="28">
        <f t="shared" si="0"/>
        <v>1</v>
      </c>
      <c r="D67" s="28">
        <f t="shared" si="1"/>
        <v>4</v>
      </c>
      <c r="E67" s="28">
        <f t="shared" si="2"/>
        <v>1</v>
      </c>
      <c r="F67" s="56" t="str">
        <f t="shared" si="3"/>
        <v/>
      </c>
      <c r="G67" s="67" t="s">
        <v>148</v>
      </c>
      <c r="H67" s="67"/>
      <c r="I67" s="67"/>
      <c r="J67" s="67"/>
      <c r="K67" s="67"/>
      <c r="L67" s="67"/>
      <c r="M67" s="67"/>
      <c r="N67" s="67"/>
      <c r="O67" s="67"/>
      <c r="P67" s="67"/>
      <c r="Q67" s="67"/>
      <c r="R67" s="13"/>
    </row>
    <row r="68" spans="1:18" ht="30" x14ac:dyDescent="0.25">
      <c r="A68" s="9" t="s">
        <v>21</v>
      </c>
      <c r="B68" s="28">
        <f>IF(ISBLANK(A68),0,INDEX(txtstylestab[],MATCH(A68,txtstylestab[style_Name],0),1))</f>
        <v>0</v>
      </c>
      <c r="C68" s="28">
        <f t="shared" ref="C68:C131" si="4">IF(B68=1,C67+1,C67)</f>
        <v>1</v>
      </c>
      <c r="D68" s="28">
        <f t="shared" ref="D68:D131" si="5">IF(B68=1,0,IF(B68=2,D67+1,IF(AND(B68=3,D67=0),1,D67)))</f>
        <v>4</v>
      </c>
      <c r="E68" s="28">
        <f t="shared" ref="E68:E131" si="6">IF(OR(B68=1,B68=2),0,IF(B68=3,E67+1,E67))</f>
        <v>1</v>
      </c>
      <c r="F68" s="59" t="str">
        <f t="shared" ref="F68:F131" si="7">IF(OR(B68=1,B68=2,B68=3),TEXT(C68,"#")&amp;".","")&amp;IF(OR(B68=2,B68=3),TEXT(D68,"#")&amp;".","")&amp;IF(B68=3,TEXT(E68,"#")&amp;".","")</f>
        <v/>
      </c>
      <c r="G68" s="42" t="s">
        <v>149</v>
      </c>
      <c r="H68" s="43" t="s">
        <v>150</v>
      </c>
      <c r="I68" s="44" t="s">
        <v>151</v>
      </c>
      <c r="J68" s="45" t="s">
        <v>152</v>
      </c>
      <c r="K68" s="46" t="s">
        <v>153</v>
      </c>
      <c r="L68" s="47" t="s">
        <v>2416</v>
      </c>
      <c r="M68" s="48" t="s">
        <v>2417</v>
      </c>
      <c r="N68" s="49"/>
      <c r="O68" s="50" t="s">
        <v>3295</v>
      </c>
      <c r="P68" s="59"/>
      <c r="Q68" s="59"/>
      <c r="R68" s="13"/>
    </row>
    <row r="69" spans="1:18" ht="45" x14ac:dyDescent="0.25">
      <c r="A69" s="9" t="s">
        <v>21</v>
      </c>
      <c r="B69" s="28">
        <f>IF(ISBLANK(A69),0,INDEX(txtstylestab[],MATCH(A69,txtstylestab[style_Name],0),1))</f>
        <v>0</v>
      </c>
      <c r="C69" s="28">
        <f t="shared" si="4"/>
        <v>1</v>
      </c>
      <c r="D69" s="28">
        <f t="shared" si="5"/>
        <v>4</v>
      </c>
      <c r="E69" s="28">
        <f t="shared" si="6"/>
        <v>1</v>
      </c>
      <c r="F69" s="59" t="str">
        <f t="shared" si="7"/>
        <v/>
      </c>
      <c r="G69" s="42" t="s">
        <v>114</v>
      </c>
      <c r="H69" s="43" t="s">
        <v>115</v>
      </c>
      <c r="I69" s="44" t="s">
        <v>116</v>
      </c>
      <c r="J69" s="45" t="s">
        <v>154</v>
      </c>
      <c r="K69" s="46" t="s">
        <v>118</v>
      </c>
      <c r="L69" s="47" t="s">
        <v>2402</v>
      </c>
      <c r="M69" s="48" t="s">
        <v>2403</v>
      </c>
      <c r="N69" s="49"/>
      <c r="O69" s="50" t="s">
        <v>3294</v>
      </c>
      <c r="P69" s="59"/>
      <c r="Q69" s="59"/>
      <c r="R69" s="13"/>
    </row>
    <row r="70" spans="1:18" x14ac:dyDescent="0.25">
      <c r="A70" s="9" t="s">
        <v>21</v>
      </c>
      <c r="B70" s="28">
        <f>IF(ISBLANK(A70),0,INDEX(txtstylestab[],MATCH(A70,txtstylestab[style_Name],0),1))</f>
        <v>0</v>
      </c>
      <c r="C70" s="28">
        <f t="shared" si="4"/>
        <v>1</v>
      </c>
      <c r="D70" s="28">
        <f t="shared" si="5"/>
        <v>4</v>
      </c>
      <c r="E70" s="28">
        <f t="shared" si="6"/>
        <v>1</v>
      </c>
      <c r="F70" s="59" t="str">
        <f t="shared" si="7"/>
        <v/>
      </c>
      <c r="G70" s="42" t="s">
        <v>155</v>
      </c>
      <c r="H70" s="43" t="s">
        <v>156</v>
      </c>
      <c r="I70" s="44" t="s">
        <v>121</v>
      </c>
      <c r="J70" s="45" t="s">
        <v>122</v>
      </c>
      <c r="K70" s="46" t="s">
        <v>123</v>
      </c>
      <c r="L70" s="47" t="s">
        <v>2404</v>
      </c>
      <c r="M70" s="48" t="s">
        <v>2418</v>
      </c>
      <c r="N70" s="49"/>
      <c r="O70" s="50" t="s">
        <v>3298</v>
      </c>
      <c r="P70" s="59"/>
      <c r="Q70" s="59"/>
      <c r="R70" s="13"/>
    </row>
    <row r="71" spans="1:18" ht="30" x14ac:dyDescent="0.25">
      <c r="A71" s="9" t="s">
        <v>21</v>
      </c>
      <c r="B71" s="28">
        <f>IF(ISBLANK(A71),0,INDEX(txtstylestab[],MATCH(A71,txtstylestab[style_Name],0),1))</f>
        <v>0</v>
      </c>
      <c r="C71" s="28">
        <f t="shared" si="4"/>
        <v>1</v>
      </c>
      <c r="D71" s="28">
        <f t="shared" si="5"/>
        <v>4</v>
      </c>
      <c r="E71" s="28">
        <f t="shared" si="6"/>
        <v>1</v>
      </c>
      <c r="F71" s="59" t="str">
        <f t="shared" si="7"/>
        <v/>
      </c>
      <c r="G71" s="42" t="s">
        <v>157</v>
      </c>
      <c r="H71" s="43" t="s">
        <v>158</v>
      </c>
      <c r="I71" s="44" t="s">
        <v>159</v>
      </c>
      <c r="J71" s="45" t="s">
        <v>160</v>
      </c>
      <c r="K71" s="46" t="s">
        <v>161</v>
      </c>
      <c r="L71" s="47" t="s">
        <v>2419</v>
      </c>
      <c r="M71" s="48" t="s">
        <v>2420</v>
      </c>
      <c r="N71" s="49"/>
      <c r="O71" s="50" t="s">
        <v>3299</v>
      </c>
      <c r="P71" s="59"/>
      <c r="Q71" s="59"/>
      <c r="R71" s="13"/>
    </row>
    <row r="72" spans="1:18" ht="30" x14ac:dyDescent="0.25">
      <c r="A72" s="9" t="s">
        <v>21</v>
      </c>
      <c r="B72" s="28">
        <f>IF(ISBLANK(A72),0,INDEX(txtstylestab[],MATCH(A72,txtstylestab[style_Name],0),1))</f>
        <v>0</v>
      </c>
      <c r="C72" s="28">
        <f t="shared" si="4"/>
        <v>1</v>
      </c>
      <c r="D72" s="28">
        <f t="shared" si="5"/>
        <v>4</v>
      </c>
      <c r="E72" s="28">
        <f t="shared" si="6"/>
        <v>1</v>
      </c>
      <c r="F72" s="59" t="str">
        <f t="shared" si="7"/>
        <v/>
      </c>
      <c r="G72" s="42" t="s">
        <v>124</v>
      </c>
      <c r="H72" s="43" t="s">
        <v>125</v>
      </c>
      <c r="I72" s="44" t="s">
        <v>126</v>
      </c>
      <c r="J72" s="45" t="s">
        <v>127</v>
      </c>
      <c r="K72" s="46" t="s">
        <v>128</v>
      </c>
      <c r="L72" s="47" t="s">
        <v>2421</v>
      </c>
      <c r="M72" s="48" t="s">
        <v>2422</v>
      </c>
      <c r="N72" s="49"/>
      <c r="O72" s="50" t="s">
        <v>3473</v>
      </c>
      <c r="P72" s="59"/>
      <c r="Q72" s="59"/>
      <c r="R72" s="13"/>
    </row>
    <row r="73" spans="1:18" ht="45" x14ac:dyDescent="0.25">
      <c r="A73" s="9" t="s">
        <v>21</v>
      </c>
      <c r="B73" s="28">
        <f>IF(ISBLANK(A73),0,INDEX(txtstylestab[],MATCH(A73,txtstylestab[style_Name],0),1))</f>
        <v>0</v>
      </c>
      <c r="C73" s="28">
        <f t="shared" si="4"/>
        <v>1</v>
      </c>
      <c r="D73" s="28">
        <f t="shared" si="5"/>
        <v>4</v>
      </c>
      <c r="E73" s="28">
        <f t="shared" si="6"/>
        <v>1</v>
      </c>
      <c r="F73" s="59" t="str">
        <f t="shared" si="7"/>
        <v/>
      </c>
      <c r="G73" s="42" t="s">
        <v>129</v>
      </c>
      <c r="H73" s="43" t="s">
        <v>130</v>
      </c>
      <c r="I73" s="44" t="s">
        <v>131</v>
      </c>
      <c r="J73" s="45" t="s">
        <v>162</v>
      </c>
      <c r="K73" s="46" t="s">
        <v>133</v>
      </c>
      <c r="L73" s="47" t="s">
        <v>2408</v>
      </c>
      <c r="M73" s="48" t="s">
        <v>2423</v>
      </c>
      <c r="N73" s="49"/>
      <c r="O73" s="50" t="s">
        <v>3296</v>
      </c>
      <c r="P73" s="59"/>
      <c r="Q73" s="59"/>
      <c r="R73" s="13"/>
    </row>
    <row r="74" spans="1:18" ht="45" x14ac:dyDescent="0.25">
      <c r="A74" s="9" t="s">
        <v>21</v>
      </c>
      <c r="B74" s="28">
        <f>IF(ISBLANK(A74),0,INDEX(txtstylestab[],MATCH(A74,txtstylestab[style_Name],0),1))</f>
        <v>0</v>
      </c>
      <c r="C74" s="28">
        <f t="shared" si="4"/>
        <v>1</v>
      </c>
      <c r="D74" s="28">
        <f t="shared" si="5"/>
        <v>4</v>
      </c>
      <c r="E74" s="28">
        <f t="shared" si="6"/>
        <v>1</v>
      </c>
      <c r="F74" s="59" t="str">
        <f t="shared" si="7"/>
        <v/>
      </c>
      <c r="G74" s="42" t="s">
        <v>134</v>
      </c>
      <c r="H74" s="43" t="s">
        <v>163</v>
      </c>
      <c r="I74" s="44" t="s">
        <v>135</v>
      </c>
      <c r="J74" s="45" t="s">
        <v>136</v>
      </c>
      <c r="K74" s="46" t="s">
        <v>137</v>
      </c>
      <c r="L74" s="47" t="s">
        <v>2424</v>
      </c>
      <c r="M74" s="48" t="s">
        <v>2425</v>
      </c>
      <c r="N74" s="49"/>
      <c r="O74" s="50" t="s">
        <v>3291</v>
      </c>
      <c r="P74" s="59"/>
      <c r="Q74" s="59"/>
      <c r="R74" s="13"/>
    </row>
    <row r="75" spans="1:18" ht="75" x14ac:dyDescent="0.25">
      <c r="A75" s="9" t="s">
        <v>21</v>
      </c>
      <c r="B75" s="28">
        <f>IF(ISBLANK(A75),0,INDEX(txtstylestab[],MATCH(A75,txtstylestab[style_Name],0),1))</f>
        <v>0</v>
      </c>
      <c r="C75" s="28">
        <f t="shared" si="4"/>
        <v>1</v>
      </c>
      <c r="D75" s="28">
        <f t="shared" si="5"/>
        <v>4</v>
      </c>
      <c r="E75" s="28">
        <f t="shared" si="6"/>
        <v>1</v>
      </c>
      <c r="F75" s="59" t="str">
        <f t="shared" si="7"/>
        <v/>
      </c>
      <c r="G75" s="42" t="s">
        <v>138</v>
      </c>
      <c r="H75" s="43" t="s">
        <v>139</v>
      </c>
      <c r="I75" s="44" t="s">
        <v>140</v>
      </c>
      <c r="J75" s="45" t="s">
        <v>141</v>
      </c>
      <c r="K75" s="46" t="s">
        <v>142</v>
      </c>
      <c r="L75" s="47" t="s">
        <v>2426</v>
      </c>
      <c r="M75" s="48" t="s">
        <v>2413</v>
      </c>
      <c r="N75" s="49"/>
      <c r="O75" s="50" t="s">
        <v>3292</v>
      </c>
      <c r="P75" s="59"/>
      <c r="Q75" s="59"/>
      <c r="R75" s="13"/>
    </row>
    <row r="76" spans="1:18" ht="30" x14ac:dyDescent="0.25">
      <c r="A76" s="9" t="s">
        <v>21</v>
      </c>
      <c r="B76" s="28">
        <f>IF(ISBLANK(A76),0,INDEX(txtstylestab[],MATCH(A76,txtstylestab[style_Name],0),1))</f>
        <v>0</v>
      </c>
      <c r="C76" s="28">
        <f t="shared" si="4"/>
        <v>1</v>
      </c>
      <c r="D76" s="28">
        <f t="shared" si="5"/>
        <v>4</v>
      </c>
      <c r="E76" s="28">
        <f t="shared" si="6"/>
        <v>1</v>
      </c>
      <c r="F76" s="59" t="str">
        <f t="shared" si="7"/>
        <v/>
      </c>
      <c r="G76" s="42" t="s">
        <v>143</v>
      </c>
      <c r="H76" s="43" t="s">
        <v>144</v>
      </c>
      <c r="I76" s="44" t="s">
        <v>180</v>
      </c>
      <c r="J76" s="45" t="s">
        <v>146</v>
      </c>
      <c r="K76" s="46" t="s">
        <v>147</v>
      </c>
      <c r="L76" s="47" t="s">
        <v>2414</v>
      </c>
      <c r="M76" s="48" t="s">
        <v>2415</v>
      </c>
      <c r="N76" s="49"/>
      <c r="O76" s="50" t="s">
        <v>3293</v>
      </c>
      <c r="P76" s="59"/>
      <c r="Q76" s="59"/>
      <c r="R76" s="13"/>
    </row>
    <row r="77" spans="1:18" x14ac:dyDescent="0.25">
      <c r="A77" s="9" t="s">
        <v>22</v>
      </c>
      <c r="B77" s="28">
        <f>IF(ISBLANK(A77),0,INDEX(txtstylestab[],MATCH(A77,txtstylestab[style_Name],0),1))</f>
        <v>4</v>
      </c>
      <c r="C77" s="28">
        <f t="shared" si="4"/>
        <v>1</v>
      </c>
      <c r="D77" s="28">
        <f t="shared" si="5"/>
        <v>4</v>
      </c>
      <c r="E77" s="28">
        <f t="shared" si="6"/>
        <v>1</v>
      </c>
      <c r="F77" s="56" t="str">
        <f t="shared" si="7"/>
        <v/>
      </c>
      <c r="G77" s="67" t="s">
        <v>164</v>
      </c>
      <c r="H77" s="67"/>
      <c r="I77" s="67"/>
      <c r="J77" s="67"/>
      <c r="K77" s="67"/>
      <c r="L77" s="67"/>
      <c r="M77" s="67"/>
      <c r="N77" s="67"/>
      <c r="O77" s="67"/>
      <c r="P77" s="67"/>
      <c r="Q77" s="67"/>
      <c r="R77" s="13"/>
    </row>
    <row r="78" spans="1:18" ht="30" x14ac:dyDescent="0.25">
      <c r="A78" s="9" t="s">
        <v>21</v>
      </c>
      <c r="B78" s="28">
        <f>IF(ISBLANK(A78),0,INDEX(txtstylestab[],MATCH(A78,txtstylestab[style_Name],0),1))</f>
        <v>0</v>
      </c>
      <c r="C78" s="28">
        <f t="shared" si="4"/>
        <v>1</v>
      </c>
      <c r="D78" s="28">
        <f t="shared" si="5"/>
        <v>4</v>
      </c>
      <c r="E78" s="28">
        <f t="shared" si="6"/>
        <v>1</v>
      </c>
      <c r="F78" s="59" t="str">
        <f t="shared" si="7"/>
        <v/>
      </c>
      <c r="G78" s="42" t="s">
        <v>165</v>
      </c>
      <c r="H78" s="43" t="s">
        <v>166</v>
      </c>
      <c r="I78" s="44" t="s">
        <v>167</v>
      </c>
      <c r="J78" s="45" t="s">
        <v>168</v>
      </c>
      <c r="K78" s="46" t="s">
        <v>169</v>
      </c>
      <c r="L78" s="47" t="s">
        <v>2427</v>
      </c>
      <c r="M78" s="48" t="s">
        <v>2428</v>
      </c>
      <c r="N78" s="49"/>
      <c r="O78" s="50" t="s">
        <v>3297</v>
      </c>
      <c r="P78" s="59"/>
      <c r="Q78" s="59"/>
      <c r="R78" s="13"/>
    </row>
    <row r="79" spans="1:18" ht="45" x14ac:dyDescent="0.25">
      <c r="A79" s="9" t="s">
        <v>21</v>
      </c>
      <c r="B79" s="28">
        <f>IF(ISBLANK(A79),0,INDEX(txtstylestab[],MATCH(A79,txtstylestab[style_Name],0),1))</f>
        <v>0</v>
      </c>
      <c r="C79" s="28">
        <f t="shared" si="4"/>
        <v>1</v>
      </c>
      <c r="D79" s="28">
        <f t="shared" si="5"/>
        <v>4</v>
      </c>
      <c r="E79" s="28">
        <f t="shared" si="6"/>
        <v>1</v>
      </c>
      <c r="F79" s="59" t="str">
        <f t="shared" si="7"/>
        <v/>
      </c>
      <c r="G79" s="42" t="s">
        <v>114</v>
      </c>
      <c r="H79" s="43" t="s">
        <v>115</v>
      </c>
      <c r="I79" s="44" t="s">
        <v>170</v>
      </c>
      <c r="J79" s="45" t="s">
        <v>154</v>
      </c>
      <c r="K79" s="46" t="s">
        <v>118</v>
      </c>
      <c r="L79" s="47" t="s">
        <v>2402</v>
      </c>
      <c r="M79" s="48" t="s">
        <v>2403</v>
      </c>
      <c r="N79" s="49"/>
      <c r="O79" s="50" t="s">
        <v>3294</v>
      </c>
      <c r="P79" s="59"/>
      <c r="Q79" s="59"/>
      <c r="R79" s="13"/>
    </row>
    <row r="80" spans="1:18" x14ac:dyDescent="0.25">
      <c r="A80" s="9" t="s">
        <v>21</v>
      </c>
      <c r="B80" s="28">
        <f>IF(ISBLANK(A80),0,INDEX(txtstylestab[],MATCH(A80,txtstylestab[style_Name],0),1))</f>
        <v>0</v>
      </c>
      <c r="C80" s="28">
        <f t="shared" si="4"/>
        <v>1</v>
      </c>
      <c r="D80" s="28">
        <f t="shared" si="5"/>
        <v>4</v>
      </c>
      <c r="E80" s="28">
        <f t="shared" si="6"/>
        <v>1</v>
      </c>
      <c r="F80" s="59" t="str">
        <f t="shared" si="7"/>
        <v/>
      </c>
      <c r="G80" s="42" t="s">
        <v>155</v>
      </c>
      <c r="H80" s="43" t="s">
        <v>171</v>
      </c>
      <c r="I80" s="44" t="s">
        <v>121</v>
      </c>
      <c r="J80" s="45" t="s">
        <v>122</v>
      </c>
      <c r="K80" s="46" t="s">
        <v>123</v>
      </c>
      <c r="L80" s="47" t="s">
        <v>2404</v>
      </c>
      <c r="M80" s="48" t="s">
        <v>2429</v>
      </c>
      <c r="N80" s="49"/>
      <c r="O80" s="50" t="s">
        <v>3298</v>
      </c>
      <c r="P80" s="59"/>
      <c r="Q80" s="59"/>
      <c r="R80" s="13"/>
    </row>
    <row r="81" spans="1:18" ht="30" x14ac:dyDescent="0.25">
      <c r="A81" s="9" t="s">
        <v>21</v>
      </c>
      <c r="B81" s="28">
        <f>IF(ISBLANK(A81),0,INDEX(txtstylestab[],MATCH(A81,txtstylestab[style_Name],0),1))</f>
        <v>0</v>
      </c>
      <c r="C81" s="28">
        <f t="shared" si="4"/>
        <v>1</v>
      </c>
      <c r="D81" s="28">
        <f t="shared" si="5"/>
        <v>4</v>
      </c>
      <c r="E81" s="28">
        <f t="shared" si="6"/>
        <v>1</v>
      </c>
      <c r="F81" s="59" t="str">
        <f t="shared" si="7"/>
        <v/>
      </c>
      <c r="G81" s="42" t="s">
        <v>172</v>
      </c>
      <c r="H81" s="43" t="s">
        <v>173</v>
      </c>
      <c r="I81" s="44" t="s">
        <v>174</v>
      </c>
      <c r="J81" s="45" t="s">
        <v>175</v>
      </c>
      <c r="K81" s="46" t="s">
        <v>176</v>
      </c>
      <c r="L81" s="47" t="s">
        <v>2430</v>
      </c>
      <c r="M81" s="48" t="s">
        <v>2431</v>
      </c>
      <c r="N81" s="49"/>
      <c r="O81" s="50" t="s">
        <v>3303</v>
      </c>
      <c r="P81" s="59"/>
      <c r="Q81" s="59"/>
      <c r="R81" s="13"/>
    </row>
    <row r="82" spans="1:18" ht="30" x14ac:dyDescent="0.25">
      <c r="A82" s="9" t="s">
        <v>21</v>
      </c>
      <c r="B82" s="28">
        <f>IF(ISBLANK(A82),0,INDEX(txtstylestab[],MATCH(A82,txtstylestab[style_Name],0),1))</f>
        <v>0</v>
      </c>
      <c r="C82" s="28">
        <f t="shared" si="4"/>
        <v>1</v>
      </c>
      <c r="D82" s="28">
        <f t="shared" si="5"/>
        <v>4</v>
      </c>
      <c r="E82" s="28">
        <f t="shared" si="6"/>
        <v>1</v>
      </c>
      <c r="F82" s="59" t="str">
        <f t="shared" si="7"/>
        <v/>
      </c>
      <c r="G82" s="42" t="s">
        <v>177</v>
      </c>
      <c r="H82" s="43" t="s">
        <v>125</v>
      </c>
      <c r="I82" s="44" t="s">
        <v>126</v>
      </c>
      <c r="J82" s="45" t="s">
        <v>127</v>
      </c>
      <c r="K82" s="46" t="s">
        <v>128</v>
      </c>
      <c r="L82" s="47" t="s">
        <v>2421</v>
      </c>
      <c r="M82" s="48" t="s">
        <v>2422</v>
      </c>
      <c r="N82" s="49"/>
      <c r="O82" s="50" t="s">
        <v>3473</v>
      </c>
      <c r="P82" s="59"/>
      <c r="Q82" s="59"/>
      <c r="R82" s="13"/>
    </row>
    <row r="83" spans="1:18" ht="45" x14ac:dyDescent="0.25">
      <c r="A83" s="9" t="s">
        <v>21</v>
      </c>
      <c r="B83" s="28">
        <f>IF(ISBLANK(A83),0,INDEX(txtstylestab[],MATCH(A83,txtstylestab[style_Name],0),1))</f>
        <v>0</v>
      </c>
      <c r="C83" s="28">
        <f t="shared" si="4"/>
        <v>1</v>
      </c>
      <c r="D83" s="28">
        <f t="shared" si="5"/>
        <v>4</v>
      </c>
      <c r="E83" s="28">
        <f t="shared" si="6"/>
        <v>1</v>
      </c>
      <c r="F83" s="59" t="str">
        <f t="shared" si="7"/>
        <v/>
      </c>
      <c r="G83" s="42" t="s">
        <v>129</v>
      </c>
      <c r="H83" s="43" t="s">
        <v>130</v>
      </c>
      <c r="I83" s="44" t="s">
        <v>178</v>
      </c>
      <c r="J83" s="45" t="s">
        <v>132</v>
      </c>
      <c r="K83" s="46" t="s">
        <v>133</v>
      </c>
      <c r="L83" s="47" t="s">
        <v>2408</v>
      </c>
      <c r="M83" s="48" t="s">
        <v>2432</v>
      </c>
      <c r="N83" s="49"/>
      <c r="O83" s="50" t="s">
        <v>3300</v>
      </c>
      <c r="P83" s="59"/>
      <c r="Q83" s="59"/>
      <c r="R83" s="13"/>
    </row>
    <row r="84" spans="1:18" ht="45" x14ac:dyDescent="0.25">
      <c r="A84" s="9" t="s">
        <v>21</v>
      </c>
      <c r="B84" s="28">
        <f>IF(ISBLANK(A84),0,INDEX(txtstylestab[],MATCH(A84,txtstylestab[style_Name],0),1))</f>
        <v>0</v>
      </c>
      <c r="C84" s="28">
        <f t="shared" si="4"/>
        <v>1</v>
      </c>
      <c r="D84" s="28">
        <f t="shared" si="5"/>
        <v>4</v>
      </c>
      <c r="E84" s="28">
        <f t="shared" si="6"/>
        <v>1</v>
      </c>
      <c r="F84" s="59" t="str">
        <f t="shared" si="7"/>
        <v/>
      </c>
      <c r="G84" s="42" t="s">
        <v>134</v>
      </c>
      <c r="H84" s="43" t="s">
        <v>163</v>
      </c>
      <c r="I84" s="44" t="s">
        <v>135</v>
      </c>
      <c r="J84" s="45" t="s">
        <v>136</v>
      </c>
      <c r="K84" s="46" t="s">
        <v>137</v>
      </c>
      <c r="L84" s="47" t="s">
        <v>2424</v>
      </c>
      <c r="M84" s="48" t="s">
        <v>2433</v>
      </c>
      <c r="N84" s="49"/>
      <c r="O84" s="50" t="s">
        <v>3291</v>
      </c>
      <c r="P84" s="59"/>
      <c r="Q84" s="59"/>
      <c r="R84" s="13"/>
    </row>
    <row r="85" spans="1:18" ht="75" x14ac:dyDescent="0.25">
      <c r="A85" s="9" t="s">
        <v>21</v>
      </c>
      <c r="B85" s="28">
        <f>IF(ISBLANK(A85),0,INDEX(txtstylestab[],MATCH(A85,txtstylestab[style_Name],0),1))</f>
        <v>0</v>
      </c>
      <c r="C85" s="28">
        <f t="shared" si="4"/>
        <v>1</v>
      </c>
      <c r="D85" s="28">
        <f t="shared" si="5"/>
        <v>4</v>
      </c>
      <c r="E85" s="28">
        <f t="shared" si="6"/>
        <v>1</v>
      </c>
      <c r="F85" s="59" t="str">
        <f t="shared" si="7"/>
        <v/>
      </c>
      <c r="G85" s="42" t="s">
        <v>179</v>
      </c>
      <c r="H85" s="43" t="s">
        <v>139</v>
      </c>
      <c r="I85" s="44" t="s">
        <v>140</v>
      </c>
      <c r="J85" s="45" t="s">
        <v>141</v>
      </c>
      <c r="K85" s="46" t="s">
        <v>142</v>
      </c>
      <c r="L85" s="47" t="s">
        <v>2426</v>
      </c>
      <c r="M85" s="48" t="s">
        <v>2413</v>
      </c>
      <c r="N85" s="49"/>
      <c r="O85" s="50" t="s">
        <v>3292</v>
      </c>
      <c r="P85" s="59"/>
      <c r="Q85" s="59"/>
      <c r="R85" s="13"/>
    </row>
    <row r="86" spans="1:18" ht="30" x14ac:dyDescent="0.25">
      <c r="A86" s="9" t="s">
        <v>21</v>
      </c>
      <c r="B86" s="28">
        <f>IF(ISBLANK(A86),0,INDEX(txtstylestab[],MATCH(A86,txtstylestab[style_Name],0),1))</f>
        <v>0</v>
      </c>
      <c r="C86" s="28">
        <f t="shared" si="4"/>
        <v>1</v>
      </c>
      <c r="D86" s="28">
        <f t="shared" si="5"/>
        <v>4</v>
      </c>
      <c r="E86" s="28">
        <f t="shared" si="6"/>
        <v>1</v>
      </c>
      <c r="F86" s="59" t="str">
        <f t="shared" si="7"/>
        <v/>
      </c>
      <c r="G86" s="42" t="s">
        <v>143</v>
      </c>
      <c r="H86" s="43" t="s">
        <v>144</v>
      </c>
      <c r="I86" s="44" t="s">
        <v>180</v>
      </c>
      <c r="J86" s="45" t="s">
        <v>146</v>
      </c>
      <c r="K86" s="46" t="s">
        <v>147</v>
      </c>
      <c r="L86" s="47" t="s">
        <v>2434</v>
      </c>
      <c r="M86" s="48" t="s">
        <v>2415</v>
      </c>
      <c r="N86" s="49"/>
      <c r="O86" s="50" t="s">
        <v>3293</v>
      </c>
      <c r="P86" s="59"/>
      <c r="Q86" s="59"/>
      <c r="R86" s="13"/>
    </row>
    <row r="87" spans="1:18" x14ac:dyDescent="0.25">
      <c r="A87" s="9" t="s">
        <v>22</v>
      </c>
      <c r="B87" s="28">
        <f>IF(ISBLANK(A87),0,INDEX(txtstylestab[],MATCH(A87,txtstylestab[style_Name],0),1))</f>
        <v>4</v>
      </c>
      <c r="C87" s="28">
        <f t="shared" si="4"/>
        <v>1</v>
      </c>
      <c r="D87" s="28">
        <f t="shared" si="5"/>
        <v>4</v>
      </c>
      <c r="E87" s="28">
        <f t="shared" si="6"/>
        <v>1</v>
      </c>
      <c r="F87" s="56" t="str">
        <f t="shared" si="7"/>
        <v/>
      </c>
      <c r="G87" s="67" t="s">
        <v>181</v>
      </c>
      <c r="H87" s="67"/>
      <c r="I87" s="67"/>
      <c r="J87" s="67"/>
      <c r="K87" s="67"/>
      <c r="L87" s="67"/>
      <c r="M87" s="67"/>
      <c r="N87" s="67"/>
      <c r="O87" s="67"/>
      <c r="P87" s="67"/>
      <c r="Q87" s="67"/>
      <c r="R87" s="13"/>
    </row>
    <row r="88" spans="1:18" ht="30" x14ac:dyDescent="0.25">
      <c r="A88" s="9" t="s">
        <v>21</v>
      </c>
      <c r="B88" s="28">
        <f>IF(ISBLANK(A88),0,INDEX(txtstylestab[],MATCH(A88,txtstylestab[style_Name],0),1))</f>
        <v>0</v>
      </c>
      <c r="C88" s="28">
        <f t="shared" si="4"/>
        <v>1</v>
      </c>
      <c r="D88" s="28">
        <f t="shared" si="5"/>
        <v>4</v>
      </c>
      <c r="E88" s="28">
        <f t="shared" si="6"/>
        <v>1</v>
      </c>
      <c r="F88" s="59" t="str">
        <f t="shared" si="7"/>
        <v/>
      </c>
      <c r="G88" s="42" t="s">
        <v>165</v>
      </c>
      <c r="H88" s="43" t="s">
        <v>166</v>
      </c>
      <c r="I88" s="44" t="s">
        <v>167</v>
      </c>
      <c r="J88" s="45" t="s">
        <v>168</v>
      </c>
      <c r="K88" s="46" t="s">
        <v>169</v>
      </c>
      <c r="L88" s="47" t="s">
        <v>2427</v>
      </c>
      <c r="M88" s="48" t="s">
        <v>2435</v>
      </c>
      <c r="N88" s="49"/>
      <c r="O88" s="50" t="s">
        <v>3297</v>
      </c>
      <c r="P88" s="59"/>
      <c r="Q88" s="59"/>
      <c r="R88" s="13"/>
    </row>
    <row r="89" spans="1:18" ht="45" x14ac:dyDescent="0.25">
      <c r="A89" s="9" t="s">
        <v>21</v>
      </c>
      <c r="B89" s="28">
        <f>IF(ISBLANK(A89),0,INDEX(txtstylestab[],MATCH(A89,txtstylestab[style_Name],0),1))</f>
        <v>0</v>
      </c>
      <c r="C89" s="28">
        <f t="shared" si="4"/>
        <v>1</v>
      </c>
      <c r="D89" s="28">
        <f t="shared" si="5"/>
        <v>4</v>
      </c>
      <c r="E89" s="28">
        <f t="shared" si="6"/>
        <v>1</v>
      </c>
      <c r="F89" s="59" t="str">
        <f t="shared" si="7"/>
        <v/>
      </c>
      <c r="G89" s="42" t="s">
        <v>182</v>
      </c>
      <c r="H89" s="43" t="s">
        <v>115</v>
      </c>
      <c r="I89" s="44" t="s">
        <v>170</v>
      </c>
      <c r="J89" s="45" t="s">
        <v>154</v>
      </c>
      <c r="K89" s="46" t="s">
        <v>118</v>
      </c>
      <c r="L89" s="47" t="s">
        <v>2402</v>
      </c>
      <c r="M89" s="48" t="s">
        <v>2403</v>
      </c>
      <c r="N89" s="49"/>
      <c r="O89" s="50" t="s">
        <v>3294</v>
      </c>
      <c r="P89" s="59"/>
      <c r="Q89" s="59"/>
      <c r="R89" s="13"/>
    </row>
    <row r="90" spans="1:18" x14ac:dyDescent="0.25">
      <c r="A90" s="9" t="s">
        <v>21</v>
      </c>
      <c r="B90" s="28">
        <f>IF(ISBLANK(A90),0,INDEX(txtstylestab[],MATCH(A90,txtstylestab[style_Name],0),1))</f>
        <v>0</v>
      </c>
      <c r="C90" s="28">
        <f t="shared" si="4"/>
        <v>1</v>
      </c>
      <c r="D90" s="28">
        <f t="shared" si="5"/>
        <v>4</v>
      </c>
      <c r="E90" s="28">
        <f t="shared" si="6"/>
        <v>1</v>
      </c>
      <c r="F90" s="59" t="str">
        <f t="shared" si="7"/>
        <v/>
      </c>
      <c r="G90" s="42" t="s">
        <v>183</v>
      </c>
      <c r="H90" s="43" t="s">
        <v>184</v>
      </c>
      <c r="I90" s="44" t="s">
        <v>185</v>
      </c>
      <c r="J90" s="45" t="s">
        <v>122</v>
      </c>
      <c r="K90" s="46" t="s">
        <v>123</v>
      </c>
      <c r="L90" s="47" t="s">
        <v>2404</v>
      </c>
      <c r="M90" s="48" t="s">
        <v>2418</v>
      </c>
      <c r="N90" s="49"/>
      <c r="O90" s="50" t="s">
        <v>3298</v>
      </c>
      <c r="P90" s="59"/>
      <c r="Q90" s="59"/>
      <c r="R90" s="13"/>
    </row>
    <row r="91" spans="1:18" x14ac:dyDescent="0.25">
      <c r="A91" s="9" t="s">
        <v>21</v>
      </c>
      <c r="B91" s="28">
        <f>IF(ISBLANK(A91),0,INDEX(txtstylestab[],MATCH(A91,txtstylestab[style_Name],0),1))</f>
        <v>0</v>
      </c>
      <c r="C91" s="28">
        <f t="shared" si="4"/>
        <v>1</v>
      </c>
      <c r="D91" s="28">
        <f t="shared" si="5"/>
        <v>4</v>
      </c>
      <c r="E91" s="28">
        <f t="shared" si="6"/>
        <v>1</v>
      </c>
      <c r="F91" s="59" t="str">
        <f t="shared" si="7"/>
        <v/>
      </c>
      <c r="G91" s="42" t="s">
        <v>186</v>
      </c>
      <c r="H91" s="43" t="s">
        <v>187</v>
      </c>
      <c r="I91" s="44" t="s">
        <v>188</v>
      </c>
      <c r="J91" s="45" t="s">
        <v>189</v>
      </c>
      <c r="K91" s="46" t="s">
        <v>190</v>
      </c>
      <c r="L91" s="47" t="s">
        <v>2436</v>
      </c>
      <c r="M91" s="48" t="s">
        <v>2437</v>
      </c>
      <c r="N91" s="49"/>
      <c r="O91" s="50" t="s">
        <v>3301</v>
      </c>
      <c r="P91" s="59"/>
      <c r="Q91" s="59"/>
      <c r="R91" s="13"/>
    </row>
    <row r="92" spans="1:18" x14ac:dyDescent="0.25">
      <c r="A92" s="9" t="s">
        <v>21</v>
      </c>
      <c r="B92" s="28">
        <f>IF(ISBLANK(A92),0,INDEX(txtstylestab[],MATCH(A92,txtstylestab[style_Name],0),1))</f>
        <v>0</v>
      </c>
      <c r="C92" s="28">
        <f t="shared" si="4"/>
        <v>1</v>
      </c>
      <c r="D92" s="28">
        <f t="shared" si="5"/>
        <v>4</v>
      </c>
      <c r="E92" s="28">
        <f t="shared" si="6"/>
        <v>1</v>
      </c>
      <c r="F92" s="59" t="str">
        <f t="shared" si="7"/>
        <v/>
      </c>
      <c r="G92" s="42" t="s">
        <v>191</v>
      </c>
      <c r="H92" s="43" t="s">
        <v>192</v>
      </c>
      <c r="I92" s="44" t="s">
        <v>193</v>
      </c>
      <c r="J92" s="45" t="s">
        <v>194</v>
      </c>
      <c r="K92" s="46" t="s">
        <v>195</v>
      </c>
      <c r="L92" s="47" t="s">
        <v>2419</v>
      </c>
      <c r="M92" s="48" t="s">
        <v>2420</v>
      </c>
      <c r="N92" s="49"/>
      <c r="O92" s="50" t="s">
        <v>3302</v>
      </c>
      <c r="P92" s="59"/>
      <c r="Q92" s="59"/>
      <c r="R92" s="13"/>
    </row>
    <row r="93" spans="1:18" ht="30" x14ac:dyDescent="0.25">
      <c r="A93" s="9" t="s">
        <v>21</v>
      </c>
      <c r="B93" s="28">
        <f>IF(ISBLANK(A93),0,INDEX(txtstylestab[],MATCH(A93,txtstylestab[style_Name],0),1))</f>
        <v>0</v>
      </c>
      <c r="C93" s="28">
        <f t="shared" si="4"/>
        <v>1</v>
      </c>
      <c r="D93" s="28">
        <f t="shared" si="5"/>
        <v>4</v>
      </c>
      <c r="E93" s="28">
        <f t="shared" si="6"/>
        <v>1</v>
      </c>
      <c r="F93" s="59" t="str">
        <f t="shared" si="7"/>
        <v/>
      </c>
      <c r="G93" s="42" t="s">
        <v>124</v>
      </c>
      <c r="H93" s="43" t="s">
        <v>196</v>
      </c>
      <c r="I93" s="44" t="s">
        <v>197</v>
      </c>
      <c r="J93" s="45" t="s">
        <v>127</v>
      </c>
      <c r="K93" s="46" t="s">
        <v>198</v>
      </c>
      <c r="L93" s="47" t="s">
        <v>2421</v>
      </c>
      <c r="M93" s="48" t="s">
        <v>2438</v>
      </c>
      <c r="N93" s="49"/>
      <c r="O93" s="50" t="s">
        <v>3473</v>
      </c>
      <c r="P93" s="59"/>
      <c r="Q93" s="59"/>
      <c r="R93" s="13"/>
    </row>
    <row r="94" spans="1:18" ht="45" x14ac:dyDescent="0.25">
      <c r="A94" s="9" t="s">
        <v>21</v>
      </c>
      <c r="B94" s="28">
        <f>IF(ISBLANK(A94),0,INDEX(txtstylestab[],MATCH(A94,txtstylestab[style_Name],0),1))</f>
        <v>0</v>
      </c>
      <c r="C94" s="28">
        <f t="shared" si="4"/>
        <v>1</v>
      </c>
      <c r="D94" s="28">
        <f t="shared" si="5"/>
        <v>4</v>
      </c>
      <c r="E94" s="28">
        <f t="shared" si="6"/>
        <v>1</v>
      </c>
      <c r="F94" s="59" t="str">
        <f t="shared" si="7"/>
        <v/>
      </c>
      <c r="G94" s="42" t="s">
        <v>129</v>
      </c>
      <c r="H94" s="43" t="s">
        <v>130</v>
      </c>
      <c r="I94" s="44" t="s">
        <v>131</v>
      </c>
      <c r="J94" s="45" t="s">
        <v>132</v>
      </c>
      <c r="K94" s="46" t="s">
        <v>133</v>
      </c>
      <c r="L94" s="47" t="s">
        <v>2408</v>
      </c>
      <c r="M94" s="48" t="s">
        <v>2432</v>
      </c>
      <c r="N94" s="49"/>
      <c r="O94" s="50" t="s">
        <v>3300</v>
      </c>
      <c r="P94" s="59"/>
      <c r="Q94" s="59"/>
      <c r="R94" s="13"/>
    </row>
    <row r="95" spans="1:18" ht="45" x14ac:dyDescent="0.25">
      <c r="A95" s="9" t="s">
        <v>21</v>
      </c>
      <c r="B95" s="28">
        <f>IF(ISBLANK(A95),0,INDEX(txtstylestab[],MATCH(A95,txtstylestab[style_Name],0),1))</f>
        <v>0</v>
      </c>
      <c r="C95" s="28">
        <f t="shared" si="4"/>
        <v>1</v>
      </c>
      <c r="D95" s="28">
        <f t="shared" si="5"/>
        <v>4</v>
      </c>
      <c r="E95" s="28">
        <f t="shared" si="6"/>
        <v>1</v>
      </c>
      <c r="F95" s="59" t="str">
        <f t="shared" si="7"/>
        <v/>
      </c>
      <c r="G95" s="42" t="s">
        <v>134</v>
      </c>
      <c r="H95" s="43" t="s">
        <v>163</v>
      </c>
      <c r="I95" s="44" t="s">
        <v>135</v>
      </c>
      <c r="J95" s="45" t="s">
        <v>136</v>
      </c>
      <c r="K95" s="46" t="s">
        <v>137</v>
      </c>
      <c r="L95" s="47" t="s">
        <v>2424</v>
      </c>
      <c r="M95" s="48" t="s">
        <v>2425</v>
      </c>
      <c r="N95" s="49"/>
      <c r="O95" s="50" t="s">
        <v>3291</v>
      </c>
      <c r="P95" s="59"/>
      <c r="Q95" s="59"/>
      <c r="R95" s="13"/>
    </row>
    <row r="96" spans="1:18" ht="75" x14ac:dyDescent="0.25">
      <c r="A96" s="9" t="s">
        <v>21</v>
      </c>
      <c r="B96" s="28">
        <f>IF(ISBLANK(A96),0,INDEX(txtstylestab[],MATCH(A96,txtstylestab[style_Name],0),1))</f>
        <v>0</v>
      </c>
      <c r="C96" s="28">
        <f t="shared" si="4"/>
        <v>1</v>
      </c>
      <c r="D96" s="28">
        <f t="shared" si="5"/>
        <v>4</v>
      </c>
      <c r="E96" s="28">
        <f t="shared" si="6"/>
        <v>1</v>
      </c>
      <c r="F96" s="59" t="str">
        <f t="shared" si="7"/>
        <v/>
      </c>
      <c r="G96" s="42" t="s">
        <v>179</v>
      </c>
      <c r="H96" s="43" t="s">
        <v>139</v>
      </c>
      <c r="I96" s="44" t="s">
        <v>140</v>
      </c>
      <c r="J96" s="45" t="s">
        <v>141</v>
      </c>
      <c r="K96" s="46" t="s">
        <v>142</v>
      </c>
      <c r="L96" s="47" t="s">
        <v>2426</v>
      </c>
      <c r="M96" s="48" t="s">
        <v>2413</v>
      </c>
      <c r="N96" s="49"/>
      <c r="O96" s="50" t="s">
        <v>3292</v>
      </c>
      <c r="P96" s="59"/>
      <c r="Q96" s="59"/>
      <c r="R96" s="13"/>
    </row>
    <row r="97" spans="1:18" ht="30" x14ac:dyDescent="0.25">
      <c r="A97" s="9" t="s">
        <v>21</v>
      </c>
      <c r="B97" s="28">
        <f>IF(ISBLANK(A97),0,INDEX(txtstylestab[],MATCH(A97,txtstylestab[style_Name],0),1))</f>
        <v>0</v>
      </c>
      <c r="C97" s="28">
        <f t="shared" si="4"/>
        <v>1</v>
      </c>
      <c r="D97" s="28">
        <f t="shared" si="5"/>
        <v>4</v>
      </c>
      <c r="E97" s="28">
        <f t="shared" si="6"/>
        <v>1</v>
      </c>
      <c r="F97" s="59" t="str">
        <f t="shared" si="7"/>
        <v/>
      </c>
      <c r="G97" s="42" t="s">
        <v>143</v>
      </c>
      <c r="H97" s="43" t="s">
        <v>199</v>
      </c>
      <c r="I97" s="44" t="s">
        <v>180</v>
      </c>
      <c r="J97" s="45" t="s">
        <v>146</v>
      </c>
      <c r="K97" s="46" t="s">
        <v>147</v>
      </c>
      <c r="L97" s="47" t="s">
        <v>2414</v>
      </c>
      <c r="M97" s="48" t="s">
        <v>2415</v>
      </c>
      <c r="N97" s="49"/>
      <c r="O97" s="50" t="s">
        <v>3293</v>
      </c>
      <c r="P97" s="59"/>
      <c r="Q97" s="59"/>
      <c r="R97" s="13"/>
    </row>
    <row r="98" spans="1:18" x14ac:dyDescent="0.25">
      <c r="A98" s="9" t="s">
        <v>22</v>
      </c>
      <c r="B98" s="28">
        <f>IF(ISBLANK(A98),0,INDEX(txtstylestab[],MATCH(A98,txtstylestab[style_Name],0),1))</f>
        <v>4</v>
      </c>
      <c r="C98" s="28">
        <f t="shared" si="4"/>
        <v>1</v>
      </c>
      <c r="D98" s="28">
        <f t="shared" si="5"/>
        <v>4</v>
      </c>
      <c r="E98" s="28">
        <f t="shared" si="6"/>
        <v>1</v>
      </c>
      <c r="F98" s="56" t="str">
        <f t="shared" si="7"/>
        <v/>
      </c>
      <c r="G98" s="67" t="s">
        <v>200</v>
      </c>
      <c r="H98" s="67"/>
      <c r="I98" s="67"/>
      <c r="J98" s="67"/>
      <c r="K98" s="67"/>
      <c r="L98" s="67"/>
      <c r="M98" s="67"/>
      <c r="N98" s="67"/>
      <c r="O98" s="67"/>
      <c r="P98" s="67"/>
      <c r="Q98" s="67"/>
      <c r="R98" s="13"/>
    </row>
    <row r="99" spans="1:18" ht="30" x14ac:dyDescent="0.25">
      <c r="A99" s="9" t="s">
        <v>21</v>
      </c>
      <c r="B99" s="28">
        <f>IF(ISBLANK(A99),0,INDEX(txtstylestab[],MATCH(A99,txtstylestab[style_Name],0),1))</f>
        <v>0</v>
      </c>
      <c r="C99" s="28">
        <f t="shared" si="4"/>
        <v>1</v>
      </c>
      <c r="D99" s="28">
        <f t="shared" si="5"/>
        <v>4</v>
      </c>
      <c r="E99" s="28">
        <f t="shared" si="6"/>
        <v>1</v>
      </c>
      <c r="F99" s="59" t="str">
        <f t="shared" si="7"/>
        <v/>
      </c>
      <c r="G99" s="42" t="s">
        <v>165</v>
      </c>
      <c r="H99" s="43" t="s">
        <v>166</v>
      </c>
      <c r="I99" s="44" t="s">
        <v>167</v>
      </c>
      <c r="J99" s="45" t="s">
        <v>168</v>
      </c>
      <c r="K99" s="46" t="s">
        <v>169</v>
      </c>
      <c r="L99" s="47" t="s">
        <v>2427</v>
      </c>
      <c r="M99" s="48" t="s">
        <v>2439</v>
      </c>
      <c r="N99" s="49"/>
      <c r="O99" s="50" t="s">
        <v>3297</v>
      </c>
      <c r="P99" s="59"/>
      <c r="Q99" s="59"/>
      <c r="R99" s="13"/>
    </row>
    <row r="100" spans="1:18" ht="45" x14ac:dyDescent="0.25">
      <c r="A100" s="9" t="s">
        <v>21</v>
      </c>
      <c r="B100" s="28">
        <f>IF(ISBLANK(A100),0,INDEX(txtstylestab[],MATCH(A100,txtstylestab[style_Name],0),1))</f>
        <v>0</v>
      </c>
      <c r="C100" s="28">
        <f t="shared" si="4"/>
        <v>1</v>
      </c>
      <c r="D100" s="28">
        <f t="shared" si="5"/>
        <v>4</v>
      </c>
      <c r="E100" s="28">
        <f t="shared" si="6"/>
        <v>1</v>
      </c>
      <c r="F100" s="59" t="str">
        <f t="shared" si="7"/>
        <v/>
      </c>
      <c r="G100" s="42" t="s">
        <v>182</v>
      </c>
      <c r="H100" s="43" t="s">
        <v>115</v>
      </c>
      <c r="I100" s="44" t="s">
        <v>170</v>
      </c>
      <c r="J100" s="45" t="s">
        <v>201</v>
      </c>
      <c r="K100" s="46" t="s">
        <v>118</v>
      </c>
      <c r="L100" s="47" t="s">
        <v>2402</v>
      </c>
      <c r="M100" s="48" t="s">
        <v>2403</v>
      </c>
      <c r="N100" s="49"/>
      <c r="O100" s="50" t="s">
        <v>3294</v>
      </c>
      <c r="P100" s="59"/>
      <c r="Q100" s="59"/>
      <c r="R100" s="13"/>
    </row>
    <row r="101" spans="1:18" x14ac:dyDescent="0.25">
      <c r="A101" s="9" t="s">
        <v>21</v>
      </c>
      <c r="B101" s="28">
        <f>IF(ISBLANK(A101),0,INDEX(txtstylestab[],MATCH(A101,txtstylestab[style_Name],0),1))</f>
        <v>0</v>
      </c>
      <c r="C101" s="28">
        <f t="shared" si="4"/>
        <v>1</v>
      </c>
      <c r="D101" s="28">
        <f t="shared" si="5"/>
        <v>4</v>
      </c>
      <c r="E101" s="28">
        <f t="shared" si="6"/>
        <v>1</v>
      </c>
      <c r="F101" s="59" t="str">
        <f t="shared" si="7"/>
        <v/>
      </c>
      <c r="G101" s="42" t="s">
        <v>183</v>
      </c>
      <c r="H101" s="43" t="s">
        <v>184</v>
      </c>
      <c r="I101" s="44" t="s">
        <v>121</v>
      </c>
      <c r="J101" s="45" t="s">
        <v>122</v>
      </c>
      <c r="K101" s="46" t="s">
        <v>123</v>
      </c>
      <c r="L101" s="47" t="s">
        <v>2404</v>
      </c>
      <c r="M101" s="48" t="s">
        <v>2418</v>
      </c>
      <c r="N101" s="49"/>
      <c r="O101" s="50" t="s">
        <v>3304</v>
      </c>
      <c r="P101" s="59"/>
      <c r="Q101" s="59"/>
      <c r="R101" s="13"/>
    </row>
    <row r="102" spans="1:18" x14ac:dyDescent="0.25">
      <c r="A102" s="9" t="s">
        <v>21</v>
      </c>
      <c r="B102" s="28">
        <f>IF(ISBLANK(A102),0,INDEX(txtstylestab[],MATCH(A102,txtstylestab[style_Name],0),1))</f>
        <v>0</v>
      </c>
      <c r="C102" s="28">
        <f t="shared" si="4"/>
        <v>1</v>
      </c>
      <c r="D102" s="28">
        <f t="shared" si="5"/>
        <v>4</v>
      </c>
      <c r="E102" s="28">
        <f t="shared" si="6"/>
        <v>1</v>
      </c>
      <c r="F102" s="59" t="str">
        <f t="shared" si="7"/>
        <v/>
      </c>
      <c r="G102" s="42" t="s">
        <v>186</v>
      </c>
      <c r="H102" s="43" t="s">
        <v>187</v>
      </c>
      <c r="I102" s="44" t="s">
        <v>202</v>
      </c>
      <c r="J102" s="45" t="s">
        <v>203</v>
      </c>
      <c r="K102" s="46" t="s">
        <v>190</v>
      </c>
      <c r="L102" s="47" t="s">
        <v>2436</v>
      </c>
      <c r="M102" s="48" t="s">
        <v>2437</v>
      </c>
      <c r="N102" s="49"/>
      <c r="O102" s="50" t="s">
        <v>3301</v>
      </c>
      <c r="P102" s="59"/>
      <c r="Q102" s="59"/>
      <c r="R102" s="13"/>
    </row>
    <row r="103" spans="1:18" x14ac:dyDescent="0.25">
      <c r="A103" s="9" t="s">
        <v>21</v>
      </c>
      <c r="B103" s="28">
        <f>IF(ISBLANK(A103),0,INDEX(txtstylestab[],MATCH(A103,txtstylestab[style_Name],0),1))</f>
        <v>0</v>
      </c>
      <c r="C103" s="28">
        <f t="shared" si="4"/>
        <v>1</v>
      </c>
      <c r="D103" s="28">
        <f t="shared" si="5"/>
        <v>4</v>
      </c>
      <c r="E103" s="28">
        <f t="shared" si="6"/>
        <v>1</v>
      </c>
      <c r="F103" s="59" t="str">
        <f t="shared" si="7"/>
        <v/>
      </c>
      <c r="G103" s="42" t="s">
        <v>191</v>
      </c>
      <c r="H103" s="43" t="s">
        <v>192</v>
      </c>
      <c r="I103" s="44" t="s">
        <v>193</v>
      </c>
      <c r="J103" s="45" t="s">
        <v>204</v>
      </c>
      <c r="K103" s="46" t="s">
        <v>195</v>
      </c>
      <c r="L103" s="47" t="s">
        <v>2440</v>
      </c>
      <c r="M103" s="48" t="s">
        <v>2420</v>
      </c>
      <c r="N103" s="49"/>
      <c r="O103" s="50" t="s">
        <v>3305</v>
      </c>
      <c r="P103" s="59"/>
      <c r="Q103" s="59"/>
      <c r="R103" s="13"/>
    </row>
    <row r="104" spans="1:18" ht="30" x14ac:dyDescent="0.25">
      <c r="A104" s="9" t="s">
        <v>21</v>
      </c>
      <c r="B104" s="28">
        <f>IF(ISBLANK(A104),0,INDEX(txtstylestab[],MATCH(A104,txtstylestab[style_Name],0),1))</f>
        <v>0</v>
      </c>
      <c r="C104" s="28">
        <f t="shared" si="4"/>
        <v>1</v>
      </c>
      <c r="D104" s="28">
        <f t="shared" si="5"/>
        <v>4</v>
      </c>
      <c r="E104" s="28">
        <f t="shared" si="6"/>
        <v>1</v>
      </c>
      <c r="F104" s="59" t="str">
        <f t="shared" si="7"/>
        <v/>
      </c>
      <c r="G104" s="42" t="s">
        <v>124</v>
      </c>
      <c r="H104" s="43" t="s">
        <v>196</v>
      </c>
      <c r="I104" s="44" t="s">
        <v>126</v>
      </c>
      <c r="J104" s="45" t="s">
        <v>127</v>
      </c>
      <c r="K104" s="46" t="s">
        <v>198</v>
      </c>
      <c r="L104" s="47" t="s">
        <v>2421</v>
      </c>
      <c r="M104" s="48" t="s">
        <v>2422</v>
      </c>
      <c r="N104" s="49"/>
      <c r="O104" s="50" t="s">
        <v>3473</v>
      </c>
      <c r="P104" s="59"/>
      <c r="Q104" s="59"/>
      <c r="R104" s="13"/>
    </row>
    <row r="105" spans="1:18" ht="45" x14ac:dyDescent="0.25">
      <c r="A105" s="9" t="s">
        <v>21</v>
      </c>
      <c r="B105" s="28">
        <f>IF(ISBLANK(A105),0,INDEX(txtstylestab[],MATCH(A105,txtstylestab[style_Name],0),1))</f>
        <v>0</v>
      </c>
      <c r="C105" s="28">
        <f t="shared" si="4"/>
        <v>1</v>
      </c>
      <c r="D105" s="28">
        <f t="shared" si="5"/>
        <v>4</v>
      </c>
      <c r="E105" s="28">
        <f t="shared" si="6"/>
        <v>1</v>
      </c>
      <c r="F105" s="59" t="str">
        <f t="shared" si="7"/>
        <v/>
      </c>
      <c r="G105" s="42" t="s">
        <v>205</v>
      </c>
      <c r="H105" s="43" t="s">
        <v>130</v>
      </c>
      <c r="I105" s="44" t="s">
        <v>131</v>
      </c>
      <c r="J105" s="45" t="s">
        <v>132</v>
      </c>
      <c r="K105" s="46" t="s">
        <v>133</v>
      </c>
      <c r="L105" s="47" t="s">
        <v>2408</v>
      </c>
      <c r="M105" s="48" t="s">
        <v>2432</v>
      </c>
      <c r="N105" s="49"/>
      <c r="O105" s="50" t="s">
        <v>3300</v>
      </c>
      <c r="P105" s="59"/>
      <c r="Q105" s="59"/>
      <c r="R105" s="13"/>
    </row>
    <row r="106" spans="1:18" ht="45" x14ac:dyDescent="0.25">
      <c r="A106" s="9" t="s">
        <v>21</v>
      </c>
      <c r="B106" s="28">
        <f>IF(ISBLANK(A106),0,INDEX(txtstylestab[],MATCH(A106,txtstylestab[style_Name],0),1))</f>
        <v>0</v>
      </c>
      <c r="C106" s="28">
        <f t="shared" si="4"/>
        <v>1</v>
      </c>
      <c r="D106" s="28">
        <f t="shared" si="5"/>
        <v>4</v>
      </c>
      <c r="E106" s="28">
        <f t="shared" si="6"/>
        <v>1</v>
      </c>
      <c r="F106" s="59" t="str">
        <f t="shared" si="7"/>
        <v/>
      </c>
      <c r="G106" s="42" t="s">
        <v>206</v>
      </c>
      <c r="H106" s="43" t="s">
        <v>163</v>
      </c>
      <c r="I106" s="44" t="s">
        <v>135</v>
      </c>
      <c r="J106" s="45" t="s">
        <v>136</v>
      </c>
      <c r="K106" s="46" t="s">
        <v>137</v>
      </c>
      <c r="L106" s="47" t="s">
        <v>2424</v>
      </c>
      <c r="M106" s="48" t="s">
        <v>2425</v>
      </c>
      <c r="N106" s="49"/>
      <c r="O106" s="50" t="s">
        <v>3291</v>
      </c>
      <c r="P106" s="59"/>
      <c r="Q106" s="59"/>
      <c r="R106" s="13"/>
    </row>
    <row r="107" spans="1:18" ht="75" x14ac:dyDescent="0.25">
      <c r="A107" s="9" t="s">
        <v>21</v>
      </c>
      <c r="B107" s="28">
        <f>IF(ISBLANK(A107),0,INDEX(txtstylestab[],MATCH(A107,txtstylestab[style_Name],0),1))</f>
        <v>0</v>
      </c>
      <c r="C107" s="28">
        <f t="shared" si="4"/>
        <v>1</v>
      </c>
      <c r="D107" s="28">
        <f t="shared" si="5"/>
        <v>4</v>
      </c>
      <c r="E107" s="28">
        <f t="shared" si="6"/>
        <v>1</v>
      </c>
      <c r="F107" s="59" t="str">
        <f t="shared" si="7"/>
        <v/>
      </c>
      <c r="G107" s="42" t="s">
        <v>207</v>
      </c>
      <c r="H107" s="43" t="s">
        <v>208</v>
      </c>
      <c r="I107" s="44" t="s">
        <v>209</v>
      </c>
      <c r="J107" s="45" t="s">
        <v>141</v>
      </c>
      <c r="K107" s="46" t="s">
        <v>142</v>
      </c>
      <c r="L107" s="47" t="s">
        <v>2426</v>
      </c>
      <c r="M107" s="48" t="s">
        <v>2413</v>
      </c>
      <c r="N107" s="49"/>
      <c r="O107" s="50" t="s">
        <v>3292</v>
      </c>
      <c r="P107" s="59"/>
      <c r="Q107" s="59"/>
      <c r="R107" s="13"/>
    </row>
    <row r="108" spans="1:18" ht="30" x14ac:dyDescent="0.25">
      <c r="A108" s="9" t="s">
        <v>21</v>
      </c>
      <c r="B108" s="28">
        <f>IF(ISBLANK(A108),0,INDEX(txtstylestab[],MATCH(A108,txtstylestab[style_Name],0),1))</f>
        <v>0</v>
      </c>
      <c r="C108" s="28">
        <f t="shared" si="4"/>
        <v>1</v>
      </c>
      <c r="D108" s="28">
        <f t="shared" si="5"/>
        <v>4</v>
      </c>
      <c r="E108" s="28">
        <f t="shared" si="6"/>
        <v>1</v>
      </c>
      <c r="F108" s="59" t="str">
        <f t="shared" si="7"/>
        <v/>
      </c>
      <c r="G108" s="42" t="s">
        <v>210</v>
      </c>
      <c r="H108" s="43" t="s">
        <v>199</v>
      </c>
      <c r="I108" s="44" t="s">
        <v>180</v>
      </c>
      <c r="J108" s="45" t="s">
        <v>146</v>
      </c>
      <c r="K108" s="46" t="s">
        <v>147</v>
      </c>
      <c r="L108" s="47" t="s">
        <v>2414</v>
      </c>
      <c r="M108" s="48" t="s">
        <v>2415</v>
      </c>
      <c r="N108" s="49"/>
      <c r="O108" s="50" t="s">
        <v>3293</v>
      </c>
      <c r="P108" s="59"/>
      <c r="Q108" s="59"/>
      <c r="R108" s="13"/>
    </row>
    <row r="109" spans="1:18" x14ac:dyDescent="0.25">
      <c r="A109" s="9" t="s">
        <v>23</v>
      </c>
      <c r="B109" s="28">
        <f>IF(ISBLANK(A109),0,INDEX(txtstylestab[],MATCH(A109,txtstylestab[style_Name],0),1))</f>
        <v>5</v>
      </c>
      <c r="C109" s="28">
        <f t="shared" si="4"/>
        <v>1</v>
      </c>
      <c r="D109" s="28">
        <f t="shared" si="5"/>
        <v>4</v>
      </c>
      <c r="E109" s="28">
        <f t="shared" si="6"/>
        <v>1</v>
      </c>
      <c r="F109" s="56" t="str">
        <f t="shared" si="7"/>
        <v/>
      </c>
      <c r="G109" s="69" t="s">
        <v>211</v>
      </c>
      <c r="H109" s="69"/>
      <c r="I109" s="69"/>
      <c r="J109" s="69"/>
      <c r="K109" s="69"/>
      <c r="L109" s="69"/>
      <c r="M109" s="69"/>
      <c r="N109" s="69"/>
      <c r="O109" s="69"/>
      <c r="P109" s="69"/>
      <c r="Q109" s="69"/>
      <c r="R109" s="13"/>
    </row>
    <row r="110" spans="1:18" ht="75" x14ac:dyDescent="0.25">
      <c r="A110" s="9" t="s">
        <v>21</v>
      </c>
      <c r="B110" s="28">
        <f>IF(ISBLANK(A110),0,INDEX(txtstylestab[],MATCH(A110,txtstylestab[style_Name],0),1))</f>
        <v>0</v>
      </c>
      <c r="C110" s="28">
        <f t="shared" si="4"/>
        <v>1</v>
      </c>
      <c r="D110" s="28">
        <f t="shared" si="5"/>
        <v>4</v>
      </c>
      <c r="E110" s="28">
        <f t="shared" si="6"/>
        <v>1</v>
      </c>
      <c r="F110" s="59" t="str">
        <f t="shared" si="7"/>
        <v/>
      </c>
      <c r="G110" s="42" t="s">
        <v>212</v>
      </c>
      <c r="H110" s="43" t="s">
        <v>213</v>
      </c>
      <c r="I110" s="44" t="s">
        <v>1629</v>
      </c>
      <c r="J110" s="45" t="s">
        <v>214</v>
      </c>
      <c r="K110" s="46" t="s">
        <v>215</v>
      </c>
      <c r="L110" s="47" t="s">
        <v>2441</v>
      </c>
      <c r="M110" s="48" t="s">
        <v>2442</v>
      </c>
      <c r="N110" s="49"/>
      <c r="O110" s="50" t="s">
        <v>3306</v>
      </c>
      <c r="P110" s="59"/>
      <c r="Q110" s="59"/>
      <c r="R110" s="13"/>
    </row>
    <row r="111" spans="1:18" x14ac:dyDescent="0.25">
      <c r="A111" s="9" t="s">
        <v>23</v>
      </c>
      <c r="B111" s="28">
        <f>IF(ISBLANK(A111),0,INDEX(txtstylestab[],MATCH(A111,txtstylestab[style_Name],0),1))</f>
        <v>5</v>
      </c>
      <c r="C111" s="28">
        <f t="shared" si="4"/>
        <v>1</v>
      </c>
      <c r="D111" s="28">
        <f t="shared" si="5"/>
        <v>4</v>
      </c>
      <c r="E111" s="28">
        <f t="shared" si="6"/>
        <v>1</v>
      </c>
      <c r="F111" s="56" t="str">
        <f t="shared" si="7"/>
        <v/>
      </c>
      <c r="G111" s="69" t="s">
        <v>216</v>
      </c>
      <c r="H111" s="69"/>
      <c r="I111" s="69"/>
      <c r="J111" s="69"/>
      <c r="K111" s="69"/>
      <c r="L111" s="69"/>
      <c r="M111" s="69"/>
      <c r="N111" s="69"/>
      <c r="O111" s="69"/>
      <c r="P111" s="69"/>
      <c r="Q111" s="69"/>
      <c r="R111" s="13"/>
    </row>
    <row r="112" spans="1:18" ht="60" x14ac:dyDescent="0.25">
      <c r="A112" s="9" t="s">
        <v>21</v>
      </c>
      <c r="B112" s="28">
        <f>IF(ISBLANK(A112),0,INDEX(txtstylestab[],MATCH(A112,txtstylestab[style_Name],0),1))</f>
        <v>0</v>
      </c>
      <c r="C112" s="28">
        <f t="shared" si="4"/>
        <v>1</v>
      </c>
      <c r="D112" s="28">
        <f t="shared" si="5"/>
        <v>4</v>
      </c>
      <c r="E112" s="28">
        <f t="shared" si="6"/>
        <v>1</v>
      </c>
      <c r="F112" s="59" t="str">
        <f t="shared" si="7"/>
        <v/>
      </c>
      <c r="G112" s="42" t="s">
        <v>217</v>
      </c>
      <c r="H112" s="43" t="s">
        <v>218</v>
      </c>
      <c r="I112" s="44" t="s">
        <v>219</v>
      </c>
      <c r="J112" s="45" t="s">
        <v>220</v>
      </c>
      <c r="K112" s="46" t="s">
        <v>221</v>
      </c>
      <c r="L112" s="47" t="s">
        <v>2443</v>
      </c>
      <c r="M112" s="48" t="s">
        <v>2444</v>
      </c>
      <c r="N112" s="49"/>
      <c r="O112" s="50" t="s">
        <v>3307</v>
      </c>
      <c r="P112" s="59"/>
      <c r="Q112" s="59"/>
      <c r="R112" s="13"/>
    </row>
    <row r="113" spans="1:18" x14ac:dyDescent="0.25">
      <c r="A113" s="9" t="s">
        <v>22</v>
      </c>
      <c r="B113" s="28">
        <f>IF(ISBLANK(A113),0,INDEX(txtstylestab[],MATCH(A113,txtstylestab[style_Name],0),1))</f>
        <v>4</v>
      </c>
      <c r="C113" s="28">
        <f t="shared" si="4"/>
        <v>1</v>
      </c>
      <c r="D113" s="28">
        <f t="shared" si="5"/>
        <v>4</v>
      </c>
      <c r="E113" s="28">
        <f t="shared" si="6"/>
        <v>1</v>
      </c>
      <c r="F113" s="56" t="str">
        <f t="shared" si="7"/>
        <v/>
      </c>
      <c r="G113" s="67" t="s">
        <v>222</v>
      </c>
      <c r="H113" s="67"/>
      <c r="I113" s="67"/>
      <c r="J113" s="67"/>
      <c r="K113" s="67"/>
      <c r="L113" s="67"/>
      <c r="M113" s="67"/>
      <c r="N113" s="67"/>
      <c r="O113" s="67"/>
      <c r="P113" s="67"/>
      <c r="Q113" s="67"/>
      <c r="R113" s="13"/>
    </row>
    <row r="114" spans="1:18" ht="30" x14ac:dyDescent="0.25">
      <c r="A114" s="9" t="s">
        <v>21</v>
      </c>
      <c r="B114" s="28">
        <f>IF(ISBLANK(A114),0,INDEX(txtstylestab[],MATCH(A114,txtstylestab[style_Name],0),1))</f>
        <v>0</v>
      </c>
      <c r="C114" s="28">
        <f t="shared" si="4"/>
        <v>1</v>
      </c>
      <c r="D114" s="28">
        <f t="shared" si="5"/>
        <v>4</v>
      </c>
      <c r="E114" s="28">
        <f t="shared" si="6"/>
        <v>1</v>
      </c>
      <c r="F114" s="59" t="str">
        <f t="shared" si="7"/>
        <v/>
      </c>
      <c r="G114" s="42" t="s">
        <v>165</v>
      </c>
      <c r="H114" s="43" t="s">
        <v>166</v>
      </c>
      <c r="I114" s="44" t="s">
        <v>167</v>
      </c>
      <c r="J114" s="45" t="s">
        <v>168</v>
      </c>
      <c r="K114" s="46" t="s">
        <v>169</v>
      </c>
      <c r="L114" s="47" t="s">
        <v>2427</v>
      </c>
      <c r="M114" s="48" t="s">
        <v>2435</v>
      </c>
      <c r="N114" s="49"/>
      <c r="O114" s="50" t="s">
        <v>3297</v>
      </c>
      <c r="P114" s="59"/>
      <c r="Q114" s="59"/>
      <c r="R114" s="13"/>
    </row>
    <row r="115" spans="1:18" ht="45" x14ac:dyDescent="0.25">
      <c r="A115" s="9" t="s">
        <v>21</v>
      </c>
      <c r="B115" s="28">
        <f>IF(ISBLANK(A115),0,INDEX(txtstylestab[],MATCH(A115,txtstylestab[style_Name],0),1))</f>
        <v>0</v>
      </c>
      <c r="C115" s="28">
        <f t="shared" si="4"/>
        <v>1</v>
      </c>
      <c r="D115" s="28">
        <f t="shared" si="5"/>
        <v>4</v>
      </c>
      <c r="E115" s="28">
        <f t="shared" si="6"/>
        <v>1</v>
      </c>
      <c r="F115" s="59" t="str">
        <f t="shared" si="7"/>
        <v/>
      </c>
      <c r="G115" s="42" t="s">
        <v>114</v>
      </c>
      <c r="H115" s="43" t="s">
        <v>115</v>
      </c>
      <c r="I115" s="44" t="s">
        <v>170</v>
      </c>
      <c r="J115" s="45" t="s">
        <v>154</v>
      </c>
      <c r="K115" s="46" t="s">
        <v>118</v>
      </c>
      <c r="L115" s="47" t="s">
        <v>2402</v>
      </c>
      <c r="M115" s="48" t="s">
        <v>2403</v>
      </c>
      <c r="N115" s="49"/>
      <c r="O115" s="50" t="s">
        <v>3294</v>
      </c>
      <c r="P115" s="59"/>
      <c r="Q115" s="59"/>
      <c r="R115" s="13"/>
    </row>
    <row r="116" spans="1:18" x14ac:dyDescent="0.25">
      <c r="A116" s="9" t="s">
        <v>21</v>
      </c>
      <c r="B116" s="28">
        <f>IF(ISBLANK(A116),0,INDEX(txtstylestab[],MATCH(A116,txtstylestab[style_Name],0),1))</f>
        <v>0</v>
      </c>
      <c r="C116" s="28">
        <f t="shared" si="4"/>
        <v>1</v>
      </c>
      <c r="D116" s="28">
        <f t="shared" si="5"/>
        <v>4</v>
      </c>
      <c r="E116" s="28">
        <f t="shared" si="6"/>
        <v>1</v>
      </c>
      <c r="F116" s="59" t="str">
        <f t="shared" si="7"/>
        <v/>
      </c>
      <c r="G116" s="42" t="s">
        <v>155</v>
      </c>
      <c r="H116" s="43" t="s">
        <v>171</v>
      </c>
      <c r="I116" s="44" t="s">
        <v>121</v>
      </c>
      <c r="J116" s="45" t="s">
        <v>122</v>
      </c>
      <c r="K116" s="46" t="s">
        <v>123</v>
      </c>
      <c r="L116" s="47" t="s">
        <v>2404</v>
      </c>
      <c r="M116" s="48" t="s">
        <v>2418</v>
      </c>
      <c r="N116" s="49"/>
      <c r="O116" s="50" t="s">
        <v>3304</v>
      </c>
      <c r="P116" s="59"/>
      <c r="Q116" s="59"/>
      <c r="R116" s="13"/>
    </row>
    <row r="117" spans="1:18" ht="30" x14ac:dyDescent="0.25">
      <c r="A117" s="9" t="s">
        <v>21</v>
      </c>
      <c r="B117" s="28">
        <f>IF(ISBLANK(A117),0,INDEX(txtstylestab[],MATCH(A117,txtstylestab[style_Name],0),1))</f>
        <v>0</v>
      </c>
      <c r="C117" s="28">
        <f t="shared" si="4"/>
        <v>1</v>
      </c>
      <c r="D117" s="28">
        <f t="shared" si="5"/>
        <v>4</v>
      </c>
      <c r="E117" s="28">
        <f t="shared" si="6"/>
        <v>1</v>
      </c>
      <c r="F117" s="59" t="str">
        <f t="shared" si="7"/>
        <v/>
      </c>
      <c r="G117" s="42" t="s">
        <v>172</v>
      </c>
      <c r="H117" s="43" t="s">
        <v>173</v>
      </c>
      <c r="I117" s="44" t="s">
        <v>174</v>
      </c>
      <c r="J117" s="45" t="s">
        <v>175</v>
      </c>
      <c r="K117" s="46" t="s">
        <v>176</v>
      </c>
      <c r="L117" s="47" t="s">
        <v>2430</v>
      </c>
      <c r="M117" s="48" t="s">
        <v>2431</v>
      </c>
      <c r="N117" s="49"/>
      <c r="O117" s="50" t="s">
        <v>3303</v>
      </c>
      <c r="P117" s="59"/>
      <c r="Q117" s="59"/>
      <c r="R117" s="13"/>
    </row>
    <row r="118" spans="1:18" ht="30" x14ac:dyDescent="0.25">
      <c r="A118" s="9" t="s">
        <v>21</v>
      </c>
      <c r="B118" s="28">
        <f>IF(ISBLANK(A118),0,INDEX(txtstylestab[],MATCH(A118,txtstylestab[style_Name],0),1))</f>
        <v>0</v>
      </c>
      <c r="C118" s="28">
        <f t="shared" si="4"/>
        <v>1</v>
      </c>
      <c r="D118" s="28">
        <f t="shared" si="5"/>
        <v>4</v>
      </c>
      <c r="E118" s="28">
        <f t="shared" si="6"/>
        <v>1</v>
      </c>
      <c r="F118" s="59" t="str">
        <f t="shared" si="7"/>
        <v/>
      </c>
      <c r="G118" s="42" t="s">
        <v>177</v>
      </c>
      <c r="H118" s="43" t="s">
        <v>125</v>
      </c>
      <c r="I118" s="44" t="s">
        <v>126</v>
      </c>
      <c r="J118" s="45" t="s">
        <v>127</v>
      </c>
      <c r="K118" s="46" t="s">
        <v>128</v>
      </c>
      <c r="L118" s="47" t="s">
        <v>2421</v>
      </c>
      <c r="M118" s="48" t="s">
        <v>2422</v>
      </c>
      <c r="N118" s="49"/>
      <c r="O118" s="50" t="s">
        <v>3473</v>
      </c>
      <c r="P118" s="59"/>
      <c r="Q118" s="59"/>
      <c r="R118" s="13"/>
    </row>
    <row r="119" spans="1:18" ht="60" x14ac:dyDescent="0.25">
      <c r="A119" s="9" t="s">
        <v>21</v>
      </c>
      <c r="B119" s="28">
        <f>IF(ISBLANK(A119),0,INDEX(txtstylestab[],MATCH(A119,txtstylestab[style_Name],0),1))</f>
        <v>0</v>
      </c>
      <c r="C119" s="28">
        <f t="shared" si="4"/>
        <v>1</v>
      </c>
      <c r="D119" s="28">
        <f t="shared" si="5"/>
        <v>4</v>
      </c>
      <c r="E119" s="28">
        <f t="shared" si="6"/>
        <v>1</v>
      </c>
      <c r="F119" s="59" t="str">
        <f t="shared" si="7"/>
        <v/>
      </c>
      <c r="G119" s="42" t="s">
        <v>223</v>
      </c>
      <c r="H119" s="43" t="s">
        <v>224</v>
      </c>
      <c r="I119" s="44" t="s">
        <v>225</v>
      </c>
      <c r="J119" s="45" t="s">
        <v>226</v>
      </c>
      <c r="K119" s="46" t="s">
        <v>227</v>
      </c>
      <c r="L119" s="47" t="s">
        <v>2408</v>
      </c>
      <c r="M119" s="48" t="s">
        <v>2432</v>
      </c>
      <c r="N119" s="49"/>
      <c r="O119" s="50"/>
      <c r="P119" s="59"/>
      <c r="Q119" s="59"/>
      <c r="R119" s="13"/>
    </row>
    <row r="120" spans="1:18" ht="45" x14ac:dyDescent="0.25">
      <c r="A120" s="9" t="s">
        <v>21</v>
      </c>
      <c r="B120" s="28">
        <f>IF(ISBLANK(A120),0,INDEX(txtstylestab[],MATCH(A120,txtstylestab[style_Name],0),1))</f>
        <v>0</v>
      </c>
      <c r="C120" s="28">
        <f t="shared" si="4"/>
        <v>1</v>
      </c>
      <c r="D120" s="28">
        <f t="shared" si="5"/>
        <v>4</v>
      </c>
      <c r="E120" s="28">
        <f t="shared" si="6"/>
        <v>1</v>
      </c>
      <c r="F120" s="59" t="str">
        <f t="shared" si="7"/>
        <v/>
      </c>
      <c r="G120" s="42" t="s">
        <v>134</v>
      </c>
      <c r="H120" s="43" t="s">
        <v>163</v>
      </c>
      <c r="I120" s="44" t="s">
        <v>135</v>
      </c>
      <c r="J120" s="45" t="s">
        <v>136</v>
      </c>
      <c r="K120" s="46" t="s">
        <v>137</v>
      </c>
      <c r="L120" s="47" t="s">
        <v>2424</v>
      </c>
      <c r="M120" s="48" t="s">
        <v>2433</v>
      </c>
      <c r="N120" s="49"/>
      <c r="O120" s="50" t="s">
        <v>3291</v>
      </c>
      <c r="P120" s="59"/>
      <c r="Q120" s="59"/>
      <c r="R120" s="13"/>
    </row>
    <row r="121" spans="1:18" ht="75" x14ac:dyDescent="0.25">
      <c r="A121" s="9" t="s">
        <v>21</v>
      </c>
      <c r="B121" s="28">
        <f>IF(ISBLANK(A121),0,INDEX(txtstylestab[],MATCH(A121,txtstylestab[style_Name],0),1))</f>
        <v>0</v>
      </c>
      <c r="C121" s="28">
        <f t="shared" si="4"/>
        <v>1</v>
      </c>
      <c r="D121" s="28">
        <f t="shared" si="5"/>
        <v>4</v>
      </c>
      <c r="E121" s="28">
        <f t="shared" si="6"/>
        <v>1</v>
      </c>
      <c r="F121" s="59" t="str">
        <f t="shared" si="7"/>
        <v/>
      </c>
      <c r="G121" s="42" t="s">
        <v>179</v>
      </c>
      <c r="H121" s="43" t="s">
        <v>139</v>
      </c>
      <c r="I121" s="44" t="s">
        <v>140</v>
      </c>
      <c r="J121" s="45" t="s">
        <v>141</v>
      </c>
      <c r="K121" s="46" t="s">
        <v>142</v>
      </c>
      <c r="L121" s="47" t="s">
        <v>2426</v>
      </c>
      <c r="M121" s="48" t="s">
        <v>2413</v>
      </c>
      <c r="N121" s="49"/>
      <c r="O121" s="50" t="s">
        <v>3292</v>
      </c>
      <c r="P121" s="59"/>
      <c r="Q121" s="59"/>
      <c r="R121" s="13"/>
    </row>
    <row r="122" spans="1:18" ht="30" x14ac:dyDescent="0.25">
      <c r="A122" s="9" t="s">
        <v>21</v>
      </c>
      <c r="B122" s="28">
        <f>IF(ISBLANK(A122),0,INDEX(txtstylestab[],MATCH(A122,txtstylestab[style_Name],0),1))</f>
        <v>0</v>
      </c>
      <c r="C122" s="28">
        <f t="shared" si="4"/>
        <v>1</v>
      </c>
      <c r="D122" s="28">
        <f t="shared" si="5"/>
        <v>4</v>
      </c>
      <c r="E122" s="28">
        <f t="shared" si="6"/>
        <v>1</v>
      </c>
      <c r="F122" s="59" t="str">
        <f t="shared" si="7"/>
        <v/>
      </c>
      <c r="G122" s="42" t="s">
        <v>143</v>
      </c>
      <c r="H122" s="43" t="s">
        <v>144</v>
      </c>
      <c r="I122" s="44" t="s">
        <v>180</v>
      </c>
      <c r="J122" s="45" t="s">
        <v>146</v>
      </c>
      <c r="K122" s="46" t="s">
        <v>147</v>
      </c>
      <c r="L122" s="47" t="s">
        <v>2434</v>
      </c>
      <c r="M122" s="48" t="s">
        <v>2415</v>
      </c>
      <c r="N122" s="49"/>
      <c r="O122" s="50" t="s">
        <v>3293</v>
      </c>
      <c r="P122" s="59"/>
      <c r="Q122" s="59"/>
      <c r="R122" s="13"/>
    </row>
    <row r="123" spans="1:18" x14ac:dyDescent="0.25">
      <c r="A123" s="9" t="s">
        <v>22</v>
      </c>
      <c r="B123" s="28">
        <f>IF(ISBLANK(A123),0,INDEX(txtstylestab[],MATCH(A123,txtstylestab[style_Name],0),1))</f>
        <v>4</v>
      </c>
      <c r="C123" s="28">
        <f t="shared" si="4"/>
        <v>1</v>
      </c>
      <c r="D123" s="28">
        <f t="shared" si="5"/>
        <v>4</v>
      </c>
      <c r="E123" s="28">
        <f t="shared" si="6"/>
        <v>1</v>
      </c>
      <c r="F123" s="56" t="str">
        <f t="shared" si="7"/>
        <v/>
      </c>
      <c r="G123" s="67" t="s">
        <v>1789</v>
      </c>
      <c r="H123" s="67"/>
      <c r="I123" s="67"/>
      <c r="J123" s="67"/>
      <c r="K123" s="67"/>
      <c r="L123" s="67"/>
      <c r="M123" s="67"/>
      <c r="N123" s="67"/>
      <c r="O123" s="67"/>
      <c r="P123" s="67"/>
      <c r="Q123" s="67"/>
      <c r="R123" s="13"/>
    </row>
    <row r="124" spans="1:18" ht="30" x14ac:dyDescent="0.25">
      <c r="A124" s="9" t="s">
        <v>21</v>
      </c>
      <c r="B124" s="28">
        <f>IF(ISBLANK(A124),0,INDEX(txtstylestab[],MATCH(A124,txtstylestab[style_Name],0),1))</f>
        <v>0</v>
      </c>
      <c r="C124" s="28">
        <f t="shared" si="4"/>
        <v>1</v>
      </c>
      <c r="D124" s="28">
        <f t="shared" si="5"/>
        <v>4</v>
      </c>
      <c r="E124" s="28">
        <f t="shared" si="6"/>
        <v>1</v>
      </c>
      <c r="F124" s="59" t="str">
        <f t="shared" si="7"/>
        <v/>
      </c>
      <c r="G124" s="42" t="s">
        <v>228</v>
      </c>
      <c r="H124" s="43" t="s">
        <v>229</v>
      </c>
      <c r="I124" s="44" t="s">
        <v>230</v>
      </c>
      <c r="J124" s="45" t="s">
        <v>231</v>
      </c>
      <c r="K124" s="46" t="s">
        <v>232</v>
      </c>
      <c r="L124" s="47" t="s">
        <v>2445</v>
      </c>
      <c r="M124" s="48" t="s">
        <v>2446</v>
      </c>
      <c r="N124" s="49"/>
      <c r="O124" s="50" t="s">
        <v>3308</v>
      </c>
      <c r="P124" s="50"/>
      <c r="Q124" s="59"/>
      <c r="R124" s="13"/>
    </row>
    <row r="125" spans="1:18" ht="45" x14ac:dyDescent="0.25">
      <c r="A125" s="9" t="s">
        <v>21</v>
      </c>
      <c r="B125" s="28">
        <f>IF(ISBLANK(A125),0,INDEX(txtstylestab[],MATCH(A125,txtstylestab[style_Name],0),1))</f>
        <v>0</v>
      </c>
      <c r="C125" s="28">
        <f t="shared" si="4"/>
        <v>1</v>
      </c>
      <c r="D125" s="28">
        <f t="shared" si="5"/>
        <v>4</v>
      </c>
      <c r="E125" s="28">
        <f t="shared" si="6"/>
        <v>1</v>
      </c>
      <c r="F125" s="59" t="str">
        <f t="shared" si="7"/>
        <v/>
      </c>
      <c r="G125" s="42" t="s">
        <v>182</v>
      </c>
      <c r="H125" s="43" t="s">
        <v>115</v>
      </c>
      <c r="I125" s="44" t="s">
        <v>170</v>
      </c>
      <c r="J125" s="45" t="s">
        <v>233</v>
      </c>
      <c r="K125" s="46" t="s">
        <v>118</v>
      </c>
      <c r="L125" s="47" t="s">
        <v>2402</v>
      </c>
      <c r="M125" s="48" t="s">
        <v>2447</v>
      </c>
      <c r="N125" s="49"/>
      <c r="O125" s="50" t="s">
        <v>3294</v>
      </c>
      <c r="P125" s="50"/>
      <c r="Q125" s="59"/>
      <c r="R125" s="13"/>
    </row>
    <row r="126" spans="1:18" ht="30" x14ac:dyDescent="0.25">
      <c r="A126" s="9" t="s">
        <v>21</v>
      </c>
      <c r="B126" s="28">
        <f>IF(ISBLANK(A126),0,INDEX(txtstylestab[],MATCH(A126,txtstylestab[style_Name],0),1))</f>
        <v>0</v>
      </c>
      <c r="C126" s="28">
        <f t="shared" si="4"/>
        <v>1</v>
      </c>
      <c r="D126" s="28">
        <f t="shared" si="5"/>
        <v>4</v>
      </c>
      <c r="E126" s="28">
        <f t="shared" si="6"/>
        <v>1</v>
      </c>
      <c r="F126" s="59" t="str">
        <f t="shared" si="7"/>
        <v/>
      </c>
      <c r="G126" s="42" t="s">
        <v>234</v>
      </c>
      <c r="H126" s="43" t="s">
        <v>235</v>
      </c>
      <c r="I126" s="44" t="s">
        <v>236</v>
      </c>
      <c r="J126" s="45" t="s">
        <v>237</v>
      </c>
      <c r="K126" s="46" t="s">
        <v>238</v>
      </c>
      <c r="L126" s="47" t="s">
        <v>2448</v>
      </c>
      <c r="M126" s="48" t="s">
        <v>2449</v>
      </c>
      <c r="N126" s="49"/>
      <c r="O126" s="50" t="s">
        <v>3309</v>
      </c>
      <c r="P126" s="50"/>
      <c r="Q126" s="59"/>
      <c r="R126" s="13"/>
    </row>
    <row r="127" spans="1:18" x14ac:dyDescent="0.25">
      <c r="A127" s="9" t="s">
        <v>21</v>
      </c>
      <c r="B127" s="28">
        <f>IF(ISBLANK(A127),0,INDEX(txtstylestab[],MATCH(A127,txtstylestab[style_Name],0),1))</f>
        <v>0</v>
      </c>
      <c r="C127" s="28">
        <f t="shared" si="4"/>
        <v>1</v>
      </c>
      <c r="D127" s="28">
        <f t="shared" si="5"/>
        <v>4</v>
      </c>
      <c r="E127" s="28">
        <f t="shared" si="6"/>
        <v>1</v>
      </c>
      <c r="F127" s="59" t="str">
        <f t="shared" si="7"/>
        <v/>
      </c>
      <c r="G127" s="42" t="s">
        <v>239</v>
      </c>
      <c r="H127" s="43" t="s">
        <v>240</v>
      </c>
      <c r="I127" s="44" t="s">
        <v>530</v>
      </c>
      <c r="J127" s="45" t="s">
        <v>241</v>
      </c>
      <c r="K127" s="46" t="s">
        <v>242</v>
      </c>
      <c r="L127" s="47" t="s">
        <v>2450</v>
      </c>
      <c r="M127" s="48" t="s">
        <v>2451</v>
      </c>
      <c r="N127" s="49"/>
      <c r="O127" s="50" t="s">
        <v>3299</v>
      </c>
      <c r="P127" s="50"/>
      <c r="Q127" s="59"/>
      <c r="R127" s="13"/>
    </row>
    <row r="128" spans="1:18" ht="30" x14ac:dyDescent="0.25">
      <c r="A128" s="9" t="s">
        <v>21</v>
      </c>
      <c r="B128" s="28">
        <f>IF(ISBLANK(A128),0,INDEX(txtstylestab[],MATCH(A128,txtstylestab[style_Name],0),1))</f>
        <v>0</v>
      </c>
      <c r="C128" s="28">
        <f t="shared" si="4"/>
        <v>1</v>
      </c>
      <c r="D128" s="28">
        <f t="shared" si="5"/>
        <v>4</v>
      </c>
      <c r="E128" s="28">
        <f t="shared" si="6"/>
        <v>1</v>
      </c>
      <c r="F128" s="59" t="str">
        <f t="shared" si="7"/>
        <v/>
      </c>
      <c r="G128" s="42" t="s">
        <v>243</v>
      </c>
      <c r="H128" s="43" t="s">
        <v>244</v>
      </c>
      <c r="I128" s="44" t="s">
        <v>245</v>
      </c>
      <c r="J128" s="45" t="s">
        <v>246</v>
      </c>
      <c r="K128" s="46" t="s">
        <v>247</v>
      </c>
      <c r="L128" s="47" t="s">
        <v>2452</v>
      </c>
      <c r="M128" s="48" t="s">
        <v>2453</v>
      </c>
      <c r="N128" s="49"/>
      <c r="O128" s="50" t="s">
        <v>3474</v>
      </c>
      <c r="P128" s="50"/>
      <c r="Q128" s="59"/>
      <c r="R128" s="13"/>
    </row>
    <row r="129" spans="1:18" ht="45" x14ac:dyDescent="0.25">
      <c r="A129" s="9" t="s">
        <v>21</v>
      </c>
      <c r="B129" s="28">
        <f>IF(ISBLANK(A129),0,INDEX(txtstylestab[],MATCH(A129,txtstylestab[style_Name],0),1))</f>
        <v>0</v>
      </c>
      <c r="C129" s="28">
        <f t="shared" si="4"/>
        <v>1</v>
      </c>
      <c r="D129" s="28">
        <f t="shared" si="5"/>
        <v>4</v>
      </c>
      <c r="E129" s="28">
        <f t="shared" si="6"/>
        <v>1</v>
      </c>
      <c r="F129" s="59" t="str">
        <f t="shared" si="7"/>
        <v/>
      </c>
      <c r="G129" s="42" t="s">
        <v>205</v>
      </c>
      <c r="H129" s="43" t="s">
        <v>130</v>
      </c>
      <c r="I129" s="44" t="s">
        <v>248</v>
      </c>
      <c r="J129" s="45" t="s">
        <v>132</v>
      </c>
      <c r="K129" s="46" t="s">
        <v>133</v>
      </c>
      <c r="L129" s="47" t="s">
        <v>2408</v>
      </c>
      <c r="M129" s="48" t="s">
        <v>2423</v>
      </c>
      <c r="N129" s="49"/>
      <c r="O129" s="50" t="s">
        <v>3300</v>
      </c>
      <c r="P129" s="59"/>
      <c r="Q129" s="59"/>
      <c r="R129" s="13"/>
    </row>
    <row r="130" spans="1:18" ht="45" x14ac:dyDescent="0.25">
      <c r="A130" s="9" t="s">
        <v>21</v>
      </c>
      <c r="B130" s="28">
        <f>IF(ISBLANK(A130),0,INDEX(txtstylestab[],MATCH(A130,txtstylestab[style_Name],0),1))</f>
        <v>0</v>
      </c>
      <c r="C130" s="28">
        <f t="shared" si="4"/>
        <v>1</v>
      </c>
      <c r="D130" s="28">
        <f t="shared" si="5"/>
        <v>4</v>
      </c>
      <c r="E130" s="28">
        <f t="shared" si="6"/>
        <v>1</v>
      </c>
      <c r="F130" s="59" t="str">
        <f t="shared" si="7"/>
        <v/>
      </c>
      <c r="G130" s="42" t="s">
        <v>206</v>
      </c>
      <c r="H130" s="43" t="s">
        <v>163</v>
      </c>
      <c r="I130" s="44" t="s">
        <v>135</v>
      </c>
      <c r="J130" s="45" t="s">
        <v>136</v>
      </c>
      <c r="K130" s="46" t="s">
        <v>249</v>
      </c>
      <c r="L130" s="47" t="s">
        <v>2424</v>
      </c>
      <c r="M130" s="48" t="s">
        <v>2425</v>
      </c>
      <c r="N130" s="49"/>
      <c r="O130" s="50" t="s">
        <v>3291</v>
      </c>
      <c r="P130" s="50"/>
      <c r="Q130" s="59"/>
      <c r="R130" s="13"/>
    </row>
    <row r="131" spans="1:18" ht="75" x14ac:dyDescent="0.25">
      <c r="A131" s="9" t="s">
        <v>21</v>
      </c>
      <c r="B131" s="28">
        <f>IF(ISBLANK(A131),0,INDEX(txtstylestab[],MATCH(A131,txtstylestab[style_Name],0),1))</f>
        <v>0</v>
      </c>
      <c r="C131" s="28">
        <f t="shared" si="4"/>
        <v>1</v>
      </c>
      <c r="D131" s="28">
        <f t="shared" si="5"/>
        <v>4</v>
      </c>
      <c r="E131" s="28">
        <f t="shared" si="6"/>
        <v>1</v>
      </c>
      <c r="F131" s="59" t="str">
        <f t="shared" si="7"/>
        <v/>
      </c>
      <c r="G131" s="42" t="s">
        <v>207</v>
      </c>
      <c r="H131" s="43" t="s">
        <v>208</v>
      </c>
      <c r="I131" s="44" t="s">
        <v>209</v>
      </c>
      <c r="J131" s="45" t="s">
        <v>141</v>
      </c>
      <c r="K131" s="46" t="s">
        <v>142</v>
      </c>
      <c r="L131" s="47" t="s">
        <v>2426</v>
      </c>
      <c r="M131" s="48" t="s">
        <v>2413</v>
      </c>
      <c r="N131" s="49"/>
      <c r="O131" s="50" t="s">
        <v>3292</v>
      </c>
      <c r="P131" s="50"/>
      <c r="Q131" s="59"/>
      <c r="R131" s="13"/>
    </row>
    <row r="132" spans="1:18" ht="30" x14ac:dyDescent="0.25">
      <c r="A132" s="9" t="s">
        <v>21</v>
      </c>
      <c r="B132" s="28">
        <f>IF(ISBLANK(A132),0,INDEX(txtstylestab[],MATCH(A132,txtstylestab[style_Name],0),1))</f>
        <v>0</v>
      </c>
      <c r="C132" s="28">
        <f t="shared" ref="C132:C195" si="8">IF(B132=1,C131+1,C131)</f>
        <v>1</v>
      </c>
      <c r="D132" s="28">
        <f t="shared" ref="D132:D195" si="9">IF(B132=1,0,IF(B132=2,D131+1,IF(AND(B132=3,D131=0),1,D131)))</f>
        <v>4</v>
      </c>
      <c r="E132" s="28">
        <f t="shared" ref="E132:E195" si="10">IF(OR(B132=1,B132=2),0,IF(B132=3,E131+1,E131))</f>
        <v>1</v>
      </c>
      <c r="F132" s="59" t="str">
        <f t="shared" ref="F132:F195" si="11">IF(OR(B132=1,B132=2,B132=3),TEXT(C132,"#")&amp;".","")&amp;IF(OR(B132=2,B132=3),TEXT(D132,"#")&amp;".","")&amp;IF(B132=3,TEXT(E132,"#")&amp;".","")</f>
        <v/>
      </c>
      <c r="G132" s="42" t="s">
        <v>210</v>
      </c>
      <c r="H132" s="43" t="s">
        <v>199</v>
      </c>
      <c r="I132" s="44" t="s">
        <v>180</v>
      </c>
      <c r="J132" s="45" t="s">
        <v>146</v>
      </c>
      <c r="K132" s="46" t="s">
        <v>147</v>
      </c>
      <c r="L132" s="47" t="s">
        <v>2414</v>
      </c>
      <c r="M132" s="48" t="s">
        <v>2415</v>
      </c>
      <c r="N132" s="49"/>
      <c r="O132" s="50" t="s">
        <v>3293</v>
      </c>
      <c r="P132" s="50"/>
      <c r="Q132" s="59"/>
      <c r="R132" s="13"/>
    </row>
    <row r="133" spans="1:18" x14ac:dyDescent="0.25">
      <c r="A133" s="9" t="s">
        <v>23</v>
      </c>
      <c r="B133" s="28">
        <f>IF(ISBLANK(A133),0,INDEX(txtstylestab[],MATCH(A133,txtstylestab[style_Name],0),1))</f>
        <v>5</v>
      </c>
      <c r="C133" s="28">
        <f t="shared" si="8"/>
        <v>1</v>
      </c>
      <c r="D133" s="28">
        <f t="shared" si="9"/>
        <v>4</v>
      </c>
      <c r="E133" s="28">
        <f t="shared" si="10"/>
        <v>1</v>
      </c>
      <c r="F133" s="56" t="str">
        <f t="shared" si="11"/>
        <v/>
      </c>
      <c r="G133" s="69" t="s">
        <v>250</v>
      </c>
      <c r="H133" s="69"/>
      <c r="I133" s="69"/>
      <c r="J133" s="69"/>
      <c r="K133" s="69"/>
      <c r="L133" s="69"/>
      <c r="M133" s="69"/>
      <c r="N133" s="69"/>
      <c r="O133" s="69"/>
      <c r="P133" s="69"/>
      <c r="Q133" s="69"/>
      <c r="R133" s="13"/>
    </row>
    <row r="134" spans="1:18" ht="90" x14ac:dyDescent="0.25">
      <c r="A134" s="9" t="s">
        <v>21</v>
      </c>
      <c r="B134" s="28">
        <f>IF(ISBLANK(A134),0,INDEX(txtstylestab[],MATCH(A134,txtstylestab[style_Name],0),1))</f>
        <v>0</v>
      </c>
      <c r="C134" s="28">
        <f t="shared" si="8"/>
        <v>1</v>
      </c>
      <c r="D134" s="28">
        <f t="shared" si="9"/>
        <v>4</v>
      </c>
      <c r="E134" s="28">
        <f t="shared" si="10"/>
        <v>1</v>
      </c>
      <c r="F134" s="59" t="str">
        <f t="shared" si="11"/>
        <v/>
      </c>
      <c r="G134" s="42" t="s">
        <v>251</v>
      </c>
      <c r="H134" s="43" t="s">
        <v>252</v>
      </c>
      <c r="I134" s="44" t="s">
        <v>1630</v>
      </c>
      <c r="J134" s="45" t="s">
        <v>405</v>
      </c>
      <c r="K134" s="46" t="s">
        <v>253</v>
      </c>
      <c r="L134" s="47" t="s">
        <v>2454</v>
      </c>
      <c r="M134" s="48" t="s">
        <v>2455</v>
      </c>
      <c r="N134" s="49"/>
      <c r="O134" s="50" t="s">
        <v>3310</v>
      </c>
      <c r="P134" s="59"/>
      <c r="Q134" s="59"/>
      <c r="R134" s="13"/>
    </row>
    <row r="135" spans="1:18" ht="15.75" thickBot="1" x14ac:dyDescent="0.3">
      <c r="A135" s="9" t="s">
        <v>12</v>
      </c>
      <c r="B135" s="28">
        <f>IF(ISBLANK(A135),0,INDEX(txtstylestab[],MATCH(A135,txtstylestab[style_Name],0),1))</f>
        <v>3</v>
      </c>
      <c r="C135" s="28">
        <f t="shared" si="8"/>
        <v>1</v>
      </c>
      <c r="D135" s="28">
        <f t="shared" si="9"/>
        <v>4</v>
      </c>
      <c r="E135" s="28">
        <f t="shared" si="10"/>
        <v>2</v>
      </c>
      <c r="F135" s="55" t="str">
        <f t="shared" si="11"/>
        <v>1.4.2.</v>
      </c>
      <c r="G135" s="70" t="s">
        <v>254</v>
      </c>
      <c r="H135" s="70"/>
      <c r="I135" s="70"/>
      <c r="J135" s="70"/>
      <c r="K135" s="70"/>
      <c r="L135" s="70"/>
      <c r="M135" s="70"/>
      <c r="N135" s="70"/>
      <c r="O135" s="70"/>
      <c r="P135" s="70"/>
      <c r="Q135" s="70"/>
      <c r="R135" s="13"/>
    </row>
    <row r="136" spans="1:18" ht="60" x14ac:dyDescent="0.25">
      <c r="A136" s="9" t="s">
        <v>21</v>
      </c>
      <c r="B136" s="28">
        <f>IF(ISBLANK(A136),0,INDEX(txtstylestab[],MATCH(A136,txtstylestab[style_Name],0),1))</f>
        <v>0</v>
      </c>
      <c r="C136" s="28">
        <f t="shared" si="8"/>
        <v>1</v>
      </c>
      <c r="D136" s="28">
        <f t="shared" si="9"/>
        <v>4</v>
      </c>
      <c r="E136" s="28">
        <f t="shared" si="10"/>
        <v>2</v>
      </c>
      <c r="F136" s="59" t="str">
        <f t="shared" si="11"/>
        <v/>
      </c>
      <c r="G136" s="42" t="s">
        <v>255</v>
      </c>
      <c r="H136" s="43" t="s">
        <v>256</v>
      </c>
      <c r="I136" s="44" t="s">
        <v>257</v>
      </c>
      <c r="J136" s="45" t="s">
        <v>258</v>
      </c>
      <c r="K136" s="46" t="s">
        <v>259</v>
      </c>
      <c r="L136" s="47" t="s">
        <v>2456</v>
      </c>
      <c r="M136" s="48" t="s">
        <v>2457</v>
      </c>
      <c r="N136" s="49"/>
      <c r="O136" s="50" t="s">
        <v>3311</v>
      </c>
      <c r="P136" s="59"/>
      <c r="Q136" s="59"/>
      <c r="R136" s="13"/>
    </row>
    <row r="137" spans="1:18" ht="30" x14ac:dyDescent="0.25">
      <c r="A137" s="9" t="s">
        <v>21</v>
      </c>
      <c r="B137" s="28">
        <f>IF(ISBLANK(A137),0,INDEX(txtstylestab[],MATCH(A137,txtstylestab[style_Name],0),1))</f>
        <v>0</v>
      </c>
      <c r="C137" s="28">
        <f t="shared" si="8"/>
        <v>1</v>
      </c>
      <c r="D137" s="28">
        <f t="shared" si="9"/>
        <v>4</v>
      </c>
      <c r="E137" s="28">
        <f t="shared" si="10"/>
        <v>2</v>
      </c>
      <c r="F137" s="59" t="str">
        <f t="shared" si="11"/>
        <v/>
      </c>
      <c r="G137" s="42" t="s">
        <v>260</v>
      </c>
      <c r="H137" s="43" t="s">
        <v>261</v>
      </c>
      <c r="I137" s="44" t="s">
        <v>262</v>
      </c>
      <c r="J137" s="45" t="s">
        <v>263</v>
      </c>
      <c r="K137" s="46" t="s">
        <v>264</v>
      </c>
      <c r="L137" s="47" t="s">
        <v>2458</v>
      </c>
      <c r="M137" s="48" t="s">
        <v>2459</v>
      </c>
      <c r="N137" s="49"/>
      <c r="O137" s="50" t="s">
        <v>3312</v>
      </c>
      <c r="P137" s="59"/>
      <c r="Q137" s="59"/>
      <c r="R137" s="13"/>
    </row>
    <row r="138" spans="1:18" ht="60" x14ac:dyDescent="0.25">
      <c r="A138" s="9" t="s">
        <v>21</v>
      </c>
      <c r="B138" s="28">
        <f>IF(ISBLANK(A138),0,INDEX(txtstylestab[],MATCH(A138,txtstylestab[style_Name],0),1))</f>
        <v>0</v>
      </c>
      <c r="C138" s="28">
        <f t="shared" si="8"/>
        <v>1</v>
      </c>
      <c r="D138" s="28">
        <f t="shared" si="9"/>
        <v>4</v>
      </c>
      <c r="E138" s="28">
        <f t="shared" si="10"/>
        <v>2</v>
      </c>
      <c r="F138" s="59" t="str">
        <f t="shared" si="11"/>
        <v/>
      </c>
      <c r="G138" s="42" t="s">
        <v>265</v>
      </c>
      <c r="H138" s="43" t="s">
        <v>266</v>
      </c>
      <c r="I138" s="44" t="s">
        <v>267</v>
      </c>
      <c r="J138" s="45" t="s">
        <v>268</v>
      </c>
      <c r="K138" s="46" t="s">
        <v>269</v>
      </c>
      <c r="L138" s="47" t="s">
        <v>2460</v>
      </c>
      <c r="M138" s="48" t="s">
        <v>2461</v>
      </c>
      <c r="N138" s="49"/>
      <c r="O138" s="50" t="s">
        <v>3313</v>
      </c>
      <c r="P138" s="59"/>
      <c r="Q138" s="59"/>
      <c r="R138" s="13"/>
    </row>
    <row r="139" spans="1:18" ht="60" x14ac:dyDescent="0.25">
      <c r="A139" s="9" t="s">
        <v>21</v>
      </c>
      <c r="B139" s="28">
        <f>IF(ISBLANK(A139),0,INDEX(txtstylestab[],MATCH(A139,txtstylestab[style_Name],0),1))</f>
        <v>0</v>
      </c>
      <c r="C139" s="28">
        <f t="shared" si="8"/>
        <v>1</v>
      </c>
      <c r="D139" s="28">
        <f t="shared" si="9"/>
        <v>4</v>
      </c>
      <c r="E139" s="28">
        <f t="shared" si="10"/>
        <v>2</v>
      </c>
      <c r="F139" s="59" t="str">
        <f t="shared" si="11"/>
        <v/>
      </c>
      <c r="G139" s="42" t="s">
        <v>270</v>
      </c>
      <c r="H139" s="43" t="s">
        <v>271</v>
      </c>
      <c r="I139" s="44" t="s">
        <v>272</v>
      </c>
      <c r="J139" s="45" t="s">
        <v>273</v>
      </c>
      <c r="K139" s="46" t="s">
        <v>274</v>
      </c>
      <c r="L139" s="47" t="s">
        <v>2462</v>
      </c>
      <c r="M139" s="48" t="s">
        <v>2463</v>
      </c>
      <c r="N139" s="49"/>
      <c r="O139" s="50" t="s">
        <v>3314</v>
      </c>
      <c r="P139" s="59"/>
      <c r="Q139" s="59"/>
      <c r="R139" s="13"/>
    </row>
    <row r="140" spans="1:18" ht="15.75" thickBot="1" x14ac:dyDescent="0.3">
      <c r="A140" s="9" t="s">
        <v>12</v>
      </c>
      <c r="B140" s="28">
        <f>IF(ISBLANK(A140),0,INDEX(txtstylestab[],MATCH(A140,txtstylestab[style_Name],0),1))</f>
        <v>3</v>
      </c>
      <c r="C140" s="28">
        <f t="shared" si="8"/>
        <v>1</v>
      </c>
      <c r="D140" s="28">
        <f t="shared" si="9"/>
        <v>4</v>
      </c>
      <c r="E140" s="28">
        <f t="shared" si="10"/>
        <v>3</v>
      </c>
      <c r="F140" s="55" t="str">
        <f t="shared" si="11"/>
        <v>1.4.3.</v>
      </c>
      <c r="G140" s="70" t="s">
        <v>275</v>
      </c>
      <c r="H140" s="70"/>
      <c r="I140" s="70"/>
      <c r="J140" s="70"/>
      <c r="K140" s="70"/>
      <c r="L140" s="70"/>
      <c r="M140" s="70"/>
      <c r="N140" s="70"/>
      <c r="O140" s="70"/>
      <c r="P140" s="70"/>
      <c r="Q140" s="70"/>
      <c r="R140" s="13"/>
    </row>
    <row r="141" spans="1:18" ht="60" x14ac:dyDescent="0.25">
      <c r="A141" s="9" t="s">
        <v>21</v>
      </c>
      <c r="B141" s="28">
        <f>IF(ISBLANK(A141),0,INDEX(txtstylestab[],MATCH(A141,txtstylestab[style_Name],0),1))</f>
        <v>0</v>
      </c>
      <c r="C141" s="28">
        <f t="shared" si="8"/>
        <v>1</v>
      </c>
      <c r="D141" s="28">
        <f t="shared" si="9"/>
        <v>4</v>
      </c>
      <c r="E141" s="28">
        <f t="shared" si="10"/>
        <v>3</v>
      </c>
      <c r="F141" s="59" t="str">
        <f t="shared" si="11"/>
        <v/>
      </c>
      <c r="G141" s="42" t="s">
        <v>276</v>
      </c>
      <c r="H141" s="43" t="s">
        <v>277</v>
      </c>
      <c r="I141" s="44" t="s">
        <v>2238</v>
      </c>
      <c r="J141" s="45" t="s">
        <v>278</v>
      </c>
      <c r="K141" s="46" t="s">
        <v>279</v>
      </c>
      <c r="L141" s="47" t="s">
        <v>2464</v>
      </c>
      <c r="M141" s="48" t="s">
        <v>2465</v>
      </c>
      <c r="N141" s="49"/>
      <c r="O141" s="50" t="s">
        <v>3315</v>
      </c>
      <c r="P141" s="59"/>
      <c r="Q141" s="59"/>
      <c r="R141" s="13"/>
    </row>
    <row r="142" spans="1:18" ht="45" x14ac:dyDescent="0.25">
      <c r="A142" s="9" t="s">
        <v>21</v>
      </c>
      <c r="B142" s="28">
        <f>IF(ISBLANK(A142),0,INDEX(txtstylestab[],MATCH(A142,txtstylestab[style_Name],0),1))</f>
        <v>0</v>
      </c>
      <c r="C142" s="28">
        <f t="shared" si="8"/>
        <v>1</v>
      </c>
      <c r="D142" s="28">
        <f t="shared" si="9"/>
        <v>4</v>
      </c>
      <c r="E142" s="28">
        <f t="shared" si="10"/>
        <v>3</v>
      </c>
      <c r="F142" s="59" t="str">
        <f t="shared" si="11"/>
        <v/>
      </c>
      <c r="G142" s="42" t="s">
        <v>280</v>
      </c>
      <c r="H142" s="43" t="s">
        <v>281</v>
      </c>
      <c r="I142" s="44" t="s">
        <v>282</v>
      </c>
      <c r="J142" s="45" t="s">
        <v>283</v>
      </c>
      <c r="K142" s="46" t="s">
        <v>284</v>
      </c>
      <c r="L142" s="47" t="s">
        <v>2466</v>
      </c>
      <c r="M142" s="48" t="s">
        <v>2467</v>
      </c>
      <c r="N142" s="49"/>
      <c r="O142" s="50" t="s">
        <v>3316</v>
      </c>
      <c r="P142" s="59"/>
      <c r="Q142" s="59"/>
      <c r="R142" s="13"/>
    </row>
    <row r="143" spans="1:18" ht="30" x14ac:dyDescent="0.25">
      <c r="A143" s="9" t="s">
        <v>21</v>
      </c>
      <c r="B143" s="28">
        <f>IF(ISBLANK(A143),0,INDEX(txtstylestab[],MATCH(A143,txtstylestab[style_Name],0),1))</f>
        <v>0</v>
      </c>
      <c r="C143" s="28">
        <f t="shared" si="8"/>
        <v>1</v>
      </c>
      <c r="D143" s="28">
        <f t="shared" si="9"/>
        <v>4</v>
      </c>
      <c r="E143" s="28">
        <f t="shared" si="10"/>
        <v>3</v>
      </c>
      <c r="F143" s="59" t="str">
        <f t="shared" si="11"/>
        <v/>
      </c>
      <c r="G143" s="42" t="s">
        <v>285</v>
      </c>
      <c r="H143" s="43" t="s">
        <v>286</v>
      </c>
      <c r="I143" s="44" t="s">
        <v>287</v>
      </c>
      <c r="J143" s="45" t="s">
        <v>288</v>
      </c>
      <c r="K143" s="46" t="s">
        <v>289</v>
      </c>
      <c r="L143" s="47" t="s">
        <v>2468</v>
      </c>
      <c r="M143" s="48" t="s">
        <v>2469</v>
      </c>
      <c r="N143" s="49"/>
      <c r="O143" s="50" t="s">
        <v>3317</v>
      </c>
      <c r="P143" s="59"/>
      <c r="Q143" s="59"/>
      <c r="R143" s="13"/>
    </row>
    <row r="144" spans="1:18" ht="45" x14ac:dyDescent="0.25">
      <c r="A144" s="9" t="s">
        <v>21</v>
      </c>
      <c r="B144" s="28">
        <f>IF(ISBLANK(A144),0,INDEX(txtstylestab[],MATCH(A144,txtstylestab[style_Name],0),1))</f>
        <v>0</v>
      </c>
      <c r="C144" s="28">
        <f t="shared" si="8"/>
        <v>1</v>
      </c>
      <c r="D144" s="28">
        <f t="shared" si="9"/>
        <v>4</v>
      </c>
      <c r="E144" s="28">
        <f t="shared" si="10"/>
        <v>3</v>
      </c>
      <c r="F144" s="59" t="str">
        <f t="shared" si="11"/>
        <v/>
      </c>
      <c r="G144" s="42" t="s">
        <v>290</v>
      </c>
      <c r="H144" s="43" t="s">
        <v>291</v>
      </c>
      <c r="I144" s="44" t="s">
        <v>292</v>
      </c>
      <c r="J144" s="45" t="s">
        <v>293</v>
      </c>
      <c r="K144" s="46" t="s">
        <v>294</v>
      </c>
      <c r="L144" s="47" t="s">
        <v>2470</v>
      </c>
      <c r="M144" s="48" t="s">
        <v>2471</v>
      </c>
      <c r="N144" s="49"/>
      <c r="O144" s="50" t="s">
        <v>3318</v>
      </c>
      <c r="P144" s="59"/>
      <c r="Q144" s="59"/>
      <c r="R144" s="13"/>
    </row>
    <row r="145" spans="1:18" ht="15.75" thickBot="1" x14ac:dyDescent="0.3">
      <c r="A145" s="9" t="s">
        <v>12</v>
      </c>
      <c r="B145" s="28">
        <f>IF(ISBLANK(A145),0,INDEX(txtstylestab[],MATCH(A145,txtstylestab[style_Name],0),1))</f>
        <v>3</v>
      </c>
      <c r="C145" s="28">
        <f t="shared" si="8"/>
        <v>1</v>
      </c>
      <c r="D145" s="28">
        <f t="shared" si="9"/>
        <v>4</v>
      </c>
      <c r="E145" s="28">
        <f t="shared" si="10"/>
        <v>4</v>
      </c>
      <c r="F145" s="55" t="str">
        <f t="shared" si="11"/>
        <v>1.4.4.</v>
      </c>
      <c r="G145" s="70" t="s">
        <v>295</v>
      </c>
      <c r="H145" s="70"/>
      <c r="I145" s="70"/>
      <c r="J145" s="70"/>
      <c r="K145" s="70"/>
      <c r="L145" s="70"/>
      <c r="M145" s="70"/>
      <c r="N145" s="70"/>
      <c r="O145" s="70"/>
      <c r="P145" s="70"/>
      <c r="Q145" s="70"/>
      <c r="R145" s="13"/>
    </row>
    <row r="146" spans="1:18" x14ac:dyDescent="0.25">
      <c r="A146" s="9" t="s">
        <v>22</v>
      </c>
      <c r="B146" s="28">
        <f>IF(ISBLANK(A146),0,INDEX(txtstylestab[],MATCH(A146,txtstylestab[style_Name],0),1))</f>
        <v>4</v>
      </c>
      <c r="C146" s="28">
        <f t="shared" si="8"/>
        <v>1</v>
      </c>
      <c r="D146" s="28">
        <f t="shared" si="9"/>
        <v>4</v>
      </c>
      <c r="E146" s="28">
        <f t="shared" si="10"/>
        <v>4</v>
      </c>
      <c r="F146" s="56" t="str">
        <f t="shared" si="11"/>
        <v/>
      </c>
      <c r="G146" s="67" t="s">
        <v>296</v>
      </c>
      <c r="H146" s="67"/>
      <c r="I146" s="67"/>
      <c r="J146" s="67"/>
      <c r="K146" s="67"/>
      <c r="L146" s="67"/>
      <c r="M146" s="67"/>
      <c r="N146" s="67"/>
      <c r="O146" s="67"/>
      <c r="P146" s="67"/>
      <c r="Q146" s="67"/>
      <c r="R146" s="13"/>
    </row>
    <row r="147" spans="1:18" ht="45" x14ac:dyDescent="0.25">
      <c r="A147" s="9" t="s">
        <v>21</v>
      </c>
      <c r="B147" s="28">
        <f>IF(ISBLANK(A147),0,INDEX(txtstylestab[],MATCH(A147,txtstylestab[style_Name],0),1))</f>
        <v>0</v>
      </c>
      <c r="C147" s="28">
        <f t="shared" si="8"/>
        <v>1</v>
      </c>
      <c r="D147" s="28">
        <f t="shared" si="9"/>
        <v>4</v>
      </c>
      <c r="E147" s="28">
        <f t="shared" si="10"/>
        <v>4</v>
      </c>
      <c r="F147" s="59" t="str">
        <f t="shared" si="11"/>
        <v/>
      </c>
      <c r="G147" s="42" t="s">
        <v>297</v>
      </c>
      <c r="H147" s="43" t="s">
        <v>298</v>
      </c>
      <c r="I147" s="44" t="s">
        <v>299</v>
      </c>
      <c r="J147" s="45" t="s">
        <v>300</v>
      </c>
      <c r="K147" s="46" t="s">
        <v>301</v>
      </c>
      <c r="L147" s="47" t="s">
        <v>2472</v>
      </c>
      <c r="M147" s="48" t="s">
        <v>2473</v>
      </c>
      <c r="N147" s="49"/>
      <c r="O147" s="50" t="s">
        <v>3319</v>
      </c>
      <c r="P147" s="59"/>
      <c r="Q147" s="59"/>
      <c r="R147" s="13"/>
    </row>
    <row r="148" spans="1:18" x14ac:dyDescent="0.25">
      <c r="A148" s="9" t="s">
        <v>22</v>
      </c>
      <c r="B148" s="28">
        <f>IF(ISBLANK(A148),0,INDEX(txtstylestab[],MATCH(A148,txtstylestab[style_Name],0),1))</f>
        <v>4</v>
      </c>
      <c r="C148" s="28">
        <f t="shared" si="8"/>
        <v>1</v>
      </c>
      <c r="D148" s="28">
        <f t="shared" si="9"/>
        <v>4</v>
      </c>
      <c r="E148" s="28">
        <f t="shared" si="10"/>
        <v>4</v>
      </c>
      <c r="F148" s="56" t="str">
        <f t="shared" si="11"/>
        <v/>
      </c>
      <c r="G148" s="67" t="s">
        <v>302</v>
      </c>
      <c r="H148" s="67"/>
      <c r="I148" s="67"/>
      <c r="J148" s="67"/>
      <c r="K148" s="67"/>
      <c r="L148" s="67"/>
      <c r="M148" s="67"/>
      <c r="N148" s="67"/>
      <c r="O148" s="67"/>
      <c r="P148" s="67"/>
      <c r="Q148" s="67"/>
      <c r="R148" s="13"/>
    </row>
    <row r="149" spans="1:18" ht="30" x14ac:dyDescent="0.25">
      <c r="A149" s="9" t="s">
        <v>21</v>
      </c>
      <c r="B149" s="28">
        <f>IF(ISBLANK(A149),0,INDEX(txtstylestab[],MATCH(A149,txtstylestab[style_Name],0),1))</f>
        <v>0</v>
      </c>
      <c r="C149" s="28">
        <f t="shared" si="8"/>
        <v>1</v>
      </c>
      <c r="D149" s="28">
        <f t="shared" si="9"/>
        <v>4</v>
      </c>
      <c r="E149" s="28">
        <f t="shared" si="10"/>
        <v>4</v>
      </c>
      <c r="F149" s="59" t="str">
        <f t="shared" si="11"/>
        <v/>
      </c>
      <c r="G149" s="42" t="s">
        <v>303</v>
      </c>
      <c r="H149" s="43" t="s">
        <v>304</v>
      </c>
      <c r="I149" s="44" t="s">
        <v>305</v>
      </c>
      <c r="J149" s="45" t="s">
        <v>306</v>
      </c>
      <c r="K149" s="46" t="s">
        <v>307</v>
      </c>
      <c r="L149" s="47" t="s">
        <v>2474</v>
      </c>
      <c r="M149" s="48" t="s">
        <v>2475</v>
      </c>
      <c r="N149" s="49"/>
      <c r="O149" s="50" t="s">
        <v>3320</v>
      </c>
      <c r="P149" s="59"/>
      <c r="Q149" s="59"/>
      <c r="R149" s="13"/>
    </row>
    <row r="150" spans="1:18" ht="45" x14ac:dyDescent="0.25">
      <c r="A150" s="9" t="s">
        <v>21</v>
      </c>
      <c r="B150" s="28">
        <f>IF(ISBLANK(A150),0,INDEX(txtstylestab[],MATCH(A150,txtstylestab[style_Name],0),1))</f>
        <v>0</v>
      </c>
      <c r="C150" s="28">
        <f t="shared" si="8"/>
        <v>1</v>
      </c>
      <c r="D150" s="28">
        <f t="shared" si="9"/>
        <v>4</v>
      </c>
      <c r="E150" s="28">
        <f t="shared" si="10"/>
        <v>4</v>
      </c>
      <c r="F150" s="59" t="str">
        <f t="shared" si="11"/>
        <v/>
      </c>
      <c r="G150" s="42" t="s">
        <v>308</v>
      </c>
      <c r="H150" s="43" t="s">
        <v>309</v>
      </c>
      <c r="I150" s="44" t="s">
        <v>310</v>
      </c>
      <c r="J150" s="45" t="s">
        <v>311</v>
      </c>
      <c r="K150" s="46" t="s">
        <v>312</v>
      </c>
      <c r="L150" s="47" t="s">
        <v>2476</v>
      </c>
      <c r="M150" s="48" t="s">
        <v>2477</v>
      </c>
      <c r="N150" s="49"/>
      <c r="O150" s="50" t="s">
        <v>3321</v>
      </c>
      <c r="P150" s="59"/>
      <c r="Q150" s="59"/>
      <c r="R150" s="13"/>
    </row>
    <row r="151" spans="1:18" ht="60" x14ac:dyDescent="0.25">
      <c r="A151" s="9" t="s">
        <v>21</v>
      </c>
      <c r="B151" s="28">
        <f>IF(ISBLANK(A151),0,INDEX(txtstylestab[],MATCH(A151,txtstylestab[style_Name],0),1))</f>
        <v>0</v>
      </c>
      <c r="C151" s="28">
        <f t="shared" si="8"/>
        <v>1</v>
      </c>
      <c r="D151" s="28">
        <f t="shared" si="9"/>
        <v>4</v>
      </c>
      <c r="E151" s="28">
        <f t="shared" si="10"/>
        <v>4</v>
      </c>
      <c r="F151" s="59" t="str">
        <f t="shared" si="11"/>
        <v/>
      </c>
      <c r="G151" s="42" t="s">
        <v>313</v>
      </c>
      <c r="H151" s="43" t="s">
        <v>314</v>
      </c>
      <c r="I151" s="44" t="s">
        <v>315</v>
      </c>
      <c r="J151" s="45" t="s">
        <v>316</v>
      </c>
      <c r="K151" s="46" t="s">
        <v>317</v>
      </c>
      <c r="L151" s="47" t="s">
        <v>2478</v>
      </c>
      <c r="M151" s="48" t="s">
        <v>2479</v>
      </c>
      <c r="N151" s="49"/>
      <c r="O151" s="50" t="s">
        <v>3322</v>
      </c>
      <c r="P151" s="59"/>
      <c r="Q151" s="59"/>
      <c r="R151" s="13"/>
    </row>
    <row r="152" spans="1:18" ht="60" x14ac:dyDescent="0.25">
      <c r="A152" s="9" t="s">
        <v>21</v>
      </c>
      <c r="B152" s="28">
        <f>IF(ISBLANK(A152),0,INDEX(txtstylestab[],MATCH(A152,txtstylestab[style_Name],0),1))</f>
        <v>0</v>
      </c>
      <c r="C152" s="28">
        <f t="shared" si="8"/>
        <v>1</v>
      </c>
      <c r="D152" s="28">
        <f t="shared" si="9"/>
        <v>4</v>
      </c>
      <c r="E152" s="28">
        <f t="shared" si="10"/>
        <v>4</v>
      </c>
      <c r="F152" s="59" t="str">
        <f t="shared" si="11"/>
        <v/>
      </c>
      <c r="G152" s="42" t="s">
        <v>318</v>
      </c>
      <c r="H152" s="43" t="s">
        <v>319</v>
      </c>
      <c r="I152" s="44" t="s">
        <v>320</v>
      </c>
      <c r="J152" s="45" t="s">
        <v>321</v>
      </c>
      <c r="K152" s="46" t="s">
        <v>322</v>
      </c>
      <c r="L152" s="47" t="s">
        <v>2480</v>
      </c>
      <c r="M152" s="48" t="s">
        <v>2481</v>
      </c>
      <c r="N152" s="49"/>
      <c r="O152" s="50" t="s">
        <v>3323</v>
      </c>
      <c r="P152" s="59"/>
      <c r="Q152" s="59"/>
      <c r="R152" s="13"/>
    </row>
    <row r="153" spans="1:18" ht="45" x14ac:dyDescent="0.25">
      <c r="A153" s="9" t="s">
        <v>21</v>
      </c>
      <c r="B153" s="28">
        <f>IF(ISBLANK(A153),0,INDEX(txtstylestab[],MATCH(A153,txtstylestab[style_Name],0),1))</f>
        <v>0</v>
      </c>
      <c r="C153" s="28">
        <f t="shared" si="8"/>
        <v>1</v>
      </c>
      <c r="D153" s="28">
        <f t="shared" si="9"/>
        <v>4</v>
      </c>
      <c r="E153" s="28">
        <f t="shared" si="10"/>
        <v>4</v>
      </c>
      <c r="F153" s="59" t="str">
        <f t="shared" si="11"/>
        <v/>
      </c>
      <c r="G153" s="42" t="s">
        <v>323</v>
      </c>
      <c r="H153" s="43" t="s">
        <v>324</v>
      </c>
      <c r="I153" s="44" t="s">
        <v>1631</v>
      </c>
      <c r="J153" s="45" t="s">
        <v>325</v>
      </c>
      <c r="K153" s="46" t="s">
        <v>326</v>
      </c>
      <c r="L153" s="47" t="s">
        <v>2482</v>
      </c>
      <c r="M153" s="48" t="s">
        <v>2483</v>
      </c>
      <c r="N153" s="49"/>
      <c r="O153" s="50" t="s">
        <v>3324</v>
      </c>
      <c r="P153" s="59"/>
      <c r="Q153" s="59"/>
      <c r="R153" s="13"/>
    </row>
    <row r="154" spans="1:18" ht="45" x14ac:dyDescent="0.25">
      <c r="A154" s="9" t="s">
        <v>21</v>
      </c>
      <c r="B154" s="28">
        <f>IF(ISBLANK(A154),0,INDEX(txtstylestab[],MATCH(A154,txtstylestab[style_Name],0),1))</f>
        <v>0</v>
      </c>
      <c r="C154" s="28">
        <f t="shared" si="8"/>
        <v>1</v>
      </c>
      <c r="D154" s="28">
        <f t="shared" si="9"/>
        <v>4</v>
      </c>
      <c r="E154" s="28">
        <f t="shared" si="10"/>
        <v>4</v>
      </c>
      <c r="F154" s="59" t="str">
        <f t="shared" si="11"/>
        <v/>
      </c>
      <c r="G154" s="42" t="s">
        <v>327</v>
      </c>
      <c r="H154" s="43" t="s">
        <v>328</v>
      </c>
      <c r="I154" s="44" t="s">
        <v>329</v>
      </c>
      <c r="J154" s="45" t="s">
        <v>330</v>
      </c>
      <c r="K154" s="46" t="s">
        <v>331</v>
      </c>
      <c r="L154" s="47" t="s">
        <v>2484</v>
      </c>
      <c r="M154" s="48" t="s">
        <v>2485</v>
      </c>
      <c r="N154" s="49"/>
      <c r="O154" s="50" t="s">
        <v>3325</v>
      </c>
      <c r="P154" s="59"/>
      <c r="Q154" s="59"/>
      <c r="R154" s="13"/>
    </row>
    <row r="155" spans="1:18" ht="30" x14ac:dyDescent="0.25">
      <c r="A155" s="9" t="s">
        <v>21</v>
      </c>
      <c r="B155" s="28">
        <f>IF(ISBLANK(A155),0,INDEX(txtstylestab[],MATCH(A155,txtstylestab[style_Name],0),1))</f>
        <v>0</v>
      </c>
      <c r="C155" s="28">
        <f t="shared" si="8"/>
        <v>1</v>
      </c>
      <c r="D155" s="28">
        <f t="shared" si="9"/>
        <v>4</v>
      </c>
      <c r="E155" s="28">
        <f t="shared" si="10"/>
        <v>4</v>
      </c>
      <c r="F155" s="59" t="str">
        <f t="shared" si="11"/>
        <v/>
      </c>
      <c r="G155" s="42" t="s">
        <v>332</v>
      </c>
      <c r="H155" s="43" t="s">
        <v>333</v>
      </c>
      <c r="I155" s="44" t="s">
        <v>334</v>
      </c>
      <c r="J155" s="45" t="s">
        <v>335</v>
      </c>
      <c r="K155" s="46" t="s">
        <v>336</v>
      </c>
      <c r="L155" s="47" t="s">
        <v>2486</v>
      </c>
      <c r="M155" s="48" t="s">
        <v>2487</v>
      </c>
      <c r="N155" s="49"/>
      <c r="O155" s="50" t="s">
        <v>3326</v>
      </c>
      <c r="P155" s="59"/>
      <c r="Q155" s="59"/>
      <c r="R155" s="13"/>
    </row>
    <row r="156" spans="1:18" ht="15.75" thickBot="1" x14ac:dyDescent="0.3">
      <c r="A156" s="9" t="s">
        <v>12</v>
      </c>
      <c r="B156" s="28">
        <f>IF(ISBLANK(A156),0,INDEX(txtstylestab[],MATCH(A156,txtstylestab[style_Name],0),1))</f>
        <v>3</v>
      </c>
      <c r="C156" s="28">
        <f t="shared" si="8"/>
        <v>1</v>
      </c>
      <c r="D156" s="28">
        <f t="shared" si="9"/>
        <v>4</v>
      </c>
      <c r="E156" s="28">
        <f t="shared" si="10"/>
        <v>5</v>
      </c>
      <c r="F156" s="55" t="str">
        <f t="shared" si="11"/>
        <v>1.4.5.</v>
      </c>
      <c r="G156" s="70" t="s">
        <v>337</v>
      </c>
      <c r="H156" s="70"/>
      <c r="I156" s="70"/>
      <c r="J156" s="70"/>
      <c r="K156" s="70"/>
      <c r="L156" s="70"/>
      <c r="M156" s="70"/>
      <c r="N156" s="70"/>
      <c r="O156" s="70"/>
      <c r="P156" s="70"/>
      <c r="Q156" s="70"/>
      <c r="R156" s="13"/>
    </row>
    <row r="157" spans="1:18" ht="105" x14ac:dyDescent="0.25">
      <c r="A157" s="9" t="s">
        <v>21</v>
      </c>
      <c r="B157" s="28">
        <f>IF(ISBLANK(A157),0,INDEX(txtstylestab[],MATCH(A157,txtstylestab[style_Name],0),1))</f>
        <v>0</v>
      </c>
      <c r="C157" s="28">
        <f t="shared" si="8"/>
        <v>1</v>
      </c>
      <c r="D157" s="28">
        <f t="shared" si="9"/>
        <v>4</v>
      </c>
      <c r="E157" s="28">
        <f t="shared" si="10"/>
        <v>5</v>
      </c>
      <c r="F157" s="59" t="str">
        <f t="shared" si="11"/>
        <v/>
      </c>
      <c r="G157" s="42" t="s">
        <v>338</v>
      </c>
      <c r="H157" s="43" t="s">
        <v>339</v>
      </c>
      <c r="I157" s="44" t="s">
        <v>340</v>
      </c>
      <c r="J157" s="45" t="s">
        <v>341</v>
      </c>
      <c r="K157" s="46" t="s">
        <v>342</v>
      </c>
      <c r="L157" s="47" t="s">
        <v>2488</v>
      </c>
      <c r="M157" s="48" t="s">
        <v>2489</v>
      </c>
      <c r="N157" s="49"/>
      <c r="O157" s="50" t="s">
        <v>3327</v>
      </c>
      <c r="P157" s="59"/>
      <c r="Q157" s="59"/>
      <c r="R157" s="13"/>
    </row>
    <row r="158" spans="1:18" x14ac:dyDescent="0.25">
      <c r="A158" s="9" t="s">
        <v>21</v>
      </c>
      <c r="B158" s="28">
        <f>IF(ISBLANK(A158),0,INDEX(txtstylestab[],MATCH(A158,txtstylestab[style_Name],0),1))</f>
        <v>0</v>
      </c>
      <c r="C158" s="28">
        <f t="shared" si="8"/>
        <v>1</v>
      </c>
      <c r="D158" s="28">
        <f t="shared" si="9"/>
        <v>4</v>
      </c>
      <c r="E158" s="28">
        <f t="shared" si="10"/>
        <v>5</v>
      </c>
      <c r="F158" s="59" t="str">
        <f t="shared" si="11"/>
        <v/>
      </c>
      <c r="G158" s="42" t="s">
        <v>6</v>
      </c>
      <c r="H158" s="43" t="s">
        <v>26</v>
      </c>
      <c r="I158" s="44" t="s">
        <v>48</v>
      </c>
      <c r="J158" s="45" t="s">
        <v>397</v>
      </c>
      <c r="K158" s="46" t="s">
        <v>59</v>
      </c>
      <c r="L158" s="47" t="s">
        <v>2490</v>
      </c>
      <c r="M158" s="48" t="s">
        <v>2491</v>
      </c>
      <c r="N158" s="49"/>
      <c r="O158" s="50" t="s">
        <v>3168</v>
      </c>
      <c r="P158" s="59"/>
      <c r="Q158" s="59"/>
      <c r="R158" s="13"/>
    </row>
    <row r="159" spans="1:18" ht="18" thickBot="1" x14ac:dyDescent="0.35">
      <c r="A159" s="9" t="s">
        <v>11</v>
      </c>
      <c r="B159" s="28">
        <f>IF(ISBLANK(A159),0,INDEX(txtstylestab[],MATCH(A159,txtstylestab[style_Name],0),1))</f>
        <v>2</v>
      </c>
      <c r="C159" s="28">
        <f t="shared" si="8"/>
        <v>1</v>
      </c>
      <c r="D159" s="28">
        <f t="shared" si="9"/>
        <v>5</v>
      </c>
      <c r="E159" s="28">
        <f t="shared" si="10"/>
        <v>0</v>
      </c>
      <c r="F159" s="54" t="str">
        <f t="shared" si="11"/>
        <v>1.5.</v>
      </c>
      <c r="G159" s="68" t="s">
        <v>343</v>
      </c>
      <c r="H159" s="68"/>
      <c r="I159" s="68"/>
      <c r="J159" s="68"/>
      <c r="K159" s="68"/>
      <c r="L159" s="68"/>
      <c r="M159" s="68"/>
      <c r="N159" s="68"/>
      <c r="O159" s="68"/>
      <c r="P159" s="68"/>
      <c r="Q159" s="68"/>
      <c r="R159" s="13"/>
    </row>
    <row r="160" spans="1:18" ht="15.75" thickTop="1" x14ac:dyDescent="0.25">
      <c r="A160" s="9" t="s">
        <v>21</v>
      </c>
      <c r="B160" s="28">
        <f>IF(ISBLANK(A160),0,INDEX(txtstylestab[],MATCH(A160,txtstylestab[style_Name],0),1))</f>
        <v>0</v>
      </c>
      <c r="C160" s="28">
        <f t="shared" si="8"/>
        <v>1</v>
      </c>
      <c r="D160" s="28">
        <f t="shared" si="9"/>
        <v>5</v>
      </c>
      <c r="E160" s="28">
        <f t="shared" si="10"/>
        <v>0</v>
      </c>
      <c r="F160" s="59" t="str">
        <f t="shared" si="11"/>
        <v/>
      </c>
      <c r="G160" s="42" t="s">
        <v>344</v>
      </c>
      <c r="H160" s="43" t="s">
        <v>83</v>
      </c>
      <c r="I160" s="44" t="s">
        <v>84</v>
      </c>
      <c r="J160" s="45" t="s">
        <v>85</v>
      </c>
      <c r="K160" s="46" t="s">
        <v>86</v>
      </c>
      <c r="L160" s="47" t="s">
        <v>2397</v>
      </c>
      <c r="M160" s="48" t="s">
        <v>2332</v>
      </c>
      <c r="N160" s="49"/>
      <c r="O160" s="50" t="s">
        <v>3161</v>
      </c>
      <c r="P160" s="59"/>
      <c r="Q160" s="59"/>
      <c r="R160" s="13"/>
    </row>
    <row r="161" spans="1:18" ht="45" x14ac:dyDescent="0.25">
      <c r="A161" s="9" t="s">
        <v>21</v>
      </c>
      <c r="B161" s="28">
        <f>IF(ISBLANK(A161),0,INDEX(txtstylestab[],MATCH(A161,txtstylestab[style_Name],0),1))</f>
        <v>0</v>
      </c>
      <c r="C161" s="28">
        <f t="shared" si="8"/>
        <v>1</v>
      </c>
      <c r="D161" s="28">
        <f t="shared" si="9"/>
        <v>5</v>
      </c>
      <c r="E161" s="28">
        <f t="shared" si="10"/>
        <v>0</v>
      </c>
      <c r="F161" s="59" t="str">
        <f t="shared" si="11"/>
        <v/>
      </c>
      <c r="G161" s="42" t="s">
        <v>345</v>
      </c>
      <c r="H161" s="43" t="s">
        <v>346</v>
      </c>
      <c r="I161" s="44" t="s">
        <v>347</v>
      </c>
      <c r="J161" s="45" t="s">
        <v>348</v>
      </c>
      <c r="K161" s="46" t="s">
        <v>349</v>
      </c>
      <c r="L161" s="47" t="s">
        <v>2492</v>
      </c>
      <c r="M161" s="48" t="s">
        <v>2493</v>
      </c>
      <c r="N161" s="49"/>
      <c r="O161" s="50" t="s">
        <v>3328</v>
      </c>
      <c r="P161" s="59"/>
      <c r="Q161" s="59"/>
      <c r="R161" s="13"/>
    </row>
    <row r="162" spans="1:18" ht="60" x14ac:dyDescent="0.25">
      <c r="A162" s="9" t="s">
        <v>21</v>
      </c>
      <c r="B162" s="28">
        <f>IF(ISBLANK(A162),0,INDEX(txtstylestab[],MATCH(A162,txtstylestab[style_Name],0),1))</f>
        <v>0</v>
      </c>
      <c r="C162" s="28">
        <f t="shared" si="8"/>
        <v>1</v>
      </c>
      <c r="D162" s="28">
        <f t="shared" si="9"/>
        <v>5</v>
      </c>
      <c r="E162" s="28">
        <f t="shared" si="10"/>
        <v>0</v>
      </c>
      <c r="F162" s="59" t="str">
        <f t="shared" si="11"/>
        <v/>
      </c>
      <c r="G162" s="42" t="s">
        <v>350</v>
      </c>
      <c r="H162" s="43" t="s">
        <v>351</v>
      </c>
      <c r="I162" s="44" t="s">
        <v>352</v>
      </c>
      <c r="J162" s="45" t="s">
        <v>353</v>
      </c>
      <c r="K162" s="46" t="s">
        <v>1712</v>
      </c>
      <c r="L162" s="47" t="s">
        <v>2494</v>
      </c>
      <c r="M162" s="48" t="s">
        <v>2495</v>
      </c>
      <c r="N162" s="49"/>
      <c r="O162" s="50" t="s">
        <v>3329</v>
      </c>
      <c r="P162" s="59"/>
      <c r="Q162" s="59"/>
      <c r="R162" s="13"/>
    </row>
    <row r="163" spans="1:18" ht="30" x14ac:dyDescent="0.25">
      <c r="A163" s="9" t="s">
        <v>21</v>
      </c>
      <c r="B163" s="28">
        <f>IF(ISBLANK(A163),0,INDEX(txtstylestab[],MATCH(A163,txtstylestab[style_Name],0),1))</f>
        <v>0</v>
      </c>
      <c r="C163" s="28">
        <f t="shared" si="8"/>
        <v>1</v>
      </c>
      <c r="D163" s="28">
        <f t="shared" si="9"/>
        <v>5</v>
      </c>
      <c r="E163" s="28">
        <f t="shared" si="10"/>
        <v>0</v>
      </c>
      <c r="F163" s="59" t="str">
        <f t="shared" si="11"/>
        <v/>
      </c>
      <c r="G163" s="42" t="s">
        <v>354</v>
      </c>
      <c r="H163" s="43" t="s">
        <v>355</v>
      </c>
      <c r="I163" s="44" t="s">
        <v>356</v>
      </c>
      <c r="J163" s="45" t="s">
        <v>357</v>
      </c>
      <c r="K163" s="46" t="s">
        <v>358</v>
      </c>
      <c r="L163" s="47" t="s">
        <v>2496</v>
      </c>
      <c r="M163" s="48" t="s">
        <v>2497</v>
      </c>
      <c r="N163" s="49"/>
      <c r="O163" s="50" t="s">
        <v>3330</v>
      </c>
      <c r="P163" s="59"/>
      <c r="Q163" s="59"/>
      <c r="R163" s="13"/>
    </row>
    <row r="164" spans="1:18" ht="30" x14ac:dyDescent="0.25">
      <c r="A164" s="9" t="s">
        <v>21</v>
      </c>
      <c r="B164" s="28">
        <f>IF(ISBLANK(A164),0,INDEX(txtstylestab[],MATCH(A164,txtstylestab[style_Name],0),1))</f>
        <v>0</v>
      </c>
      <c r="C164" s="28">
        <f t="shared" si="8"/>
        <v>1</v>
      </c>
      <c r="D164" s="28">
        <f t="shared" si="9"/>
        <v>5</v>
      </c>
      <c r="E164" s="28">
        <f t="shared" si="10"/>
        <v>0</v>
      </c>
      <c r="F164" s="59" t="str">
        <f t="shared" si="11"/>
        <v/>
      </c>
      <c r="G164" s="42" t="s">
        <v>359</v>
      </c>
      <c r="H164" s="43" t="s">
        <v>360</v>
      </c>
      <c r="I164" s="44" t="s">
        <v>361</v>
      </c>
      <c r="J164" s="45" t="s">
        <v>362</v>
      </c>
      <c r="K164" s="46" t="s">
        <v>363</v>
      </c>
      <c r="L164" s="47" t="s">
        <v>2498</v>
      </c>
      <c r="M164" s="48" t="s">
        <v>2499</v>
      </c>
      <c r="N164" s="49"/>
      <c r="O164" s="50" t="s">
        <v>3331</v>
      </c>
      <c r="P164" s="59"/>
      <c r="Q164" s="59"/>
      <c r="R164" s="13"/>
    </row>
    <row r="165" spans="1:18" ht="30" x14ac:dyDescent="0.25">
      <c r="A165" s="9" t="s">
        <v>21</v>
      </c>
      <c r="B165" s="28">
        <f>IF(ISBLANK(A165),0,INDEX(txtstylestab[],MATCH(A165,txtstylestab[style_Name],0),1))</f>
        <v>0</v>
      </c>
      <c r="C165" s="28">
        <f t="shared" si="8"/>
        <v>1</v>
      </c>
      <c r="D165" s="28">
        <f t="shared" si="9"/>
        <v>5</v>
      </c>
      <c r="E165" s="28">
        <f t="shared" si="10"/>
        <v>0</v>
      </c>
      <c r="F165" s="59" t="str">
        <f t="shared" si="11"/>
        <v/>
      </c>
      <c r="G165" s="42" t="s">
        <v>364</v>
      </c>
      <c r="H165" s="43" t="s">
        <v>365</v>
      </c>
      <c r="I165" s="44" t="s">
        <v>366</v>
      </c>
      <c r="J165" s="45" t="s">
        <v>367</v>
      </c>
      <c r="K165" s="46" t="s">
        <v>368</v>
      </c>
      <c r="L165" s="47" t="s">
        <v>2500</v>
      </c>
      <c r="M165" s="48" t="s">
        <v>2501</v>
      </c>
      <c r="N165" s="49"/>
      <c r="O165" s="50" t="s">
        <v>3332</v>
      </c>
      <c r="P165" s="59"/>
      <c r="Q165" s="59"/>
      <c r="R165" s="13"/>
    </row>
    <row r="166" spans="1:18" ht="30" x14ac:dyDescent="0.25">
      <c r="A166" s="9" t="s">
        <v>21</v>
      </c>
      <c r="B166" s="28">
        <f>IF(ISBLANK(A166),0,INDEX(txtstylestab[],MATCH(A166,txtstylestab[style_Name],0),1))</f>
        <v>0</v>
      </c>
      <c r="C166" s="28">
        <f t="shared" si="8"/>
        <v>1</v>
      </c>
      <c r="D166" s="28">
        <f t="shared" si="9"/>
        <v>5</v>
      </c>
      <c r="E166" s="28">
        <f t="shared" si="10"/>
        <v>0</v>
      </c>
      <c r="F166" s="59" t="str">
        <f t="shared" si="11"/>
        <v/>
      </c>
      <c r="G166" s="42" t="s">
        <v>369</v>
      </c>
      <c r="H166" s="43" t="s">
        <v>370</v>
      </c>
      <c r="I166" s="44" t="s">
        <v>371</v>
      </c>
      <c r="J166" s="45" t="s">
        <v>372</v>
      </c>
      <c r="K166" s="46" t="s">
        <v>373</v>
      </c>
      <c r="L166" s="47" t="s">
        <v>2502</v>
      </c>
      <c r="M166" s="48" t="s">
        <v>2503</v>
      </c>
      <c r="N166" s="49"/>
      <c r="O166" s="50" t="s">
        <v>3333</v>
      </c>
      <c r="P166" s="59"/>
      <c r="Q166" s="59"/>
      <c r="R166" s="13"/>
    </row>
    <row r="167" spans="1:18" ht="75" x14ac:dyDescent="0.25">
      <c r="A167" s="9" t="s">
        <v>21</v>
      </c>
      <c r="B167" s="28">
        <f>IF(ISBLANK(A167),0,INDEX(txtstylestab[],MATCH(A167,txtstylestab[style_Name],0),1))</f>
        <v>0</v>
      </c>
      <c r="C167" s="28">
        <f t="shared" si="8"/>
        <v>1</v>
      </c>
      <c r="D167" s="28">
        <f t="shared" si="9"/>
        <v>5</v>
      </c>
      <c r="E167" s="28">
        <f t="shared" si="10"/>
        <v>0</v>
      </c>
      <c r="F167" s="59" t="str">
        <f t="shared" si="11"/>
        <v/>
      </c>
      <c r="G167" s="42" t="s">
        <v>374</v>
      </c>
      <c r="H167" s="43" t="s">
        <v>375</v>
      </c>
      <c r="I167" s="75" t="s">
        <v>376</v>
      </c>
      <c r="J167" s="45" t="s">
        <v>377</v>
      </c>
      <c r="K167" s="46" t="s">
        <v>378</v>
      </c>
      <c r="L167" s="47" t="s">
        <v>2504</v>
      </c>
      <c r="M167" s="48" t="s">
        <v>2505</v>
      </c>
      <c r="N167" s="49"/>
      <c r="O167" s="50" t="s">
        <v>3334</v>
      </c>
      <c r="P167" s="59"/>
      <c r="Q167" s="59"/>
      <c r="R167" s="13"/>
    </row>
    <row r="168" spans="1:18" ht="120" x14ac:dyDescent="0.25">
      <c r="A168" s="9" t="s">
        <v>21</v>
      </c>
      <c r="B168" s="28">
        <f>IF(ISBLANK(A168),0,INDEX(txtstylestab[],MATCH(A168,txtstylestab[style_Name],0),1))</f>
        <v>0</v>
      </c>
      <c r="C168" s="28">
        <f t="shared" si="8"/>
        <v>1</v>
      </c>
      <c r="D168" s="28">
        <f t="shared" si="9"/>
        <v>5</v>
      </c>
      <c r="E168" s="28">
        <f t="shared" si="10"/>
        <v>0</v>
      </c>
      <c r="F168" s="59" t="str">
        <f t="shared" si="11"/>
        <v/>
      </c>
      <c r="G168" s="42" t="s">
        <v>2155</v>
      </c>
      <c r="H168" s="43" t="s">
        <v>2156</v>
      </c>
      <c r="I168" s="44" t="s">
        <v>2157</v>
      </c>
      <c r="J168" s="45" t="s">
        <v>2158</v>
      </c>
      <c r="K168" s="46" t="s">
        <v>2159</v>
      </c>
      <c r="L168" s="47" t="s">
        <v>2507</v>
      </c>
      <c r="M168" s="48" t="s">
        <v>2509</v>
      </c>
      <c r="N168" s="49"/>
      <c r="O168" s="50" t="s">
        <v>3335</v>
      </c>
      <c r="P168" s="59"/>
      <c r="Q168" s="59"/>
      <c r="R168" s="13"/>
    </row>
    <row r="169" spans="1:18" ht="105" x14ac:dyDescent="0.25">
      <c r="A169" s="9" t="s">
        <v>21</v>
      </c>
      <c r="B169" s="28">
        <f>IF(ISBLANK(A169),0,INDEX(txtstylestab[],MATCH(A169,txtstylestab[style_Name],0),1))</f>
        <v>0</v>
      </c>
      <c r="C169" s="28">
        <f t="shared" si="8"/>
        <v>1</v>
      </c>
      <c r="D169" s="28">
        <f t="shared" si="9"/>
        <v>5</v>
      </c>
      <c r="E169" s="28">
        <f t="shared" si="10"/>
        <v>0</v>
      </c>
      <c r="F169" s="59" t="str">
        <f t="shared" si="11"/>
        <v/>
      </c>
      <c r="G169" s="42" t="s">
        <v>2171</v>
      </c>
      <c r="H169" s="43" t="s">
        <v>2172</v>
      </c>
      <c r="I169" s="44" t="s">
        <v>2173</v>
      </c>
      <c r="J169" s="45" t="s">
        <v>2174</v>
      </c>
      <c r="K169" s="46" t="s">
        <v>2175</v>
      </c>
      <c r="L169" s="47" t="s">
        <v>2508</v>
      </c>
      <c r="M169" s="48" t="s">
        <v>2510</v>
      </c>
      <c r="N169" s="49"/>
      <c r="O169" s="50" t="s">
        <v>3475</v>
      </c>
      <c r="P169" s="59"/>
      <c r="Q169" s="59"/>
      <c r="R169" s="13"/>
    </row>
    <row r="170" spans="1:18" ht="60" x14ac:dyDescent="0.25">
      <c r="A170" s="9" t="s">
        <v>21</v>
      </c>
      <c r="B170" s="28">
        <f>IF(ISBLANK(A170),0,INDEX(txtstylestab[],MATCH(A170,txtstylestab[style_Name],0),1))</f>
        <v>0</v>
      </c>
      <c r="C170" s="28">
        <f t="shared" si="8"/>
        <v>1</v>
      </c>
      <c r="D170" s="28">
        <f t="shared" si="9"/>
        <v>5</v>
      </c>
      <c r="E170" s="28">
        <f t="shared" si="10"/>
        <v>0</v>
      </c>
      <c r="F170" s="59" t="str">
        <f t="shared" si="11"/>
        <v/>
      </c>
      <c r="G170" s="42" t="s">
        <v>2186</v>
      </c>
      <c r="H170" s="43" t="s">
        <v>2187</v>
      </c>
      <c r="I170" s="44" t="s">
        <v>2188</v>
      </c>
      <c r="J170" s="45" t="s">
        <v>2189</v>
      </c>
      <c r="K170" s="46" t="s">
        <v>2190</v>
      </c>
      <c r="L170" s="47" t="s">
        <v>2511</v>
      </c>
      <c r="M170" s="48" t="s">
        <v>2512</v>
      </c>
      <c r="N170" s="49"/>
      <c r="O170" s="50" t="s">
        <v>3336</v>
      </c>
      <c r="P170" s="59"/>
      <c r="Q170" s="59"/>
      <c r="R170" s="13"/>
    </row>
    <row r="171" spans="1:18" x14ac:dyDescent="0.25">
      <c r="A171" s="9" t="s">
        <v>22</v>
      </c>
      <c r="B171" s="28">
        <f>IF(ISBLANK(A171),0,INDEX(txtstylestab[],MATCH(A171,txtstylestab[style_Name],0),1))</f>
        <v>4</v>
      </c>
      <c r="C171" s="28">
        <f t="shared" si="8"/>
        <v>1</v>
      </c>
      <c r="D171" s="28">
        <f t="shared" si="9"/>
        <v>5</v>
      </c>
      <c r="E171" s="28">
        <f t="shared" si="10"/>
        <v>0</v>
      </c>
      <c r="F171" s="56" t="str">
        <f t="shared" si="11"/>
        <v/>
      </c>
      <c r="G171" s="53" t="s">
        <v>379</v>
      </c>
      <c r="H171" s="53"/>
      <c r="I171" s="53"/>
      <c r="J171" s="53"/>
      <c r="K171" s="53"/>
      <c r="L171" s="53"/>
      <c r="M171" s="53"/>
      <c r="N171" s="53"/>
      <c r="O171" s="53"/>
      <c r="P171" s="53"/>
      <c r="Q171" s="53"/>
      <c r="R171" s="13"/>
    </row>
    <row r="172" spans="1:18" ht="90" x14ac:dyDescent="0.25">
      <c r="A172" s="9" t="s">
        <v>21</v>
      </c>
      <c r="B172" s="28">
        <f>IF(ISBLANK(A172),0,INDEX(txtstylestab[],MATCH(A172,txtstylestab[style_Name],0),1))</f>
        <v>0</v>
      </c>
      <c r="C172" s="28">
        <f t="shared" si="8"/>
        <v>1</v>
      </c>
      <c r="D172" s="28">
        <f t="shared" si="9"/>
        <v>5</v>
      </c>
      <c r="E172" s="28">
        <f t="shared" si="10"/>
        <v>0</v>
      </c>
      <c r="F172" s="59" t="str">
        <f t="shared" si="11"/>
        <v/>
      </c>
      <c r="G172" s="42" t="s">
        <v>380</v>
      </c>
      <c r="H172" s="43" t="s">
        <v>406</v>
      </c>
      <c r="I172" s="44" t="s">
        <v>381</v>
      </c>
      <c r="J172" s="45" t="s">
        <v>382</v>
      </c>
      <c r="K172" s="46" t="s">
        <v>383</v>
      </c>
      <c r="L172" s="47" t="s">
        <v>2513</v>
      </c>
      <c r="M172" s="48" t="s">
        <v>2506</v>
      </c>
      <c r="N172" s="49"/>
      <c r="O172" s="50" t="s">
        <v>3337</v>
      </c>
      <c r="P172" s="59"/>
      <c r="Q172" s="59"/>
      <c r="R172" s="13"/>
    </row>
    <row r="173" spans="1:18" x14ac:dyDescent="0.25">
      <c r="A173" s="9" t="s">
        <v>21</v>
      </c>
      <c r="B173" s="28">
        <f>IF(ISBLANK(A173),0,INDEX(txtstylestab[],MATCH(A173,txtstylestab[style_Name],0),1))</f>
        <v>0</v>
      </c>
      <c r="C173" s="28">
        <f t="shared" si="8"/>
        <v>1</v>
      </c>
      <c r="D173" s="28">
        <f t="shared" si="9"/>
        <v>5</v>
      </c>
      <c r="E173" s="28">
        <f t="shared" si="10"/>
        <v>0</v>
      </c>
      <c r="F173" s="59" t="str">
        <f t="shared" si="11"/>
        <v/>
      </c>
      <c r="G173" s="42" t="s">
        <v>6</v>
      </c>
      <c r="H173" s="43" t="s">
        <v>96</v>
      </c>
      <c r="I173" s="44" t="s">
        <v>48</v>
      </c>
      <c r="J173" s="45" t="s">
        <v>397</v>
      </c>
      <c r="K173" s="46" t="s">
        <v>59</v>
      </c>
      <c r="L173" s="47"/>
      <c r="M173" s="48"/>
      <c r="N173" s="49"/>
      <c r="O173" s="50" t="s">
        <v>3168</v>
      </c>
      <c r="P173" s="59"/>
      <c r="Q173" s="59"/>
      <c r="R173" s="13"/>
    </row>
    <row r="174" spans="1:18" ht="18" thickBot="1" x14ac:dyDescent="0.35">
      <c r="A174" s="9" t="s">
        <v>11</v>
      </c>
      <c r="B174" s="28">
        <f>IF(ISBLANK(A174),0,INDEX(txtstylestab[],MATCH(A174,txtstylestab[style_Name],0),1))</f>
        <v>2</v>
      </c>
      <c r="C174" s="28">
        <f t="shared" si="8"/>
        <v>1</v>
      </c>
      <c r="D174" s="28">
        <f t="shared" si="9"/>
        <v>6</v>
      </c>
      <c r="E174" s="28">
        <f t="shared" si="10"/>
        <v>0</v>
      </c>
      <c r="F174" s="54" t="str">
        <f t="shared" si="11"/>
        <v>1.6.</v>
      </c>
      <c r="G174" s="68" t="s">
        <v>385</v>
      </c>
      <c r="H174" s="68"/>
      <c r="I174" s="68"/>
      <c r="J174" s="68"/>
      <c r="K174" s="68"/>
      <c r="L174" s="68"/>
      <c r="M174" s="68"/>
      <c r="N174" s="68"/>
      <c r="O174" s="68"/>
      <c r="P174" s="68"/>
      <c r="Q174" s="68"/>
      <c r="R174" s="13"/>
    </row>
    <row r="175" spans="1:18" ht="15.75" thickTop="1" x14ac:dyDescent="0.25">
      <c r="A175" s="9" t="s">
        <v>21</v>
      </c>
      <c r="B175" s="28">
        <f>IF(ISBLANK(A175),0,INDEX(txtstylestab[],MATCH(A175,txtstylestab[style_Name],0),1))</f>
        <v>0</v>
      </c>
      <c r="C175" s="28">
        <f t="shared" si="8"/>
        <v>1</v>
      </c>
      <c r="D175" s="28">
        <f t="shared" si="9"/>
        <v>6</v>
      </c>
      <c r="E175" s="28">
        <f t="shared" si="10"/>
        <v>0</v>
      </c>
      <c r="F175" s="59" t="str">
        <f t="shared" si="11"/>
        <v/>
      </c>
      <c r="G175" s="42" t="s">
        <v>344</v>
      </c>
      <c r="H175" s="43" t="s">
        <v>83</v>
      </c>
      <c r="I175" s="44" t="s">
        <v>386</v>
      </c>
      <c r="J175" s="45" t="s">
        <v>85</v>
      </c>
      <c r="K175" s="46" t="s">
        <v>86</v>
      </c>
      <c r="L175" s="47" t="s">
        <v>2397</v>
      </c>
      <c r="M175" s="48" t="s">
        <v>2332</v>
      </c>
      <c r="N175" s="49"/>
      <c r="O175" s="50" t="s">
        <v>3161</v>
      </c>
      <c r="P175" s="59"/>
      <c r="Q175" s="59"/>
      <c r="R175" s="13"/>
    </row>
    <row r="176" spans="1:18" ht="45" x14ac:dyDescent="0.25">
      <c r="A176" s="9" t="s">
        <v>21</v>
      </c>
      <c r="B176" s="28">
        <f>IF(ISBLANK(A176),0,INDEX(txtstylestab[],MATCH(A176,txtstylestab[style_Name],0),1))</f>
        <v>0</v>
      </c>
      <c r="C176" s="28">
        <f t="shared" si="8"/>
        <v>1</v>
      </c>
      <c r="D176" s="28">
        <f t="shared" si="9"/>
        <v>6</v>
      </c>
      <c r="E176" s="28">
        <f t="shared" si="10"/>
        <v>0</v>
      </c>
      <c r="F176" s="59" t="str">
        <f t="shared" si="11"/>
        <v/>
      </c>
      <c r="G176" s="42" t="s">
        <v>387</v>
      </c>
      <c r="H176" s="43" t="s">
        <v>388</v>
      </c>
      <c r="I176" s="44" t="s">
        <v>389</v>
      </c>
      <c r="J176" s="45" t="s">
        <v>390</v>
      </c>
      <c r="K176" s="46" t="s">
        <v>391</v>
      </c>
      <c r="L176" s="47" t="s">
        <v>2514</v>
      </c>
      <c r="M176" s="48" t="s">
        <v>2515</v>
      </c>
      <c r="N176" s="49"/>
      <c r="O176" s="50" t="s">
        <v>3338</v>
      </c>
      <c r="P176" s="59"/>
      <c r="Q176" s="59"/>
      <c r="R176" s="13"/>
    </row>
    <row r="177" spans="1:18" ht="45" x14ac:dyDescent="0.25">
      <c r="A177" s="9" t="s">
        <v>21</v>
      </c>
      <c r="B177" s="28">
        <f>IF(ISBLANK(A177),0,INDEX(txtstylestab[],MATCH(A177,txtstylestab[style_Name],0),1))</f>
        <v>0</v>
      </c>
      <c r="C177" s="28">
        <f t="shared" si="8"/>
        <v>1</v>
      </c>
      <c r="D177" s="28">
        <f t="shared" si="9"/>
        <v>6</v>
      </c>
      <c r="E177" s="28">
        <f t="shared" si="10"/>
        <v>0</v>
      </c>
      <c r="F177" s="59" t="str">
        <f t="shared" si="11"/>
        <v/>
      </c>
      <c r="G177" s="42" t="s">
        <v>392</v>
      </c>
      <c r="H177" s="43" t="s">
        <v>393</v>
      </c>
      <c r="I177" s="44" t="s">
        <v>394</v>
      </c>
      <c r="J177" s="45" t="s">
        <v>395</v>
      </c>
      <c r="K177" s="46" t="s">
        <v>396</v>
      </c>
      <c r="L177" s="47" t="s">
        <v>2516</v>
      </c>
      <c r="M177" s="48" t="s">
        <v>2517</v>
      </c>
      <c r="N177" s="49"/>
      <c r="O177" s="50" t="s">
        <v>3339</v>
      </c>
      <c r="P177" s="59"/>
      <c r="Q177" s="59"/>
      <c r="R177" s="13"/>
    </row>
    <row r="178" spans="1:18" x14ac:dyDescent="0.25">
      <c r="A178" s="9" t="s">
        <v>21</v>
      </c>
      <c r="B178" s="28">
        <f>IF(ISBLANK(A178),0,INDEX(txtstylestab[],MATCH(A178,txtstylestab[style_Name],0),1))</f>
        <v>0</v>
      </c>
      <c r="C178" s="28">
        <f t="shared" si="8"/>
        <v>1</v>
      </c>
      <c r="D178" s="28">
        <f t="shared" si="9"/>
        <v>6</v>
      </c>
      <c r="E178" s="28">
        <f t="shared" si="10"/>
        <v>0</v>
      </c>
      <c r="F178" s="59" t="str">
        <f t="shared" si="11"/>
        <v/>
      </c>
      <c r="G178" s="42" t="s">
        <v>6</v>
      </c>
      <c r="H178" s="43" t="s">
        <v>26</v>
      </c>
      <c r="I178" s="44" t="s">
        <v>48</v>
      </c>
      <c r="J178" s="45" t="s">
        <v>54</v>
      </c>
      <c r="K178" s="46" t="s">
        <v>59</v>
      </c>
      <c r="L178" s="47" t="s">
        <v>2490</v>
      </c>
      <c r="M178" s="48" t="s">
        <v>2491</v>
      </c>
      <c r="N178" s="49"/>
      <c r="O178" s="50" t="s">
        <v>3168</v>
      </c>
      <c r="P178" s="59"/>
      <c r="Q178" s="59"/>
      <c r="R178" s="13"/>
    </row>
    <row r="179" spans="1:18" ht="18" thickBot="1" x14ac:dyDescent="0.35">
      <c r="A179" s="9" t="s">
        <v>11</v>
      </c>
      <c r="B179" s="28">
        <f>IF(ISBLANK(A179),0,INDEX(txtstylestab[],MATCH(A179,txtstylestab[style_Name],0),1))</f>
        <v>2</v>
      </c>
      <c r="C179" s="28">
        <f t="shared" si="8"/>
        <v>1</v>
      </c>
      <c r="D179" s="28">
        <f t="shared" si="9"/>
        <v>7</v>
      </c>
      <c r="E179" s="28">
        <f t="shared" si="10"/>
        <v>0</v>
      </c>
      <c r="F179" s="54" t="str">
        <f t="shared" si="11"/>
        <v>1.7.</v>
      </c>
      <c r="G179" s="68" t="s">
        <v>407</v>
      </c>
      <c r="H179" s="68"/>
      <c r="I179" s="68"/>
      <c r="J179" s="68"/>
      <c r="K179" s="68"/>
      <c r="L179" s="68"/>
      <c r="M179" s="68"/>
      <c r="N179" s="68"/>
      <c r="O179" s="68"/>
      <c r="P179" s="68"/>
      <c r="Q179" s="68"/>
      <c r="R179" s="13"/>
    </row>
    <row r="180" spans="1:18" ht="15.75" thickTop="1" x14ac:dyDescent="0.25">
      <c r="A180" s="9" t="s">
        <v>21</v>
      </c>
      <c r="B180" s="28">
        <f>IF(ISBLANK(A180),0,INDEX(txtstylestab[],MATCH(A180,txtstylestab[style_Name],0),1))</f>
        <v>0</v>
      </c>
      <c r="C180" s="28">
        <f t="shared" si="8"/>
        <v>1</v>
      </c>
      <c r="D180" s="28">
        <f t="shared" si="9"/>
        <v>7</v>
      </c>
      <c r="E180" s="28">
        <f t="shared" si="10"/>
        <v>0</v>
      </c>
      <c r="F180" s="59" t="str">
        <f t="shared" si="11"/>
        <v/>
      </c>
      <c r="G180" s="42" t="s">
        <v>82</v>
      </c>
      <c r="H180" s="43" t="s">
        <v>83</v>
      </c>
      <c r="I180" s="44" t="s">
        <v>84</v>
      </c>
      <c r="J180" s="45" t="s">
        <v>85</v>
      </c>
      <c r="K180" s="46" t="s">
        <v>86</v>
      </c>
      <c r="L180" s="47" t="s">
        <v>2397</v>
      </c>
      <c r="M180" s="48" t="s">
        <v>2332</v>
      </c>
      <c r="N180" s="49"/>
      <c r="O180" s="50" t="s">
        <v>3161</v>
      </c>
      <c r="P180" s="50"/>
      <c r="Q180" s="59"/>
      <c r="R180" s="13"/>
    </row>
    <row r="181" spans="1:18" x14ac:dyDescent="0.25">
      <c r="A181" s="9" t="s">
        <v>21</v>
      </c>
      <c r="B181" s="28">
        <f>IF(ISBLANK(A181),0,INDEX(txtstylestab[],MATCH(A181,txtstylestab[style_Name],0),1))</f>
        <v>0</v>
      </c>
      <c r="C181" s="28">
        <f t="shared" si="8"/>
        <v>1</v>
      </c>
      <c r="D181" s="28">
        <f t="shared" si="9"/>
        <v>7</v>
      </c>
      <c r="E181" s="28">
        <f t="shared" si="10"/>
        <v>0</v>
      </c>
      <c r="F181" s="59" t="str">
        <f t="shared" si="11"/>
        <v/>
      </c>
      <c r="G181" s="42" t="s">
        <v>408</v>
      </c>
      <c r="H181" s="43" t="s">
        <v>409</v>
      </c>
      <c r="I181" s="44" t="s">
        <v>410</v>
      </c>
      <c r="J181" s="45" t="s">
        <v>411</v>
      </c>
      <c r="K181" s="46" t="s">
        <v>412</v>
      </c>
      <c r="L181" s="47" t="s">
        <v>2518</v>
      </c>
      <c r="M181" s="48" t="s">
        <v>2519</v>
      </c>
      <c r="N181" s="49"/>
      <c r="O181" s="50"/>
      <c r="P181" s="59"/>
      <c r="Q181" s="59"/>
      <c r="R181" s="13"/>
    </row>
    <row r="182" spans="1:18" ht="30" x14ac:dyDescent="0.25">
      <c r="A182" s="9" t="s">
        <v>21</v>
      </c>
      <c r="B182" s="28">
        <f>IF(ISBLANK(A182),0,INDEX(txtstylestab[],MATCH(A182,txtstylestab[style_Name],0),1))</f>
        <v>0</v>
      </c>
      <c r="C182" s="28">
        <f t="shared" si="8"/>
        <v>1</v>
      </c>
      <c r="D182" s="28">
        <f t="shared" si="9"/>
        <v>7</v>
      </c>
      <c r="E182" s="28">
        <f t="shared" si="10"/>
        <v>0</v>
      </c>
      <c r="F182" s="59" t="str">
        <f t="shared" si="11"/>
        <v/>
      </c>
      <c r="G182" s="42"/>
      <c r="H182" s="43"/>
      <c r="I182" s="44" t="s">
        <v>413</v>
      </c>
      <c r="J182" s="45" t="s">
        <v>414</v>
      </c>
      <c r="K182" s="46" t="s">
        <v>415</v>
      </c>
      <c r="L182" s="47"/>
      <c r="M182" s="48"/>
      <c r="N182" s="49"/>
      <c r="O182" s="50" t="s">
        <v>3341</v>
      </c>
      <c r="P182" s="59"/>
      <c r="Q182" s="59"/>
      <c r="R182" s="13"/>
    </row>
    <row r="183" spans="1:18" ht="60" x14ac:dyDescent="0.25">
      <c r="A183" s="9" t="s">
        <v>21</v>
      </c>
      <c r="B183" s="28">
        <f>IF(ISBLANK(A183),0,INDEX(txtstylestab[],MATCH(A183,txtstylestab[style_Name],0),1))</f>
        <v>0</v>
      </c>
      <c r="C183" s="28">
        <f t="shared" si="8"/>
        <v>1</v>
      </c>
      <c r="D183" s="28">
        <f t="shared" si="9"/>
        <v>7</v>
      </c>
      <c r="E183" s="28">
        <f t="shared" si="10"/>
        <v>0</v>
      </c>
      <c r="F183" s="59" t="str">
        <f t="shared" si="11"/>
        <v/>
      </c>
      <c r="G183" s="42" t="s">
        <v>1798</v>
      </c>
      <c r="H183" s="43" t="s">
        <v>419</v>
      </c>
      <c r="I183" s="44" t="s">
        <v>1632</v>
      </c>
      <c r="J183" s="45" t="s">
        <v>420</v>
      </c>
      <c r="K183" s="46" t="s">
        <v>421</v>
      </c>
      <c r="L183" s="47" t="s">
        <v>2520</v>
      </c>
      <c r="M183" s="48" t="s">
        <v>2526</v>
      </c>
      <c r="N183" s="49"/>
      <c r="O183" s="50" t="s">
        <v>3340</v>
      </c>
      <c r="P183" s="59"/>
      <c r="Q183" s="59"/>
      <c r="R183" s="13"/>
    </row>
    <row r="184" spans="1:18" ht="45" x14ac:dyDescent="0.25">
      <c r="A184" s="9" t="s">
        <v>21</v>
      </c>
      <c r="B184" s="28">
        <f>IF(ISBLANK(A184),0,INDEX(txtstylestab[],MATCH(A184,txtstylestab[style_Name],0),1))</f>
        <v>0</v>
      </c>
      <c r="C184" s="28">
        <f t="shared" si="8"/>
        <v>1</v>
      </c>
      <c r="D184" s="28">
        <f t="shared" si="9"/>
        <v>7</v>
      </c>
      <c r="E184" s="28">
        <f t="shared" si="10"/>
        <v>0</v>
      </c>
      <c r="F184" s="59" t="str">
        <f t="shared" si="11"/>
        <v/>
      </c>
      <c r="G184" s="42" t="s">
        <v>416</v>
      </c>
      <c r="H184" s="43" t="s">
        <v>393</v>
      </c>
      <c r="I184" s="44" t="s">
        <v>417</v>
      </c>
      <c r="J184" s="45" t="s">
        <v>395</v>
      </c>
      <c r="K184" s="46" t="s">
        <v>418</v>
      </c>
      <c r="L184" s="47" t="s">
        <v>2521</v>
      </c>
      <c r="M184" s="48" t="s">
        <v>2517</v>
      </c>
      <c r="N184" s="49"/>
      <c r="O184" s="50" t="s">
        <v>3339</v>
      </c>
      <c r="P184" s="59"/>
      <c r="Q184" s="59"/>
      <c r="R184" s="13"/>
    </row>
    <row r="185" spans="1:18" ht="45" x14ac:dyDescent="0.25">
      <c r="A185" s="9" t="s">
        <v>21</v>
      </c>
      <c r="B185" s="28">
        <f>IF(ISBLANK(A185),0,INDEX(txtstylestab[],MATCH(A185,txtstylestab[style_Name],0),1))</f>
        <v>0</v>
      </c>
      <c r="C185" s="28">
        <f t="shared" si="8"/>
        <v>1</v>
      </c>
      <c r="D185" s="28">
        <f t="shared" si="9"/>
        <v>7</v>
      </c>
      <c r="E185" s="28">
        <f t="shared" si="10"/>
        <v>0</v>
      </c>
      <c r="F185" s="59" t="str">
        <f t="shared" si="11"/>
        <v/>
      </c>
      <c r="G185" s="42" t="s">
        <v>535</v>
      </c>
      <c r="H185" s="43" t="s">
        <v>536</v>
      </c>
      <c r="I185" s="44" t="s">
        <v>2199</v>
      </c>
      <c r="J185" s="45" t="s">
        <v>504</v>
      </c>
      <c r="K185" s="46" t="s">
        <v>537</v>
      </c>
      <c r="L185" s="47" t="s">
        <v>2522</v>
      </c>
      <c r="M185" s="48" t="s">
        <v>2523</v>
      </c>
      <c r="N185" s="49"/>
      <c r="O185" s="50" t="s">
        <v>3239</v>
      </c>
      <c r="P185" s="59"/>
      <c r="Q185" s="59"/>
      <c r="R185" s="13"/>
    </row>
    <row r="186" spans="1:18" x14ac:dyDescent="0.25">
      <c r="A186" s="9" t="s">
        <v>21</v>
      </c>
      <c r="B186" s="28">
        <f>IF(ISBLANK(A186),0,INDEX(txtstylestab[],MATCH(A186,txtstylestab[style_Name],0),1))</f>
        <v>0</v>
      </c>
      <c r="C186" s="28">
        <f t="shared" si="8"/>
        <v>1</v>
      </c>
      <c r="D186" s="28">
        <f t="shared" si="9"/>
        <v>7</v>
      </c>
      <c r="E186" s="28">
        <f t="shared" si="10"/>
        <v>0</v>
      </c>
      <c r="F186" s="59" t="str">
        <f t="shared" si="11"/>
        <v/>
      </c>
      <c r="G186" s="42" t="s">
        <v>531</v>
      </c>
      <c r="H186" s="43" t="s">
        <v>26</v>
      </c>
      <c r="I186" s="44" t="s">
        <v>48</v>
      </c>
      <c r="J186" s="45" t="s">
        <v>384</v>
      </c>
      <c r="K186" s="46" t="s">
        <v>59</v>
      </c>
      <c r="L186" s="47" t="s">
        <v>2524</v>
      </c>
      <c r="M186" s="48" t="s">
        <v>2525</v>
      </c>
      <c r="N186" s="49"/>
      <c r="O186" s="50" t="s">
        <v>3168</v>
      </c>
      <c r="P186" s="59"/>
      <c r="Q186" s="59"/>
      <c r="R186" s="13"/>
    </row>
    <row r="187" spans="1:18" ht="18" thickBot="1" x14ac:dyDescent="0.35">
      <c r="A187" s="9" t="s">
        <v>11</v>
      </c>
      <c r="B187" s="28">
        <f>IF(ISBLANK(A187),0,INDEX(txtstylestab[],MATCH(A187,txtstylestab[style_Name],0),1))</f>
        <v>2</v>
      </c>
      <c r="C187" s="28">
        <f t="shared" si="8"/>
        <v>1</v>
      </c>
      <c r="D187" s="28">
        <f t="shared" si="9"/>
        <v>8</v>
      </c>
      <c r="E187" s="28">
        <f t="shared" si="10"/>
        <v>0</v>
      </c>
      <c r="F187" s="54" t="str">
        <f t="shared" si="11"/>
        <v>1.8.</v>
      </c>
      <c r="G187" s="68" t="s">
        <v>422</v>
      </c>
      <c r="H187" s="68"/>
      <c r="I187" s="68"/>
      <c r="J187" s="68"/>
      <c r="K187" s="68"/>
      <c r="L187" s="68"/>
      <c r="M187" s="68"/>
      <c r="N187" s="68"/>
      <c r="O187" s="68"/>
      <c r="P187" s="68"/>
      <c r="Q187" s="68"/>
      <c r="R187" s="13"/>
    </row>
    <row r="188" spans="1:18" ht="15.75" thickTop="1" x14ac:dyDescent="0.25">
      <c r="A188" s="9" t="s">
        <v>21</v>
      </c>
      <c r="B188" s="28">
        <f>IF(ISBLANK(A188),0,INDEX(txtstylestab[],MATCH(A188,txtstylestab[style_Name],0),1))</f>
        <v>0</v>
      </c>
      <c r="C188" s="28">
        <f t="shared" si="8"/>
        <v>1</v>
      </c>
      <c r="D188" s="28">
        <f t="shared" si="9"/>
        <v>8</v>
      </c>
      <c r="E188" s="28">
        <f t="shared" si="10"/>
        <v>0</v>
      </c>
      <c r="F188" s="59" t="str">
        <f t="shared" si="11"/>
        <v/>
      </c>
      <c r="G188" s="42" t="s">
        <v>344</v>
      </c>
      <c r="H188" s="43" t="s">
        <v>83</v>
      </c>
      <c r="I188" s="44" t="s">
        <v>84</v>
      </c>
      <c r="J188" s="45" t="s">
        <v>85</v>
      </c>
      <c r="K188" s="46" t="s">
        <v>86</v>
      </c>
      <c r="L188" s="47" t="s">
        <v>2397</v>
      </c>
      <c r="M188" s="48" t="s">
        <v>2332</v>
      </c>
      <c r="N188" s="49"/>
      <c r="O188" s="50" t="s">
        <v>3161</v>
      </c>
      <c r="P188" s="50"/>
      <c r="Q188" s="59"/>
      <c r="R188" s="13"/>
    </row>
    <row r="189" spans="1:18" ht="30" x14ac:dyDescent="0.25">
      <c r="A189" s="9" t="s">
        <v>21</v>
      </c>
      <c r="B189" s="28">
        <f>IF(ISBLANK(A189),0,INDEX(txtstylestab[],MATCH(A189,txtstylestab[style_Name],0),1))</f>
        <v>0</v>
      </c>
      <c r="C189" s="28">
        <f t="shared" si="8"/>
        <v>1</v>
      </c>
      <c r="D189" s="28">
        <f t="shared" si="9"/>
        <v>8</v>
      </c>
      <c r="E189" s="28">
        <f t="shared" si="10"/>
        <v>0</v>
      </c>
      <c r="F189" s="59" t="str">
        <f t="shared" si="11"/>
        <v/>
      </c>
      <c r="G189" s="42" t="s">
        <v>423</v>
      </c>
      <c r="H189" s="43" t="s">
        <v>424</v>
      </c>
      <c r="I189" s="44" t="s">
        <v>425</v>
      </c>
      <c r="J189" s="45" t="s">
        <v>426</v>
      </c>
      <c r="K189" s="46" t="s">
        <v>427</v>
      </c>
      <c r="L189" s="47" t="s">
        <v>2527</v>
      </c>
      <c r="M189" s="48" t="s">
        <v>2528</v>
      </c>
      <c r="N189" s="49"/>
      <c r="O189" s="50" t="s">
        <v>3328</v>
      </c>
      <c r="P189" s="59"/>
      <c r="Q189" s="59"/>
      <c r="R189" s="13"/>
    </row>
    <row r="190" spans="1:18" x14ac:dyDescent="0.25">
      <c r="A190" s="9" t="s">
        <v>21</v>
      </c>
      <c r="B190" s="28">
        <f>IF(ISBLANK(A190),0,INDEX(txtstylestab[],MATCH(A190,txtstylestab[style_Name],0),1))</f>
        <v>0</v>
      </c>
      <c r="C190" s="28">
        <f t="shared" si="8"/>
        <v>1</v>
      </c>
      <c r="D190" s="28">
        <f t="shared" si="9"/>
        <v>8</v>
      </c>
      <c r="E190" s="28">
        <f t="shared" si="10"/>
        <v>0</v>
      </c>
      <c r="F190" s="59" t="str">
        <f t="shared" si="11"/>
        <v/>
      </c>
      <c r="G190" s="42" t="s">
        <v>428</v>
      </c>
      <c r="H190" s="43" t="s">
        <v>429</v>
      </c>
      <c r="I190" s="44" t="s">
        <v>430</v>
      </c>
      <c r="J190" s="45" t="s">
        <v>1619</v>
      </c>
      <c r="K190" s="46" t="s">
        <v>431</v>
      </c>
      <c r="L190" s="47" t="s">
        <v>2529</v>
      </c>
      <c r="M190" s="48" t="s">
        <v>2530</v>
      </c>
      <c r="N190" s="49"/>
      <c r="O190" s="50"/>
      <c r="P190" s="59"/>
      <c r="Q190" s="59"/>
      <c r="R190" s="13"/>
    </row>
    <row r="191" spans="1:18" ht="30" x14ac:dyDescent="0.25">
      <c r="A191" s="9" t="s">
        <v>21</v>
      </c>
      <c r="B191" s="28">
        <f>IF(ISBLANK(A191),0,INDEX(txtstylestab[],MATCH(A191,txtstylestab[style_Name],0),1))</f>
        <v>0</v>
      </c>
      <c r="C191" s="28">
        <f t="shared" si="8"/>
        <v>1</v>
      </c>
      <c r="D191" s="28">
        <f t="shared" si="9"/>
        <v>8</v>
      </c>
      <c r="E191" s="28">
        <f t="shared" si="10"/>
        <v>0</v>
      </c>
      <c r="F191" s="59" t="str">
        <f t="shared" si="11"/>
        <v/>
      </c>
      <c r="G191" s="42" t="s">
        <v>437</v>
      </c>
      <c r="H191" s="43" t="s">
        <v>441</v>
      </c>
      <c r="I191" s="44" t="s">
        <v>445</v>
      </c>
      <c r="J191" s="45" t="s">
        <v>449</v>
      </c>
      <c r="K191" s="46" t="s">
        <v>453</v>
      </c>
      <c r="L191" s="47" t="s">
        <v>2536</v>
      </c>
      <c r="M191" s="48" t="s">
        <v>2533</v>
      </c>
      <c r="N191" s="49"/>
      <c r="O191" s="50" t="s">
        <v>3342</v>
      </c>
      <c r="P191" s="59"/>
      <c r="Q191" s="59"/>
      <c r="R191" s="13"/>
    </row>
    <row r="192" spans="1:18" ht="30" x14ac:dyDescent="0.25">
      <c r="A192" s="9" t="s">
        <v>21</v>
      </c>
      <c r="B192" s="28">
        <f>IF(ISBLANK(A192),0,INDEX(txtstylestab[],MATCH(A192,txtstylestab[style_Name],0),1))</f>
        <v>0</v>
      </c>
      <c r="C192" s="28">
        <f t="shared" si="8"/>
        <v>1</v>
      </c>
      <c r="D192" s="28">
        <f t="shared" si="9"/>
        <v>8</v>
      </c>
      <c r="E192" s="28">
        <f t="shared" si="10"/>
        <v>0</v>
      </c>
      <c r="F192" s="59" t="str">
        <f t="shared" si="11"/>
        <v/>
      </c>
      <c r="G192" s="42" t="s">
        <v>438</v>
      </c>
      <c r="H192" s="43" t="s">
        <v>442</v>
      </c>
      <c r="I192" s="44" t="s">
        <v>446</v>
      </c>
      <c r="J192" s="45" t="s">
        <v>450</v>
      </c>
      <c r="K192" s="46" t="s">
        <v>454</v>
      </c>
      <c r="L192" s="47" t="s">
        <v>2537</v>
      </c>
      <c r="M192" s="48" t="s">
        <v>2534</v>
      </c>
      <c r="N192" s="49"/>
      <c r="O192" s="50" t="s">
        <v>3330</v>
      </c>
      <c r="P192" s="59"/>
      <c r="Q192" s="59"/>
      <c r="R192" s="13"/>
    </row>
    <row r="193" spans="1:18" ht="30" x14ac:dyDescent="0.25">
      <c r="A193" s="9" t="s">
        <v>21</v>
      </c>
      <c r="B193" s="28">
        <f>IF(ISBLANK(A193),0,INDEX(txtstylestab[],MATCH(A193,txtstylestab[style_Name],0),1))</f>
        <v>0</v>
      </c>
      <c r="C193" s="28">
        <f t="shared" si="8"/>
        <v>1</v>
      </c>
      <c r="D193" s="28">
        <f t="shared" si="9"/>
        <v>8</v>
      </c>
      <c r="E193" s="28">
        <f t="shared" si="10"/>
        <v>0</v>
      </c>
      <c r="F193" s="59" t="str">
        <f t="shared" si="11"/>
        <v/>
      </c>
      <c r="G193" s="42" t="s">
        <v>439</v>
      </c>
      <c r="H193" s="43" t="s">
        <v>443</v>
      </c>
      <c r="I193" s="44" t="s">
        <v>447</v>
      </c>
      <c r="J193" s="45" t="s">
        <v>451</v>
      </c>
      <c r="K193" s="46" t="s">
        <v>455</v>
      </c>
      <c r="L193" s="47" t="s">
        <v>2538</v>
      </c>
      <c r="M193" s="48" t="s">
        <v>2535</v>
      </c>
      <c r="N193" s="49"/>
      <c r="O193" s="50" t="s">
        <v>3343</v>
      </c>
      <c r="P193" s="59"/>
      <c r="Q193" s="59"/>
      <c r="R193" s="13"/>
    </row>
    <row r="194" spans="1:18" x14ac:dyDescent="0.25">
      <c r="A194" s="9" t="s">
        <v>21</v>
      </c>
      <c r="B194" s="28">
        <f>IF(ISBLANK(A194),0,INDEX(txtstylestab[],MATCH(A194,txtstylestab[style_Name],0),1))</f>
        <v>0</v>
      </c>
      <c r="C194" s="28">
        <f t="shared" si="8"/>
        <v>1</v>
      </c>
      <c r="D194" s="28">
        <f t="shared" si="9"/>
        <v>8</v>
      </c>
      <c r="E194" s="28">
        <f t="shared" si="10"/>
        <v>0</v>
      </c>
      <c r="F194" s="59" t="str">
        <f t="shared" si="11"/>
        <v/>
      </c>
      <c r="G194" s="42" t="s">
        <v>440</v>
      </c>
      <c r="H194" s="43" t="s">
        <v>444</v>
      </c>
      <c r="I194" s="44" t="s">
        <v>448</v>
      </c>
      <c r="J194" s="45" t="s">
        <v>452</v>
      </c>
      <c r="K194" s="46" t="s">
        <v>456</v>
      </c>
      <c r="L194" s="47" t="s">
        <v>2531</v>
      </c>
      <c r="M194" s="48" t="s">
        <v>2532</v>
      </c>
      <c r="N194" s="49"/>
      <c r="O194" s="50" t="s">
        <v>3344</v>
      </c>
      <c r="P194" s="59"/>
      <c r="Q194" s="59"/>
      <c r="R194" s="13"/>
    </row>
    <row r="195" spans="1:18" ht="30" x14ac:dyDescent="0.25">
      <c r="A195" s="9" t="s">
        <v>21</v>
      </c>
      <c r="B195" s="28">
        <f>IF(ISBLANK(A195),0,INDEX(txtstylestab[],MATCH(A195,txtstylestab[style_Name],0),1))</f>
        <v>0</v>
      </c>
      <c r="C195" s="28">
        <f t="shared" si="8"/>
        <v>1</v>
      </c>
      <c r="D195" s="28">
        <f t="shared" si="9"/>
        <v>8</v>
      </c>
      <c r="E195" s="28">
        <f t="shared" si="10"/>
        <v>0</v>
      </c>
      <c r="F195" s="59" t="str">
        <f t="shared" si="11"/>
        <v/>
      </c>
      <c r="G195" s="42" t="s">
        <v>432</v>
      </c>
      <c r="H195" s="43" t="s">
        <v>433</v>
      </c>
      <c r="I195" s="44" t="s">
        <v>434</v>
      </c>
      <c r="J195" s="45" t="s">
        <v>435</v>
      </c>
      <c r="K195" s="46" t="s">
        <v>436</v>
      </c>
      <c r="L195" s="47" t="s">
        <v>2370</v>
      </c>
      <c r="M195" s="48" t="s">
        <v>2371</v>
      </c>
      <c r="N195" s="49"/>
      <c r="O195" s="50" t="s">
        <v>3226</v>
      </c>
      <c r="P195" s="59"/>
      <c r="Q195" s="59"/>
      <c r="R195" s="13"/>
    </row>
    <row r="196" spans="1:18" x14ac:dyDescent="0.25">
      <c r="A196" s="9" t="s">
        <v>13</v>
      </c>
      <c r="B196" s="28">
        <f>IF(ISBLANK(A196),0,INDEX(txtstylestab[],MATCH(A196,txtstylestab[style_Name],0),1))</f>
        <v>7</v>
      </c>
      <c r="C196" s="28">
        <f t="shared" ref="C196:C259" si="12">IF(B196=1,C195+1,C195)</f>
        <v>1</v>
      </c>
      <c r="D196" s="28">
        <f t="shared" ref="D196:D259" si="13">IF(B196=1,0,IF(B196=2,D195+1,IF(AND(B196=3,D195=0),1,D195)))</f>
        <v>8</v>
      </c>
      <c r="E196" s="28">
        <f t="shared" ref="E196:E259" si="14">IF(OR(B196=1,B196=2),0,IF(B196=3,E195+1,E195))</f>
        <v>0</v>
      </c>
      <c r="F196" s="78" t="str">
        <f t="shared" ref="F196:F259" si="15">IF(OR(B196=1,B196=2,B196=3),TEXT(C196,"#")&amp;".","")&amp;IF(OR(B196=2,B196=3),TEXT(D196,"#")&amp;".","")&amp;IF(B196=3,TEXT(E196,"#")&amp;".","")</f>
        <v/>
      </c>
      <c r="G196" s="78" t="s">
        <v>457</v>
      </c>
      <c r="H196" s="78"/>
      <c r="I196" s="78"/>
      <c r="J196" s="78"/>
      <c r="K196" s="78"/>
      <c r="L196" s="78"/>
      <c r="M196" s="78"/>
      <c r="N196" s="78"/>
      <c r="O196" s="78"/>
      <c r="P196" s="78"/>
      <c r="Q196" s="78"/>
      <c r="R196" s="13"/>
    </row>
    <row r="197" spans="1:18" ht="18" thickBot="1" x14ac:dyDescent="0.35">
      <c r="A197" s="9" t="s">
        <v>11</v>
      </c>
      <c r="B197" s="28">
        <f>IF(ISBLANK(A197),0,INDEX(txtstylestab[],MATCH(A197,txtstylestab[style_Name],0),1))</f>
        <v>2</v>
      </c>
      <c r="C197" s="28">
        <f t="shared" si="12"/>
        <v>1</v>
      </c>
      <c r="D197" s="28">
        <f t="shared" si="13"/>
        <v>9</v>
      </c>
      <c r="E197" s="28">
        <f t="shared" si="14"/>
        <v>0</v>
      </c>
      <c r="F197" s="54" t="str">
        <f t="shared" si="15"/>
        <v>1.9.</v>
      </c>
      <c r="G197" s="68" t="s">
        <v>458</v>
      </c>
      <c r="H197" s="68"/>
      <c r="I197" s="68"/>
      <c r="J197" s="68"/>
      <c r="K197" s="68"/>
      <c r="L197" s="68"/>
      <c r="M197" s="68"/>
      <c r="N197" s="68"/>
      <c r="O197" s="68"/>
      <c r="P197" s="68"/>
      <c r="Q197" s="68"/>
      <c r="R197" s="13"/>
    </row>
    <row r="198" spans="1:18" ht="15.75" thickTop="1" x14ac:dyDescent="0.25">
      <c r="A198" s="9" t="s">
        <v>22</v>
      </c>
      <c r="B198" s="28">
        <f>IF(ISBLANK(A198),0,INDEX(txtstylestab[],MATCH(A198,txtstylestab[style_Name],0),1))</f>
        <v>4</v>
      </c>
      <c r="C198" s="28">
        <f t="shared" si="12"/>
        <v>1</v>
      </c>
      <c r="D198" s="28">
        <f t="shared" si="13"/>
        <v>9</v>
      </c>
      <c r="E198" s="28">
        <f t="shared" si="14"/>
        <v>0</v>
      </c>
      <c r="F198" s="56" t="str">
        <f t="shared" si="15"/>
        <v/>
      </c>
      <c r="G198" s="67" t="s">
        <v>459</v>
      </c>
      <c r="H198" s="67"/>
      <c r="I198" s="67"/>
      <c r="J198" s="67"/>
      <c r="K198" s="67"/>
      <c r="L198" s="67"/>
      <c r="M198" s="67"/>
      <c r="N198" s="67"/>
      <c r="O198" s="67"/>
      <c r="P198" s="67"/>
      <c r="Q198" s="67"/>
      <c r="R198" s="13"/>
    </row>
    <row r="199" spans="1:18" x14ac:dyDescent="0.25">
      <c r="A199" s="9" t="s">
        <v>21</v>
      </c>
      <c r="B199" s="28">
        <f>IF(ISBLANK(A199),0,INDEX(txtstylestab[],MATCH(A199,txtstylestab[style_Name],0),1))</f>
        <v>0</v>
      </c>
      <c r="C199" s="28">
        <f t="shared" si="12"/>
        <v>1</v>
      </c>
      <c r="D199" s="28">
        <f t="shared" si="13"/>
        <v>9</v>
      </c>
      <c r="E199" s="28">
        <f t="shared" si="14"/>
        <v>0</v>
      </c>
      <c r="F199" s="59" t="str">
        <f t="shared" si="15"/>
        <v/>
      </c>
      <c r="G199" s="42" t="s">
        <v>82</v>
      </c>
      <c r="H199" s="43" t="s">
        <v>83</v>
      </c>
      <c r="I199" s="44" t="s">
        <v>84</v>
      </c>
      <c r="J199" s="45" t="s">
        <v>85</v>
      </c>
      <c r="K199" s="46" t="s">
        <v>86</v>
      </c>
      <c r="L199" s="47" t="s">
        <v>2397</v>
      </c>
      <c r="M199" s="48" t="s">
        <v>2539</v>
      </c>
      <c r="N199" s="49"/>
      <c r="O199" s="50" t="s">
        <v>3161</v>
      </c>
      <c r="P199" s="59"/>
      <c r="Q199" s="59"/>
      <c r="R199" s="13"/>
    </row>
    <row r="200" spans="1:18" ht="45" x14ac:dyDescent="0.25">
      <c r="A200" s="9" t="s">
        <v>21</v>
      </c>
      <c r="B200" s="28">
        <f>IF(ISBLANK(A200),0,INDEX(txtstylestab[],MATCH(A200,txtstylestab[style_Name],0),1))</f>
        <v>0</v>
      </c>
      <c r="C200" s="28">
        <f t="shared" si="12"/>
        <v>1</v>
      </c>
      <c r="D200" s="28">
        <f t="shared" si="13"/>
        <v>9</v>
      </c>
      <c r="E200" s="28">
        <f t="shared" si="14"/>
        <v>0</v>
      </c>
      <c r="F200" s="59" t="str">
        <f t="shared" si="15"/>
        <v/>
      </c>
      <c r="G200" s="42" t="s">
        <v>460</v>
      </c>
      <c r="H200" s="43" t="s">
        <v>461</v>
      </c>
      <c r="I200" s="44" t="s">
        <v>462</v>
      </c>
      <c r="J200" s="45" t="s">
        <v>463</v>
      </c>
      <c r="K200" s="46" t="s">
        <v>464</v>
      </c>
      <c r="L200" s="47" t="s">
        <v>2540</v>
      </c>
      <c r="M200" s="48" t="s">
        <v>2541</v>
      </c>
      <c r="N200" s="49"/>
      <c r="O200" s="50" t="s">
        <v>3440</v>
      </c>
      <c r="P200" s="59"/>
      <c r="Q200" s="59"/>
      <c r="R200" s="13"/>
    </row>
    <row r="201" spans="1:18" x14ac:dyDescent="0.25">
      <c r="A201" s="9" t="s">
        <v>22</v>
      </c>
      <c r="B201" s="28">
        <f>IF(ISBLANK(A201),0,INDEX(txtstylestab[],MATCH(A201,txtstylestab[style_Name],0),1))</f>
        <v>4</v>
      </c>
      <c r="C201" s="28">
        <f t="shared" si="12"/>
        <v>1</v>
      </c>
      <c r="D201" s="28">
        <f t="shared" si="13"/>
        <v>9</v>
      </c>
      <c r="E201" s="28">
        <f t="shared" si="14"/>
        <v>0</v>
      </c>
      <c r="F201" s="56" t="str">
        <f t="shared" si="15"/>
        <v/>
      </c>
      <c r="G201" s="67" t="s">
        <v>467</v>
      </c>
      <c r="H201" s="67"/>
      <c r="I201" s="67"/>
      <c r="J201" s="67"/>
      <c r="K201" s="67"/>
      <c r="L201" s="67"/>
      <c r="M201" s="67"/>
      <c r="N201" s="67"/>
      <c r="O201" s="67"/>
      <c r="P201" s="67"/>
      <c r="Q201" s="67"/>
      <c r="R201" s="13"/>
    </row>
    <row r="202" spans="1:18" ht="45" x14ac:dyDescent="0.25">
      <c r="A202" s="9" t="s">
        <v>21</v>
      </c>
      <c r="B202" s="28">
        <f>IF(ISBLANK(A202),0,INDEX(txtstylestab[],MATCH(A202,txtstylestab[style_Name],0),1))</f>
        <v>0</v>
      </c>
      <c r="C202" s="28">
        <f t="shared" si="12"/>
        <v>1</v>
      </c>
      <c r="D202" s="28">
        <f t="shared" si="13"/>
        <v>9</v>
      </c>
      <c r="E202" s="28">
        <f t="shared" si="14"/>
        <v>0</v>
      </c>
      <c r="F202" s="59" t="str">
        <f t="shared" si="15"/>
        <v/>
      </c>
      <c r="G202" s="42" t="s">
        <v>1799</v>
      </c>
      <c r="H202" s="43" t="s">
        <v>1800</v>
      </c>
      <c r="I202" s="44" t="s">
        <v>1801</v>
      </c>
      <c r="J202" s="45" t="s">
        <v>468</v>
      </c>
      <c r="K202" s="46" t="s">
        <v>1802</v>
      </c>
      <c r="L202" s="47" t="s">
        <v>2550</v>
      </c>
      <c r="M202" s="48" t="s">
        <v>2551</v>
      </c>
      <c r="N202" s="49"/>
      <c r="O202" s="50" t="s">
        <v>3486</v>
      </c>
      <c r="P202" s="59"/>
      <c r="Q202" s="59"/>
      <c r="R202" s="13"/>
    </row>
    <row r="203" spans="1:18" ht="45" x14ac:dyDescent="0.25">
      <c r="A203" s="9" t="s">
        <v>14</v>
      </c>
      <c r="B203" s="28">
        <f>IF(ISBLANK(A203),0,INDEX(txtstylestab[],MATCH(A203,txtstylestab[style_Name],0),1))</f>
        <v>6</v>
      </c>
      <c r="C203" s="28">
        <f t="shared" si="12"/>
        <v>1</v>
      </c>
      <c r="D203" s="28">
        <f t="shared" si="13"/>
        <v>9</v>
      </c>
      <c r="E203" s="28">
        <f t="shared" si="14"/>
        <v>0</v>
      </c>
      <c r="F203" s="59" t="str">
        <f t="shared" si="15"/>
        <v/>
      </c>
      <c r="G203" s="42" t="s">
        <v>1803</v>
      </c>
      <c r="H203" s="43" t="s">
        <v>1804</v>
      </c>
      <c r="I203" s="44" t="s">
        <v>1805</v>
      </c>
      <c r="J203" s="45" t="s">
        <v>1806</v>
      </c>
      <c r="K203" s="46" t="s">
        <v>1807</v>
      </c>
      <c r="L203" s="47" t="s">
        <v>2552</v>
      </c>
      <c r="M203" s="48" t="s">
        <v>2553</v>
      </c>
      <c r="N203" s="49"/>
      <c r="O203" s="50" t="s">
        <v>3481</v>
      </c>
      <c r="P203" s="59"/>
      <c r="Q203" s="59"/>
      <c r="R203" s="13"/>
    </row>
    <row r="204" spans="1:18" x14ac:dyDescent="0.25">
      <c r="A204" s="9" t="s">
        <v>14</v>
      </c>
      <c r="B204" s="28">
        <f>IF(ISBLANK(A204),0,INDEX(txtstylestab[],MATCH(A204,txtstylestab[style_Name],0),1))</f>
        <v>6</v>
      </c>
      <c r="C204" s="28">
        <f t="shared" si="12"/>
        <v>1</v>
      </c>
      <c r="D204" s="28">
        <f t="shared" si="13"/>
        <v>9</v>
      </c>
      <c r="E204" s="28">
        <f t="shared" si="14"/>
        <v>0</v>
      </c>
      <c r="F204" s="59" t="str">
        <f t="shared" si="15"/>
        <v/>
      </c>
      <c r="G204" s="42" t="s">
        <v>1808</v>
      </c>
      <c r="H204" s="43" t="s">
        <v>1810</v>
      </c>
      <c r="I204" s="44" t="s">
        <v>1812</v>
      </c>
      <c r="J204" s="45" t="s">
        <v>1814</v>
      </c>
      <c r="K204" s="46" t="s">
        <v>1816</v>
      </c>
      <c r="L204" s="47" t="s">
        <v>2542</v>
      </c>
      <c r="M204" s="48" t="s">
        <v>2543</v>
      </c>
      <c r="N204" s="49"/>
      <c r="O204" s="50" t="s">
        <v>3482</v>
      </c>
      <c r="P204" s="59"/>
      <c r="Q204" s="59"/>
      <c r="R204" s="13"/>
    </row>
    <row r="205" spans="1:18" x14ac:dyDescent="0.25">
      <c r="A205" s="9" t="s">
        <v>14</v>
      </c>
      <c r="B205" s="28">
        <f>IF(ISBLANK(A205),0,INDEX(txtstylestab[],MATCH(A205,txtstylestab[style_Name],0),1))</f>
        <v>6</v>
      </c>
      <c r="C205" s="28">
        <f t="shared" si="12"/>
        <v>1</v>
      </c>
      <c r="D205" s="28">
        <f t="shared" si="13"/>
        <v>9</v>
      </c>
      <c r="E205" s="28">
        <f t="shared" si="14"/>
        <v>0</v>
      </c>
      <c r="F205" s="59" t="str">
        <f t="shared" si="15"/>
        <v/>
      </c>
      <c r="G205" s="42" t="s">
        <v>1809</v>
      </c>
      <c r="H205" s="43" t="s">
        <v>1811</v>
      </c>
      <c r="I205" s="44" t="s">
        <v>1813</v>
      </c>
      <c r="J205" s="45" t="s">
        <v>1815</v>
      </c>
      <c r="K205" s="46" t="s">
        <v>1817</v>
      </c>
      <c r="L205" s="47" t="s">
        <v>2544</v>
      </c>
      <c r="M205" s="48" t="s">
        <v>2547</v>
      </c>
      <c r="N205" s="49"/>
      <c r="O205" s="50" t="s">
        <v>3483</v>
      </c>
      <c r="P205" s="59"/>
      <c r="Q205" s="59"/>
      <c r="R205" s="13"/>
    </row>
    <row r="206" spans="1:18" x14ac:dyDescent="0.25">
      <c r="A206" s="9" t="s">
        <v>14</v>
      </c>
      <c r="B206" s="28">
        <f>IF(ISBLANK(A206),0,INDEX(txtstylestab[],MATCH(A206,txtstylestab[style_Name],0),1))</f>
        <v>6</v>
      </c>
      <c r="C206" s="28">
        <f t="shared" si="12"/>
        <v>1</v>
      </c>
      <c r="D206" s="28">
        <f t="shared" si="13"/>
        <v>9</v>
      </c>
      <c r="E206" s="28">
        <f t="shared" si="14"/>
        <v>0</v>
      </c>
      <c r="F206" s="59" t="str">
        <f t="shared" si="15"/>
        <v/>
      </c>
      <c r="G206" s="42" t="s">
        <v>1818</v>
      </c>
      <c r="H206" s="43" t="s">
        <v>1819</v>
      </c>
      <c r="I206" s="44" t="s">
        <v>1820</v>
      </c>
      <c r="J206" s="45" t="s">
        <v>1821</v>
      </c>
      <c r="K206" s="46" t="s">
        <v>1822</v>
      </c>
      <c r="L206" s="47" t="s">
        <v>2545</v>
      </c>
      <c r="M206" s="48" t="s">
        <v>2546</v>
      </c>
      <c r="N206" s="49"/>
      <c r="O206" s="50" t="s">
        <v>3484</v>
      </c>
      <c r="P206" s="59"/>
      <c r="Q206" s="59"/>
      <c r="R206" s="13"/>
    </row>
    <row r="207" spans="1:18" ht="30" x14ac:dyDescent="0.25">
      <c r="A207" s="9" t="s">
        <v>21</v>
      </c>
      <c r="B207" s="28">
        <f>IF(ISBLANK(A207),0,INDEX(txtstylestab[],MATCH(A207,txtstylestab[style_Name],0),1))</f>
        <v>0</v>
      </c>
      <c r="C207" s="28">
        <f t="shared" si="12"/>
        <v>1</v>
      </c>
      <c r="D207" s="28">
        <f t="shared" si="13"/>
        <v>9</v>
      </c>
      <c r="E207" s="28">
        <f t="shared" si="14"/>
        <v>0</v>
      </c>
      <c r="F207" s="59" t="str">
        <f t="shared" si="15"/>
        <v/>
      </c>
      <c r="G207" s="42"/>
      <c r="H207" s="43"/>
      <c r="I207" s="44"/>
      <c r="J207" s="45"/>
      <c r="K207" s="46"/>
      <c r="L207" s="47"/>
      <c r="M207" s="48"/>
      <c r="N207" s="49"/>
      <c r="O207" s="50" t="s">
        <v>3485</v>
      </c>
      <c r="P207" s="59"/>
      <c r="Q207" s="59"/>
      <c r="R207" s="13"/>
    </row>
    <row r="208" spans="1:18" x14ac:dyDescent="0.25">
      <c r="A208" s="9" t="s">
        <v>23</v>
      </c>
      <c r="B208" s="28">
        <f>IF(ISBLANK(A208),0,INDEX(txtstylestab[],MATCH(A208,txtstylestab[style_Name],0),1))</f>
        <v>5</v>
      </c>
      <c r="C208" s="28">
        <f t="shared" si="12"/>
        <v>1</v>
      </c>
      <c r="D208" s="28">
        <f t="shared" si="13"/>
        <v>9</v>
      </c>
      <c r="E208" s="28">
        <f t="shared" si="14"/>
        <v>0</v>
      </c>
      <c r="F208" s="56" t="str">
        <f t="shared" si="15"/>
        <v/>
      </c>
      <c r="G208" s="69" t="s">
        <v>474</v>
      </c>
      <c r="H208" s="69"/>
      <c r="I208" s="69"/>
      <c r="J208" s="69"/>
      <c r="K208" s="69"/>
      <c r="L208" s="69"/>
      <c r="M208" s="69"/>
      <c r="N208" s="69"/>
      <c r="O208" s="69"/>
      <c r="P208" s="69"/>
      <c r="Q208" s="69"/>
      <c r="R208" s="13"/>
    </row>
    <row r="209" spans="1:18" ht="45" x14ac:dyDescent="0.25">
      <c r="A209" s="9" t="s">
        <v>21</v>
      </c>
      <c r="B209" s="28">
        <f>IF(ISBLANK(A209),0,INDEX(txtstylestab[],MATCH(A209,txtstylestab[style_Name],0),1))</f>
        <v>0</v>
      </c>
      <c r="C209" s="28">
        <f t="shared" si="12"/>
        <v>1</v>
      </c>
      <c r="D209" s="28">
        <f t="shared" si="13"/>
        <v>9</v>
      </c>
      <c r="E209" s="28">
        <f t="shared" si="14"/>
        <v>0</v>
      </c>
      <c r="F209" s="59" t="str">
        <f t="shared" si="15"/>
        <v/>
      </c>
      <c r="G209" s="42" t="s">
        <v>1823</v>
      </c>
      <c r="H209" s="43" t="s">
        <v>1824</v>
      </c>
      <c r="I209" s="44" t="s">
        <v>1825</v>
      </c>
      <c r="J209" s="45" t="s">
        <v>1826</v>
      </c>
      <c r="K209" s="46" t="s">
        <v>1827</v>
      </c>
      <c r="L209" s="47" t="s">
        <v>2554</v>
      </c>
      <c r="M209" s="48" t="s">
        <v>2555</v>
      </c>
      <c r="N209" s="49"/>
      <c r="O209" s="50" t="s">
        <v>3489</v>
      </c>
      <c r="P209" s="59"/>
      <c r="Q209" s="59"/>
      <c r="R209" s="13"/>
    </row>
    <row r="210" spans="1:18" x14ac:dyDescent="0.25">
      <c r="A210" s="9" t="s">
        <v>14</v>
      </c>
      <c r="B210" s="28">
        <f>IF(ISBLANK(A210),0,INDEX(txtstylestab[],MATCH(A210,txtstylestab[style_Name],0),1))</f>
        <v>6</v>
      </c>
      <c r="C210" s="28">
        <f t="shared" si="12"/>
        <v>1</v>
      </c>
      <c r="D210" s="28">
        <f t="shared" si="13"/>
        <v>9</v>
      </c>
      <c r="E210" s="28">
        <f t="shared" si="14"/>
        <v>0</v>
      </c>
      <c r="F210" s="59" t="str">
        <f t="shared" si="15"/>
        <v/>
      </c>
      <c r="G210" s="42" t="s">
        <v>1808</v>
      </c>
      <c r="H210" s="43" t="s">
        <v>1810</v>
      </c>
      <c r="I210" s="44" t="s">
        <v>1812</v>
      </c>
      <c r="J210" s="45" t="s">
        <v>1814</v>
      </c>
      <c r="K210" s="46" t="s">
        <v>1816</v>
      </c>
      <c r="L210" s="47" t="s">
        <v>2542</v>
      </c>
      <c r="M210" s="48" t="s">
        <v>2543</v>
      </c>
      <c r="N210" s="49"/>
      <c r="O210" s="50" t="s">
        <v>3482</v>
      </c>
      <c r="P210" s="50"/>
      <c r="Q210" s="59"/>
      <c r="R210" s="13"/>
    </row>
    <row r="211" spans="1:18" x14ac:dyDescent="0.25">
      <c r="A211" s="9" t="s">
        <v>14</v>
      </c>
      <c r="B211" s="28">
        <f>IF(ISBLANK(A211),0,INDEX(txtstylestab[],MATCH(A211,txtstylestab[style_Name],0),1))</f>
        <v>6</v>
      </c>
      <c r="C211" s="28">
        <f t="shared" si="12"/>
        <v>1</v>
      </c>
      <c r="D211" s="28">
        <f t="shared" si="13"/>
        <v>9</v>
      </c>
      <c r="E211" s="28">
        <f t="shared" si="14"/>
        <v>0</v>
      </c>
      <c r="F211" s="59" t="str">
        <f t="shared" si="15"/>
        <v/>
      </c>
      <c r="G211" s="42" t="s">
        <v>1809</v>
      </c>
      <c r="H211" s="43" t="s">
        <v>1811</v>
      </c>
      <c r="I211" s="44" t="s">
        <v>1813</v>
      </c>
      <c r="J211" s="45" t="s">
        <v>1815</v>
      </c>
      <c r="K211" s="46" t="s">
        <v>1817</v>
      </c>
      <c r="L211" s="47" t="s">
        <v>2544</v>
      </c>
      <c r="M211" s="48" t="s">
        <v>2547</v>
      </c>
      <c r="N211" s="49"/>
      <c r="O211" s="50" t="s">
        <v>3483</v>
      </c>
      <c r="P211" s="50"/>
      <c r="Q211" s="59"/>
      <c r="R211" s="13"/>
    </row>
    <row r="212" spans="1:18" x14ac:dyDescent="0.25">
      <c r="A212" s="9" t="s">
        <v>14</v>
      </c>
      <c r="B212" s="28">
        <f>IF(ISBLANK(A212),0,INDEX(txtstylestab[],MATCH(A212,txtstylestab[style_Name],0),1))</f>
        <v>6</v>
      </c>
      <c r="C212" s="28">
        <f t="shared" si="12"/>
        <v>1</v>
      </c>
      <c r="D212" s="28">
        <f t="shared" si="13"/>
        <v>9</v>
      </c>
      <c r="E212" s="28">
        <f t="shared" si="14"/>
        <v>0</v>
      </c>
      <c r="F212" s="59" t="str">
        <f t="shared" si="15"/>
        <v/>
      </c>
      <c r="G212" s="42" t="s">
        <v>469</v>
      </c>
      <c r="H212" s="43" t="s">
        <v>470</v>
      </c>
      <c r="I212" s="44" t="s">
        <v>471</v>
      </c>
      <c r="J212" s="45" t="s">
        <v>472</v>
      </c>
      <c r="K212" s="46" t="s">
        <v>473</v>
      </c>
      <c r="L212" s="47" t="s">
        <v>2545</v>
      </c>
      <c r="M212" s="48" t="s">
        <v>2546</v>
      </c>
      <c r="N212" s="49"/>
      <c r="O212" s="50" t="s">
        <v>3484</v>
      </c>
      <c r="P212" s="50"/>
      <c r="Q212" s="59"/>
      <c r="R212" s="13"/>
    </row>
    <row r="213" spans="1:18" ht="30" x14ac:dyDescent="0.25">
      <c r="A213" s="9" t="s">
        <v>21</v>
      </c>
      <c r="B213" s="28">
        <f>IF(ISBLANK(A213),0,INDEX(txtstylestab[],MATCH(A213,txtstylestab[style_Name],0),1))</f>
        <v>0</v>
      </c>
      <c r="C213" s="28">
        <f t="shared" si="12"/>
        <v>1</v>
      </c>
      <c r="D213" s="28">
        <f t="shared" si="13"/>
        <v>9</v>
      </c>
      <c r="E213" s="28">
        <f t="shared" si="14"/>
        <v>0</v>
      </c>
      <c r="F213" s="59" t="str">
        <f t="shared" si="15"/>
        <v/>
      </c>
      <c r="G213" s="42" t="s">
        <v>1828</v>
      </c>
      <c r="H213" s="43" t="s">
        <v>1829</v>
      </c>
      <c r="I213" s="44" t="s">
        <v>1830</v>
      </c>
      <c r="J213" s="45" t="s">
        <v>475</v>
      </c>
      <c r="K213" s="46" t="s">
        <v>1831</v>
      </c>
      <c r="L213" s="47" t="s">
        <v>2556</v>
      </c>
      <c r="M213" s="48" t="s">
        <v>2557</v>
      </c>
      <c r="N213" s="49"/>
      <c r="O213" s="50" t="s">
        <v>3487</v>
      </c>
      <c r="P213" s="59"/>
      <c r="Q213" s="59"/>
      <c r="R213" s="13"/>
    </row>
    <row r="214" spans="1:18" x14ac:dyDescent="0.25">
      <c r="A214" s="9" t="s">
        <v>14</v>
      </c>
      <c r="B214" s="28">
        <f>IF(ISBLANK(A214),0,INDEX(txtstylestab[],MATCH(A214,txtstylestab[style_Name],0),1))</f>
        <v>6</v>
      </c>
      <c r="C214" s="28">
        <f t="shared" si="12"/>
        <v>1</v>
      </c>
      <c r="D214" s="28">
        <f t="shared" si="13"/>
        <v>9</v>
      </c>
      <c r="E214" s="28">
        <f t="shared" si="14"/>
        <v>0</v>
      </c>
      <c r="F214" s="59" t="str">
        <f t="shared" si="15"/>
        <v/>
      </c>
      <c r="G214" s="42" t="s">
        <v>1832</v>
      </c>
      <c r="H214" s="43" t="s">
        <v>1833</v>
      </c>
      <c r="I214" s="44" t="s">
        <v>1834</v>
      </c>
      <c r="J214" s="45" t="s">
        <v>2200</v>
      </c>
      <c r="K214" s="46" t="s">
        <v>1835</v>
      </c>
      <c r="L214" s="47" t="s">
        <v>2548</v>
      </c>
      <c r="M214" s="48" t="s">
        <v>2549</v>
      </c>
      <c r="N214" s="49"/>
      <c r="O214" s="50" t="s">
        <v>3481</v>
      </c>
      <c r="P214" s="50"/>
      <c r="Q214" s="59"/>
      <c r="R214" s="13"/>
    </row>
    <row r="215" spans="1:18" x14ac:dyDescent="0.25">
      <c r="A215" s="9" t="s">
        <v>14</v>
      </c>
      <c r="B215" s="28">
        <f>IF(ISBLANK(A215),0,INDEX(txtstylestab[],MATCH(A215,txtstylestab[style_Name],0),1))</f>
        <v>6</v>
      </c>
      <c r="C215" s="28">
        <f t="shared" si="12"/>
        <v>1</v>
      </c>
      <c r="D215" s="28">
        <f t="shared" si="13"/>
        <v>9</v>
      </c>
      <c r="E215" s="28">
        <f t="shared" si="14"/>
        <v>0</v>
      </c>
      <c r="F215" s="59" t="str">
        <f t="shared" si="15"/>
        <v/>
      </c>
      <c r="G215" s="42" t="s">
        <v>1808</v>
      </c>
      <c r="H215" s="43" t="s">
        <v>1810</v>
      </c>
      <c r="I215" s="44" t="s">
        <v>1812</v>
      </c>
      <c r="J215" s="45" t="s">
        <v>1814</v>
      </c>
      <c r="K215" s="46" t="s">
        <v>1816</v>
      </c>
      <c r="L215" s="47" t="s">
        <v>2542</v>
      </c>
      <c r="M215" s="48" t="s">
        <v>2543</v>
      </c>
      <c r="N215" s="49"/>
      <c r="O215" s="50" t="s">
        <v>3482</v>
      </c>
      <c r="P215" s="50"/>
      <c r="Q215" s="59"/>
      <c r="R215" s="13"/>
    </row>
    <row r="216" spans="1:18" x14ac:dyDescent="0.25">
      <c r="A216" s="9" t="s">
        <v>14</v>
      </c>
      <c r="B216" s="28">
        <f>IF(ISBLANK(A216),0,INDEX(txtstylestab[],MATCH(A216,txtstylestab[style_Name],0),1))</f>
        <v>6</v>
      </c>
      <c r="C216" s="28">
        <f t="shared" si="12"/>
        <v>1</v>
      </c>
      <c r="D216" s="28">
        <f t="shared" si="13"/>
        <v>9</v>
      </c>
      <c r="E216" s="28">
        <f t="shared" si="14"/>
        <v>0</v>
      </c>
      <c r="F216" s="59" t="str">
        <f t="shared" si="15"/>
        <v/>
      </c>
      <c r="G216" s="42" t="s">
        <v>1809</v>
      </c>
      <c r="H216" s="43" t="s">
        <v>1811</v>
      </c>
      <c r="I216" s="44" t="s">
        <v>1813</v>
      </c>
      <c r="J216" s="45" t="s">
        <v>1815</v>
      </c>
      <c r="K216" s="46" t="s">
        <v>1817</v>
      </c>
      <c r="L216" s="47" t="s">
        <v>2544</v>
      </c>
      <c r="M216" s="48" t="s">
        <v>2547</v>
      </c>
      <c r="N216" s="49"/>
      <c r="O216" s="50" t="s">
        <v>3483</v>
      </c>
      <c r="P216" s="50"/>
      <c r="Q216" s="59"/>
      <c r="R216" s="13"/>
    </row>
    <row r="217" spans="1:18" x14ac:dyDescent="0.25">
      <c r="A217" s="9" t="s">
        <v>14</v>
      </c>
      <c r="B217" s="28">
        <f>IF(ISBLANK(A217),0,INDEX(txtstylestab[],MATCH(A217,txtstylestab[style_Name],0),1))</f>
        <v>6</v>
      </c>
      <c r="C217" s="28">
        <f t="shared" si="12"/>
        <v>1</v>
      </c>
      <c r="D217" s="28">
        <f t="shared" si="13"/>
        <v>9</v>
      </c>
      <c r="E217" s="28">
        <f t="shared" si="14"/>
        <v>0</v>
      </c>
      <c r="F217" s="59" t="str">
        <f t="shared" si="15"/>
        <v/>
      </c>
      <c r="G217" s="42" t="s">
        <v>1818</v>
      </c>
      <c r="H217" s="43" t="s">
        <v>1819</v>
      </c>
      <c r="I217" s="44" t="s">
        <v>1820</v>
      </c>
      <c r="J217" s="45" t="s">
        <v>1821</v>
      </c>
      <c r="K217" s="46" t="s">
        <v>1822</v>
      </c>
      <c r="L217" s="47" t="s">
        <v>2545</v>
      </c>
      <c r="M217" s="48" t="s">
        <v>2546</v>
      </c>
      <c r="N217" s="49"/>
      <c r="O217" s="50" t="s">
        <v>3484</v>
      </c>
      <c r="P217" s="50"/>
      <c r="Q217" s="59"/>
      <c r="R217" s="13"/>
    </row>
    <row r="218" spans="1:18" x14ac:dyDescent="0.25">
      <c r="A218" s="9" t="s">
        <v>21</v>
      </c>
      <c r="B218" s="28">
        <f>IF(ISBLANK(A218),0,INDEX(txtstylestab[],MATCH(A218,txtstylestab[style_Name],0),1))</f>
        <v>0</v>
      </c>
      <c r="C218" s="28">
        <f t="shared" si="12"/>
        <v>1</v>
      </c>
      <c r="D218" s="28">
        <f t="shared" si="13"/>
        <v>9</v>
      </c>
      <c r="E218" s="28">
        <f t="shared" si="14"/>
        <v>0</v>
      </c>
      <c r="F218" s="59" t="str">
        <f t="shared" si="15"/>
        <v/>
      </c>
      <c r="G218" s="42"/>
      <c r="H218" s="43"/>
      <c r="I218" s="44"/>
      <c r="J218" s="45"/>
      <c r="K218" s="46"/>
      <c r="L218" s="47"/>
      <c r="M218" s="48"/>
      <c r="N218" s="49"/>
      <c r="O218" s="50" t="s">
        <v>3488</v>
      </c>
      <c r="P218" s="59"/>
      <c r="Q218" s="59"/>
      <c r="R218" s="13"/>
    </row>
    <row r="219" spans="1:18" x14ac:dyDescent="0.25">
      <c r="A219" s="9" t="s">
        <v>22</v>
      </c>
      <c r="B219" s="28">
        <f>IF(ISBLANK(A219),0,INDEX(txtstylestab[],MATCH(A219,txtstylestab[style_Name],0),1))</f>
        <v>4</v>
      </c>
      <c r="C219" s="28">
        <f t="shared" si="12"/>
        <v>1</v>
      </c>
      <c r="D219" s="28">
        <f t="shared" si="13"/>
        <v>9</v>
      </c>
      <c r="E219" s="28">
        <f t="shared" si="14"/>
        <v>0</v>
      </c>
      <c r="F219" s="56" t="str">
        <f t="shared" si="15"/>
        <v/>
      </c>
      <c r="G219" s="53" t="s">
        <v>476</v>
      </c>
      <c r="H219" s="53"/>
      <c r="I219" s="53"/>
      <c r="J219" s="53"/>
      <c r="K219" s="53"/>
      <c r="L219" s="53"/>
      <c r="M219" s="53"/>
      <c r="N219" s="53"/>
      <c r="O219" s="53"/>
      <c r="P219" s="53"/>
      <c r="Q219" s="53"/>
      <c r="R219" s="13"/>
    </row>
    <row r="220" spans="1:18" x14ac:dyDescent="0.25">
      <c r="A220" s="9" t="s">
        <v>23</v>
      </c>
      <c r="B220" s="28">
        <f>IF(ISBLANK(A220),0,INDEX(txtstylestab[],MATCH(A220,txtstylestab[style_Name],0),1))</f>
        <v>5</v>
      </c>
      <c r="C220" s="28">
        <f t="shared" si="12"/>
        <v>1</v>
      </c>
      <c r="D220" s="28">
        <f t="shared" si="13"/>
        <v>9</v>
      </c>
      <c r="E220" s="28">
        <f t="shared" si="14"/>
        <v>0</v>
      </c>
      <c r="F220" s="56" t="str">
        <f t="shared" si="15"/>
        <v/>
      </c>
      <c r="G220" s="58" t="s">
        <v>477</v>
      </c>
      <c r="H220" s="58"/>
      <c r="I220" s="58"/>
      <c r="J220" s="58"/>
      <c r="K220" s="58"/>
      <c r="L220" s="58"/>
      <c r="M220" s="58"/>
      <c r="N220" s="58"/>
      <c r="O220" s="58"/>
      <c r="P220" s="58"/>
      <c r="Q220" s="58"/>
      <c r="R220" s="13"/>
    </row>
    <row r="221" spans="1:18" x14ac:dyDescent="0.25">
      <c r="A221" s="9" t="s">
        <v>23</v>
      </c>
      <c r="B221" s="28">
        <f>IF(ISBLANK(A221),0,INDEX(txtstylestab[],MATCH(A221,txtstylestab[style_Name],0),1))</f>
        <v>5</v>
      </c>
      <c r="C221" s="28">
        <f t="shared" si="12"/>
        <v>1</v>
      </c>
      <c r="D221" s="28">
        <f t="shared" si="13"/>
        <v>9</v>
      </c>
      <c r="E221" s="28">
        <f t="shared" si="14"/>
        <v>0</v>
      </c>
      <c r="F221" s="56" t="str">
        <f t="shared" si="15"/>
        <v/>
      </c>
      <c r="G221" s="58" t="s">
        <v>478</v>
      </c>
      <c r="H221" s="58"/>
      <c r="I221" s="58"/>
      <c r="J221" s="58"/>
      <c r="K221" s="58"/>
      <c r="L221" s="58"/>
      <c r="M221" s="58"/>
      <c r="N221" s="58"/>
      <c r="O221" s="58"/>
      <c r="P221" s="58"/>
      <c r="Q221" s="58"/>
      <c r="R221" s="13"/>
    </row>
    <row r="222" spans="1:18" ht="45" x14ac:dyDescent="0.25">
      <c r="A222" s="9" t="s">
        <v>21</v>
      </c>
      <c r="B222" s="28">
        <f>IF(ISBLANK(A222),0,INDEX(txtstylestab[],MATCH(A222,txtstylestab[style_Name],0),1))</f>
        <v>0</v>
      </c>
      <c r="C222" s="28">
        <f t="shared" si="12"/>
        <v>1</v>
      </c>
      <c r="D222" s="28">
        <f t="shared" si="13"/>
        <v>9</v>
      </c>
      <c r="E222" s="28">
        <f t="shared" si="14"/>
        <v>0</v>
      </c>
      <c r="F222" s="59" t="str">
        <f t="shared" si="15"/>
        <v/>
      </c>
      <c r="G222" s="42" t="s">
        <v>479</v>
      </c>
      <c r="H222" s="43" t="s">
        <v>2218</v>
      </c>
      <c r="I222" s="44" t="s">
        <v>2239</v>
      </c>
      <c r="J222" s="45" t="s">
        <v>480</v>
      </c>
      <c r="K222" s="46" t="s">
        <v>2274</v>
      </c>
      <c r="L222" s="47" t="s">
        <v>2558</v>
      </c>
      <c r="M222" s="48" t="s">
        <v>2559</v>
      </c>
      <c r="N222" s="49"/>
      <c r="O222" s="50" t="s">
        <v>3349</v>
      </c>
      <c r="P222" s="59"/>
      <c r="Q222" s="59"/>
      <c r="R222" s="13"/>
    </row>
    <row r="223" spans="1:18" ht="60" x14ac:dyDescent="0.25">
      <c r="A223" s="9" t="s">
        <v>21</v>
      </c>
      <c r="B223" s="28">
        <f>IF(ISBLANK(A223),0,INDEX(txtstylestab[],MATCH(A223,txtstylestab[style_Name],0),1))</f>
        <v>0</v>
      </c>
      <c r="C223" s="28">
        <f t="shared" si="12"/>
        <v>1</v>
      </c>
      <c r="D223" s="28">
        <f t="shared" si="13"/>
        <v>9</v>
      </c>
      <c r="E223" s="28">
        <f t="shared" si="14"/>
        <v>0</v>
      </c>
      <c r="F223" s="59" t="str">
        <f t="shared" si="15"/>
        <v/>
      </c>
      <c r="G223" s="42" t="s">
        <v>481</v>
      </c>
      <c r="H223" s="43" t="s">
        <v>482</v>
      </c>
      <c r="I223" s="44" t="s">
        <v>1633</v>
      </c>
      <c r="J223" s="45" t="s">
        <v>483</v>
      </c>
      <c r="K223" s="46" t="s">
        <v>484</v>
      </c>
      <c r="L223" s="47" t="s">
        <v>2560</v>
      </c>
      <c r="M223" s="48" t="s">
        <v>2561</v>
      </c>
      <c r="N223" s="49"/>
      <c r="O223" s="50" t="s">
        <v>3347</v>
      </c>
      <c r="P223" s="59"/>
      <c r="Q223" s="59"/>
      <c r="R223" s="13"/>
    </row>
    <row r="224" spans="1:18" x14ac:dyDescent="0.25">
      <c r="A224" s="9" t="s">
        <v>23</v>
      </c>
      <c r="B224" s="28">
        <f>IF(ISBLANK(A224),0,INDEX(txtstylestab[],MATCH(A224,txtstylestab[style_Name],0),1))</f>
        <v>5</v>
      </c>
      <c r="C224" s="28">
        <f t="shared" si="12"/>
        <v>1</v>
      </c>
      <c r="D224" s="28">
        <f t="shared" si="13"/>
        <v>9</v>
      </c>
      <c r="E224" s="28">
        <f t="shared" si="14"/>
        <v>0</v>
      </c>
      <c r="F224" s="56" t="str">
        <f t="shared" si="15"/>
        <v/>
      </c>
      <c r="G224" s="58" t="s">
        <v>485</v>
      </c>
      <c r="H224" s="58"/>
      <c r="I224" s="58"/>
      <c r="J224" s="58"/>
      <c r="K224" s="58"/>
      <c r="L224" s="58"/>
      <c r="M224" s="58"/>
      <c r="N224" s="58"/>
      <c r="O224" s="58"/>
      <c r="P224" s="58"/>
      <c r="Q224" s="58"/>
      <c r="R224" s="13"/>
    </row>
    <row r="225" spans="1:18" ht="45" x14ac:dyDescent="0.25">
      <c r="A225" s="9" t="s">
        <v>21</v>
      </c>
      <c r="B225" s="28">
        <f>IF(ISBLANK(A225),0,INDEX(txtstylestab[],MATCH(A225,txtstylestab[style_Name],0),1))</f>
        <v>0</v>
      </c>
      <c r="C225" s="28">
        <f t="shared" si="12"/>
        <v>1</v>
      </c>
      <c r="D225" s="28">
        <f t="shared" si="13"/>
        <v>9</v>
      </c>
      <c r="E225" s="28">
        <f t="shared" si="14"/>
        <v>0</v>
      </c>
      <c r="F225" s="59" t="str">
        <f t="shared" si="15"/>
        <v/>
      </c>
      <c r="G225" s="42" t="s">
        <v>486</v>
      </c>
      <c r="H225" s="43" t="s">
        <v>2219</v>
      </c>
      <c r="I225" s="44" t="s">
        <v>2221</v>
      </c>
      <c r="J225" s="45" t="s">
        <v>532</v>
      </c>
      <c r="K225" s="46" t="s">
        <v>1713</v>
      </c>
      <c r="L225" s="47" t="s">
        <v>2562</v>
      </c>
      <c r="M225" s="48" t="s">
        <v>2563</v>
      </c>
      <c r="N225" s="49"/>
      <c r="O225" s="50" t="s">
        <v>3348</v>
      </c>
      <c r="P225" s="59"/>
      <c r="Q225" s="59"/>
      <c r="R225" s="13"/>
    </row>
    <row r="226" spans="1:18" ht="105" x14ac:dyDescent="0.25">
      <c r="A226" s="9" t="s">
        <v>21</v>
      </c>
      <c r="B226" s="28">
        <f>IF(ISBLANK(A226),0,INDEX(txtstylestab[],MATCH(A226,txtstylestab[style_Name],0),1))</f>
        <v>0</v>
      </c>
      <c r="C226" s="28">
        <f t="shared" si="12"/>
        <v>1</v>
      </c>
      <c r="D226" s="28">
        <f t="shared" si="13"/>
        <v>9</v>
      </c>
      <c r="E226" s="28">
        <f t="shared" si="14"/>
        <v>0</v>
      </c>
      <c r="F226" s="59" t="str">
        <f t="shared" si="15"/>
        <v/>
      </c>
      <c r="G226" s="42" t="s">
        <v>487</v>
      </c>
      <c r="H226" s="43" t="s">
        <v>2220</v>
      </c>
      <c r="I226" s="44" t="s">
        <v>2240</v>
      </c>
      <c r="J226" s="45" t="s">
        <v>488</v>
      </c>
      <c r="K226" s="46" t="s">
        <v>489</v>
      </c>
      <c r="L226" s="47" t="s">
        <v>2564</v>
      </c>
      <c r="M226" s="48" t="s">
        <v>2565</v>
      </c>
      <c r="N226" s="49"/>
      <c r="O226" s="50" t="s">
        <v>3350</v>
      </c>
      <c r="P226" s="59"/>
      <c r="Q226" s="59"/>
      <c r="R226" s="13"/>
    </row>
    <row r="227" spans="1:18" x14ac:dyDescent="0.25">
      <c r="A227" s="9" t="s">
        <v>23</v>
      </c>
      <c r="B227" s="28">
        <f>IF(ISBLANK(A227),0,INDEX(txtstylestab[],MATCH(A227,txtstylestab[style_Name],0),1))</f>
        <v>5</v>
      </c>
      <c r="C227" s="28">
        <f t="shared" si="12"/>
        <v>1</v>
      </c>
      <c r="D227" s="28">
        <f t="shared" si="13"/>
        <v>9</v>
      </c>
      <c r="E227" s="28">
        <f t="shared" si="14"/>
        <v>0</v>
      </c>
      <c r="F227" s="56" t="str">
        <f t="shared" si="15"/>
        <v/>
      </c>
      <c r="G227" s="58" t="s">
        <v>2320</v>
      </c>
      <c r="H227" s="58"/>
      <c r="I227" s="58"/>
      <c r="J227" s="58"/>
      <c r="K227" s="58"/>
      <c r="L227" s="58"/>
      <c r="M227" s="58"/>
      <c r="N227" s="58"/>
      <c r="O227" s="58"/>
      <c r="P227" s="58"/>
      <c r="Q227" s="58"/>
      <c r="R227" s="13"/>
    </row>
    <row r="228" spans="1:18" x14ac:dyDescent="0.25">
      <c r="A228" s="9" t="s">
        <v>22</v>
      </c>
      <c r="B228" s="28">
        <f>IF(ISBLANK(A228),0,INDEX(txtstylestab[],MATCH(A228,txtstylestab[style_Name],0),1))</f>
        <v>4</v>
      </c>
      <c r="C228" s="28">
        <f t="shared" si="12"/>
        <v>1</v>
      </c>
      <c r="D228" s="28">
        <f t="shared" si="13"/>
        <v>9</v>
      </c>
      <c r="E228" s="28">
        <f t="shared" si="14"/>
        <v>0</v>
      </c>
      <c r="F228" s="56" t="str">
        <f t="shared" si="15"/>
        <v/>
      </c>
      <c r="G228" s="53" t="s">
        <v>490</v>
      </c>
      <c r="H228" s="53"/>
      <c r="I228" s="53"/>
      <c r="J228" s="53"/>
      <c r="K228" s="53"/>
      <c r="L228" s="53"/>
      <c r="M228" s="53"/>
      <c r="N228" s="53"/>
      <c r="O228" s="53"/>
      <c r="P228" s="53"/>
      <c r="Q228" s="53"/>
      <c r="R228" s="13"/>
    </row>
    <row r="229" spans="1:18" x14ac:dyDescent="0.25">
      <c r="A229" s="9" t="s">
        <v>23</v>
      </c>
      <c r="B229" s="28">
        <f>IF(ISBLANK(A229),0,INDEX(txtstylestab[],MATCH(A229,txtstylestab[style_Name],0),1))</f>
        <v>5</v>
      </c>
      <c r="C229" s="28">
        <f t="shared" si="12"/>
        <v>1</v>
      </c>
      <c r="D229" s="28">
        <f t="shared" si="13"/>
        <v>9</v>
      </c>
      <c r="E229" s="28">
        <f t="shared" si="14"/>
        <v>0</v>
      </c>
      <c r="F229" s="56" t="str">
        <f t="shared" si="15"/>
        <v/>
      </c>
      <c r="G229" s="58" t="s">
        <v>491</v>
      </c>
      <c r="H229" s="58"/>
      <c r="I229" s="58"/>
      <c r="J229" s="58"/>
      <c r="K229" s="58"/>
      <c r="L229" s="58"/>
      <c r="M229" s="58"/>
      <c r="N229" s="58"/>
      <c r="O229" s="58"/>
      <c r="P229" s="58"/>
      <c r="Q229" s="58"/>
      <c r="R229" s="13"/>
    </row>
    <row r="230" spans="1:18" ht="60" x14ac:dyDescent="0.25">
      <c r="A230" s="9" t="s">
        <v>21</v>
      </c>
      <c r="B230" s="28">
        <f>IF(ISBLANK(A230),0,INDEX(txtstylestab[],MATCH(A230,txtstylestab[style_Name],0),1))</f>
        <v>0</v>
      </c>
      <c r="C230" s="28">
        <f t="shared" si="12"/>
        <v>1</v>
      </c>
      <c r="D230" s="28">
        <f t="shared" si="13"/>
        <v>9</v>
      </c>
      <c r="E230" s="28">
        <f t="shared" si="14"/>
        <v>0</v>
      </c>
      <c r="F230" s="59" t="str">
        <f t="shared" si="15"/>
        <v/>
      </c>
      <c r="G230" s="42" t="s">
        <v>492</v>
      </c>
      <c r="H230" s="43" t="s">
        <v>2222</v>
      </c>
      <c r="I230" s="44" t="s">
        <v>2241</v>
      </c>
      <c r="J230" s="45" t="s">
        <v>493</v>
      </c>
      <c r="K230" s="46" t="s">
        <v>494</v>
      </c>
      <c r="L230" s="47" t="s">
        <v>2566</v>
      </c>
      <c r="M230" s="48" t="s">
        <v>2567</v>
      </c>
      <c r="N230" s="49"/>
      <c r="O230" s="50" t="s">
        <v>3351</v>
      </c>
      <c r="P230" s="59"/>
      <c r="Q230" s="59"/>
      <c r="R230" s="13"/>
    </row>
    <row r="231" spans="1:18" x14ac:dyDescent="0.25">
      <c r="A231" s="9" t="s">
        <v>23</v>
      </c>
      <c r="B231" s="28">
        <f>IF(ISBLANK(A231),0,INDEX(txtstylestab[],MATCH(A231,txtstylestab[style_Name],0),1))</f>
        <v>5</v>
      </c>
      <c r="C231" s="28">
        <f t="shared" si="12"/>
        <v>1</v>
      </c>
      <c r="D231" s="28">
        <f t="shared" si="13"/>
        <v>9</v>
      </c>
      <c r="E231" s="28">
        <f t="shared" si="14"/>
        <v>0</v>
      </c>
      <c r="F231" s="56" t="str">
        <f t="shared" si="15"/>
        <v/>
      </c>
      <c r="G231" s="58" t="s">
        <v>495</v>
      </c>
      <c r="H231" s="58"/>
      <c r="I231" s="58"/>
      <c r="J231" s="58"/>
      <c r="K231" s="58"/>
      <c r="L231" s="58"/>
      <c r="M231" s="58"/>
      <c r="N231" s="58"/>
      <c r="O231" s="58"/>
      <c r="P231" s="58"/>
      <c r="Q231" s="58"/>
      <c r="R231" s="13"/>
    </row>
    <row r="232" spans="1:18" ht="75" x14ac:dyDescent="0.25">
      <c r="A232" s="9" t="s">
        <v>21</v>
      </c>
      <c r="B232" s="28">
        <f>IF(ISBLANK(A232),0,INDEX(txtstylestab[],MATCH(A232,txtstylestab[style_Name],0),1))</f>
        <v>0</v>
      </c>
      <c r="C232" s="28">
        <f t="shared" si="12"/>
        <v>1</v>
      </c>
      <c r="D232" s="28">
        <f t="shared" si="13"/>
        <v>9</v>
      </c>
      <c r="E232" s="28">
        <f t="shared" si="14"/>
        <v>0</v>
      </c>
      <c r="F232" s="59" t="str">
        <f t="shared" si="15"/>
        <v/>
      </c>
      <c r="G232" s="42" t="s">
        <v>496</v>
      </c>
      <c r="H232" s="43" t="s">
        <v>497</v>
      </c>
      <c r="I232" s="44" t="s">
        <v>498</v>
      </c>
      <c r="J232" s="45" t="s">
        <v>499</v>
      </c>
      <c r="K232" s="46" t="s">
        <v>500</v>
      </c>
      <c r="L232" s="47" t="s">
        <v>2568</v>
      </c>
      <c r="M232" s="48" t="s">
        <v>2569</v>
      </c>
      <c r="N232" s="49"/>
      <c r="O232" s="50" t="s">
        <v>3352</v>
      </c>
      <c r="P232" s="59"/>
      <c r="Q232" s="59"/>
      <c r="R232" s="13"/>
    </row>
    <row r="233" spans="1:18" ht="45" x14ac:dyDescent="0.25">
      <c r="A233" s="9" t="s">
        <v>21</v>
      </c>
      <c r="B233" s="28">
        <f>IF(ISBLANK(A233),0,INDEX(txtstylestab[],MATCH(A233,txtstylestab[style_Name],0),1))</f>
        <v>0</v>
      </c>
      <c r="C233" s="28">
        <f t="shared" si="12"/>
        <v>1</v>
      </c>
      <c r="D233" s="28">
        <f t="shared" si="13"/>
        <v>9</v>
      </c>
      <c r="E233" s="28">
        <f t="shared" si="14"/>
        <v>0</v>
      </c>
      <c r="F233" s="59" t="str">
        <f t="shared" si="15"/>
        <v/>
      </c>
      <c r="G233" s="42" t="s">
        <v>501</v>
      </c>
      <c r="H233" s="43" t="s">
        <v>502</v>
      </c>
      <c r="I233" s="44" t="s">
        <v>503</v>
      </c>
      <c r="J233" s="45" t="s">
        <v>504</v>
      </c>
      <c r="K233" s="46" t="s">
        <v>505</v>
      </c>
      <c r="L233" s="47" t="s">
        <v>2522</v>
      </c>
      <c r="M233" s="48" t="s">
        <v>2523</v>
      </c>
      <c r="N233" s="49"/>
      <c r="O233" s="50" t="s">
        <v>3353</v>
      </c>
      <c r="P233" s="59"/>
      <c r="Q233" s="59"/>
      <c r="R233" s="13"/>
    </row>
    <row r="234" spans="1:18" x14ac:dyDescent="0.25">
      <c r="A234" s="9" t="s">
        <v>22</v>
      </c>
      <c r="B234" s="28">
        <f>IF(ISBLANK(A234),0,INDEX(txtstylestab[],MATCH(A234,txtstylestab[style_Name],0),1))</f>
        <v>4</v>
      </c>
      <c r="C234" s="28">
        <f t="shared" si="12"/>
        <v>1</v>
      </c>
      <c r="D234" s="28">
        <f t="shared" si="13"/>
        <v>9</v>
      </c>
      <c r="E234" s="28">
        <f t="shared" si="14"/>
        <v>0</v>
      </c>
      <c r="F234" t="str">
        <f t="shared" si="15"/>
        <v/>
      </c>
      <c r="G234" s="53" t="s">
        <v>3513</v>
      </c>
      <c r="H234" s="53"/>
      <c r="I234" s="53"/>
      <c r="J234" s="53"/>
      <c r="K234" s="53"/>
      <c r="L234" s="53"/>
      <c r="M234" s="53"/>
      <c r="N234" s="53"/>
      <c r="O234" s="53"/>
      <c r="P234" s="53"/>
      <c r="Q234" s="53"/>
      <c r="R234" s="13"/>
    </row>
    <row r="235" spans="1:18" ht="45" x14ac:dyDescent="0.25">
      <c r="A235" s="9" t="s">
        <v>21</v>
      </c>
      <c r="B235" s="28">
        <f>IF(ISBLANK(A235),0,INDEX(txtstylestab[],MATCH(A235,txtstylestab[style_Name],0),1))</f>
        <v>0</v>
      </c>
      <c r="C235" s="28">
        <f t="shared" si="12"/>
        <v>1</v>
      </c>
      <c r="D235" s="28">
        <f t="shared" si="13"/>
        <v>9</v>
      </c>
      <c r="E235" s="28">
        <f t="shared" si="14"/>
        <v>0</v>
      </c>
      <c r="F235" t="str">
        <f t="shared" si="15"/>
        <v/>
      </c>
      <c r="G235" s="42" t="s">
        <v>3514</v>
      </c>
      <c r="H235" s="43" t="s">
        <v>3515</v>
      </c>
      <c r="I235" s="44"/>
      <c r="J235" s="45"/>
      <c r="K235" s="46"/>
      <c r="L235" s="47" t="s">
        <v>3516</v>
      </c>
      <c r="M235" s="48" t="s">
        <v>3517</v>
      </c>
      <c r="N235" s="49"/>
      <c r="O235" s="50"/>
      <c r="P235" s="90"/>
      <c r="Q235" s="48"/>
      <c r="R235" s="13"/>
    </row>
    <row r="236" spans="1:18" x14ac:dyDescent="0.25">
      <c r="A236" s="9" t="s">
        <v>22</v>
      </c>
      <c r="B236" s="28">
        <f>IF(ISBLANK(A236),0,INDEX(txtstylestab[],MATCH(A236,txtstylestab[style_Name],0),1))</f>
        <v>4</v>
      </c>
      <c r="C236" s="28">
        <f t="shared" si="12"/>
        <v>1</v>
      </c>
      <c r="D236" s="28">
        <f t="shared" si="13"/>
        <v>9</v>
      </c>
      <c r="E236" s="28">
        <f t="shared" si="14"/>
        <v>0</v>
      </c>
      <c r="F236" t="str">
        <f t="shared" si="15"/>
        <v/>
      </c>
      <c r="G236" s="53" t="s">
        <v>506</v>
      </c>
      <c r="H236" s="53"/>
      <c r="I236" s="53"/>
      <c r="J236" s="53"/>
      <c r="K236" s="53"/>
      <c r="L236" s="53"/>
      <c r="M236" s="53"/>
      <c r="N236" s="53"/>
      <c r="O236" s="53"/>
      <c r="P236" s="53"/>
      <c r="Q236" s="53"/>
      <c r="R236" s="13"/>
    </row>
    <row r="237" spans="1:18" ht="75" x14ac:dyDescent="0.25">
      <c r="A237" s="9" t="s">
        <v>21</v>
      </c>
      <c r="B237" s="28">
        <f>IF(ISBLANK(A237),0,INDEX(txtstylestab[],MATCH(A237,txtstylestab[style_Name],0),1))</f>
        <v>0</v>
      </c>
      <c r="C237" s="28">
        <f t="shared" si="12"/>
        <v>1</v>
      </c>
      <c r="D237" s="28">
        <f t="shared" si="13"/>
        <v>9</v>
      </c>
      <c r="E237" s="28">
        <f t="shared" si="14"/>
        <v>0</v>
      </c>
      <c r="F237" t="str">
        <f t="shared" si="15"/>
        <v/>
      </c>
      <c r="G237" s="42" t="s">
        <v>507</v>
      </c>
      <c r="H237" s="43" t="s">
        <v>3511</v>
      </c>
      <c r="I237" s="44" t="s">
        <v>508</v>
      </c>
      <c r="J237" s="45" t="s">
        <v>509</v>
      </c>
      <c r="K237" s="46" t="s">
        <v>510</v>
      </c>
      <c r="L237" s="47" t="s">
        <v>2570</v>
      </c>
      <c r="M237" s="48" t="s">
        <v>3512</v>
      </c>
      <c r="N237" s="49"/>
      <c r="O237" s="50" t="s">
        <v>3354</v>
      </c>
      <c r="P237" s="90"/>
      <c r="Q237" s="48"/>
      <c r="R237" s="13"/>
    </row>
    <row r="238" spans="1:18" x14ac:dyDescent="0.25">
      <c r="A238" s="9" t="s">
        <v>21</v>
      </c>
      <c r="B238" s="28">
        <f>IF(ISBLANK(A238),0,INDEX(txtstylestab[],MATCH(A238,txtstylestab[style_Name],0),1))</f>
        <v>0</v>
      </c>
      <c r="C238" s="28">
        <f t="shared" si="12"/>
        <v>1</v>
      </c>
      <c r="D238" s="28">
        <f t="shared" si="13"/>
        <v>9</v>
      </c>
      <c r="E238" s="28">
        <f t="shared" si="14"/>
        <v>0</v>
      </c>
      <c r="F238" t="str">
        <f t="shared" si="15"/>
        <v/>
      </c>
      <c r="G238" s="42" t="s">
        <v>6</v>
      </c>
      <c r="H238" s="43" t="s">
        <v>26</v>
      </c>
      <c r="I238" s="44" t="s">
        <v>48</v>
      </c>
      <c r="J238" s="45" t="s">
        <v>54</v>
      </c>
      <c r="K238" s="46" t="s">
        <v>59</v>
      </c>
      <c r="L238" s="47" t="s">
        <v>2524</v>
      </c>
      <c r="M238" s="48" t="s">
        <v>2491</v>
      </c>
      <c r="N238" s="49"/>
      <c r="O238" s="50" t="s">
        <v>3168</v>
      </c>
      <c r="P238" s="90"/>
      <c r="Q238" s="48"/>
      <c r="R238" s="13"/>
    </row>
    <row r="239" spans="1:18" ht="18" thickBot="1" x14ac:dyDescent="0.35">
      <c r="A239" s="9" t="s">
        <v>11</v>
      </c>
      <c r="B239" s="28">
        <f>IF(ISBLANK(A239),0,INDEX(txtstylestab[],MATCH(A239,txtstylestab[style_Name],0),1))</f>
        <v>2</v>
      </c>
      <c r="C239" s="28">
        <f t="shared" si="12"/>
        <v>1</v>
      </c>
      <c r="D239" s="28">
        <f t="shared" si="13"/>
        <v>10</v>
      </c>
      <c r="E239" s="28">
        <f t="shared" si="14"/>
        <v>0</v>
      </c>
      <c r="F239" s="54" t="str">
        <f t="shared" si="15"/>
        <v>1.10.</v>
      </c>
      <c r="G239" s="54" t="s">
        <v>511</v>
      </c>
      <c r="H239" s="54"/>
      <c r="I239" s="54"/>
      <c r="J239" s="54"/>
      <c r="K239" s="54"/>
      <c r="L239" s="54"/>
      <c r="M239" s="54"/>
      <c r="N239" s="54"/>
      <c r="O239" s="54"/>
      <c r="P239" s="54"/>
      <c r="Q239" s="54"/>
      <c r="R239" s="13"/>
    </row>
    <row r="240" spans="1:18" ht="15.75" thickTop="1" x14ac:dyDescent="0.25">
      <c r="A240" s="9" t="s">
        <v>21</v>
      </c>
      <c r="B240" s="28">
        <f>IF(ISBLANK(A240),0,INDEX(txtstylestab[],MATCH(A240,txtstylestab[style_Name],0),1))</f>
        <v>0</v>
      </c>
      <c r="C240" s="28">
        <f t="shared" si="12"/>
        <v>1</v>
      </c>
      <c r="D240" s="28">
        <f t="shared" si="13"/>
        <v>10</v>
      </c>
      <c r="E240" s="28">
        <f t="shared" si="14"/>
        <v>0</v>
      </c>
      <c r="F240" s="59" t="str">
        <f t="shared" si="15"/>
        <v/>
      </c>
      <c r="G240" s="42" t="s">
        <v>82</v>
      </c>
      <c r="H240" s="43" t="s">
        <v>83</v>
      </c>
      <c r="I240" s="44" t="s">
        <v>84</v>
      </c>
      <c r="J240" s="45" t="s">
        <v>85</v>
      </c>
      <c r="K240" s="46" t="s">
        <v>86</v>
      </c>
      <c r="L240" s="47" t="s">
        <v>2397</v>
      </c>
      <c r="M240" s="48" t="s">
        <v>2539</v>
      </c>
      <c r="N240" s="49"/>
      <c r="O240" s="50" t="s">
        <v>3161</v>
      </c>
      <c r="P240" s="59"/>
      <c r="Q240" s="59"/>
      <c r="R240" s="13"/>
    </row>
    <row r="241" spans="1:18" ht="60" x14ac:dyDescent="0.25">
      <c r="A241" s="9" t="s">
        <v>21</v>
      </c>
      <c r="B241" s="28">
        <f>IF(ISBLANK(A241),0,INDEX(txtstylestab[],MATCH(A241,txtstylestab[style_Name],0),1))</f>
        <v>0</v>
      </c>
      <c r="C241" s="28">
        <f t="shared" si="12"/>
        <v>1</v>
      </c>
      <c r="D241" s="28">
        <f t="shared" si="13"/>
        <v>10</v>
      </c>
      <c r="E241" s="28">
        <f t="shared" si="14"/>
        <v>0</v>
      </c>
      <c r="F241" s="59" t="str">
        <f t="shared" si="15"/>
        <v/>
      </c>
      <c r="G241" s="42" t="s">
        <v>512</v>
      </c>
      <c r="H241" s="43" t="s">
        <v>2142</v>
      </c>
      <c r="I241" s="44" t="s">
        <v>2242</v>
      </c>
      <c r="J241" s="45" t="s">
        <v>513</v>
      </c>
      <c r="K241" s="46" t="s">
        <v>514</v>
      </c>
      <c r="L241" s="47" t="s">
        <v>2571</v>
      </c>
      <c r="M241" s="48" t="s">
        <v>2572</v>
      </c>
      <c r="N241" s="49"/>
      <c r="O241" s="50" t="s">
        <v>3357</v>
      </c>
      <c r="P241" s="59"/>
      <c r="Q241" s="59"/>
      <c r="R241" s="13"/>
    </row>
    <row r="242" spans="1:18" ht="60" x14ac:dyDescent="0.25">
      <c r="A242" s="9" t="s">
        <v>21</v>
      </c>
      <c r="B242" s="28">
        <f>IF(ISBLANK(A242),0,INDEX(txtstylestab[],MATCH(A242,txtstylestab[style_Name],0),1))</f>
        <v>0</v>
      </c>
      <c r="C242" s="28">
        <f t="shared" si="12"/>
        <v>1</v>
      </c>
      <c r="D242" s="28">
        <f t="shared" si="13"/>
        <v>10</v>
      </c>
      <c r="E242" s="28">
        <f t="shared" si="14"/>
        <v>0</v>
      </c>
      <c r="F242" s="59" t="str">
        <f t="shared" si="15"/>
        <v/>
      </c>
      <c r="G242" s="42" t="s">
        <v>515</v>
      </c>
      <c r="H242" s="43" t="s">
        <v>516</v>
      </c>
      <c r="I242" s="44" t="s">
        <v>517</v>
      </c>
      <c r="J242" s="45" t="s">
        <v>518</v>
      </c>
      <c r="K242" s="46" t="s">
        <v>519</v>
      </c>
      <c r="L242" s="47" t="s">
        <v>2573</v>
      </c>
      <c r="M242" s="48" t="s">
        <v>2574</v>
      </c>
      <c r="N242" s="49"/>
      <c r="O242" s="50" t="s">
        <v>3355</v>
      </c>
      <c r="P242" s="59"/>
      <c r="Q242" s="59"/>
      <c r="R242" s="13"/>
    </row>
    <row r="243" spans="1:18" ht="60" x14ac:dyDescent="0.25">
      <c r="A243" s="9" t="s">
        <v>21</v>
      </c>
      <c r="B243" s="28">
        <f>IF(ISBLANK(A243),0,INDEX(txtstylestab[],MATCH(A243,txtstylestab[style_Name],0),1))</f>
        <v>0</v>
      </c>
      <c r="C243" s="28">
        <f t="shared" si="12"/>
        <v>1</v>
      </c>
      <c r="D243" s="28">
        <f t="shared" si="13"/>
        <v>10</v>
      </c>
      <c r="E243" s="28">
        <f t="shared" si="14"/>
        <v>0</v>
      </c>
      <c r="F243" s="59" t="str">
        <f t="shared" si="15"/>
        <v/>
      </c>
      <c r="G243" s="42" t="s">
        <v>520</v>
      </c>
      <c r="H243" s="43" t="s">
        <v>2232</v>
      </c>
      <c r="I243" s="44" t="s">
        <v>2243</v>
      </c>
      <c r="J243" s="45" t="s">
        <v>521</v>
      </c>
      <c r="K243" s="46" t="s">
        <v>522</v>
      </c>
      <c r="L243" s="47" t="s">
        <v>2575</v>
      </c>
      <c r="M243" s="48" t="s">
        <v>2576</v>
      </c>
      <c r="N243" s="49"/>
      <c r="O243" s="50" t="s">
        <v>3358</v>
      </c>
      <c r="P243" s="59"/>
      <c r="Q243" s="59"/>
      <c r="R243" s="13"/>
    </row>
    <row r="244" spans="1:18" ht="90" x14ac:dyDescent="0.25">
      <c r="A244" s="9" t="s">
        <v>21</v>
      </c>
      <c r="B244" s="28">
        <f>IF(ISBLANK(A244),0,INDEX(txtstylestab[],MATCH(A244,txtstylestab[style_Name],0),1))</f>
        <v>0</v>
      </c>
      <c r="C244" s="28">
        <f t="shared" si="12"/>
        <v>1</v>
      </c>
      <c r="D244" s="28">
        <f t="shared" si="13"/>
        <v>10</v>
      </c>
      <c r="E244" s="28">
        <f t="shared" si="14"/>
        <v>0</v>
      </c>
      <c r="F244" s="59" t="str">
        <f t="shared" si="15"/>
        <v/>
      </c>
      <c r="G244" s="42" t="s">
        <v>2160</v>
      </c>
      <c r="H244" s="43" t="s">
        <v>2161</v>
      </c>
      <c r="I244" s="44" t="s">
        <v>2162</v>
      </c>
      <c r="J244" s="45" t="s">
        <v>2163</v>
      </c>
      <c r="K244" s="46" t="s">
        <v>2164</v>
      </c>
      <c r="L244" s="47" t="s">
        <v>2580</v>
      </c>
      <c r="M244" s="48" t="s">
        <v>2577</v>
      </c>
      <c r="N244" s="49"/>
      <c r="O244" s="50" t="s">
        <v>3356</v>
      </c>
      <c r="P244" s="59"/>
      <c r="Q244" s="59"/>
      <c r="R244" s="13"/>
    </row>
    <row r="245" spans="1:18" ht="105" x14ac:dyDescent="0.25">
      <c r="A245" s="9" t="s">
        <v>21</v>
      </c>
      <c r="B245" s="28">
        <f>IF(ISBLANK(A245),0,INDEX(txtstylestab[],MATCH(A245,txtstylestab[style_Name],0),1))</f>
        <v>0</v>
      </c>
      <c r="C245" s="28">
        <f t="shared" si="12"/>
        <v>1</v>
      </c>
      <c r="D245" s="28">
        <f t="shared" si="13"/>
        <v>10</v>
      </c>
      <c r="E245" s="28">
        <f t="shared" si="14"/>
        <v>0</v>
      </c>
      <c r="F245" s="59" t="str">
        <f t="shared" si="15"/>
        <v/>
      </c>
      <c r="G245" s="42" t="s">
        <v>2176</v>
      </c>
      <c r="H245" s="43" t="s">
        <v>2177</v>
      </c>
      <c r="I245" s="44" t="s">
        <v>2178</v>
      </c>
      <c r="J245" s="45" t="s">
        <v>2179</v>
      </c>
      <c r="K245" s="46" t="s">
        <v>2180</v>
      </c>
      <c r="L245" s="47" t="s">
        <v>2579</v>
      </c>
      <c r="M245" s="48" t="s">
        <v>2578</v>
      </c>
      <c r="N245" s="49"/>
      <c r="O245" s="50"/>
      <c r="P245" s="59"/>
      <c r="Q245" s="59"/>
      <c r="R245" s="13"/>
    </row>
    <row r="246" spans="1:18" x14ac:dyDescent="0.25">
      <c r="A246" s="9" t="s">
        <v>21</v>
      </c>
      <c r="B246" s="28">
        <f>IF(ISBLANK(A246),0,INDEX(txtstylestab[],MATCH(A246,txtstylestab[style_Name],0),1))</f>
        <v>0</v>
      </c>
      <c r="C246" s="28">
        <f t="shared" si="12"/>
        <v>1</v>
      </c>
      <c r="D246" s="28">
        <f t="shared" si="13"/>
        <v>10</v>
      </c>
      <c r="E246" s="28">
        <f t="shared" si="14"/>
        <v>0</v>
      </c>
      <c r="F246" s="59" t="str">
        <f t="shared" si="15"/>
        <v/>
      </c>
      <c r="G246" s="42" t="s">
        <v>6</v>
      </c>
      <c r="H246" s="43" t="s">
        <v>96</v>
      </c>
      <c r="I246" s="44" t="s">
        <v>48</v>
      </c>
      <c r="J246" s="45" t="s">
        <v>54</v>
      </c>
      <c r="K246" s="46" t="s">
        <v>59</v>
      </c>
      <c r="L246" s="47" t="s">
        <v>2524</v>
      </c>
      <c r="M246" s="48" t="s">
        <v>2491</v>
      </c>
      <c r="N246" s="49"/>
      <c r="O246" s="50" t="s">
        <v>3168</v>
      </c>
      <c r="P246" s="59"/>
      <c r="Q246" s="59"/>
      <c r="R246" s="13"/>
    </row>
    <row r="247" spans="1:18" ht="18" thickBot="1" x14ac:dyDescent="0.35">
      <c r="A247" s="9" t="s">
        <v>11</v>
      </c>
      <c r="B247" s="28">
        <f>IF(ISBLANK(A247),0,INDEX(txtstylestab[],MATCH(A247,txtstylestab[style_Name],0),1))</f>
        <v>2</v>
      </c>
      <c r="C247" s="28">
        <f t="shared" si="12"/>
        <v>1</v>
      </c>
      <c r="D247" s="28">
        <f t="shared" si="13"/>
        <v>11</v>
      </c>
      <c r="E247" s="28">
        <f t="shared" si="14"/>
        <v>0</v>
      </c>
      <c r="F247" s="54" t="str">
        <f t="shared" si="15"/>
        <v>1.11.</v>
      </c>
      <c r="G247" s="54" t="s">
        <v>523</v>
      </c>
      <c r="H247" s="54"/>
      <c r="I247" s="54"/>
      <c r="J247" s="54"/>
      <c r="K247" s="54"/>
      <c r="L247" s="54"/>
      <c r="M247" s="54"/>
      <c r="N247" s="54"/>
      <c r="O247" s="54"/>
      <c r="P247" s="54"/>
      <c r="Q247" s="54"/>
      <c r="R247" s="13"/>
    </row>
    <row r="248" spans="1:18" ht="15.75" thickTop="1" x14ac:dyDescent="0.25">
      <c r="A248" s="9" t="s">
        <v>21</v>
      </c>
      <c r="B248" s="28">
        <f>IF(ISBLANK(A248),0,INDEX(txtstylestab[],MATCH(A248,txtstylestab[style_Name],0),1))</f>
        <v>0</v>
      </c>
      <c r="C248" s="28">
        <f t="shared" si="12"/>
        <v>1</v>
      </c>
      <c r="D248" s="28">
        <f t="shared" si="13"/>
        <v>11</v>
      </c>
      <c r="E248" s="28">
        <f t="shared" si="14"/>
        <v>0</v>
      </c>
      <c r="F248" s="59" t="str">
        <f t="shared" si="15"/>
        <v/>
      </c>
      <c r="G248" s="42" t="s">
        <v>82</v>
      </c>
      <c r="H248" s="43" t="s">
        <v>83</v>
      </c>
      <c r="I248" s="44" t="s">
        <v>84</v>
      </c>
      <c r="J248" s="45" t="s">
        <v>85</v>
      </c>
      <c r="K248" s="46" t="s">
        <v>86</v>
      </c>
      <c r="L248" s="47" t="s">
        <v>2397</v>
      </c>
      <c r="M248" s="48" t="s">
        <v>2539</v>
      </c>
      <c r="N248" s="48"/>
      <c r="O248" s="48"/>
      <c r="P248" s="49"/>
      <c r="Q248" s="50"/>
      <c r="R248" s="13"/>
    </row>
    <row r="249" spans="1:18" ht="105" x14ac:dyDescent="0.25">
      <c r="A249" s="9" t="s">
        <v>21</v>
      </c>
      <c r="B249" s="28">
        <f>IF(ISBLANK(A249),0,INDEX(txtstylestab[],MATCH(A249,txtstylestab[style_Name],0),1))</f>
        <v>0</v>
      </c>
      <c r="C249" s="28">
        <f t="shared" si="12"/>
        <v>1</v>
      </c>
      <c r="D249" s="28">
        <f t="shared" si="13"/>
        <v>11</v>
      </c>
      <c r="E249" s="28">
        <f t="shared" si="14"/>
        <v>0</v>
      </c>
      <c r="F249" s="59" t="str">
        <f t="shared" si="15"/>
        <v/>
      </c>
      <c r="G249" s="42" t="s">
        <v>524</v>
      </c>
      <c r="H249" s="43" t="s">
        <v>2223</v>
      </c>
      <c r="I249" s="44" t="s">
        <v>2244</v>
      </c>
      <c r="J249" s="45" t="s">
        <v>525</v>
      </c>
      <c r="K249" s="46" t="s">
        <v>526</v>
      </c>
      <c r="L249" s="47" t="s">
        <v>2581</v>
      </c>
      <c r="M249" s="48" t="s">
        <v>2582</v>
      </c>
      <c r="N249" s="49"/>
      <c r="O249" s="49"/>
      <c r="P249" s="50"/>
      <c r="Q249" s="59"/>
      <c r="R249" s="13"/>
    </row>
    <row r="250" spans="1:18" x14ac:dyDescent="0.25">
      <c r="A250" s="9" t="s">
        <v>21</v>
      </c>
      <c r="B250" s="28">
        <f>IF(ISBLANK(A250),0,INDEX(txtstylestab[],MATCH(A250,txtstylestab[style_Name],0),1))</f>
        <v>0</v>
      </c>
      <c r="C250" s="28">
        <f t="shared" si="12"/>
        <v>1</v>
      </c>
      <c r="D250" s="28">
        <f t="shared" si="13"/>
        <v>11</v>
      </c>
      <c r="E250" s="28">
        <f t="shared" si="14"/>
        <v>0</v>
      </c>
      <c r="F250" s="59" t="str">
        <f t="shared" si="15"/>
        <v/>
      </c>
      <c r="G250" s="42" t="s">
        <v>6</v>
      </c>
      <c r="H250" s="43" t="s">
        <v>96</v>
      </c>
      <c r="I250" s="44" t="s">
        <v>48</v>
      </c>
      <c r="J250" s="45" t="s">
        <v>54</v>
      </c>
      <c r="K250" s="46" t="s">
        <v>59</v>
      </c>
      <c r="L250" s="47" t="s">
        <v>2490</v>
      </c>
      <c r="M250" s="48" t="s">
        <v>2525</v>
      </c>
      <c r="N250" s="49"/>
      <c r="O250" s="49"/>
      <c r="P250" s="50"/>
      <c r="Q250" s="59"/>
      <c r="R250" s="13"/>
    </row>
    <row r="251" spans="1:18" ht="15.75" thickBot="1" x14ac:dyDescent="0.3">
      <c r="A251" s="9" t="s">
        <v>12</v>
      </c>
      <c r="B251" s="28">
        <f>IF(ISBLANK(A251),0,INDEX(txtstylestab[],MATCH(A251,txtstylestab[style_Name],0),1))</f>
        <v>3</v>
      </c>
      <c r="C251" s="28">
        <f t="shared" si="12"/>
        <v>1</v>
      </c>
      <c r="D251" s="28">
        <f t="shared" si="13"/>
        <v>11</v>
      </c>
      <c r="E251" s="28">
        <f t="shared" si="14"/>
        <v>1</v>
      </c>
      <c r="F251" s="55" t="str">
        <f t="shared" si="15"/>
        <v>1.11.1.</v>
      </c>
      <c r="G251" s="55" t="s">
        <v>527</v>
      </c>
      <c r="H251" s="55"/>
      <c r="I251" s="55"/>
      <c r="J251" s="55"/>
      <c r="K251" s="55"/>
      <c r="L251" s="55"/>
      <c r="M251" s="55"/>
      <c r="N251" s="55"/>
      <c r="O251" s="55"/>
      <c r="P251" s="55"/>
      <c r="Q251" s="55"/>
      <c r="R251" s="13"/>
    </row>
    <row r="252" spans="1:18" x14ac:dyDescent="0.25">
      <c r="A252" s="9" t="s">
        <v>21</v>
      </c>
      <c r="B252" s="28">
        <f>IF(ISBLANK(A252),0,INDEX(txtstylestab[],MATCH(A252,txtstylestab[style_Name],0),1))</f>
        <v>0</v>
      </c>
      <c r="C252" s="28">
        <f t="shared" si="12"/>
        <v>1</v>
      </c>
      <c r="D252" s="28">
        <f t="shared" si="13"/>
        <v>11</v>
      </c>
      <c r="E252" s="28">
        <f t="shared" si="14"/>
        <v>1</v>
      </c>
      <c r="F252" s="59" t="str">
        <f t="shared" si="15"/>
        <v/>
      </c>
      <c r="G252" s="42" t="s">
        <v>82</v>
      </c>
      <c r="H252" s="43" t="s">
        <v>83</v>
      </c>
      <c r="I252" s="44" t="s">
        <v>84</v>
      </c>
      <c r="J252" s="45" t="s">
        <v>85</v>
      </c>
      <c r="K252" s="46" t="s">
        <v>86</v>
      </c>
      <c r="L252" s="47" t="s">
        <v>2397</v>
      </c>
      <c r="M252" s="48" t="s">
        <v>2539</v>
      </c>
      <c r="N252" s="49"/>
      <c r="O252" s="49"/>
      <c r="P252" s="50"/>
      <c r="Q252" s="59"/>
      <c r="R252" s="13"/>
    </row>
    <row r="253" spans="1:18" ht="75" x14ac:dyDescent="0.25">
      <c r="A253" s="9" t="s">
        <v>21</v>
      </c>
      <c r="B253" s="28">
        <f>IF(ISBLANK(A253),0,INDEX(txtstylestab[],MATCH(A253,txtstylestab[style_Name],0),1))</f>
        <v>0</v>
      </c>
      <c r="C253" s="28">
        <f t="shared" si="12"/>
        <v>1</v>
      </c>
      <c r="D253" s="28">
        <f t="shared" si="13"/>
        <v>11</v>
      </c>
      <c r="E253" s="28">
        <f t="shared" si="14"/>
        <v>1</v>
      </c>
      <c r="F253" s="59" t="str">
        <f t="shared" si="15"/>
        <v/>
      </c>
      <c r="G253" s="42" t="s">
        <v>533</v>
      </c>
      <c r="H253" s="43" t="s">
        <v>534</v>
      </c>
      <c r="I253" s="44" t="s">
        <v>498</v>
      </c>
      <c r="J253" s="45" t="s">
        <v>499</v>
      </c>
      <c r="K253" s="46" t="s">
        <v>500</v>
      </c>
      <c r="L253" s="47" t="s">
        <v>2568</v>
      </c>
      <c r="M253" s="48" t="s">
        <v>2569</v>
      </c>
      <c r="N253" s="49"/>
      <c r="O253" s="49"/>
      <c r="P253" s="50"/>
      <c r="Q253" s="59"/>
      <c r="R253" s="13"/>
    </row>
    <row r="254" spans="1:18" ht="45" x14ac:dyDescent="0.25">
      <c r="A254" s="9" t="s">
        <v>21</v>
      </c>
      <c r="B254" s="28">
        <f>IF(ISBLANK(A254),0,INDEX(txtstylestab[],MATCH(A254,txtstylestab[style_Name],0),1))</f>
        <v>0</v>
      </c>
      <c r="C254" s="28">
        <f t="shared" si="12"/>
        <v>1</v>
      </c>
      <c r="D254" s="28">
        <f t="shared" si="13"/>
        <v>11</v>
      </c>
      <c r="E254" s="28">
        <f t="shared" si="14"/>
        <v>1</v>
      </c>
      <c r="F254" s="59" t="str">
        <f t="shared" si="15"/>
        <v/>
      </c>
      <c r="G254" s="42" t="s">
        <v>535</v>
      </c>
      <c r="H254" s="43" t="s">
        <v>536</v>
      </c>
      <c r="I254" s="44" t="s">
        <v>503</v>
      </c>
      <c r="J254" s="45" t="s">
        <v>504</v>
      </c>
      <c r="K254" s="46" t="s">
        <v>537</v>
      </c>
      <c r="L254" s="47" t="s">
        <v>2522</v>
      </c>
      <c r="M254" s="48" t="s">
        <v>2523</v>
      </c>
      <c r="N254" s="49"/>
      <c r="O254" s="49"/>
      <c r="P254" s="50"/>
      <c r="Q254" s="59"/>
      <c r="R254" s="13"/>
    </row>
    <row r="255" spans="1:18" x14ac:dyDescent="0.25">
      <c r="A255" s="9" t="s">
        <v>21</v>
      </c>
      <c r="B255" s="28">
        <f>IF(ISBLANK(A255),0,INDEX(txtstylestab[],MATCH(A255,txtstylestab[style_Name],0),1))</f>
        <v>0</v>
      </c>
      <c r="C255" s="28">
        <f t="shared" si="12"/>
        <v>1</v>
      </c>
      <c r="D255" s="28">
        <f t="shared" si="13"/>
        <v>11</v>
      </c>
      <c r="E255" s="28">
        <f t="shared" si="14"/>
        <v>1</v>
      </c>
      <c r="F255" s="59" t="str">
        <f t="shared" si="15"/>
        <v/>
      </c>
      <c r="G255" s="42" t="s">
        <v>6</v>
      </c>
      <c r="H255" s="43" t="s">
        <v>26</v>
      </c>
      <c r="I255" s="44" t="s">
        <v>48</v>
      </c>
      <c r="J255" s="45" t="s">
        <v>54</v>
      </c>
      <c r="K255" s="46" t="s">
        <v>59</v>
      </c>
      <c r="L255" s="47" t="s">
        <v>2490</v>
      </c>
      <c r="M255" s="48" t="s">
        <v>2525</v>
      </c>
      <c r="N255" s="48"/>
      <c r="O255" s="48"/>
      <c r="P255" s="49"/>
      <c r="Q255" s="50"/>
      <c r="R255" s="13"/>
    </row>
    <row r="256" spans="1:18" ht="18" thickBot="1" x14ac:dyDescent="0.35">
      <c r="A256" s="9" t="s">
        <v>11</v>
      </c>
      <c r="B256" s="28">
        <f>IF(ISBLANK(A256),0,INDEX(txtstylestab[],MATCH(A256,txtstylestab[style_Name],0),1))</f>
        <v>2</v>
      </c>
      <c r="C256" s="28">
        <f t="shared" si="12"/>
        <v>1</v>
      </c>
      <c r="D256" s="28">
        <f t="shared" si="13"/>
        <v>12</v>
      </c>
      <c r="E256" s="28">
        <f t="shared" si="14"/>
        <v>0</v>
      </c>
      <c r="F256" s="54" t="str">
        <f t="shared" si="15"/>
        <v>1.12.</v>
      </c>
      <c r="G256" s="54" t="s">
        <v>538</v>
      </c>
      <c r="H256" s="54"/>
      <c r="I256" s="54"/>
      <c r="J256" s="54"/>
      <c r="K256" s="54"/>
      <c r="L256" s="54"/>
      <c r="M256" s="54"/>
      <c r="N256" s="54"/>
      <c r="O256" s="54"/>
      <c r="P256" s="54"/>
      <c r="Q256" s="54"/>
      <c r="R256" s="13"/>
    </row>
    <row r="257" spans="1:18" ht="16.5" thickTop="1" thickBot="1" x14ac:dyDescent="0.3">
      <c r="A257" s="9" t="s">
        <v>12</v>
      </c>
      <c r="B257" s="28">
        <f>IF(ISBLANK(A257),0,INDEX(txtstylestab[],MATCH(A257,txtstylestab[style_Name],0),1))</f>
        <v>3</v>
      </c>
      <c r="C257" s="28">
        <f t="shared" si="12"/>
        <v>1</v>
      </c>
      <c r="D257" s="28">
        <f t="shared" si="13"/>
        <v>12</v>
      </c>
      <c r="E257" s="28">
        <f t="shared" si="14"/>
        <v>1</v>
      </c>
      <c r="F257" s="55" t="str">
        <f t="shared" si="15"/>
        <v>1.12.1.</v>
      </c>
      <c r="G257" s="55" t="s">
        <v>539</v>
      </c>
      <c r="H257" s="55"/>
      <c r="I257" s="55"/>
      <c r="J257" s="55"/>
      <c r="K257" s="55"/>
      <c r="L257" s="55"/>
      <c r="M257" s="55"/>
      <c r="N257" s="55"/>
      <c r="O257" s="55"/>
      <c r="P257" s="55"/>
      <c r="Q257" s="55"/>
      <c r="R257" s="13"/>
    </row>
    <row r="258" spans="1:18" x14ac:dyDescent="0.25">
      <c r="A258" s="9" t="s">
        <v>21</v>
      </c>
      <c r="B258" s="28">
        <f>IF(ISBLANK(A258),0,INDEX(txtstylestab[],MATCH(A258,txtstylestab[style_Name],0),1))</f>
        <v>0</v>
      </c>
      <c r="C258" s="28">
        <f t="shared" si="12"/>
        <v>1</v>
      </c>
      <c r="D258" s="28">
        <f t="shared" si="13"/>
        <v>12</v>
      </c>
      <c r="E258" s="28">
        <f t="shared" si="14"/>
        <v>1</v>
      </c>
      <c r="F258" s="59" t="str">
        <f t="shared" si="15"/>
        <v/>
      </c>
      <c r="G258" s="42" t="s">
        <v>82</v>
      </c>
      <c r="H258" s="43" t="s">
        <v>83</v>
      </c>
      <c r="I258" s="44" t="s">
        <v>84</v>
      </c>
      <c r="J258" s="45" t="s">
        <v>85</v>
      </c>
      <c r="K258" s="46" t="s">
        <v>86</v>
      </c>
      <c r="L258" s="47" t="s">
        <v>2397</v>
      </c>
      <c r="M258" s="48" t="s">
        <v>2332</v>
      </c>
      <c r="N258" s="49"/>
      <c r="O258" s="50"/>
      <c r="P258" s="50"/>
      <c r="Q258" s="59"/>
      <c r="R258" s="13"/>
    </row>
    <row r="259" spans="1:18" ht="105" x14ac:dyDescent="0.25">
      <c r="A259" s="9" t="s">
        <v>21</v>
      </c>
      <c r="B259" s="28">
        <f>IF(ISBLANK(A259),0,INDEX(txtstylestab[],MATCH(A259,txtstylestab[style_Name],0),1))</f>
        <v>0</v>
      </c>
      <c r="C259" s="28">
        <f t="shared" si="12"/>
        <v>1</v>
      </c>
      <c r="D259" s="28">
        <f t="shared" si="13"/>
        <v>12</v>
      </c>
      <c r="E259" s="28">
        <f t="shared" si="14"/>
        <v>1</v>
      </c>
      <c r="F259" s="59" t="str">
        <f t="shared" si="15"/>
        <v/>
      </c>
      <c r="G259" s="42" t="s">
        <v>540</v>
      </c>
      <c r="H259" s="43" t="s">
        <v>2143</v>
      </c>
      <c r="I259" s="44" t="s">
        <v>2245</v>
      </c>
      <c r="J259" s="45" t="s">
        <v>541</v>
      </c>
      <c r="K259" s="46" t="s">
        <v>1714</v>
      </c>
      <c r="L259" s="47" t="s">
        <v>2583</v>
      </c>
      <c r="M259" s="48" t="s">
        <v>2584</v>
      </c>
      <c r="N259" s="49"/>
      <c r="O259" s="49"/>
      <c r="P259" s="50"/>
      <c r="Q259" s="59"/>
      <c r="R259" s="13"/>
    </row>
    <row r="260" spans="1:18" x14ac:dyDescent="0.25">
      <c r="A260" s="9" t="s">
        <v>21</v>
      </c>
      <c r="B260" s="28">
        <f>IF(ISBLANK(A260),0,INDEX(txtstylestab[],MATCH(A260,txtstylestab[style_Name],0),1))</f>
        <v>0</v>
      </c>
      <c r="C260" s="28">
        <f t="shared" ref="C260:C323" si="16">IF(B260=1,C259+1,C259)</f>
        <v>1</v>
      </c>
      <c r="D260" s="28">
        <f t="shared" ref="D260:D323" si="17">IF(B260=1,0,IF(B260=2,D259+1,IF(AND(B260=3,D259=0),1,D259)))</f>
        <v>12</v>
      </c>
      <c r="E260" s="28">
        <f t="shared" ref="E260:E323" si="18">IF(OR(B260=1,B260=2),0,IF(B260=3,E259+1,E259))</f>
        <v>1</v>
      </c>
      <c r="F260" s="59" t="str">
        <f t="shared" ref="F260:F323" si="19">IF(OR(B260=1,B260=2,B260=3),TEXT(C260,"#")&amp;".","")&amp;IF(OR(B260=2,B260=3),TEXT(D260,"#")&amp;".","")&amp;IF(B260=3,TEXT(E260,"#")&amp;".","")</f>
        <v/>
      </c>
      <c r="G260" s="42" t="s">
        <v>6</v>
      </c>
      <c r="H260" s="43" t="s">
        <v>96</v>
      </c>
      <c r="I260" s="44" t="s">
        <v>48</v>
      </c>
      <c r="J260" s="45" t="s">
        <v>54</v>
      </c>
      <c r="K260" s="46" t="s">
        <v>59</v>
      </c>
      <c r="L260" s="47" t="s">
        <v>2490</v>
      </c>
      <c r="M260" s="48" t="s">
        <v>2525</v>
      </c>
      <c r="N260" s="49"/>
      <c r="O260" s="49"/>
      <c r="P260" s="50"/>
      <c r="Q260" s="59"/>
      <c r="R260" s="13"/>
    </row>
    <row r="261" spans="1:18" ht="15.75" thickBot="1" x14ac:dyDescent="0.3">
      <c r="A261" s="9" t="s">
        <v>12</v>
      </c>
      <c r="B261" s="28">
        <f>IF(ISBLANK(A261),0,INDEX(txtstylestab[],MATCH(A261,txtstylestab[style_Name],0),1))</f>
        <v>3</v>
      </c>
      <c r="C261" s="28">
        <f t="shared" si="16"/>
        <v>1</v>
      </c>
      <c r="D261" s="28">
        <f t="shared" si="17"/>
        <v>12</v>
      </c>
      <c r="E261" s="28">
        <f t="shared" si="18"/>
        <v>2</v>
      </c>
      <c r="F261" s="55" t="str">
        <f t="shared" si="19"/>
        <v>1.12.2.</v>
      </c>
      <c r="G261" s="55" t="s">
        <v>542</v>
      </c>
      <c r="H261" s="55"/>
      <c r="I261" s="55"/>
      <c r="J261" s="55"/>
      <c r="K261" s="55"/>
      <c r="L261" s="55"/>
      <c r="M261" s="55"/>
      <c r="N261" s="55"/>
      <c r="O261" s="55"/>
      <c r="P261" s="55"/>
      <c r="Q261" s="55"/>
      <c r="R261" s="13"/>
    </row>
    <row r="262" spans="1:18" x14ac:dyDescent="0.25">
      <c r="A262" s="9" t="s">
        <v>21</v>
      </c>
      <c r="B262" s="28">
        <f>IF(ISBLANK(A262),0,INDEX(txtstylestab[],MATCH(A262,txtstylestab[style_Name],0),1))</f>
        <v>0</v>
      </c>
      <c r="C262" s="28">
        <f t="shared" si="16"/>
        <v>1</v>
      </c>
      <c r="D262" s="28">
        <f t="shared" si="17"/>
        <v>12</v>
      </c>
      <c r="E262" s="28">
        <f t="shared" si="18"/>
        <v>2</v>
      </c>
      <c r="F262" s="59" t="str">
        <f t="shared" si="19"/>
        <v/>
      </c>
      <c r="G262" s="42" t="s">
        <v>82</v>
      </c>
      <c r="H262" s="43" t="s">
        <v>83</v>
      </c>
      <c r="I262" s="44" t="s">
        <v>84</v>
      </c>
      <c r="J262" s="45" t="s">
        <v>85</v>
      </c>
      <c r="K262" s="46" t="s">
        <v>86</v>
      </c>
      <c r="L262" s="47" t="s">
        <v>2397</v>
      </c>
      <c r="M262" s="48" t="s">
        <v>2525</v>
      </c>
      <c r="N262" s="49"/>
      <c r="O262" s="50" t="s">
        <v>3359</v>
      </c>
      <c r="P262" s="59"/>
      <c r="Q262" s="59"/>
      <c r="R262" s="13"/>
    </row>
    <row r="263" spans="1:18" ht="105" x14ac:dyDescent="0.25">
      <c r="A263" s="9" t="s">
        <v>21</v>
      </c>
      <c r="B263" s="28">
        <f>IF(ISBLANK(A263),0,INDEX(txtstylestab[],MATCH(A263,txtstylestab[style_Name],0),1))</f>
        <v>0</v>
      </c>
      <c r="C263" s="28">
        <f t="shared" si="16"/>
        <v>1</v>
      </c>
      <c r="D263" s="28">
        <f t="shared" si="17"/>
        <v>12</v>
      </c>
      <c r="E263" s="28">
        <f t="shared" si="18"/>
        <v>2</v>
      </c>
      <c r="F263" s="59" t="str">
        <f t="shared" si="19"/>
        <v/>
      </c>
      <c r="G263" s="42" t="s">
        <v>543</v>
      </c>
      <c r="H263" s="43" t="s">
        <v>2144</v>
      </c>
      <c r="I263" s="44" t="s">
        <v>2246</v>
      </c>
      <c r="J263" s="45" t="s">
        <v>544</v>
      </c>
      <c r="K263" s="46" t="s">
        <v>1715</v>
      </c>
      <c r="L263" s="47" t="s">
        <v>2583</v>
      </c>
      <c r="M263" s="48" t="s">
        <v>2584</v>
      </c>
      <c r="N263" s="49"/>
      <c r="O263" s="50" t="s">
        <v>3360</v>
      </c>
      <c r="P263" s="59"/>
      <c r="Q263" s="59"/>
      <c r="R263" s="13"/>
    </row>
    <row r="264" spans="1:18" ht="60" x14ac:dyDescent="0.25">
      <c r="A264" s="9" t="s">
        <v>21</v>
      </c>
      <c r="B264" s="28">
        <f>IF(ISBLANK(A264),0,INDEX(txtstylestab[],MATCH(A264,txtstylestab[style_Name],0),1))</f>
        <v>0</v>
      </c>
      <c r="C264" s="28">
        <f t="shared" si="16"/>
        <v>1</v>
      </c>
      <c r="D264" s="28">
        <f t="shared" si="17"/>
        <v>12</v>
      </c>
      <c r="E264" s="28">
        <f t="shared" si="18"/>
        <v>2</v>
      </c>
      <c r="F264" s="59" t="str">
        <f t="shared" si="19"/>
        <v/>
      </c>
      <c r="G264" s="42" t="s">
        <v>545</v>
      </c>
      <c r="H264" s="43" t="s">
        <v>2224</v>
      </c>
      <c r="I264" s="44" t="s">
        <v>2247</v>
      </c>
      <c r="J264" s="45" t="s">
        <v>546</v>
      </c>
      <c r="K264" s="46" t="s">
        <v>1739</v>
      </c>
      <c r="L264" s="47" t="s">
        <v>2585</v>
      </c>
      <c r="M264" s="48" t="s">
        <v>2586</v>
      </c>
      <c r="N264" s="49"/>
      <c r="O264" s="50" t="s">
        <v>3361</v>
      </c>
      <c r="P264" s="59"/>
      <c r="Q264" s="59"/>
      <c r="R264" s="13"/>
    </row>
    <row r="265" spans="1:18" ht="60" x14ac:dyDescent="0.25">
      <c r="A265" s="9" t="s">
        <v>21</v>
      </c>
      <c r="B265" s="28">
        <f>IF(ISBLANK(A265),0,INDEX(txtstylestab[],MATCH(A265,txtstylestab[style_Name],0),1))</f>
        <v>0</v>
      </c>
      <c r="C265" s="28">
        <f t="shared" si="16"/>
        <v>1</v>
      </c>
      <c r="D265" s="28">
        <f t="shared" si="17"/>
        <v>12</v>
      </c>
      <c r="E265" s="28">
        <f t="shared" si="18"/>
        <v>2</v>
      </c>
      <c r="F265" s="59" t="str">
        <f t="shared" si="19"/>
        <v/>
      </c>
      <c r="G265" s="42" t="s">
        <v>547</v>
      </c>
      <c r="H265" s="43" t="s">
        <v>548</v>
      </c>
      <c r="I265" s="44" t="s">
        <v>549</v>
      </c>
      <c r="J265" s="45" t="s">
        <v>550</v>
      </c>
      <c r="K265" s="46" t="s">
        <v>1601</v>
      </c>
      <c r="L265" s="47" t="s">
        <v>2587</v>
      </c>
      <c r="M265" s="48" t="s">
        <v>2588</v>
      </c>
      <c r="N265" s="49"/>
      <c r="O265" s="50" t="s">
        <v>3362</v>
      </c>
      <c r="P265" s="59"/>
      <c r="Q265" s="59"/>
      <c r="R265" s="13"/>
    </row>
    <row r="266" spans="1:18" x14ac:dyDescent="0.25">
      <c r="A266" s="9" t="s">
        <v>21</v>
      </c>
      <c r="B266" s="28">
        <f>IF(ISBLANK(A266),0,INDEX(txtstylestab[],MATCH(A266,txtstylestab[style_Name],0),1))</f>
        <v>0</v>
      </c>
      <c r="C266" s="28">
        <f t="shared" si="16"/>
        <v>1</v>
      </c>
      <c r="D266" s="28">
        <f t="shared" si="17"/>
        <v>12</v>
      </c>
      <c r="E266" s="28">
        <f t="shared" si="18"/>
        <v>2</v>
      </c>
      <c r="F266" s="59" t="str">
        <f t="shared" si="19"/>
        <v/>
      </c>
      <c r="G266" s="42" t="s">
        <v>6</v>
      </c>
      <c r="H266" s="43" t="s">
        <v>96</v>
      </c>
      <c r="I266" s="44" t="s">
        <v>48</v>
      </c>
      <c r="J266" s="45" t="s">
        <v>54</v>
      </c>
      <c r="K266" s="46" t="s">
        <v>59</v>
      </c>
      <c r="L266" s="47" t="s">
        <v>2490</v>
      </c>
      <c r="M266" s="48" t="s">
        <v>2491</v>
      </c>
      <c r="N266" s="49"/>
      <c r="O266" s="50" t="s">
        <v>3168</v>
      </c>
      <c r="P266" s="59"/>
      <c r="Q266" s="59"/>
      <c r="R266" s="13"/>
    </row>
    <row r="267" spans="1:18" ht="15.75" thickBot="1" x14ac:dyDescent="0.3">
      <c r="A267" s="9" t="s">
        <v>12</v>
      </c>
      <c r="B267" s="28">
        <f>IF(ISBLANK(A267),0,INDEX(txtstylestab[],MATCH(A267,txtstylestab[style_Name],0),1))</f>
        <v>3</v>
      </c>
      <c r="C267" s="28">
        <f t="shared" si="16"/>
        <v>1</v>
      </c>
      <c r="D267" s="28">
        <f t="shared" si="17"/>
        <v>12</v>
      </c>
      <c r="E267" s="28">
        <f t="shared" si="18"/>
        <v>3</v>
      </c>
      <c r="F267" s="55" t="str">
        <f t="shared" si="19"/>
        <v>1.12.3.</v>
      </c>
      <c r="G267" s="55" t="s">
        <v>551</v>
      </c>
      <c r="H267" s="55"/>
      <c r="I267" s="55"/>
      <c r="J267" s="55"/>
      <c r="K267" s="55"/>
      <c r="L267" s="55"/>
      <c r="M267" s="55"/>
      <c r="N267" s="55"/>
      <c r="O267" s="55"/>
      <c r="P267" s="55"/>
      <c r="Q267" s="55"/>
      <c r="R267" s="13"/>
    </row>
    <row r="268" spans="1:18" x14ac:dyDescent="0.25">
      <c r="A268" s="9" t="s">
        <v>21</v>
      </c>
      <c r="B268" s="28">
        <f>IF(ISBLANK(A268),0,INDEX(txtstylestab[],MATCH(A268,txtstylestab[style_Name],0),1))</f>
        <v>0</v>
      </c>
      <c r="C268" s="28">
        <f t="shared" si="16"/>
        <v>1</v>
      </c>
      <c r="D268" s="28">
        <f t="shared" si="17"/>
        <v>12</v>
      </c>
      <c r="E268" s="28">
        <f t="shared" si="18"/>
        <v>3</v>
      </c>
      <c r="F268" s="59" t="str">
        <f t="shared" si="19"/>
        <v/>
      </c>
      <c r="G268" s="42" t="s">
        <v>82</v>
      </c>
      <c r="H268" s="43" t="s">
        <v>83</v>
      </c>
      <c r="I268" s="44" t="s">
        <v>84</v>
      </c>
      <c r="J268" s="45" t="s">
        <v>85</v>
      </c>
      <c r="K268" s="46" t="s">
        <v>86</v>
      </c>
      <c r="L268" s="47" t="s">
        <v>2397</v>
      </c>
      <c r="M268" s="48" t="s">
        <v>2539</v>
      </c>
      <c r="N268" s="49"/>
      <c r="O268" s="50" t="s">
        <v>3359</v>
      </c>
      <c r="P268" s="50"/>
      <c r="Q268" s="59"/>
      <c r="R268" s="13"/>
    </row>
    <row r="269" spans="1:18" ht="75" x14ac:dyDescent="0.25">
      <c r="A269" s="9" t="s">
        <v>21</v>
      </c>
      <c r="B269" s="28">
        <f>IF(ISBLANK(A269),0,INDEX(txtstylestab[],MATCH(A269,txtstylestab[style_Name],0),1))</f>
        <v>0</v>
      </c>
      <c r="C269" s="28">
        <f t="shared" si="16"/>
        <v>1</v>
      </c>
      <c r="D269" s="28">
        <f t="shared" si="17"/>
        <v>12</v>
      </c>
      <c r="E269" s="28">
        <f t="shared" si="18"/>
        <v>3</v>
      </c>
      <c r="F269" s="59" t="str">
        <f t="shared" si="19"/>
        <v/>
      </c>
      <c r="G269" s="42" t="s">
        <v>552</v>
      </c>
      <c r="H269" s="43" t="s">
        <v>553</v>
      </c>
      <c r="I269" s="44" t="s">
        <v>1634</v>
      </c>
      <c r="J269" s="45" t="s">
        <v>1620</v>
      </c>
      <c r="K269" s="46" t="s">
        <v>1602</v>
      </c>
      <c r="L269" s="47" t="s">
        <v>2589</v>
      </c>
      <c r="M269" s="48" t="s">
        <v>2590</v>
      </c>
      <c r="N269" s="49"/>
      <c r="O269" s="50" t="s">
        <v>3363</v>
      </c>
      <c r="P269" s="59"/>
      <c r="Q269" s="59"/>
      <c r="R269" s="13"/>
    </row>
    <row r="270" spans="1:18" ht="45" x14ac:dyDescent="0.25">
      <c r="A270" s="9" t="s">
        <v>21</v>
      </c>
      <c r="B270" s="28">
        <f>IF(ISBLANK(A270),0,INDEX(txtstylestab[],MATCH(A270,txtstylestab[style_Name],0),1))</f>
        <v>0</v>
      </c>
      <c r="C270" s="28">
        <f t="shared" si="16"/>
        <v>1</v>
      </c>
      <c r="D270" s="28">
        <f t="shared" si="17"/>
        <v>12</v>
      </c>
      <c r="E270" s="28">
        <f t="shared" si="18"/>
        <v>3</v>
      </c>
      <c r="F270" s="59" t="str">
        <f t="shared" si="19"/>
        <v/>
      </c>
      <c r="G270" s="42" t="s">
        <v>535</v>
      </c>
      <c r="H270" s="43" t="s">
        <v>536</v>
      </c>
      <c r="I270" s="44" t="s">
        <v>503</v>
      </c>
      <c r="J270" s="45" t="s">
        <v>504</v>
      </c>
      <c r="K270" s="46" t="s">
        <v>537</v>
      </c>
      <c r="L270" s="47" t="s">
        <v>2522</v>
      </c>
      <c r="M270" s="48" t="s">
        <v>2523</v>
      </c>
      <c r="N270" s="49"/>
      <c r="O270" s="50" t="s">
        <v>3353</v>
      </c>
      <c r="P270" s="59"/>
      <c r="Q270" s="59"/>
      <c r="R270" s="13"/>
    </row>
    <row r="271" spans="1:18" x14ac:dyDescent="0.25">
      <c r="A271" s="9" t="s">
        <v>21</v>
      </c>
      <c r="B271" s="28">
        <f>IF(ISBLANK(A271),0,INDEX(txtstylestab[],MATCH(A271,txtstylestab[style_Name],0),1))</f>
        <v>0</v>
      </c>
      <c r="C271" s="28">
        <f t="shared" si="16"/>
        <v>1</v>
      </c>
      <c r="D271" s="28">
        <f t="shared" si="17"/>
        <v>12</v>
      </c>
      <c r="E271" s="28">
        <f t="shared" si="18"/>
        <v>3</v>
      </c>
      <c r="F271" s="59" t="str">
        <f t="shared" si="19"/>
        <v/>
      </c>
      <c r="G271" s="42" t="s">
        <v>6</v>
      </c>
      <c r="H271" s="43" t="s">
        <v>26</v>
      </c>
      <c r="I271" s="44" t="s">
        <v>48</v>
      </c>
      <c r="J271" s="45" t="s">
        <v>54</v>
      </c>
      <c r="K271" s="46" t="s">
        <v>59</v>
      </c>
      <c r="L271" s="47" t="s">
        <v>2490</v>
      </c>
      <c r="M271" s="48" t="s">
        <v>2491</v>
      </c>
      <c r="N271" s="49"/>
      <c r="O271" s="50" t="s">
        <v>3168</v>
      </c>
      <c r="P271" s="59"/>
      <c r="Q271" s="59"/>
      <c r="R271" s="13"/>
    </row>
    <row r="272" spans="1:18" ht="18" thickBot="1" x14ac:dyDescent="0.35">
      <c r="A272" s="9" t="s">
        <v>11</v>
      </c>
      <c r="B272" s="28">
        <f>IF(ISBLANK(A272),0,INDEX(txtstylestab[],MATCH(A272,txtstylestab[style_Name],0),1))</f>
        <v>2</v>
      </c>
      <c r="C272" s="28">
        <f t="shared" si="16"/>
        <v>1</v>
      </c>
      <c r="D272" s="28">
        <f t="shared" si="17"/>
        <v>13</v>
      </c>
      <c r="E272" s="28">
        <f t="shared" si="18"/>
        <v>0</v>
      </c>
      <c r="F272" s="54" t="str">
        <f t="shared" si="19"/>
        <v>1.13.</v>
      </c>
      <c r="G272" s="54" t="s">
        <v>554</v>
      </c>
      <c r="H272" s="54"/>
      <c r="I272" s="54"/>
      <c r="J272" s="54"/>
      <c r="K272" s="54"/>
      <c r="L272" s="54"/>
      <c r="M272" s="54"/>
      <c r="N272" s="54"/>
      <c r="O272" s="54"/>
      <c r="P272" s="54"/>
      <c r="Q272" s="54"/>
      <c r="R272" s="13"/>
    </row>
    <row r="273" spans="1:18" ht="15.75" thickTop="1" x14ac:dyDescent="0.25">
      <c r="A273" s="9" t="s">
        <v>21</v>
      </c>
      <c r="B273" s="28">
        <f>IF(ISBLANK(A273),0,INDEX(txtstylestab[],MATCH(A273,txtstylestab[style_Name],0),1))</f>
        <v>0</v>
      </c>
      <c r="C273" s="28">
        <f t="shared" si="16"/>
        <v>1</v>
      </c>
      <c r="D273" s="28">
        <f t="shared" si="17"/>
        <v>13</v>
      </c>
      <c r="E273" s="28">
        <f t="shared" si="18"/>
        <v>0</v>
      </c>
      <c r="F273" s="59" t="str">
        <f t="shared" si="19"/>
        <v/>
      </c>
      <c r="G273" s="42" t="s">
        <v>82</v>
      </c>
      <c r="H273" s="43" t="s">
        <v>83</v>
      </c>
      <c r="I273" s="44" t="s">
        <v>84</v>
      </c>
      <c r="J273" s="45" t="s">
        <v>85</v>
      </c>
      <c r="K273" s="46" t="s">
        <v>86</v>
      </c>
      <c r="L273" s="47" t="s">
        <v>2397</v>
      </c>
      <c r="M273" s="48" t="s">
        <v>2539</v>
      </c>
      <c r="N273" s="49"/>
      <c r="O273" s="50" t="s">
        <v>3359</v>
      </c>
      <c r="P273" s="50"/>
      <c r="Q273" s="59"/>
      <c r="R273" s="13"/>
    </row>
    <row r="274" spans="1:18" ht="45" x14ac:dyDescent="0.25">
      <c r="A274" s="9" t="s">
        <v>21</v>
      </c>
      <c r="B274" s="28">
        <f>IF(ISBLANK(A274),0,INDEX(txtstylestab[],MATCH(A274,txtstylestab[style_Name],0),1))</f>
        <v>0</v>
      </c>
      <c r="C274" s="28">
        <f t="shared" si="16"/>
        <v>1</v>
      </c>
      <c r="D274" s="28">
        <f t="shared" si="17"/>
        <v>13</v>
      </c>
      <c r="E274" s="28">
        <f t="shared" si="18"/>
        <v>0</v>
      </c>
      <c r="F274" s="59" t="str">
        <f t="shared" si="19"/>
        <v/>
      </c>
      <c r="G274" s="42" t="s">
        <v>555</v>
      </c>
      <c r="H274" s="43" t="s">
        <v>2225</v>
      </c>
      <c r="I274" s="44" t="s">
        <v>2248</v>
      </c>
      <c r="J274" s="45" t="s">
        <v>556</v>
      </c>
      <c r="K274" s="46" t="s">
        <v>1716</v>
      </c>
      <c r="L274" s="47" t="s">
        <v>2591</v>
      </c>
      <c r="M274" s="48" t="s">
        <v>2592</v>
      </c>
      <c r="N274" s="49"/>
      <c r="O274" s="50" t="s">
        <v>3364</v>
      </c>
      <c r="P274" s="59"/>
      <c r="Q274" s="59"/>
      <c r="R274" s="13"/>
    </row>
    <row r="275" spans="1:18" x14ac:dyDescent="0.25">
      <c r="A275" s="9" t="s">
        <v>21</v>
      </c>
      <c r="B275" s="28">
        <f>IF(ISBLANK(A275),0,INDEX(txtstylestab[],MATCH(A275,txtstylestab[style_Name],0),1))</f>
        <v>0</v>
      </c>
      <c r="C275" s="28">
        <f t="shared" si="16"/>
        <v>1</v>
      </c>
      <c r="D275" s="28">
        <f t="shared" si="17"/>
        <v>13</v>
      </c>
      <c r="E275" s="28">
        <f t="shared" si="18"/>
        <v>0</v>
      </c>
      <c r="F275" s="59" t="str">
        <f t="shared" si="19"/>
        <v/>
      </c>
      <c r="G275" s="42" t="s">
        <v>6</v>
      </c>
      <c r="H275" s="43" t="s">
        <v>26</v>
      </c>
      <c r="I275" s="44" t="s">
        <v>48</v>
      </c>
      <c r="J275" s="45" t="s">
        <v>54</v>
      </c>
      <c r="K275" s="46" t="s">
        <v>59</v>
      </c>
      <c r="L275" s="47" t="s">
        <v>2490</v>
      </c>
      <c r="M275" s="48" t="s">
        <v>2491</v>
      </c>
      <c r="N275" s="49"/>
      <c r="O275" s="50" t="s">
        <v>3168</v>
      </c>
      <c r="P275" s="50"/>
      <c r="Q275" s="59"/>
      <c r="R275" s="13"/>
    </row>
    <row r="276" spans="1:18" ht="18" thickBot="1" x14ac:dyDescent="0.35">
      <c r="A276" s="9" t="s">
        <v>11</v>
      </c>
      <c r="B276" s="28">
        <f>IF(ISBLANK(A276),0,INDEX(txtstylestab[],MATCH(A276,txtstylestab[style_Name],0),1))</f>
        <v>2</v>
      </c>
      <c r="C276" s="28">
        <f t="shared" si="16"/>
        <v>1</v>
      </c>
      <c r="D276" s="28">
        <f t="shared" si="17"/>
        <v>14</v>
      </c>
      <c r="E276" s="28">
        <f t="shared" si="18"/>
        <v>0</v>
      </c>
      <c r="F276" s="54" t="str">
        <f t="shared" si="19"/>
        <v>1.14.</v>
      </c>
      <c r="G276" s="54" t="s">
        <v>1836</v>
      </c>
      <c r="H276" s="54"/>
      <c r="I276" s="54"/>
      <c r="J276" s="54"/>
      <c r="K276" s="54"/>
      <c r="L276" s="54"/>
      <c r="M276" s="54"/>
      <c r="N276" s="54"/>
      <c r="O276" s="54"/>
      <c r="P276" s="54"/>
      <c r="Q276" s="54"/>
      <c r="R276" s="13"/>
    </row>
    <row r="277" spans="1:18" ht="15.75" thickTop="1" x14ac:dyDescent="0.25">
      <c r="A277" s="9" t="s">
        <v>21</v>
      </c>
      <c r="B277" s="28">
        <f>IF(ISBLANK(A277),0,INDEX(txtstylestab[],MATCH(A277,txtstylestab[style_Name],0),1))</f>
        <v>0</v>
      </c>
      <c r="C277" s="28">
        <f t="shared" si="16"/>
        <v>1</v>
      </c>
      <c r="D277" s="28">
        <f t="shared" si="17"/>
        <v>14</v>
      </c>
      <c r="E277" s="28">
        <f t="shared" si="18"/>
        <v>0</v>
      </c>
      <c r="F277" s="59" t="str">
        <f t="shared" si="19"/>
        <v/>
      </c>
      <c r="G277" s="42" t="s">
        <v>82</v>
      </c>
      <c r="H277" s="43" t="s">
        <v>83</v>
      </c>
      <c r="I277" s="44" t="s">
        <v>84</v>
      </c>
      <c r="J277" s="45" t="s">
        <v>85</v>
      </c>
      <c r="K277" s="46" t="s">
        <v>86</v>
      </c>
      <c r="L277" s="47" t="s">
        <v>2397</v>
      </c>
      <c r="M277" s="47" t="s">
        <v>2539</v>
      </c>
      <c r="N277" s="48"/>
      <c r="O277" s="50" t="s">
        <v>3359</v>
      </c>
      <c r="P277" s="49"/>
      <c r="Q277" s="50"/>
      <c r="R277" s="13"/>
    </row>
    <row r="278" spans="1:18" ht="30" x14ac:dyDescent="0.25">
      <c r="A278" s="9" t="s">
        <v>21</v>
      </c>
      <c r="B278" s="28">
        <f>IF(ISBLANK(A278),0,INDEX(txtstylestab[],MATCH(A278,txtstylestab[style_Name],0),1))</f>
        <v>0</v>
      </c>
      <c r="C278" s="28">
        <f t="shared" si="16"/>
        <v>1</v>
      </c>
      <c r="D278" s="28">
        <f t="shared" si="17"/>
        <v>14</v>
      </c>
      <c r="E278" s="28">
        <f t="shared" si="18"/>
        <v>0</v>
      </c>
      <c r="F278" s="59" t="str">
        <f t="shared" si="19"/>
        <v/>
      </c>
      <c r="G278" s="42" t="s">
        <v>557</v>
      </c>
      <c r="H278" s="43" t="s">
        <v>558</v>
      </c>
      <c r="I278" s="44" t="s">
        <v>559</v>
      </c>
      <c r="J278" s="45" t="s">
        <v>1763</v>
      </c>
      <c r="K278" s="46" t="s">
        <v>560</v>
      </c>
      <c r="L278" s="47" t="s">
        <v>2593</v>
      </c>
      <c r="M278" s="48" t="s">
        <v>2594</v>
      </c>
      <c r="N278" s="49"/>
      <c r="O278" s="50"/>
      <c r="P278" s="59"/>
      <c r="Q278" s="59"/>
      <c r="R278" s="13"/>
    </row>
    <row r="279" spans="1:18" ht="30" x14ac:dyDescent="0.25">
      <c r="A279" s="9" t="s">
        <v>21</v>
      </c>
      <c r="B279" s="28">
        <f>IF(ISBLANK(A279),0,INDEX(txtstylestab[],MATCH(A279,txtstylestab[style_Name],0),1))</f>
        <v>0</v>
      </c>
      <c r="C279" s="28">
        <f t="shared" si="16"/>
        <v>1</v>
      </c>
      <c r="D279" s="28">
        <f t="shared" si="17"/>
        <v>14</v>
      </c>
      <c r="E279" s="28">
        <f t="shared" si="18"/>
        <v>0</v>
      </c>
      <c r="F279" s="59" t="str">
        <f t="shared" si="19"/>
        <v/>
      </c>
      <c r="G279" s="42"/>
      <c r="H279" s="43"/>
      <c r="I279" s="44" t="s">
        <v>413</v>
      </c>
      <c r="J279" s="45" t="s">
        <v>414</v>
      </c>
      <c r="K279" s="46" t="s">
        <v>415</v>
      </c>
      <c r="L279" s="47"/>
      <c r="M279" s="48"/>
      <c r="N279" s="49"/>
      <c r="O279" s="50" t="s">
        <v>3365</v>
      </c>
      <c r="P279" s="59"/>
      <c r="Q279" s="59"/>
      <c r="R279" s="13"/>
    </row>
    <row r="280" spans="1:18" ht="30" x14ac:dyDescent="0.25">
      <c r="A280" s="9" t="s">
        <v>21</v>
      </c>
      <c r="B280" s="28">
        <f>IF(ISBLANK(A280),0,INDEX(txtstylestab[],MATCH(A280,txtstylestab[style_Name],0),1))</f>
        <v>0</v>
      </c>
      <c r="C280" s="28">
        <f t="shared" si="16"/>
        <v>1</v>
      </c>
      <c r="D280" s="28">
        <f t="shared" si="17"/>
        <v>14</v>
      </c>
      <c r="E280" s="28">
        <f t="shared" si="18"/>
        <v>0</v>
      </c>
      <c r="F280" s="59" t="str">
        <f t="shared" si="19"/>
        <v/>
      </c>
      <c r="G280" s="42" t="s">
        <v>2287</v>
      </c>
      <c r="H280" s="43" t="s">
        <v>2290</v>
      </c>
      <c r="I280" s="44" t="s">
        <v>562</v>
      </c>
      <c r="J280" s="45" t="s">
        <v>563</v>
      </c>
      <c r="K280" s="46" t="s">
        <v>564</v>
      </c>
      <c r="L280" s="47" t="s">
        <v>2595</v>
      </c>
      <c r="M280" s="48" t="s">
        <v>2599</v>
      </c>
      <c r="N280" s="49"/>
      <c r="O280" s="50" t="s">
        <v>3366</v>
      </c>
      <c r="P280" s="59"/>
      <c r="Q280" s="59"/>
      <c r="R280" s="13"/>
    </row>
    <row r="281" spans="1:18" ht="30" x14ac:dyDescent="0.25">
      <c r="A281" s="9" t="s">
        <v>21</v>
      </c>
      <c r="B281" s="28">
        <f>IF(ISBLANK(A281),0,INDEX(txtstylestab[],MATCH(A281,txtstylestab[style_Name],0),1))</f>
        <v>0</v>
      </c>
      <c r="C281" s="28">
        <f t="shared" si="16"/>
        <v>1</v>
      </c>
      <c r="D281" s="28">
        <f t="shared" si="17"/>
        <v>14</v>
      </c>
      <c r="E281" s="28">
        <f t="shared" si="18"/>
        <v>0</v>
      </c>
      <c r="F281" s="59" t="str">
        <f t="shared" si="19"/>
        <v/>
      </c>
      <c r="G281" s="42" t="s">
        <v>2288</v>
      </c>
      <c r="H281" s="43" t="s">
        <v>2291</v>
      </c>
      <c r="I281" s="44" t="s">
        <v>2124</v>
      </c>
      <c r="J281" s="45" t="s">
        <v>565</v>
      </c>
      <c r="K281" s="46" t="s">
        <v>566</v>
      </c>
      <c r="L281" s="47" t="s">
        <v>2596</v>
      </c>
      <c r="M281" s="48" t="s">
        <v>2600</v>
      </c>
      <c r="N281" s="49"/>
      <c r="O281" s="50" t="s">
        <v>3367</v>
      </c>
      <c r="P281" s="59"/>
      <c r="Q281" s="59"/>
      <c r="R281" s="13"/>
    </row>
    <row r="282" spans="1:18" ht="60" x14ac:dyDescent="0.25">
      <c r="A282" s="9" t="s">
        <v>21</v>
      </c>
      <c r="B282" s="28">
        <f>IF(ISBLANK(A282),0,INDEX(txtstylestab[],MATCH(A282,txtstylestab[style_Name],0),1))</f>
        <v>0</v>
      </c>
      <c r="C282" s="28">
        <f t="shared" si="16"/>
        <v>1</v>
      </c>
      <c r="D282" s="28">
        <f t="shared" si="17"/>
        <v>14</v>
      </c>
      <c r="E282" s="28">
        <f t="shared" si="18"/>
        <v>0</v>
      </c>
      <c r="F282" s="59" t="str">
        <f t="shared" si="19"/>
        <v/>
      </c>
      <c r="G282" s="42" t="s">
        <v>2289</v>
      </c>
      <c r="H282" s="43" t="s">
        <v>2292</v>
      </c>
      <c r="I282" s="44" t="s">
        <v>2125</v>
      </c>
      <c r="J282" s="45" t="s">
        <v>567</v>
      </c>
      <c r="K282" s="46" t="s">
        <v>568</v>
      </c>
      <c r="L282" s="47" t="s">
        <v>2601</v>
      </c>
      <c r="M282" s="48" t="s">
        <v>2602</v>
      </c>
      <c r="N282" s="49"/>
      <c r="O282" s="50" t="s">
        <v>3368</v>
      </c>
      <c r="P282" s="59"/>
      <c r="Q282" s="59"/>
      <c r="R282" s="13"/>
    </row>
    <row r="283" spans="1:18" ht="45" x14ac:dyDescent="0.25">
      <c r="A283" s="9" t="s">
        <v>21</v>
      </c>
      <c r="B283" s="28">
        <f>IF(ISBLANK(A283),0,INDEX(txtstylestab[],MATCH(A283,txtstylestab[style_Name],0),1))</f>
        <v>0</v>
      </c>
      <c r="C283" s="28">
        <f t="shared" si="16"/>
        <v>1</v>
      </c>
      <c r="D283" s="28">
        <f t="shared" si="17"/>
        <v>14</v>
      </c>
      <c r="E283" s="28">
        <f t="shared" si="18"/>
        <v>0</v>
      </c>
      <c r="F283" s="59" t="str">
        <f t="shared" si="19"/>
        <v/>
      </c>
      <c r="G283" s="42" t="s">
        <v>569</v>
      </c>
      <c r="H283" s="43" t="s">
        <v>570</v>
      </c>
      <c r="I283" s="44" t="s">
        <v>571</v>
      </c>
      <c r="J283" s="45" t="s">
        <v>572</v>
      </c>
      <c r="K283" s="46" t="s">
        <v>573</v>
      </c>
      <c r="L283" s="47" t="s">
        <v>2597</v>
      </c>
      <c r="M283" s="48" t="s">
        <v>2603</v>
      </c>
      <c r="N283" s="49"/>
      <c r="O283" s="50" t="s">
        <v>3369</v>
      </c>
      <c r="P283" s="59"/>
      <c r="Q283" s="59"/>
      <c r="R283" s="13"/>
    </row>
    <row r="284" spans="1:18" ht="60" x14ac:dyDescent="0.25">
      <c r="A284" s="9" t="s">
        <v>21</v>
      </c>
      <c r="B284" s="28">
        <f>IF(ISBLANK(A284),0,INDEX(txtstylestab[],MATCH(A284,txtstylestab[style_Name],0),1))</f>
        <v>0</v>
      </c>
      <c r="C284" s="28">
        <f t="shared" si="16"/>
        <v>1</v>
      </c>
      <c r="D284" s="28">
        <f t="shared" si="17"/>
        <v>14</v>
      </c>
      <c r="E284" s="28">
        <f t="shared" si="18"/>
        <v>0</v>
      </c>
      <c r="F284" s="59" t="str">
        <f t="shared" si="19"/>
        <v/>
      </c>
      <c r="G284" s="42" t="s">
        <v>574</v>
      </c>
      <c r="H284" s="43" t="s">
        <v>575</v>
      </c>
      <c r="I284" s="44" t="s">
        <v>576</v>
      </c>
      <c r="J284" s="45" t="s">
        <v>577</v>
      </c>
      <c r="K284" s="46" t="s">
        <v>578</v>
      </c>
      <c r="L284" s="47" t="s">
        <v>2598</v>
      </c>
      <c r="M284" s="48" t="s">
        <v>2604</v>
      </c>
      <c r="N284" s="49"/>
      <c r="O284" s="50" t="s">
        <v>3441</v>
      </c>
      <c r="P284" s="59"/>
      <c r="Q284" s="59"/>
      <c r="R284" s="13"/>
    </row>
    <row r="285" spans="1:18" ht="120" x14ac:dyDescent="0.25">
      <c r="A285" s="9" t="s">
        <v>21</v>
      </c>
      <c r="B285" s="28">
        <f>IF(ISBLANK(A285),0,INDEX(txtstylestab[],MATCH(A285,txtstylestab[style_Name],0),1))</f>
        <v>0</v>
      </c>
      <c r="C285" s="28">
        <f t="shared" si="16"/>
        <v>1</v>
      </c>
      <c r="D285" s="28">
        <f t="shared" si="17"/>
        <v>14</v>
      </c>
      <c r="E285" s="28">
        <f t="shared" si="18"/>
        <v>0</v>
      </c>
      <c r="F285" s="59" t="str">
        <f t="shared" si="19"/>
        <v/>
      </c>
      <c r="G285" s="42" t="s">
        <v>579</v>
      </c>
      <c r="H285" s="43" t="s">
        <v>1603</v>
      </c>
      <c r="I285" s="44" t="s">
        <v>580</v>
      </c>
      <c r="J285" s="45" t="s">
        <v>581</v>
      </c>
      <c r="K285" s="46" t="s">
        <v>582</v>
      </c>
      <c r="L285" s="47" t="s">
        <v>2605</v>
      </c>
      <c r="M285" s="48" t="s">
        <v>2606</v>
      </c>
      <c r="N285" s="49"/>
      <c r="O285" s="50" t="s">
        <v>3370</v>
      </c>
      <c r="P285" s="59"/>
      <c r="Q285" s="59"/>
      <c r="R285" s="13"/>
    </row>
    <row r="286" spans="1:18" ht="30" x14ac:dyDescent="0.25">
      <c r="A286" s="9" t="s">
        <v>21</v>
      </c>
      <c r="B286" s="28">
        <f>IF(ISBLANK(A286),0,INDEX(txtstylestab[],MATCH(A286,txtstylestab[style_Name],0),1))</f>
        <v>0</v>
      </c>
      <c r="C286" s="28">
        <f t="shared" si="16"/>
        <v>1</v>
      </c>
      <c r="D286" s="28">
        <f t="shared" si="17"/>
        <v>14</v>
      </c>
      <c r="E286" s="28">
        <f t="shared" si="18"/>
        <v>0</v>
      </c>
      <c r="F286" s="59" t="str">
        <f t="shared" si="19"/>
        <v/>
      </c>
      <c r="G286" s="42" t="s">
        <v>561</v>
      </c>
      <c r="H286" s="43" t="s">
        <v>26</v>
      </c>
      <c r="I286" s="44" t="s">
        <v>48</v>
      </c>
      <c r="J286" s="45" t="s">
        <v>54</v>
      </c>
      <c r="K286" s="46" t="s">
        <v>59</v>
      </c>
      <c r="L286" s="47" t="s">
        <v>2524</v>
      </c>
      <c r="M286" s="48" t="s">
        <v>2525</v>
      </c>
      <c r="N286" s="49"/>
      <c r="O286" s="50" t="s">
        <v>3168</v>
      </c>
      <c r="P286" s="59"/>
      <c r="Q286" s="59"/>
      <c r="R286" s="13"/>
    </row>
    <row r="287" spans="1:18" ht="18" thickBot="1" x14ac:dyDescent="0.35">
      <c r="A287" s="9" t="s">
        <v>11</v>
      </c>
      <c r="B287" s="28">
        <f>IF(ISBLANK(A287),0,INDEX(txtstylestab[],MATCH(A287,txtstylestab[style_Name],0),1))</f>
        <v>2</v>
      </c>
      <c r="C287" s="28">
        <f t="shared" si="16"/>
        <v>1</v>
      </c>
      <c r="D287" s="28">
        <f t="shared" si="17"/>
        <v>15</v>
      </c>
      <c r="E287" s="28">
        <f t="shared" si="18"/>
        <v>0</v>
      </c>
      <c r="F287" s="54" t="str">
        <f t="shared" si="19"/>
        <v>1.15.</v>
      </c>
      <c r="G287" s="54" t="s">
        <v>583</v>
      </c>
      <c r="H287" s="54"/>
      <c r="I287" s="54"/>
      <c r="J287" s="54"/>
      <c r="K287" s="54"/>
      <c r="L287" s="54"/>
      <c r="M287" s="54"/>
      <c r="N287" s="54"/>
      <c r="O287" s="54"/>
      <c r="P287" s="54"/>
      <c r="Q287" s="54"/>
      <c r="R287" s="13"/>
    </row>
    <row r="288" spans="1:18" ht="15.75" thickTop="1" x14ac:dyDescent="0.25">
      <c r="A288" s="9" t="s">
        <v>22</v>
      </c>
      <c r="B288" s="28">
        <f>IF(ISBLANK(A288),0,INDEX(txtstylestab[],MATCH(A288,txtstylestab[style_Name],0),1))</f>
        <v>4</v>
      </c>
      <c r="C288" s="28">
        <f t="shared" si="16"/>
        <v>1</v>
      </c>
      <c r="D288" s="28">
        <f t="shared" si="17"/>
        <v>15</v>
      </c>
      <c r="E288" s="28">
        <f t="shared" si="18"/>
        <v>0</v>
      </c>
      <c r="F288" s="56" t="str">
        <f t="shared" si="19"/>
        <v/>
      </c>
      <c r="G288" s="53" t="s">
        <v>1837</v>
      </c>
      <c r="H288" s="53"/>
      <c r="I288" s="53"/>
      <c r="J288" s="53"/>
      <c r="K288" s="53"/>
      <c r="L288" s="53"/>
      <c r="M288" s="53"/>
      <c r="N288" s="53"/>
      <c r="O288" s="53"/>
      <c r="P288" s="53"/>
      <c r="Q288" s="53"/>
      <c r="R288" s="13"/>
    </row>
    <row r="289" spans="1:18" x14ac:dyDescent="0.25">
      <c r="A289" s="9" t="s">
        <v>21</v>
      </c>
      <c r="B289" s="28">
        <f>IF(ISBLANK(A289),0,INDEX(txtstylestab[],MATCH(A289,txtstylestab[style_Name],0),1))</f>
        <v>0</v>
      </c>
      <c r="C289" s="28">
        <f t="shared" si="16"/>
        <v>1</v>
      </c>
      <c r="D289" s="28">
        <f t="shared" si="17"/>
        <v>15</v>
      </c>
      <c r="E289" s="28">
        <f t="shared" si="18"/>
        <v>0</v>
      </c>
      <c r="F289" s="59" t="str">
        <f t="shared" si="19"/>
        <v/>
      </c>
      <c r="G289" s="42" t="s">
        <v>82</v>
      </c>
      <c r="H289" s="43" t="s">
        <v>83</v>
      </c>
      <c r="I289" s="44" t="s">
        <v>84</v>
      </c>
      <c r="J289" s="45" t="s">
        <v>85</v>
      </c>
      <c r="K289" s="46" t="s">
        <v>86</v>
      </c>
      <c r="L289" s="47" t="s">
        <v>2397</v>
      </c>
      <c r="M289" s="48" t="s">
        <v>2539</v>
      </c>
      <c r="N289" s="49"/>
      <c r="O289" s="50" t="s">
        <v>3359</v>
      </c>
      <c r="P289" s="50"/>
      <c r="Q289" s="59"/>
      <c r="R289" s="13"/>
    </row>
    <row r="290" spans="1:18" ht="150" x14ac:dyDescent="0.25">
      <c r="A290" s="9" t="s">
        <v>21</v>
      </c>
      <c r="B290" s="28">
        <f>IF(ISBLANK(A290),0,INDEX(txtstylestab[],MATCH(A290,txtstylestab[style_Name],0),1))</f>
        <v>0</v>
      </c>
      <c r="C290" s="28">
        <f t="shared" si="16"/>
        <v>1</v>
      </c>
      <c r="D290" s="28">
        <f t="shared" si="17"/>
        <v>15</v>
      </c>
      <c r="E290" s="28">
        <f t="shared" si="18"/>
        <v>0</v>
      </c>
      <c r="F290" s="59" t="str">
        <f t="shared" si="19"/>
        <v/>
      </c>
      <c r="G290" s="42" t="s">
        <v>584</v>
      </c>
      <c r="H290" s="43" t="s">
        <v>2226</v>
      </c>
      <c r="I290" s="44" t="s">
        <v>2249</v>
      </c>
      <c r="J290" s="45" t="s">
        <v>585</v>
      </c>
      <c r="K290" s="46" t="s">
        <v>1717</v>
      </c>
      <c r="L290" s="47" t="s">
        <v>2607</v>
      </c>
      <c r="M290" s="48" t="s">
        <v>2608</v>
      </c>
      <c r="N290" s="49"/>
      <c r="O290" s="50" t="s">
        <v>3371</v>
      </c>
      <c r="P290" s="59"/>
      <c r="Q290" s="59"/>
      <c r="R290" s="13"/>
    </row>
    <row r="291" spans="1:18" ht="90" x14ac:dyDescent="0.25">
      <c r="A291" s="9" t="s">
        <v>21</v>
      </c>
      <c r="B291" s="28">
        <f>IF(ISBLANK(A291),0,INDEX(txtstylestab[],MATCH(A291,txtstylestab[style_Name],0),1))</f>
        <v>0</v>
      </c>
      <c r="C291" s="28">
        <f t="shared" si="16"/>
        <v>1</v>
      </c>
      <c r="D291" s="28">
        <f t="shared" si="17"/>
        <v>15</v>
      </c>
      <c r="E291" s="28">
        <f t="shared" si="18"/>
        <v>0</v>
      </c>
      <c r="F291" s="59" t="str">
        <f t="shared" si="19"/>
        <v/>
      </c>
      <c r="G291" s="42" t="s">
        <v>586</v>
      </c>
      <c r="H291" s="43" t="s">
        <v>587</v>
      </c>
      <c r="I291" s="44" t="s">
        <v>2250</v>
      </c>
      <c r="J291" s="45" t="s">
        <v>588</v>
      </c>
      <c r="K291" s="46" t="s">
        <v>589</v>
      </c>
      <c r="L291" s="47" t="s">
        <v>2609</v>
      </c>
      <c r="M291" s="48" t="s">
        <v>2610</v>
      </c>
      <c r="N291" s="49"/>
      <c r="O291" s="50" t="s">
        <v>3372</v>
      </c>
      <c r="P291" s="59"/>
      <c r="Q291" s="59"/>
      <c r="R291" s="13"/>
    </row>
    <row r="292" spans="1:18" ht="75" x14ac:dyDescent="0.25">
      <c r="A292" s="9" t="s">
        <v>21</v>
      </c>
      <c r="B292" s="28">
        <f>IF(ISBLANK(A292),0,INDEX(txtstylestab[],MATCH(A292,txtstylestab[style_Name],0),1))</f>
        <v>0</v>
      </c>
      <c r="C292" s="28">
        <f t="shared" si="16"/>
        <v>1</v>
      </c>
      <c r="D292" s="28">
        <f t="shared" si="17"/>
        <v>15</v>
      </c>
      <c r="E292" s="28">
        <f t="shared" si="18"/>
        <v>0</v>
      </c>
      <c r="F292" s="59" t="str">
        <f t="shared" si="19"/>
        <v/>
      </c>
      <c r="G292" s="42" t="s">
        <v>590</v>
      </c>
      <c r="H292" s="43" t="s">
        <v>591</v>
      </c>
      <c r="I292" s="44" t="s">
        <v>592</v>
      </c>
      <c r="J292" s="45" t="s">
        <v>593</v>
      </c>
      <c r="K292" s="46" t="s">
        <v>594</v>
      </c>
      <c r="L292" s="47" t="s">
        <v>2611</v>
      </c>
      <c r="M292" s="48" t="s">
        <v>2612</v>
      </c>
      <c r="N292" s="49"/>
      <c r="O292" s="50" t="s">
        <v>3373</v>
      </c>
      <c r="P292" s="59"/>
      <c r="Q292" s="59"/>
      <c r="R292" s="13"/>
    </row>
    <row r="293" spans="1:18" x14ac:dyDescent="0.25">
      <c r="A293" s="9" t="s">
        <v>21</v>
      </c>
      <c r="B293" s="28">
        <f>IF(ISBLANK(A293),0,INDEX(txtstylestab[],MATCH(A293,txtstylestab[style_Name],0),1))</f>
        <v>0</v>
      </c>
      <c r="C293" s="28">
        <f t="shared" si="16"/>
        <v>1</v>
      </c>
      <c r="D293" s="28">
        <f t="shared" si="17"/>
        <v>15</v>
      </c>
      <c r="E293" s="28">
        <f t="shared" si="18"/>
        <v>0</v>
      </c>
      <c r="F293" s="59" t="str">
        <f t="shared" si="19"/>
        <v/>
      </c>
      <c r="G293" s="42" t="s">
        <v>6</v>
      </c>
      <c r="H293" s="43" t="s">
        <v>96</v>
      </c>
      <c r="I293" s="44" t="s">
        <v>48</v>
      </c>
      <c r="J293" s="45" t="s">
        <v>54</v>
      </c>
      <c r="K293" s="46" t="s">
        <v>59</v>
      </c>
      <c r="L293" s="47" t="s">
        <v>2524</v>
      </c>
      <c r="M293" s="48" t="s">
        <v>2525</v>
      </c>
      <c r="N293" s="49"/>
      <c r="O293" s="50" t="s">
        <v>3168</v>
      </c>
      <c r="P293" s="50"/>
      <c r="Q293" s="59"/>
      <c r="R293" s="13"/>
    </row>
    <row r="294" spans="1:18" ht="18" thickBot="1" x14ac:dyDescent="0.35">
      <c r="A294" s="9" t="s">
        <v>11</v>
      </c>
      <c r="B294" s="28">
        <f>IF(ISBLANK(A294),0,INDEX(txtstylestab[],MATCH(A294,txtstylestab[style_Name],0),1))</f>
        <v>2</v>
      </c>
      <c r="C294" s="28">
        <f t="shared" si="16"/>
        <v>1</v>
      </c>
      <c r="D294" s="28">
        <f t="shared" si="17"/>
        <v>16</v>
      </c>
      <c r="E294" s="28">
        <f t="shared" si="18"/>
        <v>0</v>
      </c>
      <c r="F294" s="54" t="str">
        <f t="shared" si="19"/>
        <v>1.16.</v>
      </c>
      <c r="G294" s="54" t="s">
        <v>595</v>
      </c>
      <c r="H294" s="54"/>
      <c r="I294" s="54"/>
      <c r="J294" s="54"/>
      <c r="K294" s="54"/>
      <c r="L294" s="54"/>
      <c r="M294" s="54"/>
      <c r="N294" s="54"/>
      <c r="O294" s="54"/>
      <c r="P294" s="54"/>
      <c r="Q294" s="54"/>
      <c r="R294" s="13"/>
    </row>
    <row r="295" spans="1:18" ht="15.75" thickTop="1" x14ac:dyDescent="0.25">
      <c r="A295" s="9" t="s">
        <v>22</v>
      </c>
      <c r="B295" s="28">
        <f>IF(ISBLANK(A295),0,INDEX(txtstylestab[],MATCH(A295,txtstylestab[style_Name],0),1))</f>
        <v>4</v>
      </c>
      <c r="C295" s="28">
        <f t="shared" si="16"/>
        <v>1</v>
      </c>
      <c r="D295" s="28">
        <f t="shared" si="17"/>
        <v>16</v>
      </c>
      <c r="E295" s="28">
        <f t="shared" si="18"/>
        <v>0</v>
      </c>
      <c r="F295" s="56" t="str">
        <f t="shared" si="19"/>
        <v/>
      </c>
      <c r="G295" s="53" t="s">
        <v>596</v>
      </c>
      <c r="H295" s="53"/>
      <c r="I295" s="53"/>
      <c r="J295" s="53"/>
      <c r="K295" s="53"/>
      <c r="L295" s="53"/>
      <c r="M295" s="53"/>
      <c r="N295" s="53"/>
      <c r="O295" s="53"/>
      <c r="P295" s="53"/>
      <c r="Q295" s="53"/>
      <c r="R295" s="13"/>
    </row>
    <row r="296" spans="1:18" x14ac:dyDescent="0.25">
      <c r="A296" s="9" t="s">
        <v>21</v>
      </c>
      <c r="B296" s="28">
        <f>IF(ISBLANK(A296),0,INDEX(txtstylestab[],MATCH(A296,txtstylestab[style_Name],0),1))</f>
        <v>0</v>
      </c>
      <c r="C296" s="28">
        <f t="shared" si="16"/>
        <v>1</v>
      </c>
      <c r="D296" s="28">
        <f t="shared" si="17"/>
        <v>16</v>
      </c>
      <c r="E296" s="28">
        <f t="shared" si="18"/>
        <v>0</v>
      </c>
      <c r="F296" s="59" t="str">
        <f t="shared" si="19"/>
        <v/>
      </c>
      <c r="G296" s="42" t="s">
        <v>82</v>
      </c>
      <c r="H296" s="43" t="s">
        <v>83</v>
      </c>
      <c r="I296" s="44" t="s">
        <v>84</v>
      </c>
      <c r="J296" s="45" t="s">
        <v>85</v>
      </c>
      <c r="K296" s="46" t="s">
        <v>86</v>
      </c>
      <c r="L296" s="47" t="s">
        <v>2397</v>
      </c>
      <c r="M296" s="48" t="s">
        <v>2539</v>
      </c>
      <c r="N296" s="49"/>
      <c r="O296" s="50" t="s">
        <v>3359</v>
      </c>
      <c r="P296" s="50"/>
      <c r="Q296" s="59"/>
      <c r="R296" s="13"/>
    </row>
    <row r="297" spans="1:18" ht="60" x14ac:dyDescent="0.25">
      <c r="A297" s="9" t="s">
        <v>21</v>
      </c>
      <c r="B297" s="28">
        <f>IF(ISBLANK(A297),0,INDEX(txtstylestab[],MATCH(A297,txtstylestab[style_Name],0),1))</f>
        <v>0</v>
      </c>
      <c r="C297" s="28">
        <f t="shared" si="16"/>
        <v>1</v>
      </c>
      <c r="D297" s="28">
        <f t="shared" si="17"/>
        <v>16</v>
      </c>
      <c r="E297" s="28">
        <f t="shared" si="18"/>
        <v>0</v>
      </c>
      <c r="F297" s="59" t="str">
        <f t="shared" si="19"/>
        <v/>
      </c>
      <c r="G297" s="42" t="s">
        <v>2293</v>
      </c>
      <c r="H297" s="43" t="s">
        <v>2294</v>
      </c>
      <c r="I297" s="44" t="s">
        <v>2295</v>
      </c>
      <c r="J297" s="45" t="s">
        <v>2296</v>
      </c>
      <c r="K297" s="46" t="s">
        <v>2297</v>
      </c>
      <c r="L297" s="47" t="s">
        <v>2613</v>
      </c>
      <c r="M297" s="48" t="s">
        <v>2614</v>
      </c>
      <c r="N297" s="49"/>
      <c r="O297" s="50" t="s">
        <v>3374</v>
      </c>
      <c r="P297" s="59"/>
      <c r="Q297" s="59"/>
      <c r="R297" s="13"/>
    </row>
    <row r="298" spans="1:18" ht="75" x14ac:dyDescent="0.25">
      <c r="A298" s="9" t="s">
        <v>21</v>
      </c>
      <c r="B298" s="28">
        <f>IF(ISBLANK(A298),0,INDEX(txtstylestab[],MATCH(A298,txtstylestab[style_Name],0),1))</f>
        <v>0</v>
      </c>
      <c r="C298" s="28">
        <f t="shared" si="16"/>
        <v>1</v>
      </c>
      <c r="D298" s="28">
        <f t="shared" si="17"/>
        <v>16</v>
      </c>
      <c r="E298" s="28">
        <f t="shared" si="18"/>
        <v>0</v>
      </c>
      <c r="F298" s="59" t="str">
        <f t="shared" si="19"/>
        <v/>
      </c>
      <c r="G298" s="42" t="s">
        <v>597</v>
      </c>
      <c r="H298" s="43" t="s">
        <v>2145</v>
      </c>
      <c r="I298" s="44" t="s">
        <v>2251</v>
      </c>
      <c r="J298" s="45" t="s">
        <v>598</v>
      </c>
      <c r="K298" s="46" t="s">
        <v>599</v>
      </c>
      <c r="L298" s="47" t="s">
        <v>2615</v>
      </c>
      <c r="M298" s="48" t="s">
        <v>2616</v>
      </c>
      <c r="N298" s="49"/>
      <c r="O298" s="50" t="s">
        <v>3375</v>
      </c>
      <c r="P298" s="59"/>
      <c r="Q298" s="59"/>
      <c r="R298" s="13"/>
    </row>
    <row r="299" spans="1:18" x14ac:dyDescent="0.25">
      <c r="A299" s="9" t="s">
        <v>21</v>
      </c>
      <c r="B299" s="28">
        <f>IF(ISBLANK(A299),0,INDEX(txtstylestab[],MATCH(A299,txtstylestab[style_Name],0),1))</f>
        <v>0</v>
      </c>
      <c r="C299" s="28">
        <f t="shared" si="16"/>
        <v>1</v>
      </c>
      <c r="D299" s="28">
        <f t="shared" si="17"/>
        <v>16</v>
      </c>
      <c r="E299" s="28">
        <f t="shared" si="18"/>
        <v>0</v>
      </c>
      <c r="F299" s="59" t="str">
        <f t="shared" si="19"/>
        <v/>
      </c>
      <c r="G299" s="42" t="s">
        <v>6</v>
      </c>
      <c r="H299" s="43" t="s">
        <v>26</v>
      </c>
      <c r="I299" s="44" t="s">
        <v>48</v>
      </c>
      <c r="J299" s="45" t="s">
        <v>54</v>
      </c>
      <c r="K299" s="46" t="s">
        <v>59</v>
      </c>
      <c r="L299" s="47" t="s">
        <v>2524</v>
      </c>
      <c r="M299" s="48" t="s">
        <v>2525</v>
      </c>
      <c r="N299" s="49"/>
      <c r="O299" s="50" t="s">
        <v>3168</v>
      </c>
      <c r="P299" s="50"/>
      <c r="Q299" s="59"/>
      <c r="R299" s="13"/>
    </row>
    <row r="300" spans="1:18" ht="15.75" thickBot="1" x14ac:dyDescent="0.3">
      <c r="A300" s="9" t="s">
        <v>12</v>
      </c>
      <c r="B300" s="28">
        <f>IF(ISBLANK(A300),0,INDEX(txtstylestab[],MATCH(A300,txtstylestab[style_Name],0),1))</f>
        <v>3</v>
      </c>
      <c r="C300" s="28">
        <f t="shared" si="16"/>
        <v>1</v>
      </c>
      <c r="D300" s="28">
        <f t="shared" si="17"/>
        <v>16</v>
      </c>
      <c r="E300" s="28">
        <f t="shared" si="18"/>
        <v>1</v>
      </c>
      <c r="F300" s="55" t="str">
        <f t="shared" si="19"/>
        <v>1.16.1.</v>
      </c>
      <c r="G300" s="55" t="s">
        <v>600</v>
      </c>
      <c r="H300" s="55"/>
      <c r="I300" s="55"/>
      <c r="J300" s="55"/>
      <c r="K300" s="55"/>
      <c r="L300" s="55"/>
      <c r="M300" s="55"/>
      <c r="N300" s="55"/>
      <c r="O300" s="55"/>
      <c r="P300" s="55"/>
      <c r="Q300" s="55"/>
      <c r="R300" s="13"/>
    </row>
    <row r="301" spans="1:18" x14ac:dyDescent="0.25">
      <c r="A301" s="9" t="s">
        <v>21</v>
      </c>
      <c r="B301" s="28">
        <f>IF(ISBLANK(A301),0,INDEX(txtstylestab[],MATCH(A301,txtstylestab[style_Name],0),1))</f>
        <v>0</v>
      </c>
      <c r="C301" s="28">
        <f t="shared" si="16"/>
        <v>1</v>
      </c>
      <c r="D301" s="28">
        <f t="shared" si="17"/>
        <v>16</v>
      </c>
      <c r="E301" s="28">
        <f t="shared" si="18"/>
        <v>1</v>
      </c>
      <c r="F301" s="59" t="str">
        <f t="shared" si="19"/>
        <v/>
      </c>
      <c r="G301" s="42" t="s">
        <v>82</v>
      </c>
      <c r="H301" s="43" t="s">
        <v>83</v>
      </c>
      <c r="I301" s="44" t="s">
        <v>84</v>
      </c>
      <c r="J301" s="45" t="s">
        <v>85</v>
      </c>
      <c r="K301" s="46" t="s">
        <v>86</v>
      </c>
      <c r="L301" s="47" t="s">
        <v>2397</v>
      </c>
      <c r="M301" s="48" t="s">
        <v>2539</v>
      </c>
      <c r="N301" s="49"/>
      <c r="O301" s="50" t="s">
        <v>3359</v>
      </c>
      <c r="P301" s="50"/>
      <c r="Q301" s="59"/>
      <c r="R301" s="13"/>
    </row>
    <row r="302" spans="1:18" ht="90" x14ac:dyDescent="0.25">
      <c r="A302" s="9" t="s">
        <v>21</v>
      </c>
      <c r="B302" s="28">
        <f>IF(ISBLANK(A302),0,INDEX(txtstylestab[],MATCH(A302,txtstylestab[style_Name],0),1))</f>
        <v>0</v>
      </c>
      <c r="C302" s="28">
        <f t="shared" si="16"/>
        <v>1</v>
      </c>
      <c r="D302" s="28">
        <f t="shared" si="17"/>
        <v>16</v>
      </c>
      <c r="E302" s="28">
        <f t="shared" si="18"/>
        <v>1</v>
      </c>
      <c r="F302" s="59" t="str">
        <f t="shared" si="19"/>
        <v/>
      </c>
      <c r="G302" s="42" t="s">
        <v>601</v>
      </c>
      <c r="H302" s="43" t="s">
        <v>602</v>
      </c>
      <c r="I302" s="44" t="s">
        <v>603</v>
      </c>
      <c r="J302" s="45" t="s">
        <v>604</v>
      </c>
      <c r="K302" s="46" t="s">
        <v>605</v>
      </c>
      <c r="L302" s="47" t="s">
        <v>2617</v>
      </c>
      <c r="M302" s="48" t="s">
        <v>2618</v>
      </c>
      <c r="N302" s="49"/>
      <c r="O302" s="50" t="s">
        <v>3376</v>
      </c>
      <c r="P302" s="59"/>
      <c r="Q302" s="59"/>
      <c r="R302" s="13"/>
    </row>
    <row r="303" spans="1:18" x14ac:dyDescent="0.25">
      <c r="A303" s="9" t="s">
        <v>21</v>
      </c>
      <c r="B303" s="28">
        <f>IF(ISBLANK(A303),0,INDEX(txtstylestab[],MATCH(A303,txtstylestab[style_Name],0),1))</f>
        <v>0</v>
      </c>
      <c r="C303" s="28">
        <f t="shared" si="16"/>
        <v>1</v>
      </c>
      <c r="D303" s="28">
        <f t="shared" si="17"/>
        <v>16</v>
      </c>
      <c r="E303" s="28">
        <f t="shared" si="18"/>
        <v>1</v>
      </c>
      <c r="F303" s="59" t="str">
        <f t="shared" si="19"/>
        <v/>
      </c>
      <c r="G303" s="42" t="s">
        <v>6</v>
      </c>
      <c r="H303" s="43" t="s">
        <v>26</v>
      </c>
      <c r="I303" s="44" t="s">
        <v>48</v>
      </c>
      <c r="J303" s="45" t="s">
        <v>54</v>
      </c>
      <c r="K303" s="46" t="s">
        <v>59</v>
      </c>
      <c r="L303" s="47" t="s">
        <v>2524</v>
      </c>
      <c r="M303" s="48" t="s">
        <v>2525</v>
      </c>
      <c r="N303" s="49"/>
      <c r="O303" s="50" t="s">
        <v>3168</v>
      </c>
      <c r="P303" s="50"/>
      <c r="Q303" s="59"/>
      <c r="R303" s="13"/>
    </row>
    <row r="304" spans="1:18" ht="15.75" thickBot="1" x14ac:dyDescent="0.3">
      <c r="A304" s="9" t="s">
        <v>12</v>
      </c>
      <c r="B304" s="28">
        <f>IF(ISBLANK(A304),0,INDEX(txtstylestab[],MATCH(A304,txtstylestab[style_Name],0),1))</f>
        <v>3</v>
      </c>
      <c r="C304" s="28">
        <f t="shared" si="16"/>
        <v>1</v>
      </c>
      <c r="D304" s="28">
        <f t="shared" si="17"/>
        <v>16</v>
      </c>
      <c r="E304" s="28">
        <f t="shared" si="18"/>
        <v>2</v>
      </c>
      <c r="F304" s="55" t="str">
        <f t="shared" si="19"/>
        <v>1.16.2.</v>
      </c>
      <c r="G304" s="55" t="s">
        <v>606</v>
      </c>
      <c r="H304" s="55"/>
      <c r="I304" s="55"/>
      <c r="J304" s="55"/>
      <c r="K304" s="55"/>
      <c r="L304" s="55"/>
      <c r="M304" s="55"/>
      <c r="N304" s="55"/>
      <c r="O304" s="55"/>
      <c r="P304" s="55"/>
      <c r="Q304" s="55"/>
      <c r="R304" s="13"/>
    </row>
    <row r="305" spans="1:18" x14ac:dyDescent="0.25">
      <c r="A305" s="9" t="s">
        <v>21</v>
      </c>
      <c r="B305" s="28">
        <f>IF(ISBLANK(A305),0,INDEX(txtstylestab[],MATCH(A305,txtstylestab[style_Name],0),1))</f>
        <v>0</v>
      </c>
      <c r="C305" s="28">
        <f t="shared" si="16"/>
        <v>1</v>
      </c>
      <c r="D305" s="28">
        <f t="shared" si="17"/>
        <v>16</v>
      </c>
      <c r="E305" s="28">
        <f t="shared" si="18"/>
        <v>2</v>
      </c>
      <c r="F305" s="59" t="str">
        <f t="shared" si="19"/>
        <v/>
      </c>
      <c r="G305" s="42" t="s">
        <v>82</v>
      </c>
      <c r="H305" s="43" t="s">
        <v>83</v>
      </c>
      <c r="I305" s="44" t="s">
        <v>84</v>
      </c>
      <c r="J305" s="45" t="s">
        <v>85</v>
      </c>
      <c r="K305" s="46" t="s">
        <v>86</v>
      </c>
      <c r="L305" s="47" t="s">
        <v>2397</v>
      </c>
      <c r="M305" s="48" t="s">
        <v>2539</v>
      </c>
      <c r="N305" s="49"/>
      <c r="O305" s="50" t="s">
        <v>3359</v>
      </c>
      <c r="P305" s="50"/>
      <c r="Q305" s="59"/>
      <c r="R305" s="13"/>
    </row>
    <row r="306" spans="1:18" ht="60" x14ac:dyDescent="0.25">
      <c r="A306" s="9" t="s">
        <v>21</v>
      </c>
      <c r="B306" s="28">
        <f>IF(ISBLANK(A306),0,INDEX(txtstylestab[],MATCH(A306,txtstylestab[style_Name],0),1))</f>
        <v>0</v>
      </c>
      <c r="C306" s="28">
        <f t="shared" si="16"/>
        <v>1</v>
      </c>
      <c r="D306" s="28">
        <f t="shared" si="17"/>
        <v>16</v>
      </c>
      <c r="E306" s="28">
        <f t="shared" si="18"/>
        <v>2</v>
      </c>
      <c r="F306" s="59" t="str">
        <f t="shared" si="19"/>
        <v/>
      </c>
      <c r="G306" s="42" t="s">
        <v>607</v>
      </c>
      <c r="H306" s="43" t="s">
        <v>608</v>
      </c>
      <c r="I306" s="44" t="s">
        <v>609</v>
      </c>
      <c r="J306" s="45" t="s">
        <v>1621</v>
      </c>
      <c r="K306" s="46" t="s">
        <v>610</v>
      </c>
      <c r="L306" s="47" t="s">
        <v>2619</v>
      </c>
      <c r="M306" s="48" t="s">
        <v>2620</v>
      </c>
      <c r="N306" s="49"/>
      <c r="O306" s="50" t="s">
        <v>3377</v>
      </c>
      <c r="P306" s="59"/>
      <c r="Q306" s="59"/>
      <c r="R306" s="13"/>
    </row>
    <row r="307" spans="1:18" ht="90" x14ac:dyDescent="0.25">
      <c r="A307" s="9" t="s">
        <v>21</v>
      </c>
      <c r="B307" s="28">
        <f>IF(ISBLANK(A307),0,INDEX(txtstylestab[],MATCH(A307,txtstylestab[style_Name],0),1))</f>
        <v>0</v>
      </c>
      <c r="C307" s="28">
        <f t="shared" si="16"/>
        <v>1</v>
      </c>
      <c r="D307" s="28">
        <f t="shared" si="17"/>
        <v>16</v>
      </c>
      <c r="E307" s="28">
        <f t="shared" si="18"/>
        <v>2</v>
      </c>
      <c r="F307" s="59" t="str">
        <f t="shared" si="19"/>
        <v/>
      </c>
      <c r="G307" s="42" t="s">
        <v>611</v>
      </c>
      <c r="H307" s="43" t="s">
        <v>612</v>
      </c>
      <c r="I307" s="44" t="s">
        <v>613</v>
      </c>
      <c r="J307" s="45" t="s">
        <v>614</v>
      </c>
      <c r="K307" s="46" t="s">
        <v>2302</v>
      </c>
      <c r="L307" s="47" t="s">
        <v>2621</v>
      </c>
      <c r="M307" s="48" t="s">
        <v>2622</v>
      </c>
      <c r="N307" s="49"/>
      <c r="O307" s="50" t="s">
        <v>3378</v>
      </c>
      <c r="P307" s="59"/>
      <c r="Q307" s="59"/>
      <c r="R307" s="13"/>
    </row>
    <row r="308" spans="1:18" x14ac:dyDescent="0.25">
      <c r="A308" s="9" t="s">
        <v>21</v>
      </c>
      <c r="B308" s="28">
        <f>IF(ISBLANK(A308),0,INDEX(txtstylestab[],MATCH(A308,txtstylestab[style_Name],0),1))</f>
        <v>0</v>
      </c>
      <c r="C308" s="28">
        <f t="shared" si="16"/>
        <v>1</v>
      </c>
      <c r="D308" s="28">
        <f t="shared" si="17"/>
        <v>16</v>
      </c>
      <c r="E308" s="28">
        <f t="shared" si="18"/>
        <v>2</v>
      </c>
      <c r="F308" s="59" t="str">
        <f t="shared" si="19"/>
        <v/>
      </c>
      <c r="G308" s="42" t="s">
        <v>6</v>
      </c>
      <c r="H308" s="43" t="s">
        <v>26</v>
      </c>
      <c r="I308" s="44" t="s">
        <v>48</v>
      </c>
      <c r="J308" s="45" t="s">
        <v>54</v>
      </c>
      <c r="K308" s="46" t="s">
        <v>59</v>
      </c>
      <c r="L308" s="47" t="s">
        <v>2524</v>
      </c>
      <c r="M308" s="48" t="s">
        <v>2525</v>
      </c>
      <c r="N308" s="49"/>
      <c r="O308" s="50" t="s">
        <v>3168</v>
      </c>
      <c r="P308" s="50"/>
      <c r="Q308" s="59"/>
      <c r="R308" s="13"/>
    </row>
    <row r="309" spans="1:18" ht="18" thickBot="1" x14ac:dyDescent="0.35">
      <c r="A309" s="9" t="s">
        <v>11</v>
      </c>
      <c r="B309" s="28">
        <f>IF(ISBLANK(A309),0,INDEX(txtstylestab[],MATCH(A309,txtstylestab[style_Name],0),1))</f>
        <v>2</v>
      </c>
      <c r="C309" s="28">
        <f t="shared" si="16"/>
        <v>1</v>
      </c>
      <c r="D309" s="28">
        <f t="shared" si="17"/>
        <v>17</v>
      </c>
      <c r="E309" s="28">
        <f t="shared" si="18"/>
        <v>0</v>
      </c>
      <c r="F309" s="54" t="str">
        <f t="shared" si="19"/>
        <v>1.17.</v>
      </c>
      <c r="G309" s="54" t="s">
        <v>615</v>
      </c>
      <c r="H309" s="54"/>
      <c r="I309" s="54"/>
      <c r="J309" s="54"/>
      <c r="K309" s="54"/>
      <c r="L309" s="54"/>
      <c r="M309" s="54"/>
      <c r="N309" s="54"/>
      <c r="O309" s="54"/>
      <c r="P309" s="54"/>
      <c r="Q309" s="54"/>
      <c r="R309" s="13"/>
    </row>
    <row r="310" spans="1:18" ht="60.75" thickTop="1" x14ac:dyDescent="0.25">
      <c r="A310" s="9" t="s">
        <v>21</v>
      </c>
      <c r="B310" s="28">
        <f>IF(ISBLANK(A310),0,INDEX(txtstylestab[],MATCH(A310,txtstylestab[style_Name],0),1))</f>
        <v>0</v>
      </c>
      <c r="C310" s="28">
        <f t="shared" si="16"/>
        <v>1</v>
      </c>
      <c r="D310" s="28">
        <f t="shared" si="17"/>
        <v>17</v>
      </c>
      <c r="E310" s="28">
        <f t="shared" si="18"/>
        <v>0</v>
      </c>
      <c r="F310" s="59" t="str">
        <f t="shared" si="19"/>
        <v/>
      </c>
      <c r="G310" s="42" t="s">
        <v>617</v>
      </c>
      <c r="H310" s="43" t="s">
        <v>616</v>
      </c>
      <c r="I310" s="44" t="s">
        <v>618</v>
      </c>
      <c r="J310" s="45" t="s">
        <v>619</v>
      </c>
      <c r="K310" s="46" t="s">
        <v>60</v>
      </c>
      <c r="L310" s="47" t="s">
        <v>2623</v>
      </c>
      <c r="M310" s="48" t="s">
        <v>2624</v>
      </c>
      <c r="N310" s="49"/>
      <c r="O310" s="50" t="s">
        <v>3379</v>
      </c>
      <c r="P310" s="59"/>
      <c r="Q310" s="59"/>
      <c r="R310" s="13"/>
    </row>
    <row r="311" spans="1:18" ht="45" x14ac:dyDescent="0.25">
      <c r="A311" s="9" t="s">
        <v>21</v>
      </c>
      <c r="B311" s="28">
        <f>IF(ISBLANK(A311),0,INDEX(txtstylestab[],MATCH(A311,txtstylestab[style_Name],0),1))</f>
        <v>0</v>
      </c>
      <c r="C311" s="28">
        <f t="shared" si="16"/>
        <v>1</v>
      </c>
      <c r="D311" s="28">
        <f t="shared" si="17"/>
        <v>17</v>
      </c>
      <c r="E311" s="28">
        <f t="shared" si="18"/>
        <v>0</v>
      </c>
      <c r="F311" s="59" t="str">
        <f t="shared" si="19"/>
        <v/>
      </c>
      <c r="G311" s="42" t="s">
        <v>1838</v>
      </c>
      <c r="H311" s="43" t="s">
        <v>1839</v>
      </c>
      <c r="I311" s="44" t="s">
        <v>1840</v>
      </c>
      <c r="J311" s="45" t="s">
        <v>620</v>
      </c>
      <c r="K311" s="46" t="s">
        <v>1841</v>
      </c>
      <c r="L311" s="47" t="s">
        <v>2625</v>
      </c>
      <c r="M311" s="48" t="s">
        <v>2626</v>
      </c>
      <c r="N311" s="49"/>
      <c r="O311" s="50" t="s">
        <v>3491</v>
      </c>
      <c r="P311" s="59"/>
      <c r="Q311" s="59"/>
      <c r="R311" s="13"/>
    </row>
    <row r="312" spans="1:18" x14ac:dyDescent="0.25">
      <c r="A312" s="9" t="s">
        <v>14</v>
      </c>
      <c r="B312" s="28">
        <f>IF(ISBLANK(A312),0,INDEX(txtstylestab[],MATCH(A312,txtstylestab[style_Name],0),1))</f>
        <v>6</v>
      </c>
      <c r="C312" s="28">
        <f t="shared" si="16"/>
        <v>1</v>
      </c>
      <c r="D312" s="28">
        <f t="shared" si="17"/>
        <v>17</v>
      </c>
      <c r="E312" s="28">
        <f t="shared" si="18"/>
        <v>0</v>
      </c>
      <c r="F312" s="59" t="str">
        <f t="shared" si="19"/>
        <v/>
      </c>
      <c r="G312" s="42" t="s">
        <v>1832</v>
      </c>
      <c r="H312" s="43" t="s">
        <v>1833</v>
      </c>
      <c r="I312" s="44" t="s">
        <v>1834</v>
      </c>
      <c r="J312" s="45" t="s">
        <v>2200</v>
      </c>
      <c r="K312" s="46" t="s">
        <v>1835</v>
      </c>
      <c r="L312" s="47" t="s">
        <v>2548</v>
      </c>
      <c r="M312" s="48" t="s">
        <v>2549</v>
      </c>
      <c r="N312" s="49"/>
      <c r="O312" s="50" t="s">
        <v>3482</v>
      </c>
      <c r="P312" s="59"/>
      <c r="Q312" s="59"/>
      <c r="R312" s="13"/>
    </row>
    <row r="313" spans="1:18" x14ac:dyDescent="0.25">
      <c r="A313" s="9" t="s">
        <v>14</v>
      </c>
      <c r="B313" s="28">
        <f>IF(ISBLANK(A313),0,INDEX(txtstylestab[],MATCH(A313,txtstylestab[style_Name],0),1))</f>
        <v>6</v>
      </c>
      <c r="C313" s="28">
        <f t="shared" si="16"/>
        <v>1</v>
      </c>
      <c r="D313" s="28">
        <f t="shared" si="17"/>
        <v>17</v>
      </c>
      <c r="E313" s="28">
        <f t="shared" si="18"/>
        <v>0</v>
      </c>
      <c r="F313" s="59" t="str">
        <f t="shared" si="19"/>
        <v/>
      </c>
      <c r="G313" s="42" t="s">
        <v>1808</v>
      </c>
      <c r="H313" s="43" t="s">
        <v>1810</v>
      </c>
      <c r="I313" s="44" t="s">
        <v>1812</v>
      </c>
      <c r="J313" s="45" t="s">
        <v>1814</v>
      </c>
      <c r="K313" s="46" t="s">
        <v>1816</v>
      </c>
      <c r="L313" s="47" t="s">
        <v>2542</v>
      </c>
      <c r="M313" s="48" t="s">
        <v>2543</v>
      </c>
      <c r="N313" s="49"/>
      <c r="O313" s="50" t="s">
        <v>3483</v>
      </c>
      <c r="P313" s="59"/>
      <c r="Q313" s="59"/>
      <c r="R313" s="13"/>
    </row>
    <row r="314" spans="1:18" x14ac:dyDescent="0.25">
      <c r="A314" s="9" t="s">
        <v>14</v>
      </c>
      <c r="B314" s="28">
        <f>IF(ISBLANK(A314),0,INDEX(txtstylestab[],MATCH(A314,txtstylestab[style_Name],0),1))</f>
        <v>6</v>
      </c>
      <c r="C314" s="28">
        <f t="shared" si="16"/>
        <v>1</v>
      </c>
      <c r="D314" s="28">
        <f t="shared" si="17"/>
        <v>17</v>
      </c>
      <c r="E314" s="28">
        <f t="shared" si="18"/>
        <v>0</v>
      </c>
      <c r="F314" s="59" t="str">
        <f t="shared" si="19"/>
        <v/>
      </c>
      <c r="G314" s="42" t="s">
        <v>1809</v>
      </c>
      <c r="H314" s="43" t="s">
        <v>1811</v>
      </c>
      <c r="I314" s="44" t="s">
        <v>1813</v>
      </c>
      <c r="J314" s="45" t="s">
        <v>1815</v>
      </c>
      <c r="K314" s="46" t="s">
        <v>1817</v>
      </c>
      <c r="L314" s="47" t="s">
        <v>2544</v>
      </c>
      <c r="M314" s="48" t="s">
        <v>2547</v>
      </c>
      <c r="N314" s="49"/>
      <c r="O314" s="50" t="s">
        <v>3484</v>
      </c>
      <c r="P314" s="59"/>
      <c r="Q314" s="59"/>
      <c r="R314" s="13"/>
    </row>
    <row r="315" spans="1:18" x14ac:dyDescent="0.25">
      <c r="A315" s="9" t="s">
        <v>14</v>
      </c>
      <c r="B315" s="28">
        <f>IF(ISBLANK(A315),0,INDEX(txtstylestab[],MATCH(A315,txtstylestab[style_Name],0),1))</f>
        <v>6</v>
      </c>
      <c r="C315" s="28">
        <f t="shared" si="16"/>
        <v>1</v>
      </c>
      <c r="D315" s="28">
        <f t="shared" si="17"/>
        <v>17</v>
      </c>
      <c r="E315" s="28">
        <f t="shared" si="18"/>
        <v>0</v>
      </c>
      <c r="F315" s="59" t="str">
        <f t="shared" si="19"/>
        <v/>
      </c>
      <c r="G315" s="42" t="s">
        <v>1818</v>
      </c>
      <c r="H315" s="43" t="s">
        <v>1819</v>
      </c>
      <c r="I315" s="44" t="s">
        <v>1820</v>
      </c>
      <c r="J315" s="45" t="s">
        <v>1821</v>
      </c>
      <c r="K315" s="46" t="s">
        <v>1822</v>
      </c>
      <c r="L315" s="47" t="s">
        <v>2545</v>
      </c>
      <c r="M315" s="48" t="s">
        <v>2546</v>
      </c>
      <c r="N315" s="49"/>
      <c r="O315" s="50" t="s">
        <v>3481</v>
      </c>
      <c r="P315" s="59"/>
      <c r="Q315" s="59"/>
      <c r="R315" s="13"/>
    </row>
    <row r="316" spans="1:18" x14ac:dyDescent="0.25">
      <c r="A316" s="9" t="s">
        <v>21</v>
      </c>
      <c r="B316" s="28">
        <f>IF(ISBLANK(A316),0,INDEX(txtstylestab[],MATCH(A316,txtstylestab[style_Name],0),1))</f>
        <v>0</v>
      </c>
      <c r="C316" s="28">
        <f t="shared" si="16"/>
        <v>1</v>
      </c>
      <c r="D316" s="28">
        <f t="shared" si="17"/>
        <v>17</v>
      </c>
      <c r="E316" s="28">
        <f t="shared" si="18"/>
        <v>0</v>
      </c>
      <c r="F316" s="59" t="str">
        <f t="shared" si="19"/>
        <v/>
      </c>
      <c r="G316" s="42"/>
      <c r="H316" s="43"/>
      <c r="I316" s="44"/>
      <c r="J316" s="45"/>
      <c r="K316" s="46"/>
      <c r="L316" s="47"/>
      <c r="M316" s="48"/>
      <c r="N316" s="49"/>
      <c r="O316" s="50" t="s">
        <v>3490</v>
      </c>
      <c r="P316" s="59"/>
      <c r="Q316" s="59"/>
      <c r="R316" s="13"/>
    </row>
    <row r="317" spans="1:18" x14ac:dyDescent="0.25">
      <c r="A317" s="9" t="s">
        <v>22</v>
      </c>
      <c r="B317" s="28">
        <f>IF(ISBLANK(A317),0,INDEX(txtstylestab[],MATCH(A317,txtstylestab[style_Name],0),1))</f>
        <v>4</v>
      </c>
      <c r="C317" s="28">
        <f t="shared" si="16"/>
        <v>1</v>
      </c>
      <c r="D317" s="28">
        <f t="shared" si="17"/>
        <v>17</v>
      </c>
      <c r="E317" s="28">
        <f t="shared" si="18"/>
        <v>0</v>
      </c>
      <c r="F317" s="56" t="str">
        <f t="shared" si="19"/>
        <v/>
      </c>
      <c r="G317" s="53" t="s">
        <v>1842</v>
      </c>
      <c r="H317" s="53"/>
      <c r="I317" s="53"/>
      <c r="J317" s="53"/>
      <c r="K317" s="53"/>
      <c r="L317" s="53"/>
      <c r="M317" s="53"/>
      <c r="N317" s="53"/>
      <c r="O317" s="53"/>
      <c r="P317" s="53"/>
      <c r="Q317" s="53"/>
      <c r="R317" s="13"/>
    </row>
    <row r="318" spans="1:18" ht="45" x14ac:dyDescent="0.25">
      <c r="A318" s="9" t="s">
        <v>21</v>
      </c>
      <c r="B318" s="28">
        <f>IF(ISBLANK(A318),0,INDEX(txtstylestab[],MATCH(A318,txtstylestab[style_Name],0),1))</f>
        <v>0</v>
      </c>
      <c r="C318" s="28">
        <f t="shared" si="16"/>
        <v>1</v>
      </c>
      <c r="D318" s="28">
        <f t="shared" si="17"/>
        <v>17</v>
      </c>
      <c r="E318" s="28">
        <f t="shared" si="18"/>
        <v>0</v>
      </c>
      <c r="F318" s="59" t="str">
        <f t="shared" si="19"/>
        <v/>
      </c>
      <c r="G318" s="42" t="s">
        <v>460</v>
      </c>
      <c r="H318" s="43" t="s">
        <v>621</v>
      </c>
      <c r="I318" s="44" t="s">
        <v>622</v>
      </c>
      <c r="J318" s="45" t="s">
        <v>623</v>
      </c>
      <c r="K318" s="46" t="s">
        <v>624</v>
      </c>
      <c r="L318" s="47" t="s">
        <v>2627</v>
      </c>
      <c r="M318" s="48" t="s">
        <v>2628</v>
      </c>
      <c r="N318" s="49"/>
      <c r="O318" s="50" t="s">
        <v>3380</v>
      </c>
      <c r="P318" s="59"/>
      <c r="Q318" s="59"/>
      <c r="R318" s="13"/>
    </row>
    <row r="319" spans="1:18" x14ac:dyDescent="0.25">
      <c r="A319" s="9" t="s">
        <v>21</v>
      </c>
      <c r="B319" s="28">
        <f>IF(ISBLANK(A319),0,INDEX(txtstylestab[],MATCH(A319,txtstylestab[style_Name],0),1))</f>
        <v>0</v>
      </c>
      <c r="C319" s="28">
        <f t="shared" si="16"/>
        <v>1</v>
      </c>
      <c r="D319" s="28">
        <f t="shared" si="17"/>
        <v>17</v>
      </c>
      <c r="E319" s="28">
        <f t="shared" si="18"/>
        <v>0</v>
      </c>
      <c r="F319" s="59" t="str">
        <f t="shared" si="19"/>
        <v/>
      </c>
      <c r="G319" s="42" t="s">
        <v>6</v>
      </c>
      <c r="H319" s="43" t="s">
        <v>26</v>
      </c>
      <c r="I319" s="44" t="s">
        <v>48</v>
      </c>
      <c r="J319" s="45" t="s">
        <v>384</v>
      </c>
      <c r="K319" s="46" t="s">
        <v>59</v>
      </c>
      <c r="L319" s="47" t="s">
        <v>2524</v>
      </c>
      <c r="M319" s="48" t="s">
        <v>2525</v>
      </c>
      <c r="N319" s="49"/>
      <c r="O319" s="50" t="s">
        <v>3168</v>
      </c>
      <c r="P319" s="50"/>
      <c r="Q319" s="59"/>
      <c r="R319" s="13"/>
    </row>
    <row r="320" spans="1:18" ht="18" thickBot="1" x14ac:dyDescent="0.35">
      <c r="A320" s="9" t="s">
        <v>11</v>
      </c>
      <c r="B320" s="28">
        <f>IF(ISBLANK(A320),0,INDEX(txtstylestab[],MATCH(A320,txtstylestab[style_Name],0),1))</f>
        <v>2</v>
      </c>
      <c r="C320" s="28">
        <f t="shared" si="16"/>
        <v>1</v>
      </c>
      <c r="D320" s="28">
        <f t="shared" si="17"/>
        <v>18</v>
      </c>
      <c r="E320" s="28">
        <f t="shared" si="18"/>
        <v>0</v>
      </c>
      <c r="F320" s="54" t="str">
        <f t="shared" si="19"/>
        <v>1.18.</v>
      </c>
      <c r="G320" s="54" t="s">
        <v>625</v>
      </c>
      <c r="H320" s="54"/>
      <c r="I320" s="54"/>
      <c r="J320" s="54"/>
      <c r="K320" s="54"/>
      <c r="L320" s="54"/>
      <c r="M320" s="54"/>
      <c r="N320" s="54"/>
      <c r="O320" s="54"/>
      <c r="P320" s="54"/>
      <c r="Q320" s="54"/>
      <c r="R320" s="13"/>
    </row>
    <row r="321" spans="1:18" ht="16.5" thickTop="1" thickBot="1" x14ac:dyDescent="0.3">
      <c r="A321" s="9" t="s">
        <v>12</v>
      </c>
      <c r="B321" s="28">
        <f>IF(ISBLANK(A321),0,INDEX(txtstylestab[],MATCH(A321,txtstylestab[style_Name],0),1))</f>
        <v>3</v>
      </c>
      <c r="C321" s="28">
        <f t="shared" si="16"/>
        <v>1</v>
      </c>
      <c r="D321" s="28">
        <f t="shared" si="17"/>
        <v>18</v>
      </c>
      <c r="E321" s="28">
        <f t="shared" si="18"/>
        <v>1</v>
      </c>
      <c r="F321" s="55" t="str">
        <f t="shared" si="19"/>
        <v>1.18.1.</v>
      </c>
      <c r="G321" s="55" t="s">
        <v>657</v>
      </c>
      <c r="H321" s="55"/>
      <c r="I321" s="55"/>
      <c r="J321" s="55"/>
      <c r="K321" s="55"/>
      <c r="L321" s="55"/>
      <c r="M321" s="55"/>
      <c r="N321" s="55"/>
      <c r="O321" s="55"/>
      <c r="P321" s="55"/>
      <c r="Q321" s="55"/>
      <c r="R321" s="13"/>
    </row>
    <row r="322" spans="1:18" x14ac:dyDescent="0.25">
      <c r="A322" s="9" t="s">
        <v>21</v>
      </c>
      <c r="B322" s="28">
        <f>IF(ISBLANK(A322),0,INDEX(txtstylestab[],MATCH(A322,txtstylestab[style_Name],0),1))</f>
        <v>0</v>
      </c>
      <c r="C322" s="28">
        <f t="shared" si="16"/>
        <v>1</v>
      </c>
      <c r="D322" s="28">
        <f t="shared" si="17"/>
        <v>18</v>
      </c>
      <c r="E322" s="28">
        <f t="shared" si="18"/>
        <v>1</v>
      </c>
      <c r="F322" s="59" t="str">
        <f t="shared" si="19"/>
        <v/>
      </c>
      <c r="G322" s="42" t="s">
        <v>82</v>
      </c>
      <c r="H322" s="43" t="s">
        <v>83</v>
      </c>
      <c r="I322" s="44" t="s">
        <v>84</v>
      </c>
      <c r="J322" s="45" t="s">
        <v>85</v>
      </c>
      <c r="K322" s="46" t="s">
        <v>86</v>
      </c>
      <c r="L322" s="47" t="s">
        <v>2397</v>
      </c>
      <c r="M322" s="48" t="s">
        <v>2539</v>
      </c>
      <c r="N322" s="49"/>
      <c r="O322" s="76"/>
      <c r="P322" s="50"/>
      <c r="Q322" s="59"/>
      <c r="R322" s="13"/>
    </row>
    <row r="323" spans="1:18" ht="75" x14ac:dyDescent="0.25">
      <c r="A323" s="9" t="s">
        <v>21</v>
      </c>
      <c r="B323" s="28">
        <f>IF(ISBLANK(A323),0,INDEX(txtstylestab[],MATCH(A323,txtstylestab[style_Name],0),1))</f>
        <v>0</v>
      </c>
      <c r="C323" s="28">
        <f t="shared" si="16"/>
        <v>1</v>
      </c>
      <c r="D323" s="28">
        <f t="shared" si="17"/>
        <v>18</v>
      </c>
      <c r="E323" s="28">
        <f t="shared" si="18"/>
        <v>1</v>
      </c>
      <c r="F323" s="59" t="str">
        <f t="shared" si="19"/>
        <v/>
      </c>
      <c r="G323" s="42" t="s">
        <v>626</v>
      </c>
      <c r="H323" s="43" t="s">
        <v>1843</v>
      </c>
      <c r="I323" s="44" t="s">
        <v>627</v>
      </c>
      <c r="J323" s="45" t="s">
        <v>628</v>
      </c>
      <c r="K323" s="46" t="s">
        <v>1718</v>
      </c>
      <c r="L323" s="47" t="s">
        <v>2629</v>
      </c>
      <c r="M323" s="48" t="s">
        <v>2630</v>
      </c>
      <c r="N323" s="49"/>
      <c r="O323" s="49"/>
      <c r="P323" s="50"/>
      <c r="Q323" s="59"/>
      <c r="R323" s="13"/>
    </row>
    <row r="324" spans="1:18" ht="105" x14ac:dyDescent="0.25">
      <c r="A324" s="9" t="s">
        <v>21</v>
      </c>
      <c r="B324" s="28">
        <f>IF(ISBLANK(A324),0,INDEX(txtstylestab[],MATCH(A324,txtstylestab[style_Name],0),1))</f>
        <v>0</v>
      </c>
      <c r="C324" s="28">
        <f t="shared" ref="C324:C387" si="20">IF(B324=1,C323+1,C323)</f>
        <v>1</v>
      </c>
      <c r="D324" s="28">
        <f t="shared" ref="D324:D387" si="21">IF(B324=1,0,IF(B324=2,D323+1,IF(AND(B324=3,D323=0),1,D323)))</f>
        <v>18</v>
      </c>
      <c r="E324" s="28">
        <f t="shared" ref="E324:E387" si="22">IF(OR(B324=1,B324=2),0,IF(B324=3,E323+1,E323))</f>
        <v>1</v>
      </c>
      <c r="F324" s="59" t="str">
        <f t="shared" ref="F324:F387" si="23">IF(OR(B324=1,B324=2,B324=3),TEXT(C324,"#")&amp;".","")&amp;IF(OR(B324=2,B324=3),TEXT(D324,"#")&amp;".","")&amp;IF(B324=3,TEXT(E324,"#")&amp;".","")</f>
        <v/>
      </c>
      <c r="G324" s="42" t="s">
        <v>629</v>
      </c>
      <c r="H324" s="43" t="s">
        <v>630</v>
      </c>
      <c r="I324" s="44" t="s">
        <v>631</v>
      </c>
      <c r="J324" s="45" t="s">
        <v>632</v>
      </c>
      <c r="K324" s="46" t="s">
        <v>633</v>
      </c>
      <c r="L324" s="47" t="s">
        <v>2631</v>
      </c>
      <c r="M324" s="48" t="s">
        <v>2632</v>
      </c>
      <c r="N324" s="49"/>
      <c r="O324" s="49"/>
      <c r="P324" s="50"/>
      <c r="Q324" s="59"/>
      <c r="R324" s="13"/>
    </row>
    <row r="325" spans="1:18" ht="45" x14ac:dyDescent="0.25">
      <c r="A325" s="9" t="s">
        <v>21</v>
      </c>
      <c r="B325" s="28">
        <f>IF(ISBLANK(A325),0,INDEX(txtstylestab[],MATCH(A325,txtstylestab[style_Name],0),1))</f>
        <v>0</v>
      </c>
      <c r="C325" s="28">
        <f t="shared" si="20"/>
        <v>1</v>
      </c>
      <c r="D325" s="28">
        <f t="shared" si="21"/>
        <v>18</v>
      </c>
      <c r="E325" s="28">
        <f t="shared" si="22"/>
        <v>1</v>
      </c>
      <c r="F325" s="59" t="str">
        <f t="shared" si="23"/>
        <v/>
      </c>
      <c r="G325" s="42" t="s">
        <v>634</v>
      </c>
      <c r="H325" s="43" t="s">
        <v>2227</v>
      </c>
      <c r="I325" s="44" t="s">
        <v>2252</v>
      </c>
      <c r="J325" s="45" t="s">
        <v>635</v>
      </c>
      <c r="K325" s="46" t="s">
        <v>1719</v>
      </c>
      <c r="L325" s="47" t="s">
        <v>2633</v>
      </c>
      <c r="M325" s="48" t="s">
        <v>2634</v>
      </c>
      <c r="N325" s="49"/>
      <c r="O325" s="49"/>
      <c r="P325" s="50"/>
      <c r="Q325" s="59"/>
      <c r="R325" s="13"/>
    </row>
    <row r="326" spans="1:18" ht="45" x14ac:dyDescent="0.25">
      <c r="A326" s="9" t="s">
        <v>21</v>
      </c>
      <c r="B326" s="28">
        <f>IF(ISBLANK(A326),0,INDEX(txtstylestab[],MATCH(A326,txtstylestab[style_Name],0),1))</f>
        <v>0</v>
      </c>
      <c r="C326" s="28">
        <f t="shared" si="20"/>
        <v>1</v>
      </c>
      <c r="D326" s="28">
        <f t="shared" si="21"/>
        <v>18</v>
      </c>
      <c r="E326" s="28">
        <f t="shared" si="22"/>
        <v>1</v>
      </c>
      <c r="F326" s="59" t="str">
        <f t="shared" si="23"/>
        <v/>
      </c>
      <c r="G326" s="42" t="s">
        <v>636</v>
      </c>
      <c r="H326" s="43" t="s">
        <v>637</v>
      </c>
      <c r="I326" s="44" t="s">
        <v>638</v>
      </c>
      <c r="J326" s="45" t="s">
        <v>639</v>
      </c>
      <c r="K326" s="46" t="s">
        <v>640</v>
      </c>
      <c r="L326" s="47" t="s">
        <v>2635</v>
      </c>
      <c r="M326" s="48" t="s">
        <v>2636</v>
      </c>
      <c r="N326" s="49"/>
      <c r="O326" s="49"/>
      <c r="P326" s="50"/>
      <c r="Q326" s="59"/>
      <c r="R326" s="13"/>
    </row>
    <row r="327" spans="1:18" ht="45" x14ac:dyDescent="0.25">
      <c r="A327" s="9" t="s">
        <v>21</v>
      </c>
      <c r="B327" s="28">
        <f>IF(ISBLANK(A327),0,INDEX(txtstylestab[],MATCH(A327,txtstylestab[style_Name],0),1))</f>
        <v>0</v>
      </c>
      <c r="C327" s="28">
        <f t="shared" si="20"/>
        <v>1</v>
      </c>
      <c r="D327" s="28">
        <f t="shared" si="21"/>
        <v>18</v>
      </c>
      <c r="E327" s="28">
        <f t="shared" si="22"/>
        <v>1</v>
      </c>
      <c r="F327" s="59" t="str">
        <f t="shared" si="23"/>
        <v/>
      </c>
      <c r="G327" s="42" t="s">
        <v>641</v>
      </c>
      <c r="H327" s="43" t="s">
        <v>642</v>
      </c>
      <c r="I327" s="44" t="s">
        <v>643</v>
      </c>
      <c r="J327" s="45" t="s">
        <v>644</v>
      </c>
      <c r="K327" s="46" t="s">
        <v>645</v>
      </c>
      <c r="L327" s="47" t="s">
        <v>2637</v>
      </c>
      <c r="M327" s="48" t="s">
        <v>2638</v>
      </c>
      <c r="N327" s="49"/>
      <c r="O327" s="49"/>
      <c r="P327" s="50"/>
      <c r="Q327" s="59"/>
      <c r="R327" s="13"/>
    </row>
    <row r="328" spans="1:18" x14ac:dyDescent="0.25">
      <c r="A328" s="9" t="s">
        <v>21</v>
      </c>
      <c r="B328" s="28">
        <f>IF(ISBLANK(A328),0,INDEX(txtstylestab[],MATCH(A328,txtstylestab[style_Name],0),1))</f>
        <v>0</v>
      </c>
      <c r="C328" s="28">
        <f t="shared" si="20"/>
        <v>1</v>
      </c>
      <c r="D328" s="28">
        <f t="shared" si="21"/>
        <v>18</v>
      </c>
      <c r="E328" s="28">
        <f t="shared" si="22"/>
        <v>1</v>
      </c>
      <c r="F328" s="59" t="str">
        <f t="shared" si="23"/>
        <v/>
      </c>
      <c r="G328" s="42" t="s">
        <v>6</v>
      </c>
      <c r="H328" s="43" t="s">
        <v>26</v>
      </c>
      <c r="I328" s="44" t="s">
        <v>48</v>
      </c>
      <c r="J328" s="45" t="s">
        <v>384</v>
      </c>
      <c r="K328" s="46" t="s">
        <v>59</v>
      </c>
      <c r="L328" s="47" t="s">
        <v>2524</v>
      </c>
      <c r="M328" s="48" t="s">
        <v>2525</v>
      </c>
      <c r="N328" s="49"/>
      <c r="O328" s="76"/>
      <c r="P328" s="50"/>
      <c r="Q328" s="59"/>
      <c r="R328" s="13"/>
    </row>
    <row r="329" spans="1:18" ht="15.75" thickBot="1" x14ac:dyDescent="0.3">
      <c r="A329" s="9" t="s">
        <v>12</v>
      </c>
      <c r="B329" s="28">
        <f>IF(ISBLANK(A329),0,INDEX(txtstylestab[],MATCH(A329,txtstylestab[style_Name],0),1))</f>
        <v>3</v>
      </c>
      <c r="C329" s="28">
        <f t="shared" si="20"/>
        <v>1</v>
      </c>
      <c r="D329" s="28">
        <f t="shared" si="21"/>
        <v>18</v>
      </c>
      <c r="E329" s="28">
        <f t="shared" si="22"/>
        <v>2</v>
      </c>
      <c r="F329" s="55" t="str">
        <f t="shared" si="23"/>
        <v>1.18.2.</v>
      </c>
      <c r="G329" s="55" t="s">
        <v>646</v>
      </c>
      <c r="H329" s="55"/>
      <c r="I329" s="55"/>
      <c r="J329" s="55"/>
      <c r="K329" s="55"/>
      <c r="L329" s="55"/>
      <c r="M329" s="55"/>
      <c r="N329" s="55"/>
      <c r="O329" s="55"/>
      <c r="P329" s="55"/>
      <c r="Q329" s="55"/>
      <c r="R329" s="13"/>
    </row>
    <row r="330" spans="1:18" x14ac:dyDescent="0.25">
      <c r="A330" s="9" t="s">
        <v>21</v>
      </c>
      <c r="B330" s="28">
        <f>IF(ISBLANK(A330),0,INDEX(txtstylestab[],MATCH(A330,txtstylestab[style_Name],0),1))</f>
        <v>0</v>
      </c>
      <c r="C330" s="28">
        <f t="shared" si="20"/>
        <v>1</v>
      </c>
      <c r="D330" s="28">
        <f t="shared" si="21"/>
        <v>18</v>
      </c>
      <c r="E330" s="28">
        <f t="shared" si="22"/>
        <v>2</v>
      </c>
      <c r="F330" s="59" t="str">
        <f t="shared" si="23"/>
        <v/>
      </c>
      <c r="G330" s="42" t="s">
        <v>82</v>
      </c>
      <c r="H330" s="43" t="s">
        <v>83</v>
      </c>
      <c r="I330" s="44" t="s">
        <v>84</v>
      </c>
      <c r="J330" s="45" t="s">
        <v>85</v>
      </c>
      <c r="K330" s="46" t="s">
        <v>86</v>
      </c>
      <c r="L330" s="47" t="s">
        <v>2397</v>
      </c>
      <c r="M330" s="48" t="s">
        <v>2539</v>
      </c>
      <c r="N330" s="49"/>
      <c r="O330" s="50" t="s">
        <v>3359</v>
      </c>
      <c r="P330" s="50"/>
      <c r="Q330" s="59"/>
      <c r="R330" s="13"/>
    </row>
    <row r="331" spans="1:18" ht="105" x14ac:dyDescent="0.25">
      <c r="A331" s="9" t="s">
        <v>21</v>
      </c>
      <c r="B331" s="28">
        <f>IF(ISBLANK(A331),0,INDEX(txtstylestab[],MATCH(A331,txtstylestab[style_Name],0),1))</f>
        <v>0</v>
      </c>
      <c r="C331" s="28">
        <f t="shared" si="20"/>
        <v>1</v>
      </c>
      <c r="D331" s="28">
        <f t="shared" si="21"/>
        <v>18</v>
      </c>
      <c r="E331" s="28">
        <f t="shared" si="22"/>
        <v>2</v>
      </c>
      <c r="F331" s="59" t="str">
        <f t="shared" si="23"/>
        <v/>
      </c>
      <c r="G331" s="42" t="s">
        <v>1844</v>
      </c>
      <c r="H331" s="43" t="s">
        <v>1845</v>
      </c>
      <c r="I331" s="44" t="s">
        <v>1847</v>
      </c>
      <c r="J331" s="45" t="s">
        <v>647</v>
      </c>
      <c r="K331" s="46" t="s">
        <v>1846</v>
      </c>
      <c r="L331" s="47" t="s">
        <v>2650</v>
      </c>
      <c r="M331" s="48" t="s">
        <v>2639</v>
      </c>
      <c r="N331" s="49"/>
      <c r="O331" s="50" t="s">
        <v>3381</v>
      </c>
      <c r="P331" s="59"/>
      <c r="Q331" s="59"/>
      <c r="R331" s="13"/>
    </row>
    <row r="332" spans="1:18" x14ac:dyDescent="0.25">
      <c r="A332" s="9" t="s">
        <v>14</v>
      </c>
      <c r="B332" s="28">
        <f>IF(ISBLANK(A332),0,INDEX(txtstylestab[],MATCH(A332,txtstylestab[style_Name],0),1))</f>
        <v>6</v>
      </c>
      <c r="C332" s="28">
        <f t="shared" si="20"/>
        <v>1</v>
      </c>
      <c r="D332" s="28">
        <f t="shared" si="21"/>
        <v>18</v>
      </c>
      <c r="E332" s="28">
        <f t="shared" si="22"/>
        <v>2</v>
      </c>
      <c r="F332" s="59" t="str">
        <f t="shared" si="23"/>
        <v/>
      </c>
      <c r="G332" s="42" t="s">
        <v>1848</v>
      </c>
      <c r="H332" s="43" t="s">
        <v>1852</v>
      </c>
      <c r="I332" s="44" t="s">
        <v>1856</v>
      </c>
      <c r="J332" s="45" t="s">
        <v>1859</v>
      </c>
      <c r="K332" s="46" t="s">
        <v>1863</v>
      </c>
      <c r="L332" s="47" t="s">
        <v>2640</v>
      </c>
      <c r="M332" s="48" t="s">
        <v>2641</v>
      </c>
      <c r="N332" s="49"/>
      <c r="O332" s="50" t="s">
        <v>3382</v>
      </c>
      <c r="P332" s="59"/>
      <c r="Q332" s="59"/>
      <c r="R332" s="13"/>
    </row>
    <row r="333" spans="1:18" x14ac:dyDescent="0.25">
      <c r="A333" s="9" t="s">
        <v>14</v>
      </c>
      <c r="B333" s="28">
        <f>IF(ISBLANK(A333),0,INDEX(txtstylestab[],MATCH(A333,txtstylestab[style_Name],0),1))</f>
        <v>6</v>
      </c>
      <c r="C333" s="28">
        <f t="shared" si="20"/>
        <v>1</v>
      </c>
      <c r="D333" s="28">
        <f t="shared" si="21"/>
        <v>18</v>
      </c>
      <c r="E333" s="28">
        <f t="shared" si="22"/>
        <v>2</v>
      </c>
      <c r="F333" s="59" t="str">
        <f t="shared" si="23"/>
        <v/>
      </c>
      <c r="G333" s="42" t="s">
        <v>1849</v>
      </c>
      <c r="H333" s="43" t="s">
        <v>1853</v>
      </c>
      <c r="I333" s="44" t="s">
        <v>648</v>
      </c>
      <c r="J333" s="45" t="s">
        <v>1860</v>
      </c>
      <c r="K333" s="46" t="s">
        <v>1864</v>
      </c>
      <c r="L333" s="47" t="s">
        <v>2642</v>
      </c>
      <c r="M333" s="48" t="s">
        <v>2643</v>
      </c>
      <c r="N333" s="49"/>
      <c r="O333" s="50" t="s">
        <v>3383</v>
      </c>
      <c r="P333" s="59"/>
      <c r="Q333" s="59"/>
      <c r="R333" s="13"/>
    </row>
    <row r="334" spans="1:18" x14ac:dyDescent="0.25">
      <c r="A334" s="9" t="s">
        <v>14</v>
      </c>
      <c r="B334" s="28">
        <f>IF(ISBLANK(A334),0,INDEX(txtstylestab[],MATCH(A334,txtstylestab[style_Name],0),1))</f>
        <v>6</v>
      </c>
      <c r="C334" s="28">
        <f t="shared" si="20"/>
        <v>1</v>
      </c>
      <c r="D334" s="28">
        <f t="shared" si="21"/>
        <v>18</v>
      </c>
      <c r="E334" s="28">
        <f t="shared" si="22"/>
        <v>2</v>
      </c>
      <c r="F334" s="59" t="str">
        <f t="shared" si="23"/>
        <v/>
      </c>
      <c r="G334" s="42" t="s">
        <v>1850</v>
      </c>
      <c r="H334" s="43" t="s">
        <v>1854</v>
      </c>
      <c r="I334" s="44" t="s">
        <v>1857</v>
      </c>
      <c r="J334" s="45" t="s">
        <v>1861</v>
      </c>
      <c r="K334" s="46" t="s">
        <v>1865</v>
      </c>
      <c r="L334" s="47" t="s">
        <v>2644</v>
      </c>
      <c r="M334" s="48" t="s">
        <v>2645</v>
      </c>
      <c r="N334" s="49"/>
      <c r="O334" s="50" t="s">
        <v>3384</v>
      </c>
      <c r="P334" s="59"/>
      <c r="Q334" s="59"/>
      <c r="R334" s="13"/>
    </row>
    <row r="335" spans="1:18" x14ac:dyDescent="0.25">
      <c r="A335" s="9" t="s">
        <v>14</v>
      </c>
      <c r="B335" s="28">
        <f>IF(ISBLANK(A335),0,INDEX(txtstylestab[],MATCH(A335,txtstylestab[style_Name],0),1))</f>
        <v>6</v>
      </c>
      <c r="C335" s="28">
        <f t="shared" si="20"/>
        <v>1</v>
      </c>
      <c r="D335" s="28">
        <f t="shared" si="21"/>
        <v>18</v>
      </c>
      <c r="E335" s="28">
        <f t="shared" si="22"/>
        <v>2</v>
      </c>
      <c r="F335" s="59" t="str">
        <f t="shared" si="23"/>
        <v/>
      </c>
      <c r="G335" s="42" t="s">
        <v>1851</v>
      </c>
      <c r="H335" s="43" t="s">
        <v>1855</v>
      </c>
      <c r="I335" s="44" t="s">
        <v>1858</v>
      </c>
      <c r="J335" s="45" t="s">
        <v>1862</v>
      </c>
      <c r="K335" s="46" t="s">
        <v>1866</v>
      </c>
      <c r="L335" s="47" t="s">
        <v>2646</v>
      </c>
      <c r="M335" s="48" t="s">
        <v>2647</v>
      </c>
      <c r="N335" s="49"/>
      <c r="O335" s="50" t="s">
        <v>3385</v>
      </c>
      <c r="P335" s="59"/>
      <c r="Q335" s="59"/>
      <c r="R335" s="13"/>
    </row>
    <row r="336" spans="1:18" x14ac:dyDescent="0.25">
      <c r="A336" s="9" t="s">
        <v>14</v>
      </c>
      <c r="B336" s="28">
        <f>IF(ISBLANK(A336),0,INDEX(txtstylestab[],MATCH(A336,txtstylestab[style_Name],0),1))</f>
        <v>6</v>
      </c>
      <c r="C336" s="28">
        <f t="shared" si="20"/>
        <v>1</v>
      </c>
      <c r="D336" s="28">
        <f t="shared" si="21"/>
        <v>18</v>
      </c>
      <c r="E336" s="28">
        <f t="shared" si="22"/>
        <v>2</v>
      </c>
      <c r="F336" s="59" t="str">
        <f t="shared" si="23"/>
        <v/>
      </c>
      <c r="G336" s="42" t="s">
        <v>1867</v>
      </c>
      <c r="H336" s="43" t="s">
        <v>1868</v>
      </c>
      <c r="I336" s="44" t="s">
        <v>1869</v>
      </c>
      <c r="J336" s="45" t="s">
        <v>1870</v>
      </c>
      <c r="K336" s="46" t="s">
        <v>1871</v>
      </c>
      <c r="L336" s="47" t="s">
        <v>2648</v>
      </c>
      <c r="M336" s="48" t="s">
        <v>2649</v>
      </c>
      <c r="N336" s="49"/>
      <c r="O336" s="50" t="s">
        <v>3386</v>
      </c>
      <c r="P336" s="59"/>
      <c r="Q336" s="59"/>
      <c r="R336" s="13"/>
    </row>
    <row r="337" spans="1:18" x14ac:dyDescent="0.25">
      <c r="A337" s="9" t="s">
        <v>21</v>
      </c>
      <c r="B337" s="28">
        <f>IF(ISBLANK(A337),0,INDEX(txtstylestab[],MATCH(A337,txtstylestab[style_Name],0),1))</f>
        <v>0</v>
      </c>
      <c r="C337" s="28">
        <f t="shared" si="20"/>
        <v>1</v>
      </c>
      <c r="D337" s="28">
        <f t="shared" si="21"/>
        <v>18</v>
      </c>
      <c r="E337" s="28">
        <f t="shared" si="22"/>
        <v>2</v>
      </c>
      <c r="F337" s="59" t="str">
        <f t="shared" si="23"/>
        <v/>
      </c>
      <c r="G337" s="42"/>
      <c r="H337" s="43"/>
      <c r="I337" s="44"/>
      <c r="J337" s="45"/>
      <c r="K337" s="46"/>
      <c r="L337" s="47"/>
      <c r="M337" s="48"/>
      <c r="N337" s="49"/>
      <c r="O337" s="50" t="s">
        <v>3387</v>
      </c>
      <c r="P337" s="59"/>
      <c r="Q337" s="59"/>
      <c r="R337" s="13"/>
    </row>
    <row r="338" spans="1:18" x14ac:dyDescent="0.25">
      <c r="A338" s="9" t="s">
        <v>22</v>
      </c>
      <c r="B338" s="28">
        <f>IF(ISBLANK(A338),0,INDEX(txtstylestab[],MATCH(A338,txtstylestab[style_Name],0),1))</f>
        <v>4</v>
      </c>
      <c r="C338" s="28">
        <f t="shared" si="20"/>
        <v>1</v>
      </c>
      <c r="D338" s="28">
        <f t="shared" si="21"/>
        <v>18</v>
      </c>
      <c r="E338" s="28">
        <f t="shared" si="22"/>
        <v>2</v>
      </c>
      <c r="F338" s="56" t="str">
        <f t="shared" si="23"/>
        <v/>
      </c>
      <c r="G338" s="53" t="s">
        <v>654</v>
      </c>
      <c r="H338" s="53"/>
      <c r="I338" s="53"/>
      <c r="J338" s="53"/>
      <c r="K338" s="53"/>
      <c r="L338" s="53"/>
      <c r="M338" s="53"/>
      <c r="N338" s="53"/>
      <c r="O338" s="53"/>
      <c r="P338" s="53"/>
      <c r="Q338" s="53"/>
      <c r="R338" s="13"/>
    </row>
    <row r="339" spans="1:18" ht="60" x14ac:dyDescent="0.25">
      <c r="A339" s="9" t="s">
        <v>21</v>
      </c>
      <c r="B339" s="28">
        <f>IF(ISBLANK(A339),0,INDEX(txtstylestab[],MATCH(A339,txtstylestab[style_Name],0),1))</f>
        <v>0</v>
      </c>
      <c r="C339" s="28">
        <f t="shared" si="20"/>
        <v>1</v>
      </c>
      <c r="D339" s="28">
        <f t="shared" si="21"/>
        <v>18</v>
      </c>
      <c r="E339" s="28">
        <f t="shared" si="22"/>
        <v>2</v>
      </c>
      <c r="F339" s="59" t="str">
        <f t="shared" si="23"/>
        <v/>
      </c>
      <c r="G339" s="42" t="s">
        <v>655</v>
      </c>
      <c r="H339" s="43" t="s">
        <v>656</v>
      </c>
      <c r="I339" s="44" t="s">
        <v>1604</v>
      </c>
      <c r="J339" s="45" t="s">
        <v>1605</v>
      </c>
      <c r="K339" s="46" t="s">
        <v>1721</v>
      </c>
      <c r="L339" s="47" t="s">
        <v>2653</v>
      </c>
      <c r="M339" s="48" t="s">
        <v>2654</v>
      </c>
      <c r="N339" s="49"/>
      <c r="O339" s="50" t="s">
        <v>3388</v>
      </c>
      <c r="P339" s="59"/>
      <c r="Q339" s="59"/>
      <c r="R339" s="13"/>
    </row>
    <row r="340" spans="1:18" x14ac:dyDescent="0.25">
      <c r="A340" s="9" t="s">
        <v>22</v>
      </c>
      <c r="B340" s="28">
        <f>IF(ISBLANK(A340),0,INDEX(txtstylestab[],MATCH(A340,txtstylestab[style_Name],0),1))</f>
        <v>4</v>
      </c>
      <c r="C340" s="28">
        <f t="shared" si="20"/>
        <v>1</v>
      </c>
      <c r="D340" s="28">
        <f t="shared" si="21"/>
        <v>18</v>
      </c>
      <c r="E340" s="28">
        <f t="shared" si="22"/>
        <v>2</v>
      </c>
      <c r="F340" s="56" t="str">
        <f t="shared" si="23"/>
        <v/>
      </c>
      <c r="G340" s="53" t="s">
        <v>649</v>
      </c>
      <c r="H340" s="53"/>
      <c r="I340" s="53"/>
      <c r="J340" s="53"/>
      <c r="K340" s="53"/>
      <c r="L340" s="53"/>
      <c r="M340" s="53"/>
      <c r="N340" s="53"/>
      <c r="O340" s="53"/>
      <c r="P340" s="53"/>
      <c r="Q340" s="53"/>
      <c r="R340" s="13"/>
    </row>
    <row r="341" spans="1:18" ht="60" x14ac:dyDescent="0.25">
      <c r="A341" s="9" t="s">
        <v>21</v>
      </c>
      <c r="B341" s="28">
        <f>IF(ISBLANK(A341),0,INDEX(txtstylestab[],MATCH(A341,txtstylestab[style_Name],0),1))</f>
        <v>0</v>
      </c>
      <c r="C341" s="28">
        <f t="shared" si="20"/>
        <v>1</v>
      </c>
      <c r="D341" s="28">
        <f t="shared" si="21"/>
        <v>18</v>
      </c>
      <c r="E341" s="28">
        <f t="shared" si="22"/>
        <v>2</v>
      </c>
      <c r="F341" s="59" t="str">
        <f t="shared" si="23"/>
        <v/>
      </c>
      <c r="G341" s="42" t="s">
        <v>650</v>
      </c>
      <c r="H341" s="43" t="s">
        <v>651</v>
      </c>
      <c r="I341" s="44" t="s">
        <v>652</v>
      </c>
      <c r="J341" s="45" t="s">
        <v>653</v>
      </c>
      <c r="K341" s="46" t="s">
        <v>1720</v>
      </c>
      <c r="L341" s="47" t="s">
        <v>2651</v>
      </c>
      <c r="M341" s="48" t="s">
        <v>2652</v>
      </c>
      <c r="N341" s="49"/>
      <c r="O341" s="50" t="s">
        <v>3389</v>
      </c>
      <c r="P341" s="59"/>
      <c r="Q341" s="59"/>
      <c r="R341" s="13"/>
    </row>
    <row r="342" spans="1:18" ht="45" x14ac:dyDescent="0.25">
      <c r="A342" s="9" t="s">
        <v>21</v>
      </c>
      <c r="B342" s="28">
        <f>IF(ISBLANK(A342),0,INDEX(txtstylestab[],MATCH(A342,txtstylestab[style_Name],0),1))</f>
        <v>0</v>
      </c>
      <c r="C342" s="28">
        <f t="shared" si="20"/>
        <v>1</v>
      </c>
      <c r="D342" s="28">
        <f t="shared" si="21"/>
        <v>18</v>
      </c>
      <c r="E342" s="28">
        <f t="shared" si="22"/>
        <v>2</v>
      </c>
      <c r="F342" s="59" t="str">
        <f t="shared" si="23"/>
        <v/>
      </c>
      <c r="G342" s="42" t="s">
        <v>636</v>
      </c>
      <c r="H342" s="43" t="s">
        <v>637</v>
      </c>
      <c r="I342" s="44" t="s">
        <v>638</v>
      </c>
      <c r="J342" s="45" t="s">
        <v>658</v>
      </c>
      <c r="K342" s="46" t="s">
        <v>640</v>
      </c>
      <c r="L342" s="47" t="s">
        <v>2655</v>
      </c>
      <c r="M342" s="48" t="s">
        <v>2656</v>
      </c>
      <c r="N342" s="49"/>
      <c r="O342" s="50" t="s">
        <v>3390</v>
      </c>
      <c r="P342" s="59"/>
      <c r="Q342" s="59"/>
      <c r="R342" s="13"/>
    </row>
    <row r="343" spans="1:18" ht="60" x14ac:dyDescent="0.25">
      <c r="A343" s="9" t="s">
        <v>21</v>
      </c>
      <c r="B343" s="28">
        <f>IF(ISBLANK(A343),0,INDEX(txtstylestab[],MATCH(A343,txtstylestab[style_Name],0),1))</f>
        <v>0</v>
      </c>
      <c r="C343" s="28">
        <f t="shared" si="20"/>
        <v>1</v>
      </c>
      <c r="D343" s="28">
        <f t="shared" si="21"/>
        <v>18</v>
      </c>
      <c r="E343" s="28">
        <f t="shared" si="22"/>
        <v>2</v>
      </c>
      <c r="F343" s="59" t="str">
        <f t="shared" si="23"/>
        <v/>
      </c>
      <c r="G343" s="42" t="s">
        <v>2307</v>
      </c>
      <c r="H343" s="43" t="s">
        <v>2308</v>
      </c>
      <c r="I343" s="44" t="s">
        <v>2309</v>
      </c>
      <c r="J343" s="45" t="s">
        <v>2310</v>
      </c>
      <c r="K343" s="46" t="s">
        <v>2311</v>
      </c>
      <c r="L343" s="47" t="s">
        <v>2658</v>
      </c>
      <c r="M343" s="48" t="s">
        <v>2659</v>
      </c>
      <c r="N343" s="49"/>
      <c r="O343" s="50" t="s">
        <v>3391</v>
      </c>
      <c r="P343" s="59"/>
      <c r="Q343" s="59"/>
      <c r="R343" s="13"/>
    </row>
    <row r="344" spans="1:18" ht="45" x14ac:dyDescent="0.25">
      <c r="A344" s="9" t="s">
        <v>21</v>
      </c>
      <c r="B344" s="28">
        <f>IF(ISBLANK(A344),0,INDEX(txtstylestab[],MATCH(A344,txtstylestab[style_Name],0),1))</f>
        <v>0</v>
      </c>
      <c r="C344" s="28">
        <f t="shared" si="20"/>
        <v>1</v>
      </c>
      <c r="D344" s="28">
        <f t="shared" si="21"/>
        <v>18</v>
      </c>
      <c r="E344" s="28">
        <f t="shared" si="22"/>
        <v>2</v>
      </c>
      <c r="F344" s="59" t="str">
        <f t="shared" si="23"/>
        <v/>
      </c>
      <c r="G344" s="42" t="s">
        <v>641</v>
      </c>
      <c r="H344" s="43" t="s">
        <v>642</v>
      </c>
      <c r="I344" s="44" t="s">
        <v>643</v>
      </c>
      <c r="J344" s="45" t="s">
        <v>644</v>
      </c>
      <c r="K344" s="46" t="s">
        <v>659</v>
      </c>
      <c r="L344" s="47" t="s">
        <v>2657</v>
      </c>
      <c r="M344" s="48" t="s">
        <v>2638</v>
      </c>
      <c r="N344" s="49"/>
      <c r="O344" s="50" t="s">
        <v>3392</v>
      </c>
      <c r="P344" s="59"/>
      <c r="Q344" s="59"/>
      <c r="R344" s="13"/>
    </row>
    <row r="345" spans="1:18" x14ac:dyDescent="0.25">
      <c r="A345" s="9" t="s">
        <v>21</v>
      </c>
      <c r="B345" s="28">
        <f>IF(ISBLANK(A345),0,INDEX(txtstylestab[],MATCH(A345,txtstylestab[style_Name],0),1))</f>
        <v>0</v>
      </c>
      <c r="C345" s="28">
        <f t="shared" si="20"/>
        <v>1</v>
      </c>
      <c r="D345" s="28">
        <f t="shared" si="21"/>
        <v>18</v>
      </c>
      <c r="E345" s="28">
        <f t="shared" si="22"/>
        <v>2</v>
      </c>
      <c r="F345" s="59" t="str">
        <f t="shared" si="23"/>
        <v/>
      </c>
      <c r="G345" s="42" t="s">
        <v>6</v>
      </c>
      <c r="H345" s="43" t="s">
        <v>26</v>
      </c>
      <c r="I345" s="44" t="s">
        <v>48</v>
      </c>
      <c r="J345" s="45" t="s">
        <v>54</v>
      </c>
      <c r="K345" s="46" t="s">
        <v>59</v>
      </c>
      <c r="L345" s="47" t="s">
        <v>2524</v>
      </c>
      <c r="M345" s="48" t="s">
        <v>2525</v>
      </c>
      <c r="N345" s="49"/>
      <c r="O345" s="50" t="s">
        <v>3168</v>
      </c>
      <c r="P345" s="50"/>
      <c r="Q345" s="59"/>
      <c r="R345" s="13"/>
    </row>
    <row r="346" spans="1:18" x14ac:dyDescent="0.25">
      <c r="A346" s="9" t="s">
        <v>13</v>
      </c>
      <c r="B346" s="28">
        <f>IF(ISBLANK(A346),0,INDEX(txtstylestab[],MATCH(A346,txtstylestab[style_Name],0),1))</f>
        <v>7</v>
      </c>
      <c r="C346" s="28">
        <f t="shared" si="20"/>
        <v>1</v>
      </c>
      <c r="D346" s="28">
        <f t="shared" si="21"/>
        <v>18</v>
      </c>
      <c r="E346" s="28">
        <f t="shared" si="22"/>
        <v>2</v>
      </c>
      <c r="F346" s="78" t="str">
        <f t="shared" si="23"/>
        <v/>
      </c>
      <c r="G346" s="78" t="s">
        <v>660</v>
      </c>
      <c r="H346" s="78"/>
      <c r="I346" s="78"/>
      <c r="J346" s="78"/>
      <c r="K346" s="78"/>
      <c r="L346" s="78"/>
      <c r="M346" s="78"/>
      <c r="N346" s="78"/>
      <c r="O346" s="78"/>
      <c r="P346" s="78"/>
      <c r="Q346" s="78"/>
      <c r="R346" s="13"/>
    </row>
    <row r="347" spans="1:18" ht="18" thickBot="1" x14ac:dyDescent="0.35">
      <c r="A347" s="9" t="s">
        <v>11</v>
      </c>
      <c r="B347" s="28">
        <f>IF(ISBLANK(A347),0,INDEX(txtstylestab[],MATCH(A347,txtstylestab[style_Name],0),1))</f>
        <v>2</v>
      </c>
      <c r="C347" s="28">
        <f t="shared" si="20"/>
        <v>1</v>
      </c>
      <c r="D347" s="28">
        <f t="shared" si="21"/>
        <v>19</v>
      </c>
      <c r="E347" s="28">
        <f t="shared" si="22"/>
        <v>0</v>
      </c>
      <c r="F347" s="54" t="str">
        <f t="shared" si="23"/>
        <v>1.19.</v>
      </c>
      <c r="G347" s="54" t="s">
        <v>1882</v>
      </c>
      <c r="H347" s="54"/>
      <c r="I347" s="54"/>
      <c r="J347" s="54"/>
      <c r="K347" s="54"/>
      <c r="L347" s="47"/>
      <c r="M347" s="47"/>
      <c r="N347" s="54"/>
      <c r="O347" s="54"/>
      <c r="P347" s="54"/>
      <c r="Q347" s="54"/>
      <c r="R347" s="13"/>
    </row>
    <row r="348" spans="1:18" ht="15.75" thickTop="1" x14ac:dyDescent="0.25">
      <c r="A348" s="9" t="s">
        <v>21</v>
      </c>
      <c r="B348" s="28">
        <f>IF(ISBLANK(A348),0,INDEX(txtstylestab[],MATCH(A348,txtstylestab[style_Name],0),1))</f>
        <v>0</v>
      </c>
      <c r="C348" s="28">
        <f t="shared" si="20"/>
        <v>1</v>
      </c>
      <c r="D348" s="28">
        <f t="shared" si="21"/>
        <v>19</v>
      </c>
      <c r="E348" s="28">
        <f t="shared" si="22"/>
        <v>0</v>
      </c>
      <c r="F348" s="59" t="str">
        <f t="shared" si="23"/>
        <v/>
      </c>
      <c r="G348" s="42" t="s">
        <v>82</v>
      </c>
      <c r="H348" s="43" t="s">
        <v>83</v>
      </c>
      <c r="I348" s="44" t="s">
        <v>84</v>
      </c>
      <c r="J348" s="45" t="s">
        <v>85</v>
      </c>
      <c r="K348" s="46" t="s">
        <v>86</v>
      </c>
      <c r="L348" s="47" t="s">
        <v>2397</v>
      </c>
      <c r="M348" s="48" t="s">
        <v>2539</v>
      </c>
      <c r="N348" s="49"/>
      <c r="O348" s="50" t="s">
        <v>3359</v>
      </c>
      <c r="P348" s="50"/>
      <c r="Q348" s="59"/>
      <c r="R348" s="13"/>
    </row>
    <row r="349" spans="1:18" ht="30" x14ac:dyDescent="0.25">
      <c r="A349" s="9" t="s">
        <v>21</v>
      </c>
      <c r="B349" s="28">
        <f>IF(ISBLANK(A349),0,INDEX(txtstylestab[],MATCH(A349,txtstylestab[style_Name],0),1))</f>
        <v>0</v>
      </c>
      <c r="C349" s="28">
        <f t="shared" si="20"/>
        <v>1</v>
      </c>
      <c r="D349" s="28">
        <f t="shared" si="21"/>
        <v>19</v>
      </c>
      <c r="E349" s="28">
        <f t="shared" si="22"/>
        <v>0</v>
      </c>
      <c r="F349" s="59" t="str">
        <f t="shared" si="23"/>
        <v/>
      </c>
      <c r="G349" s="42" t="s">
        <v>661</v>
      </c>
      <c r="H349" s="43" t="s">
        <v>662</v>
      </c>
      <c r="I349" s="44" t="s">
        <v>2233</v>
      </c>
      <c r="J349" s="45" t="s">
        <v>663</v>
      </c>
      <c r="K349" s="46" t="s">
        <v>664</v>
      </c>
      <c r="L349" s="47" t="s">
        <v>2660</v>
      </c>
      <c r="M349" s="48" t="s">
        <v>2661</v>
      </c>
      <c r="N349" s="49"/>
      <c r="O349" s="50" t="s">
        <v>3393</v>
      </c>
      <c r="P349" s="59"/>
      <c r="Q349" s="59"/>
      <c r="R349" s="13"/>
    </row>
    <row r="350" spans="1:18" ht="75" x14ac:dyDescent="0.25">
      <c r="A350" s="9" t="s">
        <v>21</v>
      </c>
      <c r="B350" s="28">
        <f>IF(ISBLANK(A350),0,INDEX(txtstylestab[],MATCH(A350,txtstylestab[style_Name],0),1))</f>
        <v>0</v>
      </c>
      <c r="C350" s="28">
        <f t="shared" si="20"/>
        <v>1</v>
      </c>
      <c r="D350" s="28">
        <f t="shared" si="21"/>
        <v>19</v>
      </c>
      <c r="E350" s="28">
        <f t="shared" si="22"/>
        <v>0</v>
      </c>
      <c r="F350" s="59" t="str">
        <f t="shared" si="23"/>
        <v/>
      </c>
      <c r="G350" s="42" t="s">
        <v>665</v>
      </c>
      <c r="H350" s="43" t="s">
        <v>2228</v>
      </c>
      <c r="I350" s="44" t="s">
        <v>2253</v>
      </c>
      <c r="J350" s="45" t="s">
        <v>666</v>
      </c>
      <c r="K350" s="46" t="s">
        <v>667</v>
      </c>
      <c r="L350" s="47" t="s">
        <v>2662</v>
      </c>
      <c r="M350" s="48" t="s">
        <v>2663</v>
      </c>
      <c r="N350" s="49"/>
      <c r="O350" s="50" t="s">
        <v>3394</v>
      </c>
      <c r="P350" s="59"/>
      <c r="Q350" s="59"/>
      <c r="R350" s="13"/>
    </row>
    <row r="351" spans="1:18" x14ac:dyDescent="0.25">
      <c r="A351" s="9" t="s">
        <v>21</v>
      </c>
      <c r="B351" s="28">
        <f>IF(ISBLANK(A351),0,INDEX(txtstylestab[],MATCH(A351,txtstylestab[style_Name],0),1))</f>
        <v>0</v>
      </c>
      <c r="C351" s="28">
        <f t="shared" si="20"/>
        <v>1</v>
      </c>
      <c r="D351" s="28">
        <f t="shared" si="21"/>
        <v>19</v>
      </c>
      <c r="E351" s="28">
        <f t="shared" si="22"/>
        <v>0</v>
      </c>
      <c r="F351" s="59" t="str">
        <f t="shared" si="23"/>
        <v/>
      </c>
      <c r="G351" s="42" t="s">
        <v>6</v>
      </c>
      <c r="H351" s="43" t="s">
        <v>26</v>
      </c>
      <c r="I351" s="44" t="s">
        <v>48</v>
      </c>
      <c r="J351" s="45" t="s">
        <v>54</v>
      </c>
      <c r="K351" s="46" t="s">
        <v>59</v>
      </c>
      <c r="L351" s="47" t="s">
        <v>2524</v>
      </c>
      <c r="M351" s="48" t="s">
        <v>2525</v>
      </c>
      <c r="N351" s="49"/>
      <c r="O351" s="50" t="s">
        <v>3168</v>
      </c>
      <c r="P351" s="50"/>
      <c r="Q351" s="59"/>
      <c r="R351" s="13"/>
    </row>
    <row r="352" spans="1:18" ht="18" thickBot="1" x14ac:dyDescent="0.35">
      <c r="A352" s="9" t="s">
        <v>11</v>
      </c>
      <c r="B352" s="28">
        <f>IF(ISBLANK(A352),0,INDEX(txtstylestab[],MATCH(A352,txtstylestab[style_Name],0),1))</f>
        <v>2</v>
      </c>
      <c r="C352" s="28">
        <f t="shared" si="20"/>
        <v>1</v>
      </c>
      <c r="D352" s="28">
        <f t="shared" si="21"/>
        <v>20</v>
      </c>
      <c r="E352" s="28">
        <f t="shared" si="22"/>
        <v>0</v>
      </c>
      <c r="F352" s="54" t="str">
        <f t="shared" si="23"/>
        <v>1.20.</v>
      </c>
      <c r="G352" s="54" t="s">
        <v>668</v>
      </c>
      <c r="H352" s="54"/>
      <c r="I352" s="54"/>
      <c r="J352" s="54"/>
      <c r="K352" s="54"/>
      <c r="L352" s="54"/>
      <c r="M352" s="54"/>
      <c r="N352" s="54"/>
      <c r="O352" s="54"/>
      <c r="P352" s="54"/>
      <c r="Q352" s="54"/>
      <c r="R352" s="13"/>
    </row>
    <row r="353" spans="1:18" ht="16.5" thickTop="1" thickBot="1" x14ac:dyDescent="0.3">
      <c r="A353" s="9" t="s">
        <v>12</v>
      </c>
      <c r="B353" s="28">
        <f>IF(ISBLANK(A353),0,INDEX(txtstylestab[],MATCH(A353,txtstylestab[style_Name],0),1))</f>
        <v>3</v>
      </c>
      <c r="C353" s="28">
        <f t="shared" si="20"/>
        <v>1</v>
      </c>
      <c r="D353" s="28">
        <f t="shared" si="21"/>
        <v>20</v>
      </c>
      <c r="E353" s="28">
        <f t="shared" si="22"/>
        <v>1</v>
      </c>
      <c r="F353" s="55" t="str">
        <f t="shared" si="23"/>
        <v>1.20.1.</v>
      </c>
      <c r="G353" s="55" t="s">
        <v>669</v>
      </c>
      <c r="H353" s="55"/>
      <c r="I353" s="55"/>
      <c r="J353" s="55"/>
      <c r="K353" s="55"/>
      <c r="L353" s="55"/>
      <c r="M353" s="55"/>
      <c r="N353" s="55"/>
      <c r="O353" s="55"/>
      <c r="P353" s="55"/>
      <c r="Q353" s="55"/>
      <c r="R353" s="13"/>
    </row>
    <row r="354" spans="1:18" ht="60" x14ac:dyDescent="0.25">
      <c r="A354" s="9" t="s">
        <v>21</v>
      </c>
      <c r="B354" s="28">
        <f>IF(ISBLANK(A354),0,INDEX(txtstylestab[],MATCH(A354,txtstylestab[style_Name],0),1))</f>
        <v>0</v>
      </c>
      <c r="C354" s="28">
        <f t="shared" si="20"/>
        <v>1</v>
      </c>
      <c r="D354" s="28">
        <f t="shared" si="21"/>
        <v>20</v>
      </c>
      <c r="E354" s="28">
        <f t="shared" si="22"/>
        <v>1</v>
      </c>
      <c r="F354" s="59" t="str">
        <f t="shared" si="23"/>
        <v/>
      </c>
      <c r="G354" s="42" t="s">
        <v>1872</v>
      </c>
      <c r="H354" s="43" t="s">
        <v>1873</v>
      </c>
      <c r="I354" s="44" t="s">
        <v>1874</v>
      </c>
      <c r="J354" s="45" t="s">
        <v>1875</v>
      </c>
      <c r="K354" s="46" t="s">
        <v>1876</v>
      </c>
      <c r="L354" s="47" t="s">
        <v>2664</v>
      </c>
      <c r="M354" s="48" t="s">
        <v>2665</v>
      </c>
      <c r="N354" s="49"/>
      <c r="O354" s="50" t="s">
        <v>3395</v>
      </c>
      <c r="P354" s="59"/>
      <c r="Q354" s="59"/>
      <c r="R354" s="13"/>
    </row>
    <row r="355" spans="1:18" ht="105" x14ac:dyDescent="0.25">
      <c r="A355" s="9" t="s">
        <v>14</v>
      </c>
      <c r="B355" s="28">
        <f>IF(ISBLANK(A355),0,INDEX(txtstylestab[],MATCH(A355,txtstylestab[style_Name],0),1))</f>
        <v>6</v>
      </c>
      <c r="C355" s="28">
        <f t="shared" si="20"/>
        <v>1</v>
      </c>
      <c r="D355" s="28">
        <f t="shared" si="21"/>
        <v>20</v>
      </c>
      <c r="E355" s="28">
        <f t="shared" si="22"/>
        <v>1</v>
      </c>
      <c r="F355" s="59" t="str">
        <f t="shared" si="23"/>
        <v/>
      </c>
      <c r="G355" s="42" t="s">
        <v>3397</v>
      </c>
      <c r="H355" s="43" t="s">
        <v>3398</v>
      </c>
      <c r="I355" s="44" t="s">
        <v>3399</v>
      </c>
      <c r="J355" s="45" t="s">
        <v>3400</v>
      </c>
      <c r="K355" s="46" t="s">
        <v>3401</v>
      </c>
      <c r="L355" s="47" t="s">
        <v>3402</v>
      </c>
      <c r="M355" s="48" t="s">
        <v>3403</v>
      </c>
      <c r="N355" s="49"/>
      <c r="O355" s="50" t="s">
        <v>3396</v>
      </c>
      <c r="P355" s="59"/>
      <c r="Q355" s="59"/>
      <c r="R355" s="13"/>
    </row>
    <row r="356" spans="1:18" ht="60" x14ac:dyDescent="0.25">
      <c r="A356" s="9" t="s">
        <v>14</v>
      </c>
      <c r="B356" s="28">
        <f>IF(ISBLANK(A356),0,INDEX(txtstylestab[],MATCH(A356,txtstylestab[style_Name],0),1))</f>
        <v>6</v>
      </c>
      <c r="C356" s="28">
        <f t="shared" si="20"/>
        <v>1</v>
      </c>
      <c r="D356" s="28">
        <f t="shared" si="21"/>
        <v>20</v>
      </c>
      <c r="E356" s="28">
        <f t="shared" si="22"/>
        <v>1</v>
      </c>
      <c r="F356" s="59" t="str">
        <f t="shared" si="23"/>
        <v/>
      </c>
      <c r="G356" s="42" t="s">
        <v>1877</v>
      </c>
      <c r="H356" s="43" t="s">
        <v>1878</v>
      </c>
      <c r="I356" s="44" t="s">
        <v>1880</v>
      </c>
      <c r="J356" s="45" t="s">
        <v>1879</v>
      </c>
      <c r="K356" s="46" t="s">
        <v>1881</v>
      </c>
      <c r="L356" s="47" t="s">
        <v>2666</v>
      </c>
      <c r="M356" s="48" t="s">
        <v>2798</v>
      </c>
      <c r="N356" s="49"/>
      <c r="O356" s="49"/>
      <c r="P356" s="50"/>
      <c r="Q356" s="59"/>
      <c r="R356" s="13"/>
    </row>
    <row r="357" spans="1:18" ht="75" x14ac:dyDescent="0.25">
      <c r="A357" s="9" t="s">
        <v>21</v>
      </c>
      <c r="B357" s="28">
        <f>IF(ISBLANK(A357),0,INDEX(txtstylestab[],MATCH(A357,txtstylestab[style_Name],0),1))</f>
        <v>0</v>
      </c>
      <c r="C357" s="28">
        <f t="shared" si="20"/>
        <v>1</v>
      </c>
      <c r="D357" s="28">
        <f t="shared" si="21"/>
        <v>20</v>
      </c>
      <c r="E357" s="28">
        <f t="shared" si="22"/>
        <v>1</v>
      </c>
      <c r="F357" s="59" t="str">
        <f t="shared" si="23"/>
        <v/>
      </c>
      <c r="G357" s="42" t="s">
        <v>3404</v>
      </c>
      <c r="H357" s="43" t="s">
        <v>3405</v>
      </c>
      <c r="I357" s="44" t="s">
        <v>3406</v>
      </c>
      <c r="J357" s="45" t="s">
        <v>3407</v>
      </c>
      <c r="K357" s="46" t="s">
        <v>3408</v>
      </c>
      <c r="L357" s="47" t="s">
        <v>3409</v>
      </c>
      <c r="M357" s="48" t="s">
        <v>3410</v>
      </c>
      <c r="N357" s="49"/>
      <c r="O357" s="49"/>
      <c r="P357" s="50"/>
      <c r="Q357" s="59"/>
      <c r="R357" s="13"/>
    </row>
    <row r="358" spans="1:18" x14ac:dyDescent="0.25">
      <c r="A358" s="9" t="s">
        <v>21</v>
      </c>
      <c r="B358" s="28">
        <f>IF(ISBLANK(A358),0,INDEX(txtstylestab[],MATCH(A358,txtstylestab[style_Name],0),1))</f>
        <v>0</v>
      </c>
      <c r="C358" s="28">
        <f t="shared" si="20"/>
        <v>1</v>
      </c>
      <c r="D358" s="28">
        <f t="shared" si="21"/>
        <v>20</v>
      </c>
      <c r="E358" s="28">
        <f t="shared" si="22"/>
        <v>1</v>
      </c>
      <c r="F358" s="59" t="str">
        <f t="shared" si="23"/>
        <v/>
      </c>
      <c r="G358" s="42" t="s">
        <v>6</v>
      </c>
      <c r="H358" s="43" t="s">
        <v>26</v>
      </c>
      <c r="I358" s="44" t="s">
        <v>48</v>
      </c>
      <c r="J358" s="45" t="s">
        <v>397</v>
      </c>
      <c r="K358" s="46" t="s">
        <v>59</v>
      </c>
      <c r="L358" s="47" t="s">
        <v>2524</v>
      </c>
      <c r="M358" s="48" t="s">
        <v>2525</v>
      </c>
      <c r="N358" s="49"/>
      <c r="O358" s="50" t="s">
        <v>3168</v>
      </c>
      <c r="P358" s="50"/>
      <c r="Q358" s="59"/>
      <c r="R358" s="13"/>
    </row>
    <row r="359" spans="1:18" ht="15.75" thickBot="1" x14ac:dyDescent="0.3">
      <c r="A359" s="9" t="s">
        <v>12</v>
      </c>
      <c r="B359" s="28">
        <f>IF(ISBLANK(A359),0,INDEX(txtstylestab[],MATCH(A359,txtstylestab[style_Name],0),1))</f>
        <v>3</v>
      </c>
      <c r="C359" s="28">
        <f t="shared" si="20"/>
        <v>1</v>
      </c>
      <c r="D359" s="28">
        <f t="shared" si="21"/>
        <v>20</v>
      </c>
      <c r="E359" s="28">
        <f t="shared" si="22"/>
        <v>2</v>
      </c>
      <c r="F359" s="55" t="str">
        <f t="shared" si="23"/>
        <v>1.20.2.</v>
      </c>
      <c r="G359" s="55" t="s">
        <v>670</v>
      </c>
      <c r="H359" s="55"/>
      <c r="I359" s="55"/>
      <c r="J359" s="55"/>
      <c r="K359" s="55"/>
      <c r="L359" s="55"/>
      <c r="M359" s="55"/>
      <c r="N359" s="55"/>
      <c r="O359" s="55"/>
      <c r="P359" s="55"/>
      <c r="Q359" s="55"/>
      <c r="R359" s="13"/>
    </row>
    <row r="360" spans="1:18" ht="120" x14ac:dyDescent="0.25">
      <c r="A360" s="9" t="s">
        <v>21</v>
      </c>
      <c r="B360" s="28">
        <f>IF(ISBLANK(A360),0,INDEX(txtstylestab[],MATCH(A360,txtstylestab[style_Name],0),1))</f>
        <v>0</v>
      </c>
      <c r="C360" s="28">
        <f t="shared" si="20"/>
        <v>1</v>
      </c>
      <c r="D360" s="28">
        <f t="shared" si="21"/>
        <v>20</v>
      </c>
      <c r="E360" s="28">
        <f t="shared" si="22"/>
        <v>2</v>
      </c>
      <c r="F360" s="59" t="str">
        <f t="shared" si="23"/>
        <v/>
      </c>
      <c r="G360" s="42" t="s">
        <v>677</v>
      </c>
      <c r="H360" s="43" t="s">
        <v>678</v>
      </c>
      <c r="I360" s="44" t="s">
        <v>1606</v>
      </c>
      <c r="J360" s="45" t="s">
        <v>679</v>
      </c>
      <c r="K360" s="46" t="s">
        <v>680</v>
      </c>
      <c r="L360" s="47" t="s">
        <v>2745</v>
      </c>
      <c r="M360" s="48" t="s">
        <v>2746</v>
      </c>
      <c r="N360" s="49"/>
      <c r="O360" s="50" t="s">
        <v>3415</v>
      </c>
      <c r="P360" s="59"/>
      <c r="Q360" s="59"/>
      <c r="R360" s="13"/>
    </row>
    <row r="361" spans="1:18" ht="90" x14ac:dyDescent="0.25">
      <c r="A361" s="9" t="s">
        <v>21</v>
      </c>
      <c r="B361" s="28">
        <f>IF(ISBLANK(A361),0,INDEX(txtstylestab[],MATCH(A361,txtstylestab[style_Name],0),1))</f>
        <v>0</v>
      </c>
      <c r="C361" s="28">
        <f t="shared" si="20"/>
        <v>1</v>
      </c>
      <c r="D361" s="28">
        <f t="shared" si="21"/>
        <v>20</v>
      </c>
      <c r="E361" s="28">
        <f t="shared" si="22"/>
        <v>2</v>
      </c>
      <c r="F361" s="59" t="str">
        <f t="shared" si="23"/>
        <v/>
      </c>
      <c r="G361" s="42" t="s">
        <v>671</v>
      </c>
      <c r="H361" s="43" t="s">
        <v>672</v>
      </c>
      <c r="I361" s="44" t="s">
        <v>1607</v>
      </c>
      <c r="J361" s="45" t="s">
        <v>1608</v>
      </c>
      <c r="K361" s="46" t="s">
        <v>1609</v>
      </c>
      <c r="L361" s="47" t="s">
        <v>2667</v>
      </c>
      <c r="M361" s="48" t="s">
        <v>2668</v>
      </c>
      <c r="N361" s="49"/>
      <c r="O361" s="50" t="s">
        <v>3411</v>
      </c>
      <c r="P361" s="59"/>
      <c r="Q361" s="59"/>
      <c r="R361" s="13"/>
    </row>
    <row r="362" spans="1:18" ht="45" x14ac:dyDescent="0.25">
      <c r="A362" s="9" t="s">
        <v>21</v>
      </c>
      <c r="B362" s="28">
        <f>IF(ISBLANK(A362),0,INDEX(txtstylestab[],MATCH(A362,txtstylestab[style_Name],0),1))</f>
        <v>0</v>
      </c>
      <c r="C362" s="28">
        <f t="shared" si="20"/>
        <v>1</v>
      </c>
      <c r="D362" s="28">
        <f t="shared" si="21"/>
        <v>20</v>
      </c>
      <c r="E362" s="28">
        <f t="shared" si="22"/>
        <v>2</v>
      </c>
      <c r="F362" s="59" t="str">
        <f t="shared" si="23"/>
        <v/>
      </c>
      <c r="G362" s="42" t="s">
        <v>673</v>
      </c>
      <c r="H362" s="43" t="s">
        <v>674</v>
      </c>
      <c r="I362" s="44" t="s">
        <v>1635</v>
      </c>
      <c r="J362" s="45" t="s">
        <v>675</v>
      </c>
      <c r="K362" s="46" t="s">
        <v>676</v>
      </c>
      <c r="L362" s="47" t="s">
        <v>2669</v>
      </c>
      <c r="M362" s="48" t="s">
        <v>2670</v>
      </c>
      <c r="N362" s="49"/>
      <c r="O362" s="50" t="s">
        <v>3412</v>
      </c>
      <c r="P362" s="59"/>
      <c r="Q362" s="59"/>
      <c r="R362" s="13"/>
    </row>
    <row r="363" spans="1:18" x14ac:dyDescent="0.25">
      <c r="A363" s="9" t="s">
        <v>21</v>
      </c>
      <c r="B363" s="28">
        <f>IF(ISBLANK(A363),0,INDEX(txtstylestab[],MATCH(A363,txtstylestab[style_Name],0),1))</f>
        <v>0</v>
      </c>
      <c r="C363" s="28">
        <f t="shared" si="20"/>
        <v>1</v>
      </c>
      <c r="D363" s="28">
        <f t="shared" si="21"/>
        <v>20</v>
      </c>
      <c r="E363" s="28">
        <f t="shared" si="22"/>
        <v>2</v>
      </c>
      <c r="F363" s="59" t="str">
        <f t="shared" si="23"/>
        <v/>
      </c>
      <c r="G363" s="42" t="s">
        <v>6</v>
      </c>
      <c r="H363" s="43" t="s">
        <v>26</v>
      </c>
      <c r="I363" s="44" t="s">
        <v>48</v>
      </c>
      <c r="J363" s="45" t="s">
        <v>384</v>
      </c>
      <c r="K363" s="46" t="s">
        <v>59</v>
      </c>
      <c r="L363" s="47" t="s">
        <v>2524</v>
      </c>
      <c r="M363" s="48" t="s">
        <v>2525</v>
      </c>
      <c r="N363" s="49"/>
      <c r="O363" s="50" t="s">
        <v>3168</v>
      </c>
      <c r="P363" s="50"/>
      <c r="Q363" s="59"/>
      <c r="R363" s="13"/>
    </row>
    <row r="364" spans="1:18" ht="18" thickBot="1" x14ac:dyDescent="0.35">
      <c r="A364" s="9" t="s">
        <v>11</v>
      </c>
      <c r="B364" s="28">
        <f>IF(ISBLANK(A364),0,INDEX(txtstylestab[],MATCH(A364,txtstylestab[style_Name],0),1))</f>
        <v>2</v>
      </c>
      <c r="C364" s="28">
        <f t="shared" si="20"/>
        <v>1</v>
      </c>
      <c r="D364" s="28">
        <f t="shared" si="21"/>
        <v>21</v>
      </c>
      <c r="E364" s="28">
        <f t="shared" si="22"/>
        <v>0</v>
      </c>
      <c r="F364" s="54" t="str">
        <f t="shared" si="23"/>
        <v>1.21.</v>
      </c>
      <c r="G364" s="54" t="s">
        <v>2329</v>
      </c>
      <c r="H364" s="54"/>
      <c r="I364" s="54"/>
      <c r="J364" s="54"/>
      <c r="K364" s="54"/>
      <c r="L364" s="54"/>
      <c r="M364" s="54"/>
      <c r="N364" s="54"/>
      <c r="O364" s="54"/>
      <c r="P364" s="54"/>
      <c r="Q364" s="54"/>
      <c r="R364" s="13"/>
    </row>
    <row r="365" spans="1:18" ht="15.75" thickTop="1" x14ac:dyDescent="0.25">
      <c r="A365" s="9" t="s">
        <v>21</v>
      </c>
      <c r="B365" s="28">
        <f>IF(ISBLANK(A365),0,INDEX(txtstylestab[],MATCH(A365,txtstylestab[style_Name],0),1))</f>
        <v>0</v>
      </c>
      <c r="C365" s="28">
        <f t="shared" si="20"/>
        <v>1</v>
      </c>
      <c r="D365" s="28">
        <f t="shared" si="21"/>
        <v>21</v>
      </c>
      <c r="E365" s="28">
        <f t="shared" si="22"/>
        <v>0</v>
      </c>
      <c r="F365" s="59" t="str">
        <f t="shared" si="23"/>
        <v/>
      </c>
      <c r="G365" s="42" t="s">
        <v>82</v>
      </c>
      <c r="H365" s="43" t="s">
        <v>83</v>
      </c>
      <c r="I365" s="44" t="s">
        <v>84</v>
      </c>
      <c r="J365" s="45" t="s">
        <v>85</v>
      </c>
      <c r="K365" s="46" t="s">
        <v>86</v>
      </c>
      <c r="L365" s="47" t="s">
        <v>2397</v>
      </c>
      <c r="M365" s="48" t="s">
        <v>2539</v>
      </c>
      <c r="N365" s="49"/>
      <c r="O365" s="50" t="s">
        <v>3359</v>
      </c>
      <c r="P365" s="50"/>
      <c r="Q365" s="59"/>
      <c r="R365" s="13"/>
    </row>
    <row r="366" spans="1:18" ht="60" x14ac:dyDescent="0.25">
      <c r="A366" s="9" t="s">
        <v>21</v>
      </c>
      <c r="B366" s="28">
        <f>IF(ISBLANK(A366),0,INDEX(txtstylestab[],MATCH(A366,txtstylestab[style_Name],0),1))</f>
        <v>0</v>
      </c>
      <c r="C366" s="28">
        <f t="shared" si="20"/>
        <v>1</v>
      </c>
      <c r="D366" s="28">
        <f t="shared" si="21"/>
        <v>21</v>
      </c>
      <c r="E366" s="28">
        <f t="shared" si="22"/>
        <v>0</v>
      </c>
      <c r="F366" s="59" t="str">
        <f t="shared" si="23"/>
        <v/>
      </c>
      <c r="G366" s="42" t="s">
        <v>685</v>
      </c>
      <c r="H366" s="43" t="s">
        <v>686</v>
      </c>
      <c r="I366" s="44" t="s">
        <v>687</v>
      </c>
      <c r="J366" s="45" t="s">
        <v>1622</v>
      </c>
      <c r="K366" s="46" t="s">
        <v>688</v>
      </c>
      <c r="L366" s="47" t="s">
        <v>2671</v>
      </c>
      <c r="M366" s="48" t="s">
        <v>2672</v>
      </c>
      <c r="N366" s="49"/>
      <c r="O366" s="50" t="s">
        <v>3414</v>
      </c>
      <c r="P366" s="59"/>
      <c r="Q366" s="59"/>
      <c r="R366" s="13"/>
    </row>
    <row r="367" spans="1:18" ht="75" x14ac:dyDescent="0.25">
      <c r="A367" s="9" t="s">
        <v>21</v>
      </c>
      <c r="B367" s="28">
        <f>IF(ISBLANK(A367),0,INDEX(txtstylestab[],MATCH(A367,txtstylestab[style_Name],0),1))</f>
        <v>0</v>
      </c>
      <c r="C367" s="28">
        <f t="shared" si="20"/>
        <v>1</v>
      </c>
      <c r="D367" s="28">
        <f t="shared" si="21"/>
        <v>21</v>
      </c>
      <c r="E367" s="28">
        <f t="shared" si="22"/>
        <v>0</v>
      </c>
      <c r="F367" s="59" t="str">
        <f t="shared" si="23"/>
        <v/>
      </c>
      <c r="G367" s="42" t="s">
        <v>681</v>
      </c>
      <c r="H367" s="43" t="s">
        <v>682</v>
      </c>
      <c r="I367" s="44" t="s">
        <v>1636</v>
      </c>
      <c r="J367" s="45" t="s">
        <v>683</v>
      </c>
      <c r="K367" s="46" t="s">
        <v>1722</v>
      </c>
      <c r="L367" s="47" t="s">
        <v>2673</v>
      </c>
      <c r="M367" s="48" t="s">
        <v>2674</v>
      </c>
      <c r="N367" s="49"/>
      <c r="O367" s="50" t="s">
        <v>3413</v>
      </c>
      <c r="P367" s="59"/>
      <c r="Q367" s="59"/>
      <c r="R367" s="13"/>
    </row>
    <row r="368" spans="1:18" x14ac:dyDescent="0.25">
      <c r="A368" s="9" t="s">
        <v>21</v>
      </c>
      <c r="B368" s="28">
        <f>IF(ISBLANK(A368),0,INDEX(txtstylestab[],MATCH(A368,txtstylestab[style_Name],0),1))</f>
        <v>0</v>
      </c>
      <c r="C368" s="28">
        <f t="shared" si="20"/>
        <v>1</v>
      </c>
      <c r="D368" s="28">
        <f t="shared" si="21"/>
        <v>21</v>
      </c>
      <c r="E368" s="28">
        <f t="shared" si="22"/>
        <v>0</v>
      </c>
      <c r="F368" s="59" t="str">
        <f t="shared" si="23"/>
        <v/>
      </c>
      <c r="G368" s="42" t="s">
        <v>684</v>
      </c>
      <c r="H368" s="43" t="s">
        <v>26</v>
      </c>
      <c r="I368" s="44" t="s">
        <v>48</v>
      </c>
      <c r="J368" s="45" t="s">
        <v>384</v>
      </c>
      <c r="K368" s="46" t="s">
        <v>59</v>
      </c>
      <c r="L368" s="47" t="s">
        <v>2524</v>
      </c>
      <c r="M368" s="48" t="s">
        <v>2525</v>
      </c>
      <c r="N368" s="49"/>
      <c r="O368" s="50" t="s">
        <v>3168</v>
      </c>
      <c r="P368" s="50"/>
      <c r="Q368" s="59"/>
      <c r="R368" s="13"/>
    </row>
    <row r="369" spans="1:18" ht="18" thickBot="1" x14ac:dyDescent="0.35">
      <c r="A369" s="9" t="s">
        <v>11</v>
      </c>
      <c r="B369" s="28">
        <f>IF(ISBLANK(A369),0,INDEX(txtstylestab[],MATCH(A369,txtstylestab[style_Name],0),1))</f>
        <v>2</v>
      </c>
      <c r="C369" s="28">
        <f t="shared" si="20"/>
        <v>1</v>
      </c>
      <c r="D369" s="28">
        <f t="shared" si="21"/>
        <v>22</v>
      </c>
      <c r="E369" s="28">
        <f t="shared" si="22"/>
        <v>0</v>
      </c>
      <c r="F369" s="54" t="str">
        <f t="shared" si="23"/>
        <v>1.22.</v>
      </c>
      <c r="G369" s="54" t="s">
        <v>689</v>
      </c>
      <c r="H369" s="54"/>
      <c r="I369" s="54"/>
      <c r="J369" s="54"/>
      <c r="K369" s="54"/>
      <c r="L369" s="54"/>
      <c r="M369" s="54"/>
      <c r="N369" s="54"/>
      <c r="O369" s="54"/>
      <c r="P369" s="54"/>
      <c r="Q369" s="54"/>
      <c r="R369" s="13"/>
    </row>
    <row r="370" spans="1:18" ht="15.75" thickTop="1" x14ac:dyDescent="0.25">
      <c r="A370" s="9" t="s">
        <v>21</v>
      </c>
      <c r="B370" s="28">
        <f>IF(ISBLANK(A370),0,INDEX(txtstylestab[],MATCH(A370,txtstylestab[style_Name],0),1))</f>
        <v>0</v>
      </c>
      <c r="C370" s="28">
        <f t="shared" si="20"/>
        <v>1</v>
      </c>
      <c r="D370" s="28">
        <f t="shared" si="21"/>
        <v>22</v>
      </c>
      <c r="E370" s="28">
        <f t="shared" si="22"/>
        <v>0</v>
      </c>
      <c r="F370" s="59" t="str">
        <f t="shared" si="23"/>
        <v/>
      </c>
      <c r="G370" s="42" t="s">
        <v>82</v>
      </c>
      <c r="H370" s="43" t="s">
        <v>83</v>
      </c>
      <c r="I370" s="44" t="s">
        <v>84</v>
      </c>
      <c r="J370" s="45" t="s">
        <v>85</v>
      </c>
      <c r="K370" s="46" t="s">
        <v>86</v>
      </c>
      <c r="L370" s="47" t="s">
        <v>2397</v>
      </c>
      <c r="M370" s="48" t="s">
        <v>2539</v>
      </c>
      <c r="N370" s="49"/>
      <c r="O370" s="50" t="s">
        <v>3359</v>
      </c>
      <c r="P370" s="50"/>
      <c r="Q370" s="59"/>
      <c r="R370" s="13"/>
    </row>
    <row r="371" spans="1:18" ht="30" x14ac:dyDescent="0.25">
      <c r="A371" s="9" t="s">
        <v>21</v>
      </c>
      <c r="B371" s="28">
        <f>IF(ISBLANK(A371),0,INDEX(txtstylestab[],MATCH(A371,txtstylestab[style_Name],0),1))</f>
        <v>0</v>
      </c>
      <c r="C371" s="28">
        <f t="shared" si="20"/>
        <v>1</v>
      </c>
      <c r="D371" s="28">
        <f t="shared" si="21"/>
        <v>22</v>
      </c>
      <c r="E371" s="28">
        <f t="shared" si="22"/>
        <v>0</v>
      </c>
      <c r="F371" s="59" t="str">
        <f t="shared" si="23"/>
        <v/>
      </c>
      <c r="G371" s="42" t="s">
        <v>690</v>
      </c>
      <c r="H371" s="43" t="s">
        <v>2146</v>
      </c>
      <c r="I371" s="44" t="s">
        <v>2254</v>
      </c>
      <c r="J371" s="45" t="s">
        <v>691</v>
      </c>
      <c r="K371" s="46" t="s">
        <v>692</v>
      </c>
      <c r="L371" s="47" t="s">
        <v>2675</v>
      </c>
      <c r="M371" s="48" t="s">
        <v>2676</v>
      </c>
      <c r="N371" s="49"/>
      <c r="O371" s="50" t="s">
        <v>3416</v>
      </c>
      <c r="P371" s="59"/>
      <c r="Q371" s="59"/>
      <c r="R371" s="13"/>
    </row>
    <row r="372" spans="1:18" ht="60" x14ac:dyDescent="0.25">
      <c r="A372" s="9" t="s">
        <v>21</v>
      </c>
      <c r="B372" s="28">
        <f>IF(ISBLANK(A372),0,INDEX(txtstylestab[],MATCH(A372,txtstylestab[style_Name],0),1))</f>
        <v>0</v>
      </c>
      <c r="C372" s="28">
        <f t="shared" si="20"/>
        <v>1</v>
      </c>
      <c r="D372" s="28">
        <f t="shared" si="21"/>
        <v>22</v>
      </c>
      <c r="E372" s="28">
        <f t="shared" si="22"/>
        <v>0</v>
      </c>
      <c r="F372" s="59" t="str">
        <f t="shared" si="23"/>
        <v/>
      </c>
      <c r="G372" s="42" t="s">
        <v>1883</v>
      </c>
      <c r="H372" s="43" t="s">
        <v>1884</v>
      </c>
      <c r="I372" s="44" t="s">
        <v>1885</v>
      </c>
      <c r="J372" s="45" t="s">
        <v>1886</v>
      </c>
      <c r="K372" s="46" t="s">
        <v>693</v>
      </c>
      <c r="L372" s="47" t="s">
        <v>2744</v>
      </c>
      <c r="M372" s="48" t="s">
        <v>2735</v>
      </c>
      <c r="N372" s="49"/>
      <c r="O372" s="50" t="s">
        <v>3419</v>
      </c>
      <c r="P372" s="59"/>
      <c r="Q372" s="59"/>
      <c r="R372" s="13"/>
    </row>
    <row r="373" spans="1:18" ht="45" x14ac:dyDescent="0.25">
      <c r="A373" s="9" t="s">
        <v>14</v>
      </c>
      <c r="B373" s="28">
        <f>IF(ISBLANK(A373),0,INDEX(txtstylestab[],MATCH(A373,txtstylestab[style_Name],0),1))</f>
        <v>6</v>
      </c>
      <c r="C373" s="28">
        <f t="shared" si="20"/>
        <v>1</v>
      </c>
      <c r="D373" s="28">
        <f t="shared" si="21"/>
        <v>22</v>
      </c>
      <c r="E373" s="28">
        <f t="shared" si="22"/>
        <v>0</v>
      </c>
      <c r="F373" s="59" t="str">
        <f t="shared" si="23"/>
        <v/>
      </c>
      <c r="G373" s="42" t="s">
        <v>1887</v>
      </c>
      <c r="H373" s="43" t="s">
        <v>1888</v>
      </c>
      <c r="I373" s="44" t="s">
        <v>1889</v>
      </c>
      <c r="J373" s="45" t="s">
        <v>1890</v>
      </c>
      <c r="K373" s="46" t="s">
        <v>694</v>
      </c>
      <c r="L373" s="47" t="s">
        <v>2677</v>
      </c>
      <c r="M373" s="48" t="s">
        <v>2678</v>
      </c>
      <c r="N373" s="49"/>
      <c r="O373" s="50"/>
      <c r="P373" s="59"/>
      <c r="Q373" s="59"/>
      <c r="R373" s="13"/>
    </row>
    <row r="374" spans="1:18" ht="105" x14ac:dyDescent="0.25">
      <c r="A374" s="9" t="s">
        <v>14</v>
      </c>
      <c r="B374" s="28">
        <f>IF(ISBLANK(A374),0,INDEX(txtstylestab[],MATCH(A374,txtstylestab[style_Name],0),1))</f>
        <v>6</v>
      </c>
      <c r="C374" s="28">
        <f t="shared" si="20"/>
        <v>1</v>
      </c>
      <c r="D374" s="28">
        <f t="shared" si="21"/>
        <v>22</v>
      </c>
      <c r="E374" s="28">
        <f t="shared" si="22"/>
        <v>0</v>
      </c>
      <c r="F374" s="59" t="str">
        <f t="shared" si="23"/>
        <v/>
      </c>
      <c r="G374" s="42" t="s">
        <v>695</v>
      </c>
      <c r="H374" s="43" t="s">
        <v>1891</v>
      </c>
      <c r="I374" s="44" t="s">
        <v>696</v>
      </c>
      <c r="J374" s="45" t="s">
        <v>697</v>
      </c>
      <c r="K374" s="46" t="s">
        <v>698</v>
      </c>
      <c r="L374" s="47" t="s">
        <v>2743</v>
      </c>
      <c r="M374" s="48" t="s">
        <v>2742</v>
      </c>
      <c r="N374" s="49"/>
      <c r="O374" s="50" t="s">
        <v>3418</v>
      </c>
      <c r="P374" s="59"/>
      <c r="Q374" s="59"/>
      <c r="R374" s="13"/>
    </row>
    <row r="375" spans="1:18" x14ac:dyDescent="0.25">
      <c r="A375" s="9" t="s">
        <v>22</v>
      </c>
      <c r="B375" s="28">
        <f>IF(ISBLANK(A375),0,INDEX(txtstylestab[],MATCH(A375,txtstylestab[style_Name],0),1))</f>
        <v>4</v>
      </c>
      <c r="C375" s="28">
        <f t="shared" si="20"/>
        <v>1</v>
      </c>
      <c r="D375" s="28">
        <f t="shared" si="21"/>
        <v>22</v>
      </c>
      <c r="E375" s="28">
        <f t="shared" si="22"/>
        <v>0</v>
      </c>
      <c r="F375" s="56" t="str">
        <f t="shared" si="23"/>
        <v/>
      </c>
      <c r="G375" s="53" t="s">
        <v>699</v>
      </c>
      <c r="H375" s="53"/>
      <c r="I375" s="53"/>
      <c r="J375" s="53"/>
      <c r="K375" s="53"/>
      <c r="L375" s="53"/>
      <c r="M375" s="53"/>
      <c r="N375" s="53"/>
      <c r="O375" s="53"/>
      <c r="P375" s="53"/>
      <c r="Q375" s="53"/>
      <c r="R375" s="13"/>
    </row>
    <row r="376" spans="1:18" ht="120" x14ac:dyDescent="0.25">
      <c r="A376" s="9" t="s">
        <v>21</v>
      </c>
      <c r="B376" s="28">
        <f>IF(ISBLANK(A376),0,INDEX(txtstylestab[],MATCH(A376,txtstylestab[style_Name],0),1))</f>
        <v>0</v>
      </c>
      <c r="C376" s="28">
        <f t="shared" si="20"/>
        <v>1</v>
      </c>
      <c r="D376" s="28">
        <f t="shared" si="21"/>
        <v>22</v>
      </c>
      <c r="E376" s="28">
        <f t="shared" si="22"/>
        <v>0</v>
      </c>
      <c r="F376" s="59" t="str">
        <f t="shared" si="23"/>
        <v/>
      </c>
      <c r="G376" s="42" t="s">
        <v>700</v>
      </c>
      <c r="H376" s="43" t="s">
        <v>2229</v>
      </c>
      <c r="I376" s="44" t="s">
        <v>2255</v>
      </c>
      <c r="J376" s="45" t="s">
        <v>1610</v>
      </c>
      <c r="K376" s="46" t="s">
        <v>1611</v>
      </c>
      <c r="L376" s="47" t="s">
        <v>2679</v>
      </c>
      <c r="M376" s="48" t="s">
        <v>2680</v>
      </c>
      <c r="N376" s="49"/>
      <c r="O376" s="50" t="s">
        <v>3417</v>
      </c>
      <c r="P376" s="59"/>
      <c r="Q376" s="59"/>
      <c r="R376" s="13"/>
    </row>
    <row r="377" spans="1:18" x14ac:dyDescent="0.25">
      <c r="A377" s="9" t="s">
        <v>22</v>
      </c>
      <c r="B377" s="28">
        <f>IF(ISBLANK(A377),0,INDEX(txtstylestab[],MATCH(A377,txtstylestab[style_Name],0),1))</f>
        <v>4</v>
      </c>
      <c r="C377" s="28">
        <f t="shared" si="20"/>
        <v>1</v>
      </c>
      <c r="D377" s="28">
        <f t="shared" si="21"/>
        <v>22</v>
      </c>
      <c r="E377" s="28">
        <f t="shared" si="22"/>
        <v>0</v>
      </c>
      <c r="F377" s="56" t="str">
        <f t="shared" si="23"/>
        <v/>
      </c>
      <c r="G377" s="53" t="s">
        <v>701</v>
      </c>
      <c r="H377" s="53"/>
      <c r="I377" s="53"/>
      <c r="J377" s="53"/>
      <c r="K377" s="53"/>
      <c r="L377" s="53"/>
      <c r="M377" s="53"/>
      <c r="N377" s="53"/>
      <c r="O377" s="53"/>
      <c r="P377" s="53"/>
      <c r="Q377" s="53"/>
      <c r="R377" s="13"/>
    </row>
    <row r="378" spans="1:18" ht="45" x14ac:dyDescent="0.25">
      <c r="A378" s="9" t="s">
        <v>21</v>
      </c>
      <c r="B378" s="28">
        <f>IF(ISBLANK(A378),0,INDEX(txtstylestab[],MATCH(A378,txtstylestab[style_Name],0),1))</f>
        <v>0</v>
      </c>
      <c r="C378" s="28">
        <f t="shared" si="20"/>
        <v>1</v>
      </c>
      <c r="D378" s="28">
        <f t="shared" si="21"/>
        <v>22</v>
      </c>
      <c r="E378" s="28">
        <f t="shared" si="22"/>
        <v>0</v>
      </c>
      <c r="F378" s="59" t="str">
        <f t="shared" si="23"/>
        <v/>
      </c>
      <c r="G378" s="42" t="s">
        <v>702</v>
      </c>
      <c r="H378" s="43" t="s">
        <v>2230</v>
      </c>
      <c r="I378" s="44" t="s">
        <v>2256</v>
      </c>
      <c r="J378" s="45" t="s">
        <v>703</v>
      </c>
      <c r="K378" s="46" t="s">
        <v>1740</v>
      </c>
      <c r="L378" s="47" t="s">
        <v>2681</v>
      </c>
      <c r="M378" s="48" t="s">
        <v>2682</v>
      </c>
      <c r="N378" s="49"/>
      <c r="O378" s="49"/>
      <c r="P378" s="50"/>
      <c r="Q378" s="59"/>
      <c r="R378" s="13"/>
    </row>
    <row r="379" spans="1:18" x14ac:dyDescent="0.25">
      <c r="A379" s="9" t="s">
        <v>22</v>
      </c>
      <c r="B379" s="28">
        <f>IF(ISBLANK(A379),0,INDEX(txtstylestab[],MATCH(A379,txtstylestab[style_Name],0),1))</f>
        <v>4</v>
      </c>
      <c r="C379" s="28">
        <f t="shared" si="20"/>
        <v>1</v>
      </c>
      <c r="D379" s="28">
        <f t="shared" si="21"/>
        <v>22</v>
      </c>
      <c r="E379" s="28">
        <f t="shared" si="22"/>
        <v>0</v>
      </c>
      <c r="F379" s="56" t="str">
        <f t="shared" si="23"/>
        <v/>
      </c>
      <c r="G379" s="53" t="s">
        <v>704</v>
      </c>
      <c r="H379" s="53"/>
      <c r="I379" s="53"/>
      <c r="J379" s="53"/>
      <c r="K379" s="53"/>
      <c r="L379" s="53"/>
      <c r="M379" s="53"/>
      <c r="N379" s="53"/>
      <c r="O379" s="53"/>
      <c r="P379" s="53"/>
      <c r="Q379" s="53"/>
      <c r="R379" s="13"/>
    </row>
    <row r="380" spans="1:18" ht="60" x14ac:dyDescent="0.25">
      <c r="A380" s="9" t="s">
        <v>21</v>
      </c>
      <c r="B380" s="28">
        <f>IF(ISBLANK(A380),0,INDEX(txtstylestab[],MATCH(A380,txtstylestab[style_Name],0),1))</f>
        <v>0</v>
      </c>
      <c r="C380" s="28">
        <f t="shared" si="20"/>
        <v>1</v>
      </c>
      <c r="D380" s="28">
        <f t="shared" si="21"/>
        <v>22</v>
      </c>
      <c r="E380" s="28">
        <f t="shared" si="22"/>
        <v>0</v>
      </c>
      <c r="F380" s="59" t="str">
        <f t="shared" si="23"/>
        <v/>
      </c>
      <c r="G380" s="42" t="s">
        <v>712</v>
      </c>
      <c r="H380" s="43" t="s">
        <v>713</v>
      </c>
      <c r="I380" s="44" t="s">
        <v>714</v>
      </c>
      <c r="J380" s="45" t="s">
        <v>715</v>
      </c>
      <c r="K380" s="46" t="s">
        <v>1723</v>
      </c>
      <c r="L380" s="47" t="s">
        <v>2683</v>
      </c>
      <c r="M380" s="48" t="s">
        <v>2738</v>
      </c>
      <c r="N380" s="49"/>
      <c r="O380" s="50" t="s">
        <v>3420</v>
      </c>
      <c r="P380" s="59"/>
      <c r="Q380" s="59"/>
      <c r="R380" s="13"/>
    </row>
    <row r="381" spans="1:18" ht="60" x14ac:dyDescent="0.25">
      <c r="A381" s="9" t="s">
        <v>21</v>
      </c>
      <c r="B381" s="28">
        <f>IF(ISBLANK(A381),0,INDEX(txtstylestab[],MATCH(A381,txtstylestab[style_Name],0),1))</f>
        <v>0</v>
      </c>
      <c r="C381" s="28">
        <f t="shared" si="20"/>
        <v>1</v>
      </c>
      <c r="D381" s="28">
        <f t="shared" si="21"/>
        <v>22</v>
      </c>
      <c r="E381" s="28">
        <f t="shared" si="22"/>
        <v>0</v>
      </c>
      <c r="F381" s="59" t="str">
        <f t="shared" si="23"/>
        <v/>
      </c>
      <c r="G381" s="42" t="s">
        <v>2312</v>
      </c>
      <c r="H381" s="43" t="s">
        <v>2313</v>
      </c>
      <c r="I381" s="44" t="s">
        <v>2314</v>
      </c>
      <c r="J381" s="45" t="s">
        <v>2315</v>
      </c>
      <c r="K381" s="46" t="s">
        <v>2316</v>
      </c>
      <c r="L381" s="47" t="s">
        <v>2737</v>
      </c>
      <c r="M381" s="48" t="s">
        <v>2736</v>
      </c>
      <c r="N381" s="49"/>
      <c r="O381" s="50" t="s">
        <v>3421</v>
      </c>
      <c r="P381" s="59"/>
      <c r="Q381" s="59"/>
      <c r="R381" s="13"/>
    </row>
    <row r="382" spans="1:18" ht="45" x14ac:dyDescent="0.25">
      <c r="A382" s="9" t="s">
        <v>21</v>
      </c>
      <c r="B382" s="28">
        <f>IF(ISBLANK(A382),0,INDEX(txtstylestab[],MATCH(A382,txtstylestab[style_Name],0),1))</f>
        <v>0</v>
      </c>
      <c r="C382" s="28">
        <f t="shared" si="20"/>
        <v>1</v>
      </c>
      <c r="D382" s="28">
        <f t="shared" si="21"/>
        <v>22</v>
      </c>
      <c r="E382" s="28">
        <f t="shared" si="22"/>
        <v>0</v>
      </c>
      <c r="F382" s="59" t="str">
        <f t="shared" si="23"/>
        <v/>
      </c>
      <c r="G382" s="42" t="s">
        <v>705</v>
      </c>
      <c r="H382" s="43" t="s">
        <v>706</v>
      </c>
      <c r="I382" s="44" t="s">
        <v>2303</v>
      </c>
      <c r="J382" s="45" t="s">
        <v>707</v>
      </c>
      <c r="K382" s="46" t="s">
        <v>708</v>
      </c>
      <c r="L382" s="47" t="s">
        <v>2684</v>
      </c>
      <c r="M382" s="48" t="s">
        <v>2685</v>
      </c>
      <c r="N382" s="49"/>
      <c r="O382" s="50" t="s">
        <v>3422</v>
      </c>
      <c r="P382" s="59"/>
      <c r="Q382" s="59"/>
      <c r="R382" s="13"/>
    </row>
    <row r="383" spans="1:18" ht="30" x14ac:dyDescent="0.25">
      <c r="A383" s="9" t="s">
        <v>21</v>
      </c>
      <c r="B383" s="28">
        <f>IF(ISBLANK(A383),0,INDEX(txtstylestab[],MATCH(A383,txtstylestab[style_Name],0),1))</f>
        <v>0</v>
      </c>
      <c r="C383" s="28">
        <f t="shared" si="20"/>
        <v>1</v>
      </c>
      <c r="D383" s="28">
        <f t="shared" si="21"/>
        <v>22</v>
      </c>
      <c r="E383" s="28">
        <f t="shared" si="22"/>
        <v>0</v>
      </c>
      <c r="F383" s="59" t="str">
        <f t="shared" si="23"/>
        <v/>
      </c>
      <c r="G383" s="42" t="s">
        <v>716</v>
      </c>
      <c r="H383" s="43" t="s">
        <v>717</v>
      </c>
      <c r="I383" s="44" t="s">
        <v>718</v>
      </c>
      <c r="J383" s="45" t="s">
        <v>719</v>
      </c>
      <c r="K383" s="46" t="s">
        <v>720</v>
      </c>
      <c r="L383" s="47" t="s">
        <v>2686</v>
      </c>
      <c r="M383" s="48" t="s">
        <v>2739</v>
      </c>
      <c r="N383" s="49"/>
      <c r="O383" s="50" t="s">
        <v>3428</v>
      </c>
      <c r="P383" s="59"/>
      <c r="Q383" s="59"/>
      <c r="R383" s="13"/>
    </row>
    <row r="384" spans="1:18" ht="60" x14ac:dyDescent="0.25">
      <c r="A384" s="9" t="s">
        <v>21</v>
      </c>
      <c r="B384" s="28">
        <f>IF(ISBLANK(A384),0,INDEX(txtstylestab[],MATCH(A384,txtstylestab[style_Name],0),1))</f>
        <v>0</v>
      </c>
      <c r="C384" s="28">
        <f t="shared" si="20"/>
        <v>1</v>
      </c>
      <c r="D384" s="28">
        <f t="shared" si="21"/>
        <v>22</v>
      </c>
      <c r="E384" s="28">
        <f t="shared" si="22"/>
        <v>0</v>
      </c>
      <c r="F384" s="59" t="str">
        <f t="shared" si="23"/>
        <v/>
      </c>
      <c r="G384" s="42" t="s">
        <v>721</v>
      </c>
      <c r="H384" s="43" t="s">
        <v>722</v>
      </c>
      <c r="I384" s="44" t="s">
        <v>723</v>
      </c>
      <c r="J384" s="45" t="s">
        <v>1623</v>
      </c>
      <c r="K384" s="46" t="s">
        <v>1724</v>
      </c>
      <c r="L384" s="47" t="s">
        <v>2687</v>
      </c>
      <c r="M384" s="48" t="s">
        <v>2740</v>
      </c>
      <c r="N384" s="49"/>
      <c r="O384" s="50" t="s">
        <v>3427</v>
      </c>
      <c r="P384" s="59"/>
      <c r="Q384" s="59"/>
      <c r="R384" s="13"/>
    </row>
    <row r="385" spans="1:18" ht="30" x14ac:dyDescent="0.25">
      <c r="A385" s="9" t="s">
        <v>21</v>
      </c>
      <c r="B385" s="28">
        <f>IF(ISBLANK(A385),0,INDEX(txtstylestab[],MATCH(A385,txtstylestab[style_Name],0),1))</f>
        <v>0</v>
      </c>
      <c r="C385" s="28">
        <f t="shared" si="20"/>
        <v>1</v>
      </c>
      <c r="D385" s="28">
        <f t="shared" si="21"/>
        <v>22</v>
      </c>
      <c r="E385" s="28">
        <f t="shared" si="22"/>
        <v>0</v>
      </c>
      <c r="F385" s="59" t="str">
        <f t="shared" si="23"/>
        <v/>
      </c>
      <c r="G385" s="42" t="s">
        <v>354</v>
      </c>
      <c r="H385" s="43" t="s">
        <v>724</v>
      </c>
      <c r="I385" s="44" t="s">
        <v>356</v>
      </c>
      <c r="J385" s="45" t="s">
        <v>357</v>
      </c>
      <c r="K385" s="46" t="s">
        <v>358</v>
      </c>
      <c r="L385" s="47" t="s">
        <v>2496</v>
      </c>
      <c r="M385" s="48" t="s">
        <v>2741</v>
      </c>
      <c r="N385" s="49"/>
      <c r="O385" s="50" t="s">
        <v>3426</v>
      </c>
      <c r="P385" s="59"/>
      <c r="Q385" s="59"/>
      <c r="R385" s="13"/>
    </row>
    <row r="386" spans="1:18" ht="30" x14ac:dyDescent="0.25">
      <c r="A386" s="9" t="s">
        <v>21</v>
      </c>
      <c r="B386" s="28">
        <f>IF(ISBLANK(A386),0,INDEX(txtstylestab[],MATCH(A386,txtstylestab[style_Name],0),1))</f>
        <v>0</v>
      </c>
      <c r="C386" s="28">
        <f t="shared" si="20"/>
        <v>1</v>
      </c>
      <c r="D386" s="28">
        <f t="shared" si="21"/>
        <v>22</v>
      </c>
      <c r="E386" s="28">
        <f t="shared" si="22"/>
        <v>0</v>
      </c>
      <c r="F386" s="59" t="str">
        <f t="shared" si="23"/>
        <v/>
      </c>
      <c r="G386" s="42" t="s">
        <v>359</v>
      </c>
      <c r="H386" s="43" t="s">
        <v>360</v>
      </c>
      <c r="I386" s="44" t="s">
        <v>725</v>
      </c>
      <c r="J386" s="45" t="s">
        <v>362</v>
      </c>
      <c r="K386" s="46" t="s">
        <v>726</v>
      </c>
      <c r="L386" s="47" t="s">
        <v>2688</v>
      </c>
      <c r="M386" s="48" t="s">
        <v>2499</v>
      </c>
      <c r="N386" s="49"/>
      <c r="O386" s="50" t="s">
        <v>3425</v>
      </c>
      <c r="P386" s="59"/>
      <c r="Q386" s="59"/>
      <c r="R386" s="13"/>
    </row>
    <row r="387" spans="1:18" ht="30" x14ac:dyDescent="0.25">
      <c r="A387" s="9" t="s">
        <v>21</v>
      </c>
      <c r="B387" s="28">
        <f>IF(ISBLANK(A387),0,INDEX(txtstylestab[],MATCH(A387,txtstylestab[style_Name],0),1))</f>
        <v>0</v>
      </c>
      <c r="C387" s="28">
        <f t="shared" si="20"/>
        <v>1</v>
      </c>
      <c r="D387" s="28">
        <f t="shared" si="21"/>
        <v>22</v>
      </c>
      <c r="E387" s="28">
        <f t="shared" si="22"/>
        <v>0</v>
      </c>
      <c r="F387" s="59" t="str">
        <f t="shared" si="23"/>
        <v/>
      </c>
      <c r="G387" s="42" t="s">
        <v>727</v>
      </c>
      <c r="H387" s="43" t="s">
        <v>728</v>
      </c>
      <c r="I387" s="44" t="s">
        <v>366</v>
      </c>
      <c r="J387" s="45" t="s">
        <v>729</v>
      </c>
      <c r="K387" s="46" t="s">
        <v>730</v>
      </c>
      <c r="L387" s="47" t="s">
        <v>2689</v>
      </c>
      <c r="M387" s="48" t="s">
        <v>2690</v>
      </c>
      <c r="N387" s="49"/>
      <c r="O387" s="50" t="s">
        <v>3423</v>
      </c>
      <c r="P387" s="59"/>
      <c r="Q387" s="59"/>
      <c r="R387" s="13"/>
    </row>
    <row r="388" spans="1:18" ht="45" x14ac:dyDescent="0.25">
      <c r="A388" s="9" t="s">
        <v>21</v>
      </c>
      <c r="B388" s="28">
        <f>IF(ISBLANK(A388),0,INDEX(txtstylestab[],MATCH(A388,txtstylestab[style_Name],0),1))</f>
        <v>0</v>
      </c>
      <c r="C388" s="28">
        <f t="shared" ref="C388:C451" si="24">IF(B388=1,C387+1,C387)</f>
        <v>1</v>
      </c>
      <c r="D388" s="28">
        <f t="shared" ref="D388:D451" si="25">IF(B388=1,0,IF(B388=2,D387+1,IF(AND(B388=3,D387=0),1,D387)))</f>
        <v>22</v>
      </c>
      <c r="E388" s="28">
        <f t="shared" ref="E388:E451" si="26">IF(OR(B388=1,B388=2),0,IF(B388=3,E387+1,E387))</f>
        <v>0</v>
      </c>
      <c r="F388" s="59" t="str">
        <f t="shared" ref="F388:F451" si="27">IF(OR(B388=1,B388=2,B388=3),TEXT(C388,"#")&amp;".","")&amp;IF(OR(B388=2,B388=3),TEXT(D388,"#")&amp;".","")&amp;IF(B388=3,TEXT(E388,"#")&amp;".","")</f>
        <v/>
      </c>
      <c r="G388" s="42" t="s">
        <v>731</v>
      </c>
      <c r="H388" s="43" t="s">
        <v>732</v>
      </c>
      <c r="I388" s="44" t="s">
        <v>733</v>
      </c>
      <c r="J388" s="45" t="s">
        <v>734</v>
      </c>
      <c r="K388" s="46" t="s">
        <v>735</v>
      </c>
      <c r="L388" s="47" t="s">
        <v>2502</v>
      </c>
      <c r="M388" s="48" t="s">
        <v>2503</v>
      </c>
      <c r="N388" s="49"/>
      <c r="O388" s="50" t="s">
        <v>3424</v>
      </c>
      <c r="P388" s="59"/>
      <c r="Q388" s="59"/>
      <c r="R388" s="13"/>
    </row>
    <row r="389" spans="1:18" ht="75" x14ac:dyDescent="0.25">
      <c r="A389" s="9" t="s">
        <v>21</v>
      </c>
      <c r="B389" s="28">
        <f>IF(ISBLANK(A389),0,INDEX(txtstylestab[],MATCH(A389,txtstylestab[style_Name],0),1))</f>
        <v>0</v>
      </c>
      <c r="C389" s="28">
        <f t="shared" si="24"/>
        <v>1</v>
      </c>
      <c r="D389" s="28">
        <f t="shared" si="25"/>
        <v>22</v>
      </c>
      <c r="E389" s="28">
        <f t="shared" si="26"/>
        <v>0</v>
      </c>
      <c r="F389" s="59" t="str">
        <f t="shared" si="27"/>
        <v/>
      </c>
      <c r="G389" s="42" t="s">
        <v>709</v>
      </c>
      <c r="H389" s="43" t="s">
        <v>710</v>
      </c>
      <c r="I389" s="44" t="s">
        <v>711</v>
      </c>
      <c r="J389" s="45" t="s">
        <v>1624</v>
      </c>
      <c r="K389" s="46" t="s">
        <v>1725</v>
      </c>
      <c r="L389" s="47" t="s">
        <v>2691</v>
      </c>
      <c r="M389" s="48" t="s">
        <v>2692</v>
      </c>
      <c r="N389" s="49"/>
      <c r="O389" s="50" t="s">
        <v>3429</v>
      </c>
      <c r="P389" s="59"/>
      <c r="Q389" s="59"/>
      <c r="R389" s="13"/>
    </row>
    <row r="390" spans="1:18" x14ac:dyDescent="0.25">
      <c r="A390" s="9" t="s">
        <v>22</v>
      </c>
      <c r="B390" s="28">
        <f>IF(ISBLANK(A390),0,INDEX(txtstylestab[],MATCH(A390,txtstylestab[style_Name],0),1))</f>
        <v>4</v>
      </c>
      <c r="C390" s="28">
        <f t="shared" si="24"/>
        <v>1</v>
      </c>
      <c r="D390" s="28">
        <f t="shared" si="25"/>
        <v>22</v>
      </c>
      <c r="E390" s="28">
        <f t="shared" si="26"/>
        <v>0</v>
      </c>
      <c r="F390" s="56" t="str">
        <f t="shared" si="27"/>
        <v/>
      </c>
      <c r="G390" s="53" t="s">
        <v>1892</v>
      </c>
      <c r="H390" s="53"/>
      <c r="I390" s="53"/>
      <c r="J390" s="53"/>
      <c r="K390" s="53"/>
      <c r="L390" s="53"/>
      <c r="M390" s="53"/>
      <c r="N390" s="53"/>
      <c r="O390" s="53"/>
      <c r="P390" s="53"/>
      <c r="Q390" s="53"/>
      <c r="R390" s="13"/>
    </row>
    <row r="391" spans="1:18" ht="45" x14ac:dyDescent="0.25">
      <c r="A391" s="9" t="s">
        <v>21</v>
      </c>
      <c r="B391" s="28">
        <f>IF(ISBLANK(A391),0,INDEX(txtstylestab[],MATCH(A391,txtstylestab[style_Name],0),1))</f>
        <v>0</v>
      </c>
      <c r="C391" s="28">
        <f t="shared" si="24"/>
        <v>1</v>
      </c>
      <c r="D391" s="28">
        <f t="shared" si="25"/>
        <v>22</v>
      </c>
      <c r="E391" s="28">
        <f t="shared" si="26"/>
        <v>0</v>
      </c>
      <c r="F391" s="59" t="str">
        <f t="shared" si="27"/>
        <v/>
      </c>
      <c r="G391" s="42" t="s">
        <v>736</v>
      </c>
      <c r="H391" s="43" t="s">
        <v>737</v>
      </c>
      <c r="I391" s="44" t="s">
        <v>738</v>
      </c>
      <c r="J391" s="45" t="s">
        <v>1625</v>
      </c>
      <c r="K391" s="46" t="s">
        <v>739</v>
      </c>
      <c r="L391" s="47" t="s">
        <v>2693</v>
      </c>
      <c r="M391" s="48" t="s">
        <v>2694</v>
      </c>
      <c r="N391" s="49"/>
      <c r="O391" s="50" t="s">
        <v>3430</v>
      </c>
      <c r="P391" s="59"/>
      <c r="Q391" s="59"/>
      <c r="R391" s="13"/>
    </row>
    <row r="392" spans="1:18" x14ac:dyDescent="0.25">
      <c r="A392" s="9" t="s">
        <v>22</v>
      </c>
      <c r="B392" s="28">
        <f>IF(ISBLANK(A392),0,INDEX(txtstylestab[],MATCH(A392,txtstylestab[style_Name],0),1))</f>
        <v>4</v>
      </c>
      <c r="C392" s="28">
        <f t="shared" si="24"/>
        <v>1</v>
      </c>
      <c r="D392" s="28">
        <f t="shared" si="25"/>
        <v>22</v>
      </c>
      <c r="E392" s="28">
        <f t="shared" si="26"/>
        <v>0</v>
      </c>
      <c r="F392" s="56" t="str">
        <f t="shared" si="27"/>
        <v/>
      </c>
      <c r="G392" s="53" t="s">
        <v>740</v>
      </c>
      <c r="H392" s="53"/>
      <c r="I392" s="53"/>
      <c r="J392" s="53"/>
      <c r="K392" s="53"/>
      <c r="L392" s="53"/>
      <c r="M392" s="53"/>
      <c r="N392" s="53"/>
      <c r="O392" s="53"/>
      <c r="P392" s="53"/>
      <c r="Q392" s="53"/>
      <c r="R392" s="13"/>
    </row>
    <row r="393" spans="1:18" ht="75" x14ac:dyDescent="0.25">
      <c r="A393" s="9" t="s">
        <v>21</v>
      </c>
      <c r="B393" s="28">
        <f>IF(ISBLANK(A393),0,INDEX(txtstylestab[],MATCH(A393,txtstylestab[style_Name],0),1))</f>
        <v>0</v>
      </c>
      <c r="C393" s="28">
        <f t="shared" si="24"/>
        <v>1</v>
      </c>
      <c r="D393" s="28">
        <f t="shared" si="25"/>
        <v>22</v>
      </c>
      <c r="E393" s="28">
        <f t="shared" si="26"/>
        <v>0</v>
      </c>
      <c r="F393" s="59" t="str">
        <f t="shared" si="27"/>
        <v/>
      </c>
      <c r="G393" s="42" t="s">
        <v>741</v>
      </c>
      <c r="H393" s="43" t="s">
        <v>742</v>
      </c>
      <c r="I393" s="44" t="s">
        <v>743</v>
      </c>
      <c r="J393" s="45" t="s">
        <v>744</v>
      </c>
      <c r="K393" s="46" t="s">
        <v>1726</v>
      </c>
      <c r="L393" s="47" t="s">
        <v>2696</v>
      </c>
      <c r="M393" s="48" t="s">
        <v>2695</v>
      </c>
      <c r="N393" s="49"/>
      <c r="O393" s="50" t="s">
        <v>3431</v>
      </c>
      <c r="P393" s="59"/>
      <c r="Q393" s="59"/>
      <c r="R393" s="13"/>
    </row>
    <row r="394" spans="1:18" x14ac:dyDescent="0.25">
      <c r="A394" s="9" t="s">
        <v>21</v>
      </c>
      <c r="B394" s="28">
        <f>IF(ISBLANK(A394),0,INDEX(txtstylestab[],MATCH(A394,txtstylestab[style_Name],0),1))</f>
        <v>0</v>
      </c>
      <c r="C394" s="28">
        <f t="shared" si="24"/>
        <v>1</v>
      </c>
      <c r="D394" s="28">
        <f t="shared" si="25"/>
        <v>22</v>
      </c>
      <c r="E394" s="28">
        <f t="shared" si="26"/>
        <v>0</v>
      </c>
      <c r="F394" s="59" t="str">
        <f t="shared" si="27"/>
        <v/>
      </c>
      <c r="G394" s="42" t="s">
        <v>6</v>
      </c>
      <c r="H394" s="43" t="s">
        <v>26</v>
      </c>
      <c r="I394" s="44" t="s">
        <v>48</v>
      </c>
      <c r="J394" s="45" t="s">
        <v>384</v>
      </c>
      <c r="K394" s="46" t="s">
        <v>59</v>
      </c>
      <c r="L394" s="47" t="s">
        <v>2524</v>
      </c>
      <c r="M394" s="48" t="s">
        <v>2525</v>
      </c>
      <c r="N394" s="49"/>
      <c r="O394" s="50" t="s">
        <v>3168</v>
      </c>
      <c r="P394" s="59"/>
      <c r="Q394" s="59"/>
      <c r="R394" s="13"/>
    </row>
    <row r="395" spans="1:18" ht="18" thickBot="1" x14ac:dyDescent="0.35">
      <c r="A395" s="9" t="s">
        <v>11</v>
      </c>
      <c r="B395" s="28">
        <f>IF(ISBLANK(A395),0,INDEX(txtstylestab[],MATCH(A395,txtstylestab[style_Name],0),1))</f>
        <v>2</v>
      </c>
      <c r="C395" s="28">
        <f t="shared" si="24"/>
        <v>1</v>
      </c>
      <c r="D395" s="28">
        <f t="shared" si="25"/>
        <v>23</v>
      </c>
      <c r="E395" s="28">
        <f t="shared" si="26"/>
        <v>0</v>
      </c>
      <c r="F395" s="54" t="str">
        <f t="shared" si="27"/>
        <v>1.23.</v>
      </c>
      <c r="G395" s="54" t="s">
        <v>745</v>
      </c>
      <c r="H395" s="54"/>
      <c r="I395" s="54"/>
      <c r="J395" s="54"/>
      <c r="K395" s="54"/>
      <c r="L395" s="54"/>
      <c r="M395" s="54"/>
      <c r="N395" s="54"/>
      <c r="O395" s="54"/>
      <c r="P395" s="54"/>
      <c r="Q395" s="54"/>
      <c r="R395" s="13"/>
    </row>
    <row r="396" spans="1:18" ht="15.75" thickTop="1" x14ac:dyDescent="0.25">
      <c r="A396" s="9" t="s">
        <v>21</v>
      </c>
      <c r="B396" s="28">
        <f>IF(ISBLANK(A396),0,INDEX(txtstylestab[],MATCH(A396,txtstylestab[style_Name],0),1))</f>
        <v>0</v>
      </c>
      <c r="C396" s="28">
        <f t="shared" si="24"/>
        <v>1</v>
      </c>
      <c r="D396" s="28">
        <f t="shared" si="25"/>
        <v>23</v>
      </c>
      <c r="E396" s="28">
        <f t="shared" si="26"/>
        <v>0</v>
      </c>
      <c r="F396" s="59" t="str">
        <f t="shared" si="27"/>
        <v/>
      </c>
      <c r="G396" s="42" t="s">
        <v>82</v>
      </c>
      <c r="H396" s="43" t="s">
        <v>83</v>
      </c>
      <c r="I396" s="44" t="s">
        <v>84</v>
      </c>
      <c r="J396" s="45" t="s">
        <v>85</v>
      </c>
      <c r="K396" s="46" t="s">
        <v>86</v>
      </c>
      <c r="L396" s="47" t="s">
        <v>2397</v>
      </c>
      <c r="M396" s="48" t="s">
        <v>2539</v>
      </c>
      <c r="N396" s="49"/>
      <c r="O396" s="50" t="s">
        <v>3161</v>
      </c>
      <c r="P396" s="59"/>
      <c r="Q396" s="59"/>
      <c r="R396" s="13"/>
    </row>
    <row r="397" spans="1:18" ht="30" x14ac:dyDescent="0.25">
      <c r="A397" s="9" t="s">
        <v>21</v>
      </c>
      <c r="B397" s="28">
        <f>IF(ISBLANK(A397),0,INDEX(txtstylestab[],MATCH(A397,txtstylestab[style_Name],0),1))</f>
        <v>0</v>
      </c>
      <c r="C397" s="28">
        <f t="shared" si="24"/>
        <v>1</v>
      </c>
      <c r="D397" s="28">
        <f t="shared" si="25"/>
        <v>23</v>
      </c>
      <c r="E397" s="28">
        <f t="shared" si="26"/>
        <v>0</v>
      </c>
      <c r="F397" s="59" t="str">
        <f t="shared" si="27"/>
        <v/>
      </c>
      <c r="G397" s="42" t="s">
        <v>746</v>
      </c>
      <c r="H397" s="43" t="s">
        <v>747</v>
      </c>
      <c r="I397" s="44" t="s">
        <v>1612</v>
      </c>
      <c r="J397" s="45" t="s">
        <v>748</v>
      </c>
      <c r="K397" s="46" t="s">
        <v>749</v>
      </c>
      <c r="L397" s="47" t="s">
        <v>2697</v>
      </c>
      <c r="M397" s="48" t="s">
        <v>2698</v>
      </c>
      <c r="N397" s="49"/>
      <c r="O397" s="50" t="s">
        <v>3432</v>
      </c>
      <c r="P397" s="59"/>
      <c r="Q397" s="59"/>
      <c r="R397" s="13"/>
    </row>
    <row r="398" spans="1:18" x14ac:dyDescent="0.25">
      <c r="A398" s="9" t="s">
        <v>21</v>
      </c>
      <c r="B398" s="28">
        <f>IF(ISBLANK(A398),0,INDEX(txtstylestab[],MATCH(A398,txtstylestab[style_Name],0),1))</f>
        <v>0</v>
      </c>
      <c r="C398" s="28">
        <f t="shared" si="24"/>
        <v>1</v>
      </c>
      <c r="D398" s="28">
        <f t="shared" si="25"/>
        <v>23</v>
      </c>
      <c r="E398" s="28">
        <f t="shared" si="26"/>
        <v>0</v>
      </c>
      <c r="F398" s="59" t="str">
        <f t="shared" si="27"/>
        <v/>
      </c>
      <c r="G398" s="42" t="s">
        <v>428</v>
      </c>
      <c r="H398" s="43" t="s">
        <v>750</v>
      </c>
      <c r="I398" s="44" t="s">
        <v>430</v>
      </c>
      <c r="J398" s="45" t="s">
        <v>1626</v>
      </c>
      <c r="K398" s="46" t="s">
        <v>431</v>
      </c>
      <c r="L398" s="47" t="s">
        <v>2529</v>
      </c>
      <c r="M398" s="48" t="s">
        <v>2699</v>
      </c>
      <c r="N398" s="49"/>
      <c r="O398" s="50"/>
      <c r="P398" s="59"/>
      <c r="Q398" s="59"/>
      <c r="R398" s="13"/>
    </row>
    <row r="399" spans="1:18" ht="30" x14ac:dyDescent="0.25">
      <c r="A399" s="9" t="s">
        <v>21</v>
      </c>
      <c r="B399" s="28">
        <f>IF(ISBLANK(A399),0,INDEX(txtstylestab[],MATCH(A399,txtstylestab[style_Name],0),1))</f>
        <v>0</v>
      </c>
      <c r="C399" s="28">
        <f t="shared" si="24"/>
        <v>1</v>
      </c>
      <c r="D399" s="28">
        <f t="shared" si="25"/>
        <v>23</v>
      </c>
      <c r="E399" s="28">
        <f t="shared" si="26"/>
        <v>0</v>
      </c>
      <c r="F399" s="59" t="str">
        <f t="shared" si="27"/>
        <v/>
      </c>
      <c r="G399" s="42" t="s">
        <v>437</v>
      </c>
      <c r="H399" s="43" t="s">
        <v>441</v>
      </c>
      <c r="I399" s="44" t="s">
        <v>751</v>
      </c>
      <c r="J399" s="45" t="s">
        <v>1627</v>
      </c>
      <c r="K399" s="46" t="s">
        <v>453</v>
      </c>
      <c r="L399" s="47" t="s">
        <v>2700</v>
      </c>
      <c r="M399" s="48" t="s">
        <v>2533</v>
      </c>
      <c r="N399" s="49"/>
      <c r="O399" s="50" t="s">
        <v>3342</v>
      </c>
      <c r="P399" s="59"/>
      <c r="Q399" s="59"/>
      <c r="R399" s="13"/>
    </row>
    <row r="400" spans="1:18" ht="30" x14ac:dyDescent="0.25">
      <c r="A400" s="9" t="s">
        <v>21</v>
      </c>
      <c r="B400" s="28">
        <f>IF(ISBLANK(A400),0,INDEX(txtstylestab[],MATCH(A400,txtstylestab[style_Name],0),1))</f>
        <v>0</v>
      </c>
      <c r="C400" s="28">
        <f t="shared" si="24"/>
        <v>1</v>
      </c>
      <c r="D400" s="28">
        <f t="shared" si="25"/>
        <v>23</v>
      </c>
      <c r="E400" s="28">
        <f t="shared" si="26"/>
        <v>0</v>
      </c>
      <c r="F400" s="59" t="str">
        <f t="shared" si="27"/>
        <v/>
      </c>
      <c r="G400" s="42" t="s">
        <v>438</v>
      </c>
      <c r="H400" s="43" t="s">
        <v>442</v>
      </c>
      <c r="I400" s="44" t="s">
        <v>752</v>
      </c>
      <c r="J400" s="45" t="s">
        <v>753</v>
      </c>
      <c r="K400" s="46" t="s">
        <v>454</v>
      </c>
      <c r="L400" s="47" t="s">
        <v>2701</v>
      </c>
      <c r="M400" s="48" t="s">
        <v>2534</v>
      </c>
      <c r="N400" s="49"/>
      <c r="O400" s="50" t="s">
        <v>3330</v>
      </c>
      <c r="P400" s="59"/>
      <c r="Q400" s="59"/>
      <c r="R400" s="13"/>
    </row>
    <row r="401" spans="1:18" ht="30" x14ac:dyDescent="0.25">
      <c r="A401" s="9" t="s">
        <v>21</v>
      </c>
      <c r="B401" s="28">
        <f>IF(ISBLANK(A401),0,INDEX(txtstylestab[],MATCH(A401,txtstylestab[style_Name],0),1))</f>
        <v>0</v>
      </c>
      <c r="C401" s="28">
        <f t="shared" si="24"/>
        <v>1</v>
      </c>
      <c r="D401" s="28">
        <f t="shared" si="25"/>
        <v>23</v>
      </c>
      <c r="E401" s="28">
        <f t="shared" si="26"/>
        <v>0</v>
      </c>
      <c r="F401" s="59" t="str">
        <f t="shared" si="27"/>
        <v/>
      </c>
      <c r="G401" s="42" t="s">
        <v>439</v>
      </c>
      <c r="H401" s="43" t="s">
        <v>754</v>
      </c>
      <c r="I401" s="44" t="s">
        <v>755</v>
      </c>
      <c r="J401" s="45" t="s">
        <v>756</v>
      </c>
      <c r="K401" s="46" t="s">
        <v>455</v>
      </c>
      <c r="L401" s="47" t="s">
        <v>2702</v>
      </c>
      <c r="M401" s="48" t="s">
        <v>2535</v>
      </c>
      <c r="N401" s="49"/>
      <c r="O401" s="50" t="s">
        <v>3343</v>
      </c>
      <c r="P401" s="59"/>
      <c r="Q401" s="59"/>
      <c r="R401" s="13"/>
    </row>
    <row r="402" spans="1:18" x14ac:dyDescent="0.25">
      <c r="A402" s="9" t="s">
        <v>21</v>
      </c>
      <c r="B402" s="28">
        <f>IF(ISBLANK(A402),0,INDEX(txtstylestab[],MATCH(A402,txtstylestab[style_Name],0),1))</f>
        <v>0</v>
      </c>
      <c r="C402" s="28">
        <f t="shared" si="24"/>
        <v>1</v>
      </c>
      <c r="D402" s="28">
        <f t="shared" si="25"/>
        <v>23</v>
      </c>
      <c r="E402" s="28">
        <f t="shared" si="26"/>
        <v>0</v>
      </c>
      <c r="F402" s="59" t="str">
        <f t="shared" si="27"/>
        <v/>
      </c>
      <c r="G402" s="42" t="s">
        <v>757</v>
      </c>
      <c r="H402" s="43" t="s">
        <v>444</v>
      </c>
      <c r="I402" s="44" t="s">
        <v>758</v>
      </c>
      <c r="J402" s="45" t="s">
        <v>759</v>
      </c>
      <c r="K402" s="46" t="s">
        <v>456</v>
      </c>
      <c r="L402" s="47" t="s">
        <v>2531</v>
      </c>
      <c r="M402" s="48" t="s">
        <v>2703</v>
      </c>
      <c r="N402" s="49"/>
      <c r="O402" s="50" t="s">
        <v>3344</v>
      </c>
      <c r="P402" s="59"/>
      <c r="Q402" s="59"/>
      <c r="R402" s="13"/>
    </row>
    <row r="403" spans="1:18" x14ac:dyDescent="0.25">
      <c r="A403" s="9" t="s">
        <v>21</v>
      </c>
      <c r="B403" s="28">
        <f>IF(ISBLANK(A403),0,INDEX(txtstylestab[],MATCH(A403,txtstylestab[style_Name],0),1))</f>
        <v>0</v>
      </c>
      <c r="C403" s="28">
        <f t="shared" si="24"/>
        <v>1</v>
      </c>
      <c r="D403" s="28">
        <f t="shared" si="25"/>
        <v>23</v>
      </c>
      <c r="E403" s="28">
        <f t="shared" si="26"/>
        <v>0</v>
      </c>
      <c r="F403" s="59" t="str">
        <f t="shared" si="27"/>
        <v/>
      </c>
      <c r="G403" s="42" t="s">
        <v>6</v>
      </c>
      <c r="H403" s="43" t="s">
        <v>26</v>
      </c>
      <c r="I403" s="44" t="s">
        <v>48</v>
      </c>
      <c r="J403" s="45" t="s">
        <v>384</v>
      </c>
      <c r="K403" s="46" t="s">
        <v>59</v>
      </c>
      <c r="L403" s="47" t="s">
        <v>2524</v>
      </c>
      <c r="M403" s="48" t="s">
        <v>2525</v>
      </c>
      <c r="N403" s="49"/>
      <c r="O403" s="50" t="s">
        <v>3168</v>
      </c>
      <c r="P403" s="50"/>
      <c r="Q403" s="59"/>
      <c r="R403" s="13"/>
    </row>
    <row r="404" spans="1:18" x14ac:dyDescent="0.25">
      <c r="A404" s="9" t="s">
        <v>13</v>
      </c>
      <c r="B404" s="28">
        <f>IF(ISBLANK(A404),0,INDEX(txtstylestab[],MATCH(A404,txtstylestab[style_Name],0),1))</f>
        <v>7</v>
      </c>
      <c r="C404" s="28">
        <f t="shared" si="24"/>
        <v>1</v>
      </c>
      <c r="D404" s="28">
        <f t="shared" si="25"/>
        <v>23</v>
      </c>
      <c r="E404" s="28">
        <f t="shared" si="26"/>
        <v>0</v>
      </c>
      <c r="F404" s="78" t="str">
        <f t="shared" si="27"/>
        <v/>
      </c>
      <c r="G404" s="78" t="s">
        <v>760</v>
      </c>
      <c r="H404" s="78"/>
      <c r="I404" s="78"/>
      <c r="J404" s="78"/>
      <c r="K404" s="78"/>
      <c r="L404" s="78"/>
      <c r="M404" s="78"/>
      <c r="N404" s="78"/>
      <c r="O404" s="78"/>
      <c r="P404" s="78"/>
      <c r="Q404" s="78"/>
      <c r="R404" s="13"/>
    </row>
    <row r="405" spans="1:18" ht="18" thickBot="1" x14ac:dyDescent="0.35">
      <c r="A405" s="9" t="s">
        <v>11</v>
      </c>
      <c r="B405" s="28">
        <f>IF(ISBLANK(A405),0,INDEX(txtstylestab[],MATCH(A405,txtstylestab[style_Name],0),1))</f>
        <v>2</v>
      </c>
      <c r="C405" s="28">
        <f t="shared" si="24"/>
        <v>1</v>
      </c>
      <c r="D405" s="28">
        <f t="shared" si="25"/>
        <v>24</v>
      </c>
      <c r="E405" s="28">
        <f t="shared" si="26"/>
        <v>0</v>
      </c>
      <c r="F405" s="54" t="str">
        <f t="shared" si="27"/>
        <v>1.24.</v>
      </c>
      <c r="G405" s="54" t="s">
        <v>1731</v>
      </c>
      <c r="H405" s="54"/>
      <c r="I405" s="54"/>
      <c r="J405" s="54"/>
      <c r="K405" s="54"/>
      <c r="L405" s="54"/>
      <c r="M405" s="54"/>
      <c r="N405" s="54"/>
      <c r="O405" s="54"/>
      <c r="P405" s="54"/>
      <c r="Q405" s="54"/>
      <c r="R405" s="13"/>
    </row>
    <row r="406" spans="1:18" ht="30.75" thickTop="1" x14ac:dyDescent="0.25">
      <c r="A406" s="9" t="s">
        <v>21</v>
      </c>
      <c r="B406" s="28">
        <f>IF(ISBLANK(A406),0,INDEX(txtstylestab[],MATCH(A406,txtstylestab[style_Name],0),1))</f>
        <v>0</v>
      </c>
      <c r="C406" s="28">
        <f t="shared" si="24"/>
        <v>1</v>
      </c>
      <c r="D406" s="28">
        <f t="shared" si="25"/>
        <v>24</v>
      </c>
      <c r="E406" s="28">
        <f t="shared" si="26"/>
        <v>0</v>
      </c>
      <c r="F406" s="59" t="str">
        <f t="shared" si="27"/>
        <v/>
      </c>
      <c r="G406" s="42" t="s">
        <v>1893</v>
      </c>
      <c r="H406" s="43" t="s">
        <v>1894</v>
      </c>
      <c r="I406" s="44" t="s">
        <v>1895</v>
      </c>
      <c r="J406" s="45" t="s">
        <v>1896</v>
      </c>
      <c r="K406" s="46" t="s">
        <v>1897</v>
      </c>
      <c r="L406" s="47" t="s">
        <v>2704</v>
      </c>
      <c r="M406" s="48" t="s">
        <v>2705</v>
      </c>
      <c r="N406" s="49"/>
      <c r="O406" s="50" t="s">
        <v>3433</v>
      </c>
      <c r="P406" s="59"/>
      <c r="Q406" s="59"/>
      <c r="R406" s="13"/>
    </row>
    <row r="407" spans="1:18" ht="60" x14ac:dyDescent="0.25">
      <c r="A407" s="9" t="s">
        <v>14</v>
      </c>
      <c r="B407" s="28">
        <f>IF(ISBLANK(A407),0,INDEX(txtstylestab[],MATCH(A407,txtstylestab[style_Name],0),1))</f>
        <v>6</v>
      </c>
      <c r="C407" s="28">
        <f t="shared" si="24"/>
        <v>1</v>
      </c>
      <c r="D407" s="28">
        <f t="shared" si="25"/>
        <v>24</v>
      </c>
      <c r="E407" s="28">
        <f t="shared" si="26"/>
        <v>0</v>
      </c>
      <c r="F407" s="59" t="str">
        <f t="shared" si="27"/>
        <v/>
      </c>
      <c r="G407" s="42" t="s">
        <v>1898</v>
      </c>
      <c r="H407" s="43" t="s">
        <v>1899</v>
      </c>
      <c r="I407" s="44" t="s">
        <v>1900</v>
      </c>
      <c r="J407" s="45" t="s">
        <v>1901</v>
      </c>
      <c r="K407" s="46" t="s">
        <v>1902</v>
      </c>
      <c r="L407" s="47" t="s">
        <v>2706</v>
      </c>
      <c r="M407" s="48" t="s">
        <v>2733</v>
      </c>
      <c r="N407" s="49"/>
      <c r="O407" s="50" t="s">
        <v>3434</v>
      </c>
      <c r="P407" s="59"/>
      <c r="Q407" s="59"/>
      <c r="R407" s="13"/>
    </row>
    <row r="408" spans="1:18" ht="90" x14ac:dyDescent="0.25">
      <c r="A408" s="9" t="s">
        <v>14</v>
      </c>
      <c r="B408" s="28">
        <f>IF(ISBLANK(A408),0,INDEX(txtstylestab[],MATCH(A408,txtstylestab[style_Name],0),1))</f>
        <v>6</v>
      </c>
      <c r="C408" s="28">
        <f t="shared" si="24"/>
        <v>1</v>
      </c>
      <c r="D408" s="28">
        <f t="shared" si="25"/>
        <v>24</v>
      </c>
      <c r="E408" s="28">
        <f t="shared" si="26"/>
        <v>0</v>
      </c>
      <c r="F408" s="59" t="str">
        <f t="shared" si="27"/>
        <v/>
      </c>
      <c r="G408" s="42" t="s">
        <v>761</v>
      </c>
      <c r="H408" s="43" t="s">
        <v>1903</v>
      </c>
      <c r="I408" s="44" t="s">
        <v>1637</v>
      </c>
      <c r="J408" s="45" t="s">
        <v>767</v>
      </c>
      <c r="K408" s="46" t="s">
        <v>762</v>
      </c>
      <c r="L408" s="47" t="s">
        <v>2707</v>
      </c>
      <c r="M408" s="48" t="s">
        <v>2729</v>
      </c>
      <c r="N408" s="49"/>
      <c r="O408" s="50" t="s">
        <v>3435</v>
      </c>
      <c r="P408" s="59"/>
      <c r="Q408" s="59"/>
      <c r="R408" s="13"/>
    </row>
    <row r="409" spans="1:18" ht="45" x14ac:dyDescent="0.25">
      <c r="A409" s="9" t="s">
        <v>21</v>
      </c>
      <c r="B409" s="28">
        <f>IF(ISBLANK(A409),0,INDEX(txtstylestab[],MATCH(A409,txtstylestab[style_Name],0),1))</f>
        <v>0</v>
      </c>
      <c r="C409" s="28">
        <f t="shared" si="24"/>
        <v>1</v>
      </c>
      <c r="D409" s="28">
        <f t="shared" si="25"/>
        <v>24</v>
      </c>
      <c r="E409" s="28">
        <f t="shared" si="26"/>
        <v>0</v>
      </c>
      <c r="F409" s="59" t="str">
        <f t="shared" si="27"/>
        <v/>
      </c>
      <c r="G409" s="42" t="s">
        <v>763</v>
      </c>
      <c r="H409" s="43" t="s">
        <v>764</v>
      </c>
      <c r="I409" s="44" t="s">
        <v>765</v>
      </c>
      <c r="J409" s="45" t="s">
        <v>766</v>
      </c>
      <c r="K409" s="46" t="s">
        <v>768</v>
      </c>
      <c r="L409" s="47" t="s">
        <v>2708</v>
      </c>
      <c r="M409" s="48" t="s">
        <v>2732</v>
      </c>
      <c r="N409" s="49"/>
      <c r="O409" s="50" t="s">
        <v>3436</v>
      </c>
      <c r="P409" s="59"/>
      <c r="Q409" s="59"/>
      <c r="R409" s="13"/>
    </row>
    <row r="410" spans="1:18" ht="60" x14ac:dyDescent="0.25">
      <c r="A410" s="9" t="s">
        <v>21</v>
      </c>
      <c r="B410" s="28">
        <f>IF(ISBLANK(A410),0,INDEX(txtstylestab[],MATCH(A410,txtstylestab[style_Name],0),1))</f>
        <v>0</v>
      </c>
      <c r="C410" s="28">
        <f t="shared" si="24"/>
        <v>1</v>
      </c>
      <c r="D410" s="28">
        <f t="shared" si="25"/>
        <v>24</v>
      </c>
      <c r="E410" s="28">
        <f t="shared" si="26"/>
        <v>0</v>
      </c>
      <c r="F410" s="59" t="str">
        <f t="shared" si="27"/>
        <v/>
      </c>
      <c r="G410" s="42" t="s">
        <v>712</v>
      </c>
      <c r="H410" s="43" t="s">
        <v>780</v>
      </c>
      <c r="I410" s="44" t="s">
        <v>781</v>
      </c>
      <c r="J410" s="45" t="s">
        <v>782</v>
      </c>
      <c r="K410" s="46" t="s">
        <v>2304</v>
      </c>
      <c r="L410" s="47" t="s">
        <v>2683</v>
      </c>
      <c r="M410" s="48" t="s">
        <v>2734</v>
      </c>
      <c r="N410" s="49"/>
      <c r="O410" s="50" t="s">
        <v>3437</v>
      </c>
      <c r="P410" s="59"/>
      <c r="Q410" s="59"/>
      <c r="R410" s="13"/>
    </row>
    <row r="411" spans="1:18" ht="60" x14ac:dyDescent="0.25">
      <c r="A411" s="9" t="s">
        <v>21</v>
      </c>
      <c r="B411" s="28">
        <f>IF(ISBLANK(A411),0,INDEX(txtstylestab[],MATCH(A411,txtstylestab[style_Name],0),1))</f>
        <v>0</v>
      </c>
      <c r="C411" s="28">
        <f t="shared" si="24"/>
        <v>1</v>
      </c>
      <c r="D411" s="28">
        <f t="shared" si="25"/>
        <v>24</v>
      </c>
      <c r="E411" s="28">
        <f t="shared" si="26"/>
        <v>0</v>
      </c>
      <c r="F411" s="59" t="str">
        <f t="shared" si="27"/>
        <v/>
      </c>
      <c r="G411" s="42" t="s">
        <v>2312</v>
      </c>
      <c r="H411" s="43" t="s">
        <v>2313</v>
      </c>
      <c r="I411" s="44" t="s">
        <v>2317</v>
      </c>
      <c r="J411" s="45" t="s">
        <v>2318</v>
      </c>
      <c r="K411" s="46" t="s">
        <v>2319</v>
      </c>
      <c r="L411" s="47" t="s">
        <v>2731</v>
      </c>
      <c r="M411" s="48" t="s">
        <v>2730</v>
      </c>
      <c r="N411" s="49"/>
      <c r="O411" s="50" t="s">
        <v>3438</v>
      </c>
      <c r="P411" s="59"/>
      <c r="Q411" s="59"/>
      <c r="R411" s="13"/>
    </row>
    <row r="412" spans="1:18" ht="75" x14ac:dyDescent="0.25">
      <c r="A412" s="9" t="s">
        <v>21</v>
      </c>
      <c r="B412" s="28">
        <f>IF(ISBLANK(A412),0,INDEX(txtstylestab[],MATCH(A412,txtstylestab[style_Name],0),1))</f>
        <v>0</v>
      </c>
      <c r="C412" s="28">
        <f t="shared" si="24"/>
        <v>1</v>
      </c>
      <c r="D412" s="28">
        <f t="shared" si="25"/>
        <v>24</v>
      </c>
      <c r="E412" s="28">
        <f t="shared" si="26"/>
        <v>0</v>
      </c>
      <c r="F412" s="59" t="str">
        <f t="shared" si="27"/>
        <v/>
      </c>
      <c r="G412" s="42" t="s">
        <v>769</v>
      </c>
      <c r="H412" s="43" t="s">
        <v>2147</v>
      </c>
      <c r="I412" s="44" t="s">
        <v>2258</v>
      </c>
      <c r="J412" s="45" t="s">
        <v>770</v>
      </c>
      <c r="K412" s="46" t="s">
        <v>2191</v>
      </c>
      <c r="L412" s="47" t="s">
        <v>2709</v>
      </c>
      <c r="M412" s="48" t="s">
        <v>2710</v>
      </c>
      <c r="N412" s="49"/>
      <c r="O412" s="50" t="s">
        <v>3442</v>
      </c>
      <c r="P412" s="59"/>
      <c r="Q412" s="59"/>
      <c r="R412" s="13"/>
    </row>
    <row r="413" spans="1:18" ht="45" x14ac:dyDescent="0.25">
      <c r="A413" s="9" t="s">
        <v>21</v>
      </c>
      <c r="B413" s="28">
        <f>IF(ISBLANK(A413),0,INDEX(txtstylestab[],MATCH(A413,txtstylestab[style_Name],0),1))</f>
        <v>0</v>
      </c>
      <c r="C413" s="28">
        <f t="shared" si="24"/>
        <v>1</v>
      </c>
      <c r="D413" s="28">
        <f t="shared" si="25"/>
        <v>24</v>
      </c>
      <c r="E413" s="28">
        <f t="shared" si="26"/>
        <v>0</v>
      </c>
      <c r="F413" s="59" t="str">
        <f t="shared" si="27"/>
        <v/>
      </c>
      <c r="G413" s="42" t="s">
        <v>771</v>
      </c>
      <c r="H413" s="43" t="s">
        <v>772</v>
      </c>
      <c r="I413" s="44" t="s">
        <v>773</v>
      </c>
      <c r="J413" s="45" t="s">
        <v>774</v>
      </c>
      <c r="K413" s="46" t="s">
        <v>775</v>
      </c>
      <c r="L413" s="47" t="s">
        <v>2711</v>
      </c>
      <c r="M413" s="48" t="s">
        <v>2712</v>
      </c>
      <c r="N413" s="49"/>
      <c r="O413" s="50" t="s">
        <v>3443</v>
      </c>
      <c r="P413" s="59"/>
      <c r="Q413" s="59"/>
      <c r="R413" s="13"/>
    </row>
    <row r="414" spans="1:18" ht="60" x14ac:dyDescent="0.25">
      <c r="A414" s="9" t="s">
        <v>21</v>
      </c>
      <c r="B414" s="28">
        <f>IF(ISBLANK(A414),0,INDEX(txtstylestab[],MATCH(A414,txtstylestab[style_Name],0),1))</f>
        <v>0</v>
      </c>
      <c r="C414" s="28">
        <f t="shared" si="24"/>
        <v>1</v>
      </c>
      <c r="D414" s="28">
        <f t="shared" si="25"/>
        <v>24</v>
      </c>
      <c r="E414" s="28">
        <f t="shared" si="26"/>
        <v>0</v>
      </c>
      <c r="F414" s="59" t="str">
        <f t="shared" si="27"/>
        <v/>
      </c>
      <c r="G414" s="42" t="s">
        <v>776</v>
      </c>
      <c r="H414" s="43" t="s">
        <v>777</v>
      </c>
      <c r="I414" s="44" t="s">
        <v>778</v>
      </c>
      <c r="J414" s="45" t="s">
        <v>1164</v>
      </c>
      <c r="K414" s="46" t="s">
        <v>779</v>
      </c>
      <c r="L414" s="47" t="s">
        <v>2713</v>
      </c>
      <c r="M414" s="48" t="s">
        <v>2714</v>
      </c>
      <c r="N414" s="49"/>
      <c r="O414" s="50" t="s">
        <v>3444</v>
      </c>
      <c r="P414" s="59"/>
      <c r="Q414" s="59"/>
      <c r="R414" s="13"/>
    </row>
    <row r="415" spans="1:18" x14ac:dyDescent="0.25">
      <c r="A415" s="9" t="s">
        <v>22</v>
      </c>
      <c r="B415" s="28">
        <f>IF(ISBLANK(A415),0,INDEX(txtstylestab[],MATCH(A415,txtstylestab[style_Name],0),1))</f>
        <v>4</v>
      </c>
      <c r="C415" s="28">
        <f t="shared" si="24"/>
        <v>1</v>
      </c>
      <c r="D415" s="28">
        <f t="shared" si="25"/>
        <v>24</v>
      </c>
      <c r="E415" s="28">
        <f t="shared" si="26"/>
        <v>0</v>
      </c>
      <c r="F415" s="56" t="str">
        <f t="shared" si="27"/>
        <v/>
      </c>
      <c r="G415" s="53" t="s">
        <v>783</v>
      </c>
      <c r="H415" s="53"/>
      <c r="I415" s="53"/>
      <c r="J415" s="53"/>
      <c r="K415" s="53"/>
      <c r="L415" s="53"/>
      <c r="M415" s="53"/>
      <c r="N415" s="53"/>
      <c r="O415" s="53"/>
      <c r="P415" s="53"/>
      <c r="Q415" s="53"/>
      <c r="R415" s="13"/>
    </row>
    <row r="416" spans="1:18" ht="150" x14ac:dyDescent="0.25">
      <c r="A416" s="9" t="s">
        <v>21</v>
      </c>
      <c r="B416" s="28">
        <f>IF(ISBLANK(A416),0,INDEX(txtstylestab[],MATCH(A416,txtstylestab[style_Name],0),1))</f>
        <v>0</v>
      </c>
      <c r="C416" s="28">
        <f t="shared" si="24"/>
        <v>1</v>
      </c>
      <c r="D416" s="28">
        <f t="shared" si="25"/>
        <v>24</v>
      </c>
      <c r="E416" s="28">
        <f t="shared" si="26"/>
        <v>0</v>
      </c>
      <c r="F416" s="59" t="str">
        <f t="shared" si="27"/>
        <v/>
      </c>
      <c r="G416" s="42" t="s">
        <v>784</v>
      </c>
      <c r="H416" s="43" t="s">
        <v>785</v>
      </c>
      <c r="I416" s="44" t="s">
        <v>2257</v>
      </c>
      <c r="J416" s="45" t="s">
        <v>1613</v>
      </c>
      <c r="K416" s="46" t="s">
        <v>1741</v>
      </c>
      <c r="L416" s="47" t="s">
        <v>2715</v>
      </c>
      <c r="M416" s="48" t="s">
        <v>2716</v>
      </c>
      <c r="N416" s="49"/>
      <c r="O416" s="50" t="s">
        <v>3445</v>
      </c>
      <c r="P416" s="59"/>
      <c r="Q416" s="59"/>
      <c r="R416" s="13"/>
    </row>
    <row r="417" spans="1:18" x14ac:dyDescent="0.25">
      <c r="A417" s="9" t="s">
        <v>22</v>
      </c>
      <c r="B417" s="28">
        <f>IF(ISBLANK(A417),0,INDEX(txtstylestab[],MATCH(A417,txtstylestab[style_Name],0),1))</f>
        <v>4</v>
      </c>
      <c r="C417" s="28">
        <f t="shared" si="24"/>
        <v>1</v>
      </c>
      <c r="D417" s="28">
        <f t="shared" si="25"/>
        <v>24</v>
      </c>
      <c r="E417" s="28">
        <f t="shared" si="26"/>
        <v>0</v>
      </c>
      <c r="F417" s="56" t="str">
        <f t="shared" si="27"/>
        <v/>
      </c>
      <c r="G417" s="53" t="s">
        <v>786</v>
      </c>
      <c r="H417" s="53"/>
      <c r="I417" s="53"/>
      <c r="J417" s="53"/>
      <c r="K417" s="53"/>
      <c r="L417" s="53"/>
      <c r="M417" s="53"/>
      <c r="N417" s="53"/>
      <c r="O417" s="53"/>
      <c r="P417" s="53"/>
      <c r="Q417" s="53"/>
      <c r="R417" s="13"/>
    </row>
    <row r="418" spans="1:18" ht="60" x14ac:dyDescent="0.25">
      <c r="A418" s="9" t="s">
        <v>21</v>
      </c>
      <c r="B418" s="28">
        <f>IF(ISBLANK(A418),0,INDEX(txtstylestab[],MATCH(A418,txtstylestab[style_Name],0),1))</f>
        <v>0</v>
      </c>
      <c r="C418" s="28">
        <f t="shared" si="24"/>
        <v>1</v>
      </c>
      <c r="D418" s="28">
        <f t="shared" si="25"/>
        <v>24</v>
      </c>
      <c r="E418" s="28">
        <f t="shared" si="26"/>
        <v>0</v>
      </c>
      <c r="F418" s="59" t="str">
        <f t="shared" si="27"/>
        <v/>
      </c>
      <c r="G418" s="42" t="s">
        <v>787</v>
      </c>
      <c r="H418" s="43" t="s">
        <v>788</v>
      </c>
      <c r="I418" s="44" t="s">
        <v>789</v>
      </c>
      <c r="J418" s="45" t="s">
        <v>790</v>
      </c>
      <c r="K418" s="46" t="s">
        <v>791</v>
      </c>
      <c r="L418" s="47" t="s">
        <v>2717</v>
      </c>
      <c r="M418" s="48" t="s">
        <v>2718</v>
      </c>
      <c r="N418" s="49"/>
      <c r="O418" s="50" t="s">
        <v>3446</v>
      </c>
      <c r="P418" s="59"/>
      <c r="Q418" s="59"/>
      <c r="R418" s="13"/>
    </row>
    <row r="419" spans="1:18" x14ac:dyDescent="0.25">
      <c r="A419" s="9" t="s">
        <v>22</v>
      </c>
      <c r="B419" s="28">
        <f>IF(ISBLANK(A419),0,INDEX(txtstylestab[],MATCH(A419,txtstylestab[style_Name],0),1))</f>
        <v>4</v>
      </c>
      <c r="C419" s="28">
        <f t="shared" si="24"/>
        <v>1</v>
      </c>
      <c r="D419" s="28">
        <f t="shared" si="25"/>
        <v>24</v>
      </c>
      <c r="E419" s="28">
        <f t="shared" si="26"/>
        <v>0</v>
      </c>
      <c r="F419" s="56" t="str">
        <f t="shared" si="27"/>
        <v/>
      </c>
      <c r="G419" s="53" t="s">
        <v>704</v>
      </c>
      <c r="H419" s="53"/>
      <c r="I419" s="53"/>
      <c r="J419" s="53"/>
      <c r="K419" s="53"/>
      <c r="L419" s="53"/>
      <c r="M419" s="53"/>
      <c r="N419" s="53"/>
      <c r="O419" s="53"/>
      <c r="P419" s="53"/>
      <c r="Q419" s="53"/>
      <c r="R419" s="13"/>
    </row>
    <row r="420" spans="1:18" ht="90" x14ac:dyDescent="0.25">
      <c r="A420" s="9" t="s">
        <v>21</v>
      </c>
      <c r="B420" s="28">
        <f>IF(ISBLANK(A420),0,INDEX(txtstylestab[],MATCH(A420,txtstylestab[style_Name],0),1))</f>
        <v>0</v>
      </c>
      <c r="C420" s="28">
        <f t="shared" si="24"/>
        <v>1</v>
      </c>
      <c r="D420" s="28">
        <f t="shared" si="25"/>
        <v>24</v>
      </c>
      <c r="E420" s="28">
        <f t="shared" si="26"/>
        <v>0</v>
      </c>
      <c r="F420" s="59" t="str">
        <f t="shared" si="27"/>
        <v/>
      </c>
      <c r="G420" s="42" t="s">
        <v>2138</v>
      </c>
      <c r="H420" s="43" t="s">
        <v>2139</v>
      </c>
      <c r="I420" s="44" t="s">
        <v>792</v>
      </c>
      <c r="J420" s="45" t="s">
        <v>2140</v>
      </c>
      <c r="K420" s="46" t="s">
        <v>2141</v>
      </c>
      <c r="L420" s="47" t="s">
        <v>2719</v>
      </c>
      <c r="M420" s="48" t="s">
        <v>2720</v>
      </c>
      <c r="N420" s="49"/>
      <c r="O420" s="50" t="s">
        <v>3447</v>
      </c>
      <c r="P420" s="59"/>
      <c r="Q420" s="59"/>
      <c r="R420" s="13"/>
    </row>
    <row r="421" spans="1:18" ht="30" x14ac:dyDescent="0.25">
      <c r="A421" s="9" t="s">
        <v>21</v>
      </c>
      <c r="B421" s="28">
        <f>IF(ISBLANK(A421),0,INDEX(txtstylestab[],MATCH(A421,txtstylestab[style_Name],0),1))</f>
        <v>0</v>
      </c>
      <c r="C421" s="28">
        <f t="shared" si="24"/>
        <v>1</v>
      </c>
      <c r="D421" s="28">
        <f t="shared" si="25"/>
        <v>24</v>
      </c>
      <c r="E421" s="28">
        <f t="shared" si="26"/>
        <v>0</v>
      </c>
      <c r="F421" s="59" t="str">
        <f t="shared" si="27"/>
        <v/>
      </c>
      <c r="G421" s="42" t="s">
        <v>793</v>
      </c>
      <c r="H421" s="43" t="s">
        <v>794</v>
      </c>
      <c r="I421" s="44" t="s">
        <v>795</v>
      </c>
      <c r="J421" s="45" t="s">
        <v>796</v>
      </c>
      <c r="K421" s="46" t="s">
        <v>832</v>
      </c>
      <c r="L421" s="47" t="s">
        <v>2721</v>
      </c>
      <c r="M421" s="48" t="s">
        <v>2722</v>
      </c>
      <c r="N421" s="49"/>
      <c r="O421" s="50" t="s">
        <v>3448</v>
      </c>
      <c r="P421" s="59"/>
      <c r="Q421" s="59"/>
      <c r="R421" s="13"/>
    </row>
    <row r="422" spans="1:18" ht="15.75" thickBot="1" x14ac:dyDescent="0.3">
      <c r="A422" s="9" t="s">
        <v>12</v>
      </c>
      <c r="B422" s="28">
        <f>IF(ISBLANK(A422),0,INDEX(txtstylestab[],MATCH(A422,txtstylestab[style_Name],0),1))</f>
        <v>3</v>
      </c>
      <c r="C422" s="28">
        <f t="shared" si="24"/>
        <v>1</v>
      </c>
      <c r="D422" s="28">
        <f t="shared" si="25"/>
        <v>24</v>
      </c>
      <c r="E422" s="28">
        <f t="shared" si="26"/>
        <v>1</v>
      </c>
      <c r="F422" s="55" t="str">
        <f t="shared" si="27"/>
        <v>1.24.1.</v>
      </c>
      <c r="G422" s="55" t="s">
        <v>1614</v>
      </c>
      <c r="H422" s="55"/>
      <c r="I422" s="55"/>
      <c r="J422" s="55"/>
      <c r="K422" s="55"/>
      <c r="L422" s="55"/>
      <c r="M422" s="55"/>
      <c r="N422" s="55"/>
      <c r="O422" s="55"/>
      <c r="P422" s="55"/>
      <c r="Q422" s="55"/>
      <c r="R422" s="13"/>
    </row>
    <row r="423" spans="1:18" x14ac:dyDescent="0.25">
      <c r="A423" s="9" t="s">
        <v>21</v>
      </c>
      <c r="B423" s="28">
        <f>IF(ISBLANK(A423),0,INDEX(txtstylestab[],MATCH(A423,txtstylestab[style_Name],0),1))</f>
        <v>0</v>
      </c>
      <c r="C423" s="28">
        <f t="shared" si="24"/>
        <v>1</v>
      </c>
      <c r="D423" s="28">
        <f t="shared" si="25"/>
        <v>24</v>
      </c>
      <c r="E423" s="28">
        <f t="shared" si="26"/>
        <v>1</v>
      </c>
      <c r="F423" s="59" t="str">
        <f t="shared" si="27"/>
        <v/>
      </c>
      <c r="G423" s="42" t="s">
        <v>82</v>
      </c>
      <c r="H423" s="43" t="s">
        <v>83</v>
      </c>
      <c r="I423" s="44" t="s">
        <v>84</v>
      </c>
      <c r="J423" s="45" t="s">
        <v>85</v>
      </c>
      <c r="K423" s="46" t="s">
        <v>86</v>
      </c>
      <c r="L423" s="47" t="s">
        <v>2397</v>
      </c>
      <c r="M423" s="48" t="s">
        <v>2539</v>
      </c>
      <c r="N423" s="49"/>
      <c r="O423" s="50" t="s">
        <v>3161</v>
      </c>
      <c r="P423" s="59"/>
      <c r="Q423" s="59"/>
      <c r="R423" s="13"/>
    </row>
    <row r="424" spans="1:18" ht="105" x14ac:dyDescent="0.25">
      <c r="A424" s="9" t="s">
        <v>21</v>
      </c>
      <c r="B424" s="28">
        <f>IF(ISBLANK(A424),0,INDEX(txtstylestab[],MATCH(A424,txtstylestab[style_Name],0),1))</f>
        <v>0</v>
      </c>
      <c r="C424" s="28">
        <f t="shared" si="24"/>
        <v>1</v>
      </c>
      <c r="D424" s="28">
        <f t="shared" si="25"/>
        <v>24</v>
      </c>
      <c r="E424" s="28">
        <f t="shared" si="26"/>
        <v>1</v>
      </c>
      <c r="F424" s="59" t="str">
        <f t="shared" si="27"/>
        <v/>
      </c>
      <c r="G424" s="42" t="s">
        <v>797</v>
      </c>
      <c r="H424" s="43" t="s">
        <v>1615</v>
      </c>
      <c r="I424" s="44" t="s">
        <v>1638</v>
      </c>
      <c r="J424" s="45" t="s">
        <v>798</v>
      </c>
      <c r="K424" s="46" t="s">
        <v>799</v>
      </c>
      <c r="L424" s="47" t="s">
        <v>2723</v>
      </c>
      <c r="M424" s="48" t="s">
        <v>2724</v>
      </c>
      <c r="N424" s="49"/>
      <c r="O424" s="50" t="s">
        <v>3449</v>
      </c>
      <c r="P424" s="59"/>
      <c r="Q424" s="59"/>
      <c r="R424" s="13"/>
    </row>
    <row r="425" spans="1:18" ht="30" x14ac:dyDescent="0.25">
      <c r="A425" s="9" t="s">
        <v>21</v>
      </c>
      <c r="B425" s="28">
        <f>IF(ISBLANK(A425),0,INDEX(txtstylestab[],MATCH(A425,txtstylestab[style_Name],0),1))</f>
        <v>0</v>
      </c>
      <c r="C425" s="28">
        <f t="shared" si="24"/>
        <v>1</v>
      </c>
      <c r="D425" s="28">
        <f t="shared" si="25"/>
        <v>24</v>
      </c>
      <c r="E425" s="28">
        <f t="shared" si="26"/>
        <v>1</v>
      </c>
      <c r="F425" s="59" t="str">
        <f t="shared" si="27"/>
        <v/>
      </c>
      <c r="G425" s="42" t="s">
        <v>800</v>
      </c>
      <c r="H425" s="43" t="s">
        <v>801</v>
      </c>
      <c r="I425" s="44" t="s">
        <v>802</v>
      </c>
      <c r="J425" s="45" t="s">
        <v>803</v>
      </c>
      <c r="K425" s="46" t="s">
        <v>804</v>
      </c>
      <c r="L425" s="47" t="s">
        <v>2725</v>
      </c>
      <c r="M425" s="48" t="s">
        <v>2726</v>
      </c>
      <c r="N425" s="49"/>
      <c r="O425" s="50" t="s">
        <v>3450</v>
      </c>
      <c r="P425" s="59"/>
      <c r="Q425" s="59"/>
      <c r="R425" s="13"/>
    </row>
    <row r="426" spans="1:18" x14ac:dyDescent="0.25">
      <c r="A426" s="9" t="s">
        <v>21</v>
      </c>
      <c r="B426" s="28">
        <f>IF(ISBLANK(A426),0,INDEX(txtstylestab[],MATCH(A426,txtstylestab[style_Name],0),1))</f>
        <v>0</v>
      </c>
      <c r="C426" s="28">
        <f t="shared" si="24"/>
        <v>1</v>
      </c>
      <c r="D426" s="28">
        <f t="shared" si="25"/>
        <v>24</v>
      </c>
      <c r="E426" s="28">
        <f t="shared" si="26"/>
        <v>1</v>
      </c>
      <c r="F426" s="59" t="str">
        <f t="shared" si="27"/>
        <v/>
      </c>
      <c r="G426" s="42" t="s">
        <v>6</v>
      </c>
      <c r="H426" s="43" t="s">
        <v>26</v>
      </c>
      <c r="I426" s="44" t="s">
        <v>48</v>
      </c>
      <c r="J426" s="45" t="s">
        <v>54</v>
      </c>
      <c r="K426" s="46" t="s">
        <v>59</v>
      </c>
      <c r="L426" s="47" t="s">
        <v>2524</v>
      </c>
      <c r="M426" s="48" t="s">
        <v>2525</v>
      </c>
      <c r="N426" s="49"/>
      <c r="O426" s="50" t="s">
        <v>3451</v>
      </c>
      <c r="P426" s="59"/>
      <c r="Q426" s="59"/>
      <c r="R426" s="13"/>
    </row>
    <row r="427" spans="1:18" ht="15.75" thickBot="1" x14ac:dyDescent="0.3">
      <c r="A427" s="9" t="s">
        <v>12</v>
      </c>
      <c r="B427" s="28">
        <f>IF(ISBLANK(A427),0,INDEX(txtstylestab[],MATCH(A427,txtstylestab[style_Name],0),1))</f>
        <v>3</v>
      </c>
      <c r="C427" s="28">
        <f t="shared" si="24"/>
        <v>1</v>
      </c>
      <c r="D427" s="28">
        <f t="shared" si="25"/>
        <v>24</v>
      </c>
      <c r="E427" s="28">
        <f t="shared" si="26"/>
        <v>2</v>
      </c>
      <c r="F427" s="55" t="str">
        <f t="shared" si="27"/>
        <v>1.24.2.</v>
      </c>
      <c r="G427" s="55" t="s">
        <v>1616</v>
      </c>
      <c r="H427" s="55"/>
      <c r="I427" s="55"/>
      <c r="J427" s="55"/>
      <c r="K427" s="55"/>
      <c r="L427" s="55"/>
      <c r="M427" s="55"/>
      <c r="N427" s="55"/>
      <c r="O427" s="55"/>
      <c r="P427" s="55"/>
      <c r="Q427" s="55"/>
      <c r="R427" s="13"/>
    </row>
    <row r="428" spans="1:18" x14ac:dyDescent="0.25">
      <c r="A428" s="9" t="s">
        <v>22</v>
      </c>
      <c r="B428" s="28">
        <f>IF(ISBLANK(A428),0,INDEX(txtstylestab[],MATCH(A428,txtstylestab[style_Name],0),1))</f>
        <v>4</v>
      </c>
      <c r="C428" s="28">
        <f t="shared" si="24"/>
        <v>1</v>
      </c>
      <c r="D428" s="28">
        <f t="shared" si="25"/>
        <v>24</v>
      </c>
      <c r="E428" s="28">
        <f t="shared" si="26"/>
        <v>2</v>
      </c>
      <c r="F428" s="56" t="str">
        <f t="shared" si="27"/>
        <v/>
      </c>
      <c r="G428" s="67" t="s">
        <v>1788</v>
      </c>
      <c r="H428" s="67"/>
      <c r="I428" s="67"/>
      <c r="J428" s="67"/>
      <c r="K428" s="67"/>
      <c r="L428" s="67"/>
      <c r="M428" s="67"/>
      <c r="N428" s="67"/>
      <c r="O428" s="67"/>
      <c r="P428" s="67"/>
      <c r="Q428" s="67"/>
      <c r="R428" s="13"/>
    </row>
    <row r="429" spans="1:18" ht="60" x14ac:dyDescent="0.25">
      <c r="A429" s="9" t="s">
        <v>21</v>
      </c>
      <c r="B429" s="28">
        <f>IF(ISBLANK(A429),0,INDEX(txtstylestab[],MATCH(A429,txtstylestab[style_Name],0),1))</f>
        <v>0</v>
      </c>
      <c r="C429" s="28">
        <f t="shared" si="24"/>
        <v>1</v>
      </c>
      <c r="D429" s="28">
        <f t="shared" si="25"/>
        <v>24</v>
      </c>
      <c r="E429" s="28">
        <f t="shared" si="26"/>
        <v>2</v>
      </c>
      <c r="F429" s="59" t="str">
        <f t="shared" si="27"/>
        <v/>
      </c>
      <c r="G429" s="42" t="s">
        <v>806</v>
      </c>
      <c r="H429" s="43"/>
      <c r="I429" s="44"/>
      <c r="J429" s="45"/>
      <c r="K429" s="46"/>
      <c r="L429" s="47" t="s">
        <v>2727</v>
      </c>
      <c r="M429" s="48" t="s">
        <v>2728</v>
      </c>
      <c r="N429" s="49"/>
      <c r="O429" s="49"/>
      <c r="P429" s="50"/>
      <c r="Q429" s="59"/>
      <c r="R429" s="13"/>
    </row>
    <row r="430" spans="1:18" ht="18" thickBot="1" x14ac:dyDescent="0.35">
      <c r="A430" s="9" t="s">
        <v>11</v>
      </c>
      <c r="B430" s="28">
        <f>IF(ISBLANK(A430),0,INDEX(txtstylestab[],MATCH(A430,txtstylestab[style_Name],0),1))</f>
        <v>2</v>
      </c>
      <c r="C430" s="28">
        <f t="shared" si="24"/>
        <v>1</v>
      </c>
      <c r="D430" s="28">
        <f t="shared" si="25"/>
        <v>25</v>
      </c>
      <c r="E430" s="28">
        <f t="shared" si="26"/>
        <v>0</v>
      </c>
      <c r="F430" s="54" t="str">
        <f t="shared" si="27"/>
        <v>1.25.</v>
      </c>
      <c r="G430" s="54" t="s">
        <v>807</v>
      </c>
      <c r="H430" s="54"/>
      <c r="I430" s="54"/>
      <c r="J430" s="54"/>
      <c r="K430" s="54"/>
      <c r="L430" s="54"/>
      <c r="M430" s="54"/>
      <c r="N430" s="54"/>
      <c r="O430" s="54"/>
      <c r="P430" s="54"/>
      <c r="Q430" s="54"/>
      <c r="R430" s="13"/>
    </row>
    <row r="431" spans="1:18" ht="15.75" thickTop="1" x14ac:dyDescent="0.25">
      <c r="A431" s="9" t="s">
        <v>21</v>
      </c>
      <c r="B431" s="28">
        <f>IF(ISBLANK(A431),0,INDEX(txtstylestab[],MATCH(A431,txtstylestab[style_Name],0),1))</f>
        <v>0</v>
      </c>
      <c r="C431" s="28">
        <f t="shared" si="24"/>
        <v>1</v>
      </c>
      <c r="D431" s="28">
        <f t="shared" si="25"/>
        <v>25</v>
      </c>
      <c r="E431" s="28">
        <f t="shared" si="26"/>
        <v>0</v>
      </c>
      <c r="F431" s="59" t="str">
        <f t="shared" si="27"/>
        <v/>
      </c>
      <c r="G431" s="42" t="s">
        <v>82</v>
      </c>
      <c r="H431" s="43" t="s">
        <v>83</v>
      </c>
      <c r="I431" s="44" t="s">
        <v>84</v>
      </c>
      <c r="J431" s="45" t="s">
        <v>808</v>
      </c>
      <c r="K431" s="46" t="s">
        <v>86</v>
      </c>
      <c r="L431" s="47" t="s">
        <v>2397</v>
      </c>
      <c r="M431" s="48" t="s">
        <v>2539</v>
      </c>
      <c r="N431" s="49"/>
      <c r="O431" s="50" t="s">
        <v>3161</v>
      </c>
      <c r="P431" s="50"/>
      <c r="Q431" s="59"/>
      <c r="R431" s="13"/>
    </row>
    <row r="432" spans="1:18" ht="30" x14ac:dyDescent="0.25">
      <c r="A432" s="9" t="s">
        <v>21</v>
      </c>
      <c r="B432" s="28">
        <f>IF(ISBLANK(A432),0,INDEX(txtstylestab[],MATCH(A432,txtstylestab[style_Name],0),1))</f>
        <v>0</v>
      </c>
      <c r="C432" s="28">
        <f t="shared" si="24"/>
        <v>1</v>
      </c>
      <c r="D432" s="28">
        <f t="shared" si="25"/>
        <v>25</v>
      </c>
      <c r="E432" s="28">
        <f t="shared" si="26"/>
        <v>0</v>
      </c>
      <c r="F432" s="59" t="str">
        <f t="shared" si="27"/>
        <v/>
      </c>
      <c r="G432" s="42" t="s">
        <v>809</v>
      </c>
      <c r="H432" s="43" t="s">
        <v>810</v>
      </c>
      <c r="I432" s="44" t="s">
        <v>811</v>
      </c>
      <c r="J432" s="45" t="s">
        <v>812</v>
      </c>
      <c r="K432" s="46" t="s">
        <v>813</v>
      </c>
      <c r="L432" s="47" t="s">
        <v>2747</v>
      </c>
      <c r="M432" s="48" t="s">
        <v>2748</v>
      </c>
      <c r="N432" s="49"/>
      <c r="O432" s="50" t="s">
        <v>3452</v>
      </c>
      <c r="P432" s="59"/>
      <c r="Q432" s="59"/>
      <c r="R432" s="13"/>
    </row>
    <row r="433" spans="1:18" ht="90" x14ac:dyDescent="0.25">
      <c r="A433" s="9" t="s">
        <v>21</v>
      </c>
      <c r="B433" s="28">
        <f>IF(ISBLANK(A433),0,INDEX(txtstylestab[],MATCH(A433,txtstylestab[style_Name],0),1))</f>
        <v>0</v>
      </c>
      <c r="C433" s="28">
        <f t="shared" si="24"/>
        <v>1</v>
      </c>
      <c r="D433" s="28">
        <f t="shared" si="25"/>
        <v>25</v>
      </c>
      <c r="E433" s="28">
        <f t="shared" si="26"/>
        <v>0</v>
      </c>
      <c r="F433" s="59" t="str">
        <f t="shared" si="27"/>
        <v/>
      </c>
      <c r="G433" s="42" t="s">
        <v>820</v>
      </c>
      <c r="H433" s="43" t="s">
        <v>2148</v>
      </c>
      <c r="I433" s="44" t="s">
        <v>2259</v>
      </c>
      <c r="J433" s="45" t="s">
        <v>814</v>
      </c>
      <c r="K433" s="46" t="s">
        <v>1742</v>
      </c>
      <c r="L433" s="47" t="s">
        <v>2749</v>
      </c>
      <c r="M433" s="48" t="s">
        <v>2750</v>
      </c>
      <c r="N433" s="49"/>
      <c r="O433" s="50" t="s">
        <v>3453</v>
      </c>
      <c r="P433" s="59"/>
      <c r="Q433" s="59"/>
      <c r="R433" s="13"/>
    </row>
    <row r="434" spans="1:18" ht="30" x14ac:dyDescent="0.25">
      <c r="A434" s="9" t="s">
        <v>21</v>
      </c>
      <c r="B434" s="28">
        <f>IF(ISBLANK(A434),0,INDEX(txtstylestab[],MATCH(A434,txtstylestab[style_Name],0),1))</f>
        <v>0</v>
      </c>
      <c r="C434" s="28">
        <f t="shared" si="24"/>
        <v>1</v>
      </c>
      <c r="D434" s="28">
        <f t="shared" si="25"/>
        <v>25</v>
      </c>
      <c r="E434" s="28">
        <f t="shared" si="26"/>
        <v>0</v>
      </c>
      <c r="F434" s="59" t="str">
        <f t="shared" si="27"/>
        <v/>
      </c>
      <c r="G434" s="42" t="s">
        <v>815</v>
      </c>
      <c r="H434" s="43" t="s">
        <v>816</v>
      </c>
      <c r="I434" s="44" t="s">
        <v>817</v>
      </c>
      <c r="J434" s="45" t="s">
        <v>818</v>
      </c>
      <c r="K434" s="46" t="s">
        <v>819</v>
      </c>
      <c r="L434" s="47" t="s">
        <v>2751</v>
      </c>
      <c r="M434" s="48" t="s">
        <v>2752</v>
      </c>
      <c r="N434" s="49"/>
      <c r="O434" s="50" t="s">
        <v>3236</v>
      </c>
      <c r="P434" s="59"/>
      <c r="Q434" s="59"/>
      <c r="R434" s="13"/>
    </row>
    <row r="435" spans="1:18" x14ac:dyDescent="0.25">
      <c r="A435" s="9" t="s">
        <v>21</v>
      </c>
      <c r="B435" s="28">
        <f>IF(ISBLANK(A435),0,INDEX(txtstylestab[],MATCH(A435,txtstylestab[style_Name],0),1))</f>
        <v>0</v>
      </c>
      <c r="C435" s="28">
        <f t="shared" si="24"/>
        <v>1</v>
      </c>
      <c r="D435" s="28">
        <f t="shared" si="25"/>
        <v>25</v>
      </c>
      <c r="E435" s="28">
        <f t="shared" si="26"/>
        <v>0</v>
      </c>
      <c r="F435" s="59" t="str">
        <f t="shared" si="27"/>
        <v/>
      </c>
      <c r="G435" s="42" t="s">
        <v>6</v>
      </c>
      <c r="H435" s="43" t="s">
        <v>26</v>
      </c>
      <c r="I435" s="44" t="s">
        <v>48</v>
      </c>
      <c r="J435" s="45" t="s">
        <v>54</v>
      </c>
      <c r="K435" s="46" t="s">
        <v>59</v>
      </c>
      <c r="L435" s="47" t="s">
        <v>2524</v>
      </c>
      <c r="M435" s="48" t="s">
        <v>2525</v>
      </c>
      <c r="N435" s="49"/>
      <c r="O435" s="50" t="s">
        <v>3451</v>
      </c>
      <c r="P435" s="59"/>
      <c r="Q435" s="59"/>
      <c r="R435" s="13"/>
    </row>
    <row r="436" spans="1:18" ht="18" thickBot="1" x14ac:dyDescent="0.35">
      <c r="A436" s="9" t="s">
        <v>11</v>
      </c>
      <c r="B436" s="28">
        <f>IF(ISBLANK(A436),0,INDEX(txtstylestab[],MATCH(A436,txtstylestab[style_Name],0),1))</f>
        <v>2</v>
      </c>
      <c r="C436" s="28">
        <f t="shared" si="24"/>
        <v>1</v>
      </c>
      <c r="D436" s="28">
        <f t="shared" si="25"/>
        <v>26</v>
      </c>
      <c r="E436" s="28">
        <f t="shared" si="26"/>
        <v>0</v>
      </c>
      <c r="F436" s="54" t="str">
        <f t="shared" si="27"/>
        <v>1.26.</v>
      </c>
      <c r="G436" s="54" t="s">
        <v>821</v>
      </c>
      <c r="H436" s="54"/>
      <c r="I436" s="54"/>
      <c r="J436" s="54"/>
      <c r="K436" s="54"/>
      <c r="L436" s="54"/>
      <c r="M436" s="54"/>
      <c r="N436" s="54"/>
      <c r="O436" s="54"/>
      <c r="P436" s="54"/>
      <c r="Q436" s="54"/>
      <c r="R436" s="13"/>
    </row>
    <row r="437" spans="1:18" ht="15.75" thickTop="1" x14ac:dyDescent="0.25">
      <c r="A437" s="9" t="s">
        <v>21</v>
      </c>
      <c r="B437" s="28">
        <f>IF(ISBLANK(A437),0,INDEX(txtstylestab[],MATCH(A437,txtstylestab[style_Name],0),1))</f>
        <v>0</v>
      </c>
      <c r="C437" s="28">
        <f t="shared" si="24"/>
        <v>1</v>
      </c>
      <c r="D437" s="28">
        <f t="shared" si="25"/>
        <v>26</v>
      </c>
      <c r="E437" s="28">
        <f t="shared" si="26"/>
        <v>0</v>
      </c>
      <c r="F437" s="59" t="str">
        <f t="shared" si="27"/>
        <v/>
      </c>
      <c r="G437" s="42" t="s">
        <v>82</v>
      </c>
      <c r="H437" s="43" t="s">
        <v>83</v>
      </c>
      <c r="I437" s="44" t="s">
        <v>84</v>
      </c>
      <c r="J437" s="45" t="s">
        <v>85</v>
      </c>
      <c r="K437" s="46" t="s">
        <v>86</v>
      </c>
      <c r="L437" s="47" t="s">
        <v>2397</v>
      </c>
      <c r="M437" s="48" t="s">
        <v>2539</v>
      </c>
      <c r="N437" s="49"/>
      <c r="O437" s="50" t="s">
        <v>3161</v>
      </c>
      <c r="P437" s="50"/>
      <c r="Q437" s="59"/>
      <c r="R437" s="13"/>
    </row>
    <row r="438" spans="1:18" x14ac:dyDescent="0.25">
      <c r="A438" s="9" t="s">
        <v>21</v>
      </c>
      <c r="B438" s="28">
        <f>IF(ISBLANK(A438),0,INDEX(txtstylestab[],MATCH(A438,txtstylestab[style_Name],0),1))</f>
        <v>0</v>
      </c>
      <c r="C438" s="28">
        <f t="shared" si="24"/>
        <v>1</v>
      </c>
      <c r="D438" s="28">
        <f t="shared" si="25"/>
        <v>26</v>
      </c>
      <c r="E438" s="28">
        <f t="shared" si="26"/>
        <v>0</v>
      </c>
      <c r="F438" s="59" t="str">
        <f t="shared" si="27"/>
        <v/>
      </c>
      <c r="G438" s="42" t="s">
        <v>822</v>
      </c>
      <c r="H438" s="43" t="s">
        <v>409</v>
      </c>
      <c r="I438" s="44" t="s">
        <v>410</v>
      </c>
      <c r="J438" s="45" t="s">
        <v>1618</v>
      </c>
      <c r="K438" s="46" t="s">
        <v>823</v>
      </c>
      <c r="L438" s="47" t="s">
        <v>2518</v>
      </c>
      <c r="M438" s="48" t="s">
        <v>2519</v>
      </c>
      <c r="N438" s="49"/>
      <c r="O438" s="50"/>
      <c r="P438" s="59"/>
      <c r="Q438" s="59"/>
      <c r="R438" s="13"/>
    </row>
    <row r="439" spans="1:18" ht="30" x14ac:dyDescent="0.25">
      <c r="A439" s="9" t="s">
        <v>21</v>
      </c>
      <c r="B439" s="28">
        <f>IF(ISBLANK(A439),0,INDEX(txtstylestab[],MATCH(A439,txtstylestab[style_Name],0),1))</f>
        <v>0</v>
      </c>
      <c r="C439" s="28">
        <f t="shared" si="24"/>
        <v>1</v>
      </c>
      <c r="D439" s="28">
        <f t="shared" si="25"/>
        <v>26</v>
      </c>
      <c r="E439" s="28">
        <f t="shared" si="26"/>
        <v>0</v>
      </c>
      <c r="F439" s="59" t="str">
        <f t="shared" si="27"/>
        <v/>
      </c>
      <c r="G439" s="42" t="s">
        <v>805</v>
      </c>
      <c r="H439" s="43" t="s">
        <v>824</v>
      </c>
      <c r="I439" s="44" t="s">
        <v>825</v>
      </c>
      <c r="J439" s="45" t="s">
        <v>826</v>
      </c>
      <c r="K439" s="46" t="s">
        <v>827</v>
      </c>
      <c r="L439" s="47" t="s">
        <v>2753</v>
      </c>
      <c r="M439" s="48" t="s">
        <v>2754</v>
      </c>
      <c r="N439" s="49"/>
      <c r="O439" s="50" t="s">
        <v>3454</v>
      </c>
      <c r="P439" s="59"/>
      <c r="Q439" s="59"/>
      <c r="R439" s="13"/>
    </row>
    <row r="440" spans="1:18" ht="105" x14ac:dyDescent="0.25">
      <c r="A440" s="9" t="s">
        <v>21</v>
      </c>
      <c r="B440" s="28">
        <f>IF(ISBLANK(A440),0,INDEX(txtstylestab[],MATCH(A440,txtstylestab[style_Name],0),1))</f>
        <v>0</v>
      </c>
      <c r="C440" s="28">
        <f t="shared" si="24"/>
        <v>1</v>
      </c>
      <c r="D440" s="28">
        <f t="shared" si="25"/>
        <v>26</v>
      </c>
      <c r="E440" s="28">
        <f t="shared" si="26"/>
        <v>0</v>
      </c>
      <c r="F440" s="59" t="str">
        <f t="shared" si="27"/>
        <v/>
      </c>
      <c r="G440" s="42" t="s">
        <v>833</v>
      </c>
      <c r="H440" s="43" t="s">
        <v>2231</v>
      </c>
      <c r="I440" s="44" t="s">
        <v>2260</v>
      </c>
      <c r="J440" s="45" t="s">
        <v>1163</v>
      </c>
      <c r="K440" s="46" t="s">
        <v>834</v>
      </c>
      <c r="L440" s="47" t="s">
        <v>2755</v>
      </c>
      <c r="M440" s="48" t="s">
        <v>2756</v>
      </c>
      <c r="N440" s="49"/>
      <c r="O440" s="50" t="s">
        <v>3455</v>
      </c>
      <c r="P440" s="59"/>
      <c r="Q440" s="59"/>
      <c r="R440" s="13"/>
    </row>
    <row r="441" spans="1:18" ht="30" x14ac:dyDescent="0.25">
      <c r="A441" s="9" t="s">
        <v>21</v>
      </c>
      <c r="B441" s="28">
        <f>IF(ISBLANK(A441),0,INDEX(txtstylestab[],MATCH(A441,txtstylestab[style_Name],0),1))</f>
        <v>0</v>
      </c>
      <c r="C441" s="28">
        <f t="shared" si="24"/>
        <v>1</v>
      </c>
      <c r="D441" s="28">
        <f t="shared" si="25"/>
        <v>26</v>
      </c>
      <c r="E441" s="28">
        <f t="shared" si="26"/>
        <v>0</v>
      </c>
      <c r="F441" s="59" t="str">
        <f t="shared" si="27"/>
        <v/>
      </c>
      <c r="G441" s="42" t="s">
        <v>828</v>
      </c>
      <c r="H441" s="43" t="s">
        <v>829</v>
      </c>
      <c r="I441" s="44" t="s">
        <v>830</v>
      </c>
      <c r="J441" s="45" t="s">
        <v>831</v>
      </c>
      <c r="K441" s="46" t="s">
        <v>832</v>
      </c>
      <c r="L441" s="47" t="s">
        <v>2757</v>
      </c>
      <c r="M441" s="48" t="s">
        <v>2758</v>
      </c>
      <c r="N441" s="49"/>
      <c r="O441" s="50" t="s">
        <v>3456</v>
      </c>
      <c r="P441" s="59"/>
      <c r="Q441" s="59"/>
      <c r="R441" s="13"/>
    </row>
    <row r="442" spans="1:18" ht="180" x14ac:dyDescent="0.25">
      <c r="A442" s="9" t="s">
        <v>21</v>
      </c>
      <c r="B442" s="28">
        <f>IF(ISBLANK(A442),0,INDEX(txtstylestab[],MATCH(A442,txtstylestab[style_Name],0),1))</f>
        <v>0</v>
      </c>
      <c r="C442" s="28">
        <f t="shared" si="24"/>
        <v>1</v>
      </c>
      <c r="D442" s="28">
        <f t="shared" si="25"/>
        <v>26</v>
      </c>
      <c r="E442" s="28">
        <f t="shared" si="26"/>
        <v>0</v>
      </c>
      <c r="F442" s="59" t="str">
        <f t="shared" si="27"/>
        <v/>
      </c>
      <c r="G442" s="42"/>
      <c r="H442" s="43"/>
      <c r="I442" s="44" t="s">
        <v>3457</v>
      </c>
      <c r="J442" s="45" t="s">
        <v>1764</v>
      </c>
      <c r="K442" s="46" t="s">
        <v>835</v>
      </c>
      <c r="L442" s="47"/>
      <c r="M442" s="48"/>
      <c r="N442" s="49"/>
      <c r="O442" s="50"/>
      <c r="P442" s="59"/>
      <c r="Q442" s="59"/>
      <c r="R442" s="13"/>
    </row>
    <row r="443" spans="1:18" ht="18" thickBot="1" x14ac:dyDescent="0.35">
      <c r="A443" s="9" t="s">
        <v>11</v>
      </c>
      <c r="B443" s="28">
        <f>IF(ISBLANK(A443),0,INDEX(txtstylestab[],MATCH(A443,txtstylestab[style_Name],0),1))</f>
        <v>2</v>
      </c>
      <c r="C443" s="28">
        <f t="shared" si="24"/>
        <v>1</v>
      </c>
      <c r="D443" s="28">
        <f t="shared" si="25"/>
        <v>27</v>
      </c>
      <c r="E443" s="28">
        <f t="shared" si="26"/>
        <v>0</v>
      </c>
      <c r="F443" s="54" t="str">
        <f t="shared" si="27"/>
        <v>1.27.</v>
      </c>
      <c r="G443" s="54" t="s">
        <v>836</v>
      </c>
      <c r="H443" s="54"/>
      <c r="I443" s="54"/>
      <c r="J443" s="54"/>
      <c r="K443" s="54"/>
      <c r="L443" s="54"/>
      <c r="M443" s="54"/>
      <c r="N443" s="54"/>
      <c r="O443" s="54"/>
      <c r="P443" s="54"/>
      <c r="Q443" s="54"/>
      <c r="R443" s="13"/>
    </row>
    <row r="444" spans="1:18" ht="15.75" thickTop="1" x14ac:dyDescent="0.25">
      <c r="A444" s="9" t="s">
        <v>21</v>
      </c>
      <c r="B444" s="28">
        <f>IF(ISBLANK(A444),0,INDEX(txtstylestab[],MATCH(A444,txtstylestab[style_Name],0),1))</f>
        <v>0</v>
      </c>
      <c r="C444" s="28">
        <f t="shared" si="24"/>
        <v>1</v>
      </c>
      <c r="D444" s="28">
        <f t="shared" si="25"/>
        <v>27</v>
      </c>
      <c r="E444" s="28">
        <f t="shared" si="26"/>
        <v>0</v>
      </c>
      <c r="F444" s="59" t="str">
        <f t="shared" si="27"/>
        <v/>
      </c>
      <c r="G444" s="42" t="s">
        <v>82</v>
      </c>
      <c r="H444" s="43" t="s">
        <v>83</v>
      </c>
      <c r="I444" s="44" t="s">
        <v>84</v>
      </c>
      <c r="J444" s="45" t="s">
        <v>85</v>
      </c>
      <c r="K444" s="46" t="s">
        <v>86</v>
      </c>
      <c r="L444" s="47" t="s">
        <v>2397</v>
      </c>
      <c r="M444" s="48" t="s">
        <v>2539</v>
      </c>
      <c r="N444" s="49"/>
      <c r="O444" s="50" t="s">
        <v>3161</v>
      </c>
      <c r="P444" s="50"/>
      <c r="Q444" s="59"/>
      <c r="R444" s="13"/>
    </row>
    <row r="445" spans="1:18" ht="45" x14ac:dyDescent="0.25">
      <c r="A445" s="9" t="s">
        <v>21</v>
      </c>
      <c r="B445" s="28">
        <f>IF(ISBLANK(A445),0,INDEX(txtstylestab[],MATCH(A445,txtstylestab[style_Name],0),1))</f>
        <v>0</v>
      </c>
      <c r="C445" s="28">
        <f t="shared" si="24"/>
        <v>1</v>
      </c>
      <c r="D445" s="28">
        <f t="shared" si="25"/>
        <v>27</v>
      </c>
      <c r="E445" s="28">
        <f t="shared" si="26"/>
        <v>0</v>
      </c>
      <c r="F445" s="59" t="str">
        <f t="shared" si="27"/>
        <v/>
      </c>
      <c r="G445" s="42" t="s">
        <v>837</v>
      </c>
      <c r="H445" s="43" t="s">
        <v>838</v>
      </c>
      <c r="I445" s="44" t="s">
        <v>839</v>
      </c>
      <c r="J445" s="45" t="s">
        <v>840</v>
      </c>
      <c r="K445" s="46" t="s">
        <v>841</v>
      </c>
      <c r="L445" s="47" t="s">
        <v>2759</v>
      </c>
      <c r="M445" s="48" t="s">
        <v>2760</v>
      </c>
      <c r="N445" s="49"/>
      <c r="O445" s="50" t="s">
        <v>3458</v>
      </c>
      <c r="P445" s="59"/>
      <c r="Q445" s="59"/>
      <c r="R445" s="13"/>
    </row>
    <row r="446" spans="1:18" ht="30" x14ac:dyDescent="0.25">
      <c r="A446" s="9" t="s">
        <v>21</v>
      </c>
      <c r="B446" s="28">
        <f>IF(ISBLANK(A446),0,INDEX(txtstylestab[],MATCH(A446,txtstylestab[style_Name],0),1))</f>
        <v>0</v>
      </c>
      <c r="C446" s="28">
        <f t="shared" si="24"/>
        <v>1</v>
      </c>
      <c r="D446" s="28">
        <f t="shared" si="25"/>
        <v>27</v>
      </c>
      <c r="E446" s="28">
        <f t="shared" si="26"/>
        <v>0</v>
      </c>
      <c r="F446" s="59" t="str">
        <f t="shared" si="27"/>
        <v/>
      </c>
      <c r="G446" s="42" t="s">
        <v>842</v>
      </c>
      <c r="H446" s="43" t="s">
        <v>843</v>
      </c>
      <c r="I446" s="44" t="s">
        <v>844</v>
      </c>
      <c r="J446" s="45" t="s">
        <v>845</v>
      </c>
      <c r="K446" s="46" t="s">
        <v>1727</v>
      </c>
      <c r="L446" s="47" t="s">
        <v>2761</v>
      </c>
      <c r="M446" s="48" t="s">
        <v>2762</v>
      </c>
      <c r="N446" s="49"/>
      <c r="O446" s="50" t="s">
        <v>3459</v>
      </c>
      <c r="P446" s="59"/>
      <c r="Q446" s="59"/>
      <c r="R446" s="13"/>
    </row>
    <row r="447" spans="1:18" x14ac:dyDescent="0.25">
      <c r="A447" s="9" t="s">
        <v>21</v>
      </c>
      <c r="B447" s="28">
        <f>IF(ISBLANK(A447),0,INDEX(txtstylestab[],MATCH(A447,txtstylestab[style_Name],0),1))</f>
        <v>0</v>
      </c>
      <c r="C447" s="28">
        <f t="shared" si="24"/>
        <v>1</v>
      </c>
      <c r="D447" s="28">
        <f t="shared" si="25"/>
        <v>27</v>
      </c>
      <c r="E447" s="28">
        <f t="shared" si="26"/>
        <v>0</v>
      </c>
      <c r="F447" s="59" t="str">
        <f t="shared" si="27"/>
        <v/>
      </c>
      <c r="G447" s="42" t="s">
        <v>6</v>
      </c>
      <c r="H447" s="43" t="s">
        <v>26</v>
      </c>
      <c r="I447" s="44" t="s">
        <v>48</v>
      </c>
      <c r="J447" s="45" t="s">
        <v>384</v>
      </c>
      <c r="K447" s="46" t="s">
        <v>59</v>
      </c>
      <c r="L447" s="47" t="s">
        <v>2524</v>
      </c>
      <c r="M447" s="48" t="s">
        <v>2525</v>
      </c>
      <c r="N447" s="48"/>
      <c r="O447" s="50" t="s">
        <v>3451</v>
      </c>
      <c r="P447" s="49"/>
      <c r="Q447" s="50"/>
      <c r="R447" s="13"/>
    </row>
    <row r="448" spans="1:18" ht="15.75" thickBot="1" x14ac:dyDescent="0.3">
      <c r="A448" s="9" t="s">
        <v>12</v>
      </c>
      <c r="B448" s="28">
        <f>IF(ISBLANK(A448),0,INDEX(txtstylestab[],MATCH(A448,txtstylestab[style_Name],0),1))</f>
        <v>3</v>
      </c>
      <c r="C448" s="28">
        <f t="shared" si="24"/>
        <v>1</v>
      </c>
      <c r="D448" s="28">
        <f t="shared" si="25"/>
        <v>27</v>
      </c>
      <c r="E448" s="28">
        <f t="shared" si="26"/>
        <v>1</v>
      </c>
      <c r="F448" s="55" t="str">
        <f t="shared" si="27"/>
        <v>1.27.1.</v>
      </c>
      <c r="G448" s="55" t="s">
        <v>846</v>
      </c>
      <c r="H448" s="55"/>
      <c r="I448" s="55"/>
      <c r="J448" s="55"/>
      <c r="K448" s="55"/>
      <c r="L448" s="55"/>
      <c r="M448" s="55"/>
      <c r="N448" s="55"/>
      <c r="O448" s="55"/>
      <c r="P448" s="55"/>
      <c r="Q448" s="55"/>
      <c r="R448" s="13"/>
    </row>
    <row r="449" spans="1:18" x14ac:dyDescent="0.25">
      <c r="A449" s="9" t="s">
        <v>21</v>
      </c>
      <c r="B449" s="28">
        <f>IF(ISBLANK(A449),0,INDEX(txtstylestab[],MATCH(A449,txtstylestab[style_Name],0),1))</f>
        <v>0</v>
      </c>
      <c r="C449" s="28">
        <f t="shared" si="24"/>
        <v>1</v>
      </c>
      <c r="D449" s="28">
        <f t="shared" si="25"/>
        <v>27</v>
      </c>
      <c r="E449" s="28">
        <f t="shared" si="26"/>
        <v>1</v>
      </c>
      <c r="F449" s="59" t="str">
        <f t="shared" si="27"/>
        <v/>
      </c>
      <c r="G449" s="42" t="s">
        <v>82</v>
      </c>
      <c r="H449" s="43" t="s">
        <v>83</v>
      </c>
      <c r="I449" s="44" t="s">
        <v>84</v>
      </c>
      <c r="J449" s="45" t="s">
        <v>85</v>
      </c>
      <c r="K449" s="46" t="s">
        <v>86</v>
      </c>
      <c r="L449" s="47" t="s">
        <v>2397</v>
      </c>
      <c r="M449" s="48" t="s">
        <v>2539</v>
      </c>
      <c r="N449" s="49"/>
      <c r="O449" s="50" t="s">
        <v>3161</v>
      </c>
      <c r="P449" s="50"/>
      <c r="Q449" s="59"/>
      <c r="R449" s="13"/>
    </row>
    <row r="450" spans="1:18" ht="90" x14ac:dyDescent="0.25">
      <c r="A450" s="9" t="s">
        <v>21</v>
      </c>
      <c r="B450" s="28">
        <f>IF(ISBLANK(A450),0,INDEX(txtstylestab[],MATCH(A450,txtstylestab[style_Name],0),1))</f>
        <v>0</v>
      </c>
      <c r="C450" s="28">
        <f t="shared" si="24"/>
        <v>1</v>
      </c>
      <c r="D450" s="28">
        <f t="shared" si="25"/>
        <v>27</v>
      </c>
      <c r="E450" s="28">
        <f t="shared" si="26"/>
        <v>1</v>
      </c>
      <c r="F450" s="59" t="str">
        <f t="shared" si="27"/>
        <v/>
      </c>
      <c r="G450" s="42" t="s">
        <v>847</v>
      </c>
      <c r="H450" s="43" t="s">
        <v>848</v>
      </c>
      <c r="I450" s="44" t="s">
        <v>1639</v>
      </c>
      <c r="J450" s="45" t="s">
        <v>1617</v>
      </c>
      <c r="K450" s="46" t="s">
        <v>849</v>
      </c>
      <c r="L450" s="47" t="s">
        <v>2763</v>
      </c>
      <c r="M450" s="48" t="s">
        <v>2764</v>
      </c>
      <c r="N450" s="49"/>
      <c r="O450" s="50" t="s">
        <v>3460</v>
      </c>
      <c r="P450" s="59"/>
      <c r="Q450" s="59"/>
      <c r="R450" s="13"/>
    </row>
    <row r="451" spans="1:18" x14ac:dyDescent="0.25">
      <c r="A451" s="9" t="s">
        <v>21</v>
      </c>
      <c r="B451" s="28">
        <f>IF(ISBLANK(A451),0,INDEX(txtstylestab[],MATCH(A451,txtstylestab[style_Name],0),1))</f>
        <v>0</v>
      </c>
      <c r="C451" s="28">
        <f t="shared" si="24"/>
        <v>1</v>
      </c>
      <c r="D451" s="28">
        <f t="shared" si="25"/>
        <v>27</v>
      </c>
      <c r="E451" s="28">
        <f t="shared" si="26"/>
        <v>1</v>
      </c>
      <c r="F451" s="59" t="str">
        <f t="shared" si="27"/>
        <v/>
      </c>
      <c r="G451" s="42" t="s">
        <v>6</v>
      </c>
      <c r="H451" s="43" t="s">
        <v>96</v>
      </c>
      <c r="I451" s="44" t="s">
        <v>48</v>
      </c>
      <c r="J451" s="45" t="s">
        <v>384</v>
      </c>
      <c r="K451" s="46" t="s">
        <v>59</v>
      </c>
      <c r="L451" s="47" t="s">
        <v>2524</v>
      </c>
      <c r="M451" s="48" t="s">
        <v>2525</v>
      </c>
      <c r="N451" s="49"/>
      <c r="O451" s="50" t="s">
        <v>3451</v>
      </c>
      <c r="P451" s="50"/>
      <c r="Q451" s="59"/>
      <c r="R451" s="13"/>
    </row>
    <row r="452" spans="1:18" ht="18" thickBot="1" x14ac:dyDescent="0.35">
      <c r="A452" s="9" t="s">
        <v>11</v>
      </c>
      <c r="B452" s="28">
        <f>IF(ISBLANK(A452),0,INDEX(txtstylestab[],MATCH(A452,txtstylestab[style_Name],0),1))</f>
        <v>2</v>
      </c>
      <c r="C452" s="28">
        <f t="shared" ref="C452:C472" si="28">IF(B452=1,C451+1,C451)</f>
        <v>1</v>
      </c>
      <c r="D452" s="28">
        <f t="shared" ref="D452:D472" si="29">IF(B452=1,0,IF(B452=2,D451+1,IF(AND(B452=3,D451=0),1,D451)))</f>
        <v>28</v>
      </c>
      <c r="E452" s="28">
        <f t="shared" ref="E452:E472" si="30">IF(OR(B452=1,B452=2),0,IF(B452=3,E451+1,E451))</f>
        <v>0</v>
      </c>
      <c r="F452" s="54" t="str">
        <f t="shared" ref="F452:F472" si="31">IF(OR(B452=1,B452=2,B452=3),TEXT(C452,"#")&amp;".","")&amp;IF(OR(B452=2,B452=3),TEXT(D452,"#")&amp;".","")&amp;IF(B452=3,TEXT(E452,"#")&amp;".","")</f>
        <v>1.28.</v>
      </c>
      <c r="G452" s="54" t="s">
        <v>850</v>
      </c>
      <c r="H452" s="54"/>
      <c r="I452" s="54"/>
      <c r="J452" s="54"/>
      <c r="K452" s="54"/>
      <c r="L452" s="54"/>
      <c r="M452" s="54"/>
      <c r="N452" s="54"/>
      <c r="O452" s="54"/>
      <c r="P452" s="54"/>
      <c r="Q452" s="54"/>
      <c r="R452" s="13"/>
    </row>
    <row r="453" spans="1:18" ht="15.75" thickTop="1" x14ac:dyDescent="0.25">
      <c r="A453" s="9" t="s">
        <v>21</v>
      </c>
      <c r="B453" s="28">
        <f>IF(ISBLANK(A453),0,INDEX(txtstylestab[],MATCH(A453,txtstylestab[style_Name],0),1))</f>
        <v>0</v>
      </c>
      <c r="C453" s="28">
        <f t="shared" si="28"/>
        <v>1</v>
      </c>
      <c r="D453" s="28">
        <f t="shared" si="29"/>
        <v>28</v>
      </c>
      <c r="E453" s="28">
        <f t="shared" si="30"/>
        <v>0</v>
      </c>
      <c r="F453" s="59" t="str">
        <f t="shared" si="31"/>
        <v/>
      </c>
      <c r="G453" s="42" t="s">
        <v>82</v>
      </c>
      <c r="H453" s="43" t="s">
        <v>851</v>
      </c>
      <c r="I453" s="44" t="s">
        <v>84</v>
      </c>
      <c r="J453" s="45" t="s">
        <v>85</v>
      </c>
      <c r="K453" s="46" t="s">
        <v>86</v>
      </c>
      <c r="L453" s="47" t="s">
        <v>2397</v>
      </c>
      <c r="M453" s="48" t="s">
        <v>2539</v>
      </c>
      <c r="N453" s="49"/>
      <c r="O453" s="50" t="s">
        <v>3161</v>
      </c>
      <c r="P453" s="50"/>
      <c r="Q453" s="59"/>
      <c r="R453" s="13"/>
    </row>
    <row r="454" spans="1:18" ht="75" x14ac:dyDescent="0.25">
      <c r="A454" s="9" t="s">
        <v>21</v>
      </c>
      <c r="B454" s="28">
        <f>IF(ISBLANK(A454),0,INDEX(txtstylestab[],MATCH(A454,txtstylestab[style_Name],0),1))</f>
        <v>0</v>
      </c>
      <c r="C454" s="28">
        <f t="shared" si="28"/>
        <v>1</v>
      </c>
      <c r="D454" s="28">
        <f t="shared" si="29"/>
        <v>28</v>
      </c>
      <c r="E454" s="28">
        <f t="shared" si="30"/>
        <v>0</v>
      </c>
      <c r="F454" s="59" t="str">
        <f t="shared" si="31"/>
        <v/>
      </c>
      <c r="G454" s="42" t="s">
        <v>852</v>
      </c>
      <c r="H454" s="43" t="s">
        <v>853</v>
      </c>
      <c r="I454" s="44" t="s">
        <v>854</v>
      </c>
      <c r="J454" s="45" t="s">
        <v>855</v>
      </c>
      <c r="K454" s="46" t="s">
        <v>856</v>
      </c>
      <c r="L454" s="47" t="s">
        <v>2765</v>
      </c>
      <c r="M454" s="48" t="s">
        <v>2766</v>
      </c>
      <c r="N454" s="49"/>
      <c r="O454" s="50" t="s">
        <v>3461</v>
      </c>
      <c r="P454" s="59"/>
      <c r="Q454" s="59"/>
      <c r="R454" s="13"/>
    </row>
    <row r="455" spans="1:18" ht="30" x14ac:dyDescent="0.25">
      <c r="A455" s="9" t="s">
        <v>21</v>
      </c>
      <c r="B455" s="28">
        <f>IF(ISBLANK(A455),0,INDEX(txtstylestab[],MATCH(A455,txtstylestab[style_Name],0),1))</f>
        <v>0</v>
      </c>
      <c r="C455" s="28">
        <f t="shared" si="28"/>
        <v>1</v>
      </c>
      <c r="D455" s="28">
        <f t="shared" si="29"/>
        <v>28</v>
      </c>
      <c r="E455" s="28">
        <f t="shared" si="30"/>
        <v>0</v>
      </c>
      <c r="F455" s="59" t="str">
        <f t="shared" si="31"/>
        <v/>
      </c>
      <c r="G455" s="42" t="s">
        <v>857</v>
      </c>
      <c r="H455" s="43" t="s">
        <v>858</v>
      </c>
      <c r="I455" s="44" t="s">
        <v>859</v>
      </c>
      <c r="J455" s="45" t="s">
        <v>860</v>
      </c>
      <c r="K455" s="46" t="s">
        <v>1728</v>
      </c>
      <c r="L455" s="47" t="s">
        <v>2767</v>
      </c>
      <c r="M455" s="48" t="s">
        <v>2768</v>
      </c>
      <c r="N455" s="49"/>
      <c r="O455" s="50" t="s">
        <v>3462</v>
      </c>
      <c r="P455" s="59"/>
      <c r="Q455" s="59"/>
      <c r="R455" s="13"/>
    </row>
    <row r="456" spans="1:18" x14ac:dyDescent="0.25">
      <c r="A456" s="9" t="s">
        <v>21</v>
      </c>
      <c r="B456" s="28">
        <f>IF(ISBLANK(A456),0,INDEX(txtstylestab[],MATCH(A456,txtstylestab[style_Name],0),1))</f>
        <v>0</v>
      </c>
      <c r="C456" s="28">
        <f t="shared" si="28"/>
        <v>1</v>
      </c>
      <c r="D456" s="28">
        <f t="shared" si="29"/>
        <v>28</v>
      </c>
      <c r="E456" s="28">
        <f t="shared" si="30"/>
        <v>0</v>
      </c>
      <c r="F456" s="59" t="str">
        <f t="shared" si="31"/>
        <v/>
      </c>
      <c r="G456" s="42" t="s">
        <v>6</v>
      </c>
      <c r="H456" s="43" t="s">
        <v>26</v>
      </c>
      <c r="I456" s="44" t="s">
        <v>48</v>
      </c>
      <c r="J456" s="45" t="s">
        <v>54</v>
      </c>
      <c r="K456" s="46" t="s">
        <v>59</v>
      </c>
      <c r="L456" s="47" t="s">
        <v>2524</v>
      </c>
      <c r="M456" s="48" t="s">
        <v>2525</v>
      </c>
      <c r="N456" s="49"/>
      <c r="O456" s="50" t="s">
        <v>3451</v>
      </c>
      <c r="P456" s="50"/>
      <c r="Q456" s="59"/>
      <c r="R456" s="13"/>
    </row>
    <row r="457" spans="1:18" ht="18" thickBot="1" x14ac:dyDescent="0.35">
      <c r="A457" s="9" t="s">
        <v>11</v>
      </c>
      <c r="B457" s="28">
        <f>IF(ISBLANK(A457),0,INDEX(txtstylestab[],MATCH(A457,txtstylestab[style_Name],0),1))</f>
        <v>2</v>
      </c>
      <c r="C457" s="28">
        <f t="shared" si="28"/>
        <v>1</v>
      </c>
      <c r="D457" s="28">
        <f t="shared" si="29"/>
        <v>29</v>
      </c>
      <c r="E457" s="28">
        <f t="shared" si="30"/>
        <v>0</v>
      </c>
      <c r="F457" s="54" t="str">
        <f t="shared" si="31"/>
        <v>1.29.</v>
      </c>
      <c r="G457" s="54" t="s">
        <v>861</v>
      </c>
      <c r="H457" s="54"/>
      <c r="I457" s="54"/>
      <c r="J457" s="54"/>
      <c r="K457" s="54"/>
      <c r="L457" s="54"/>
      <c r="M457" s="54"/>
      <c r="N457" s="54"/>
      <c r="O457" s="54"/>
      <c r="P457" s="54"/>
      <c r="Q457" s="54"/>
      <c r="R457" s="13"/>
    </row>
    <row r="458" spans="1:18" ht="15.75" thickTop="1" x14ac:dyDescent="0.25">
      <c r="A458" s="9" t="s">
        <v>21</v>
      </c>
      <c r="B458" s="28">
        <f>IF(ISBLANK(A458),0,INDEX(txtstylestab[],MATCH(A458,txtstylestab[style_Name],0),1))</f>
        <v>0</v>
      </c>
      <c r="C458" s="28">
        <f t="shared" si="28"/>
        <v>1</v>
      </c>
      <c r="D458" s="28">
        <f t="shared" si="29"/>
        <v>29</v>
      </c>
      <c r="E458" s="28">
        <f t="shared" si="30"/>
        <v>0</v>
      </c>
      <c r="F458" s="59" t="str">
        <f t="shared" si="31"/>
        <v/>
      </c>
      <c r="G458" s="42" t="s">
        <v>82</v>
      </c>
      <c r="H458" s="43" t="s">
        <v>862</v>
      </c>
      <c r="I458" s="44" t="s">
        <v>84</v>
      </c>
      <c r="J458" s="45" t="s">
        <v>85</v>
      </c>
      <c r="K458" s="46" t="s">
        <v>86</v>
      </c>
      <c r="L458" s="47" t="s">
        <v>2397</v>
      </c>
      <c r="M458" s="48" t="s">
        <v>2539</v>
      </c>
      <c r="N458" s="49"/>
      <c r="O458" s="50" t="s">
        <v>3463</v>
      </c>
      <c r="P458" s="50"/>
      <c r="Q458" s="59"/>
      <c r="R458" s="13"/>
    </row>
    <row r="459" spans="1:18" ht="45" x14ac:dyDescent="0.25">
      <c r="A459" s="9" t="s">
        <v>21</v>
      </c>
      <c r="B459" s="28">
        <f>IF(ISBLANK(A459),0,INDEX(txtstylestab[],MATCH(A459,txtstylestab[style_Name],0),1))</f>
        <v>0</v>
      </c>
      <c r="C459" s="28">
        <f t="shared" si="28"/>
        <v>1</v>
      </c>
      <c r="D459" s="28">
        <f t="shared" si="29"/>
        <v>29</v>
      </c>
      <c r="E459" s="28">
        <f t="shared" si="30"/>
        <v>0</v>
      </c>
      <c r="F459" s="59" t="str">
        <f t="shared" si="31"/>
        <v/>
      </c>
      <c r="G459" s="42" t="s">
        <v>1905</v>
      </c>
      <c r="H459" s="43" t="s">
        <v>1906</v>
      </c>
      <c r="I459" s="44" t="s">
        <v>1907</v>
      </c>
      <c r="J459" s="45" t="s">
        <v>866</v>
      </c>
      <c r="K459" s="46" t="s">
        <v>1908</v>
      </c>
      <c r="L459" s="47" t="s">
        <v>2769</v>
      </c>
      <c r="M459" s="48" t="s">
        <v>2780</v>
      </c>
      <c r="N459" s="49"/>
      <c r="O459" s="50" t="s">
        <v>3464</v>
      </c>
      <c r="P459" s="59"/>
      <c r="Q459" s="59"/>
      <c r="R459" s="13"/>
    </row>
    <row r="460" spans="1:18" x14ac:dyDescent="0.25">
      <c r="A460" s="9" t="s">
        <v>14</v>
      </c>
      <c r="B460" s="28">
        <f>IF(ISBLANK(A460),0,INDEX(txtstylestab[],MATCH(A460,txtstylestab[style_Name],0),1))</f>
        <v>6</v>
      </c>
      <c r="C460" s="28">
        <f t="shared" si="28"/>
        <v>1</v>
      </c>
      <c r="D460" s="28">
        <f t="shared" si="29"/>
        <v>29</v>
      </c>
      <c r="E460" s="28">
        <f t="shared" si="30"/>
        <v>0</v>
      </c>
      <c r="F460" s="59" t="str">
        <f t="shared" si="31"/>
        <v/>
      </c>
      <c r="G460" s="42" t="s">
        <v>1909</v>
      </c>
      <c r="H460" s="43" t="s">
        <v>1912</v>
      </c>
      <c r="I460" s="44" t="s">
        <v>1915</v>
      </c>
      <c r="J460" s="45" t="s">
        <v>863</v>
      </c>
      <c r="K460" s="46" t="s">
        <v>1918</v>
      </c>
      <c r="L460" s="47" t="s">
        <v>2770</v>
      </c>
      <c r="M460" s="48" t="s">
        <v>2771</v>
      </c>
      <c r="N460" s="49"/>
      <c r="O460" s="50" t="s">
        <v>3465</v>
      </c>
      <c r="P460" s="59"/>
      <c r="Q460" s="59"/>
      <c r="R460" s="13"/>
    </row>
    <row r="461" spans="1:18" x14ac:dyDescent="0.25">
      <c r="A461" s="9" t="s">
        <v>14</v>
      </c>
      <c r="B461" s="28">
        <f>IF(ISBLANK(A461),0,INDEX(txtstylestab[],MATCH(A461,txtstylestab[style_Name],0),1))</f>
        <v>6</v>
      </c>
      <c r="C461" s="28">
        <f t="shared" si="28"/>
        <v>1</v>
      </c>
      <c r="D461" s="28">
        <f t="shared" si="29"/>
        <v>29</v>
      </c>
      <c r="E461" s="28">
        <f t="shared" si="30"/>
        <v>0</v>
      </c>
      <c r="F461" s="59" t="str">
        <f t="shared" si="31"/>
        <v/>
      </c>
      <c r="G461" s="42" t="s">
        <v>1910</v>
      </c>
      <c r="H461" s="43" t="s">
        <v>1913</v>
      </c>
      <c r="I461" s="44" t="s">
        <v>1916</v>
      </c>
      <c r="J461" s="45" t="s">
        <v>864</v>
      </c>
      <c r="K461" s="46" t="s">
        <v>1919</v>
      </c>
      <c r="L461" s="47" t="s">
        <v>2772</v>
      </c>
      <c r="M461" s="48" t="s">
        <v>2773</v>
      </c>
      <c r="N461" s="49"/>
      <c r="O461" s="50" t="s">
        <v>3466</v>
      </c>
      <c r="P461" s="59"/>
      <c r="Q461" s="59"/>
      <c r="R461" s="13"/>
    </row>
    <row r="462" spans="1:18" s="20" customFormat="1" ht="30" x14ac:dyDescent="0.25">
      <c r="A462" s="9" t="s">
        <v>14</v>
      </c>
      <c r="B462" s="28">
        <f>IF(ISBLANK(A462),0,INDEX(txtstylestab[],MATCH(A462,txtstylestab[style_Name],0),1))</f>
        <v>6</v>
      </c>
      <c r="C462" s="28">
        <f t="shared" si="28"/>
        <v>1</v>
      </c>
      <c r="D462" s="28">
        <f t="shared" si="29"/>
        <v>29</v>
      </c>
      <c r="E462" s="28">
        <f t="shared" si="30"/>
        <v>0</v>
      </c>
      <c r="F462" s="59" t="str">
        <f t="shared" si="31"/>
        <v/>
      </c>
      <c r="G462" s="42" t="s">
        <v>1911</v>
      </c>
      <c r="H462" s="43" t="s">
        <v>1914</v>
      </c>
      <c r="I462" s="44" t="s">
        <v>1917</v>
      </c>
      <c r="J462" s="45" t="s">
        <v>865</v>
      </c>
      <c r="K462" s="46" t="s">
        <v>1920</v>
      </c>
      <c r="L462" s="47" t="s">
        <v>2774</v>
      </c>
      <c r="M462" s="48" t="s">
        <v>2775</v>
      </c>
      <c r="N462" s="49"/>
      <c r="O462" s="50" t="s">
        <v>3467</v>
      </c>
      <c r="P462" s="59"/>
      <c r="Q462" s="59"/>
      <c r="R462" s="13"/>
    </row>
    <row r="463" spans="1:18" s="20" customFormat="1" ht="30" x14ac:dyDescent="0.25">
      <c r="A463" s="9" t="s">
        <v>14</v>
      </c>
      <c r="B463" s="28">
        <f>IF(ISBLANK(A463),0,INDEX(txtstylestab[],MATCH(A463,txtstylestab[style_Name],0),1))</f>
        <v>6</v>
      </c>
      <c r="C463" s="28">
        <f t="shared" si="28"/>
        <v>1</v>
      </c>
      <c r="D463" s="28">
        <f t="shared" si="29"/>
        <v>29</v>
      </c>
      <c r="E463" s="28">
        <f t="shared" si="30"/>
        <v>0</v>
      </c>
      <c r="F463" s="59" t="str">
        <f t="shared" si="31"/>
        <v/>
      </c>
      <c r="G463" s="42" t="s">
        <v>1921</v>
      </c>
      <c r="H463" s="43" t="s">
        <v>1922</v>
      </c>
      <c r="I463" s="44" t="s">
        <v>1923</v>
      </c>
      <c r="J463" s="45" t="s">
        <v>1925</v>
      </c>
      <c r="K463" s="46" t="s">
        <v>1924</v>
      </c>
      <c r="L463" s="47" t="s">
        <v>2776</v>
      </c>
      <c r="M463" s="48" t="s">
        <v>2777</v>
      </c>
      <c r="N463" s="49"/>
      <c r="O463" s="50" t="s">
        <v>3468</v>
      </c>
      <c r="P463" s="59"/>
      <c r="Q463" s="59"/>
      <c r="R463" s="13"/>
    </row>
    <row r="464" spans="1:18" s="20" customFormat="1" x14ac:dyDescent="0.25">
      <c r="A464" s="9" t="s">
        <v>21</v>
      </c>
      <c r="B464" s="28">
        <f>IF(ISBLANK(A464),0,INDEX(txtstylestab[],MATCH(A464,txtstylestab[style_Name],0),1))</f>
        <v>0</v>
      </c>
      <c r="C464" s="28">
        <f t="shared" si="28"/>
        <v>1</v>
      </c>
      <c r="D464" s="28">
        <f t="shared" si="29"/>
        <v>29</v>
      </c>
      <c r="E464" s="28">
        <f t="shared" si="30"/>
        <v>0</v>
      </c>
      <c r="F464" s="59" t="str">
        <f t="shared" si="31"/>
        <v/>
      </c>
      <c r="G464" s="42"/>
      <c r="H464" s="43"/>
      <c r="I464" s="44"/>
      <c r="J464" s="45"/>
      <c r="K464" s="46"/>
      <c r="L464" s="47"/>
      <c r="M464" s="48"/>
      <c r="N464" s="49"/>
      <c r="O464" s="50" t="s">
        <v>3469</v>
      </c>
      <c r="P464" s="59"/>
      <c r="Q464" s="59"/>
      <c r="R464" s="13"/>
    </row>
    <row r="465" spans="1:18" s="20" customFormat="1" x14ac:dyDescent="0.25">
      <c r="A465" s="9" t="s">
        <v>21</v>
      </c>
      <c r="B465" s="28">
        <f>IF(ISBLANK(A465),0,INDEX(txtstylestab[],MATCH(A465,txtstylestab[style_Name],0),1))</f>
        <v>0</v>
      </c>
      <c r="C465" s="28">
        <f t="shared" si="28"/>
        <v>1</v>
      </c>
      <c r="D465" s="28">
        <f t="shared" si="29"/>
        <v>29</v>
      </c>
      <c r="E465" s="28">
        <f t="shared" si="30"/>
        <v>0</v>
      </c>
      <c r="F465" s="59" t="str">
        <f t="shared" si="31"/>
        <v/>
      </c>
      <c r="G465" s="42" t="s">
        <v>6</v>
      </c>
      <c r="H465" s="43" t="s">
        <v>26</v>
      </c>
      <c r="I465" s="44" t="s">
        <v>48</v>
      </c>
      <c r="J465" s="45" t="s">
        <v>54</v>
      </c>
      <c r="K465" s="46" t="s">
        <v>59</v>
      </c>
      <c r="L465" s="47" t="s">
        <v>2524</v>
      </c>
      <c r="M465" s="48" t="s">
        <v>2525</v>
      </c>
      <c r="N465" s="49"/>
      <c r="O465" s="50" t="s">
        <v>3451</v>
      </c>
      <c r="P465" s="50"/>
      <c r="Q465" s="59"/>
      <c r="R465" s="13"/>
    </row>
    <row r="466" spans="1:18" s="20" customFormat="1" ht="15.75" thickBot="1" x14ac:dyDescent="0.3">
      <c r="A466" s="9" t="s">
        <v>12</v>
      </c>
      <c r="B466" s="28">
        <f>IF(ISBLANK(A466),0,INDEX(txtstylestab[],MATCH(A466,txtstylestab[style_Name],0),1))</f>
        <v>3</v>
      </c>
      <c r="C466" s="28">
        <f t="shared" si="28"/>
        <v>1</v>
      </c>
      <c r="D466" s="28">
        <f t="shared" si="29"/>
        <v>29</v>
      </c>
      <c r="E466" s="28">
        <f t="shared" si="30"/>
        <v>1</v>
      </c>
      <c r="F466" s="55" t="str">
        <f t="shared" si="31"/>
        <v>1.29.1.</v>
      </c>
      <c r="G466" s="55" t="s">
        <v>867</v>
      </c>
      <c r="H466" s="55"/>
      <c r="I466" s="55"/>
      <c r="J466" s="55"/>
      <c r="K466" s="55"/>
      <c r="L466" s="55"/>
      <c r="M466" s="55"/>
      <c r="N466" s="55"/>
      <c r="O466" s="55"/>
      <c r="P466" s="55"/>
      <c r="Q466" s="55"/>
      <c r="R466" s="13"/>
    </row>
    <row r="467" spans="1:18" s="20" customFormat="1" x14ac:dyDescent="0.25">
      <c r="A467" s="9" t="s">
        <v>21</v>
      </c>
      <c r="B467" s="28">
        <f>IF(ISBLANK(A467),0,INDEX(txtstylestab[],MATCH(A467,txtstylestab[style_Name],0),1))</f>
        <v>0</v>
      </c>
      <c r="C467" s="28">
        <f t="shared" si="28"/>
        <v>1</v>
      </c>
      <c r="D467" s="28">
        <f t="shared" si="29"/>
        <v>29</v>
      </c>
      <c r="E467" s="28">
        <f t="shared" si="30"/>
        <v>1</v>
      </c>
      <c r="F467" s="59" t="str">
        <f t="shared" si="31"/>
        <v/>
      </c>
      <c r="G467" s="42" t="s">
        <v>344</v>
      </c>
      <c r="H467" s="43" t="s">
        <v>83</v>
      </c>
      <c r="I467" s="44" t="s">
        <v>84</v>
      </c>
      <c r="J467" s="45" t="s">
        <v>85</v>
      </c>
      <c r="K467" s="46" t="s">
        <v>86</v>
      </c>
      <c r="L467" s="47" t="s">
        <v>2397</v>
      </c>
      <c r="M467" s="48" t="s">
        <v>2539</v>
      </c>
      <c r="N467" s="49"/>
      <c r="O467" s="50" t="s">
        <v>3161</v>
      </c>
      <c r="P467" s="50"/>
      <c r="Q467" s="59"/>
      <c r="R467" s="13"/>
    </row>
    <row r="468" spans="1:18" s="20" customFormat="1" ht="90" x14ac:dyDescent="0.25">
      <c r="A468" s="9" t="s">
        <v>21</v>
      </c>
      <c r="B468" s="28">
        <f>IF(ISBLANK(A468),0,INDEX(txtstylestab[],MATCH(A468,txtstylestab[style_Name],0),1))</f>
        <v>0</v>
      </c>
      <c r="C468" s="28">
        <f t="shared" si="28"/>
        <v>1</v>
      </c>
      <c r="D468" s="28">
        <f t="shared" si="29"/>
        <v>29</v>
      </c>
      <c r="E468" s="28">
        <f t="shared" si="30"/>
        <v>1</v>
      </c>
      <c r="F468" s="59" t="str">
        <f t="shared" si="31"/>
        <v/>
      </c>
      <c r="G468" s="42" t="s">
        <v>868</v>
      </c>
      <c r="H468" s="43" t="s">
        <v>869</v>
      </c>
      <c r="I468" s="44" t="s">
        <v>1640</v>
      </c>
      <c r="J468" s="45" t="s">
        <v>870</v>
      </c>
      <c r="K468" s="46" t="s">
        <v>871</v>
      </c>
      <c r="L468" s="47" t="s">
        <v>2779</v>
      </c>
      <c r="M468" s="48" t="s">
        <v>2778</v>
      </c>
      <c r="N468" s="49"/>
      <c r="O468" s="50" t="s">
        <v>3470</v>
      </c>
      <c r="P468" s="59"/>
      <c r="Q468" s="59"/>
      <c r="R468" s="13"/>
    </row>
    <row r="469" spans="1:18" s="20" customFormat="1" x14ac:dyDescent="0.25">
      <c r="A469" s="9" t="s">
        <v>21</v>
      </c>
      <c r="B469" s="28">
        <f>IF(ISBLANK(A469),0,INDEX(txtstylestab[],MATCH(A469,txtstylestab[style_Name],0),1))</f>
        <v>0</v>
      </c>
      <c r="C469" s="28">
        <f t="shared" si="28"/>
        <v>1</v>
      </c>
      <c r="D469" s="28">
        <f t="shared" si="29"/>
        <v>29</v>
      </c>
      <c r="E469" s="28">
        <f t="shared" si="30"/>
        <v>1</v>
      </c>
      <c r="F469" s="59" t="str">
        <f t="shared" si="31"/>
        <v/>
      </c>
      <c r="G469" s="42" t="s">
        <v>6</v>
      </c>
      <c r="H469" s="43" t="s">
        <v>26</v>
      </c>
      <c r="I469" s="44" t="s">
        <v>48</v>
      </c>
      <c r="J469" s="45" t="s">
        <v>54</v>
      </c>
      <c r="K469" s="46" t="s">
        <v>59</v>
      </c>
      <c r="L469" s="47" t="s">
        <v>2524</v>
      </c>
      <c r="M469" s="48" t="s">
        <v>2525</v>
      </c>
      <c r="N469" s="49"/>
      <c r="O469" s="50" t="s">
        <v>3451</v>
      </c>
      <c r="P469" s="50"/>
      <c r="Q469" s="59"/>
      <c r="R469" s="13"/>
    </row>
    <row r="470" spans="1:18" s="20" customFormat="1" x14ac:dyDescent="0.25">
      <c r="A470" s="9" t="s">
        <v>21</v>
      </c>
      <c r="B470" s="28">
        <f>IF(ISBLANK(A470),0,INDEX(txtstylestab[],MATCH(A470,txtstylestab[style_Name],0),1))</f>
        <v>0</v>
      </c>
      <c r="C470" s="28">
        <f t="shared" si="28"/>
        <v>1</v>
      </c>
      <c r="D470" s="28">
        <f t="shared" si="29"/>
        <v>29</v>
      </c>
      <c r="E470" s="28">
        <f t="shared" si="30"/>
        <v>1</v>
      </c>
      <c r="F470" s="59" t="str">
        <f t="shared" si="31"/>
        <v/>
      </c>
      <c r="G470" s="42"/>
      <c r="H470" s="43"/>
      <c r="I470" s="44"/>
      <c r="J470" s="45"/>
      <c r="K470" s="46"/>
      <c r="L470" s="47"/>
      <c r="M470" s="48"/>
      <c r="N470" s="49"/>
      <c r="O470" s="50"/>
      <c r="P470" s="59"/>
      <c r="Q470" s="59"/>
      <c r="R470" s="13"/>
    </row>
    <row r="471" spans="1:18" s="20" customFormat="1" x14ac:dyDescent="0.25">
      <c r="A471" s="9" t="s">
        <v>21</v>
      </c>
      <c r="B471" s="28">
        <f>IF(ISBLANK(A471),0,INDEX(txtstylestab[],MATCH(A471,txtstylestab[style_Name],0),1))</f>
        <v>0</v>
      </c>
      <c r="C471" s="28">
        <f t="shared" si="28"/>
        <v>1</v>
      </c>
      <c r="D471" s="28">
        <f t="shared" si="29"/>
        <v>29</v>
      </c>
      <c r="E471" s="28">
        <f t="shared" si="30"/>
        <v>1</v>
      </c>
      <c r="F471" s="59" t="str">
        <f t="shared" si="31"/>
        <v/>
      </c>
      <c r="G471" s="42"/>
      <c r="H471" s="43"/>
      <c r="I471" s="44"/>
      <c r="J471" s="45"/>
      <c r="K471" s="46"/>
      <c r="L471" s="47"/>
      <c r="M471" s="48"/>
      <c r="N471" s="49"/>
      <c r="O471" s="50"/>
      <c r="P471" s="59"/>
      <c r="Q471" s="59"/>
      <c r="R471" s="13"/>
    </row>
    <row r="472" spans="1:18" s="20" customFormat="1" x14ac:dyDescent="0.25">
      <c r="A472" s="9" t="s">
        <v>21</v>
      </c>
      <c r="B472" s="28">
        <f>IF(ISBLANK(A472),0,INDEX(txtstylestab[],MATCH(A472,txtstylestab[style_Name],0),1))</f>
        <v>0</v>
      </c>
      <c r="C472" s="28">
        <f t="shared" si="28"/>
        <v>1</v>
      </c>
      <c r="D472" s="28">
        <f t="shared" si="29"/>
        <v>29</v>
      </c>
      <c r="E472" s="28">
        <f t="shared" si="30"/>
        <v>1</v>
      </c>
      <c r="F472" s="59" t="str">
        <f t="shared" si="31"/>
        <v/>
      </c>
      <c r="G472" s="42"/>
      <c r="H472" s="43"/>
      <c r="I472" s="44"/>
      <c r="J472" s="45"/>
      <c r="K472" s="46"/>
      <c r="L472" s="47"/>
      <c r="M472" s="47"/>
      <c r="N472" s="48"/>
      <c r="O472" s="48"/>
      <c r="P472" s="49"/>
      <c r="Q472" s="50"/>
      <c r="R472" s="13"/>
    </row>
    <row r="473" spans="1:18" s="20" customFormat="1" x14ac:dyDescent="0.25">
      <c r="A473" s="9"/>
      <c r="B473" s="28"/>
      <c r="C473" s="28"/>
      <c r="D473" s="28"/>
      <c r="E473" s="28"/>
      <c r="F473" s="31"/>
      <c r="G473" s="21"/>
      <c r="H473" s="22"/>
      <c r="I473" s="23"/>
      <c r="J473" s="24"/>
      <c r="K473" s="25"/>
      <c r="L473" s="23"/>
      <c r="M473" s="23"/>
      <c r="N473" s="24"/>
      <c r="O473" s="24"/>
      <c r="P473" s="25"/>
      <c r="Q473" s="25"/>
    </row>
    <row r="474" spans="1:18" s="20" customFormat="1" x14ac:dyDescent="0.25">
      <c r="A474" s="9"/>
      <c r="B474" s="28"/>
      <c r="C474" s="28"/>
      <c r="D474" s="28"/>
      <c r="E474" s="28"/>
      <c r="F474" s="31"/>
      <c r="G474" s="21"/>
      <c r="H474" s="22"/>
      <c r="I474" s="23"/>
      <c r="J474" s="24"/>
      <c r="K474" s="25"/>
      <c r="L474" s="23"/>
      <c r="M474" s="23"/>
      <c r="N474" s="24"/>
      <c r="O474" s="24"/>
      <c r="P474" s="25"/>
      <c r="Q474" s="25"/>
    </row>
    <row r="475" spans="1:18" s="20" customFormat="1" x14ac:dyDescent="0.25">
      <c r="A475" s="9"/>
      <c r="B475" s="28"/>
      <c r="C475" s="28"/>
      <c r="D475" s="28"/>
      <c r="E475" s="28"/>
      <c r="F475" s="31"/>
      <c r="G475" s="21"/>
      <c r="H475" s="22"/>
      <c r="I475" s="23"/>
      <c r="J475" s="24"/>
      <c r="K475" s="25"/>
      <c r="L475" s="23"/>
      <c r="M475" s="23"/>
      <c r="N475" s="24"/>
      <c r="O475" s="24"/>
      <c r="P475" s="25"/>
      <c r="Q475" s="25"/>
    </row>
    <row r="476" spans="1:18" s="20" customFormat="1" x14ac:dyDescent="0.25">
      <c r="A476" s="9"/>
      <c r="B476" s="28"/>
      <c r="C476" s="28"/>
      <c r="D476" s="28"/>
      <c r="E476" s="28"/>
      <c r="F476" s="31"/>
      <c r="G476" s="21"/>
      <c r="H476" s="22"/>
      <c r="I476" s="23"/>
      <c r="J476" s="24"/>
      <c r="K476" s="25"/>
      <c r="L476" s="23"/>
      <c r="M476" s="23"/>
      <c r="N476" s="24"/>
      <c r="O476" s="24"/>
      <c r="P476" s="25"/>
      <c r="Q476" s="25"/>
    </row>
    <row r="477" spans="1:18" s="20" customFormat="1" x14ac:dyDescent="0.25">
      <c r="A477" s="9"/>
      <c r="B477" s="28"/>
      <c r="C477" s="28"/>
      <c r="D477" s="28"/>
      <c r="E477" s="28"/>
      <c r="F477" s="31"/>
      <c r="G477" s="21"/>
      <c r="H477" s="22"/>
      <c r="I477" s="23"/>
      <c r="J477" s="24"/>
      <c r="K477" s="25"/>
      <c r="L477" s="23"/>
      <c r="M477" s="23"/>
      <c r="N477" s="24"/>
      <c r="O477" s="24"/>
      <c r="P477" s="25"/>
      <c r="Q477" s="25"/>
    </row>
    <row r="478" spans="1:18" s="20" customFormat="1" x14ac:dyDescent="0.25">
      <c r="A478" s="9"/>
      <c r="B478" s="28"/>
      <c r="C478" s="28"/>
      <c r="D478" s="28"/>
      <c r="E478" s="28"/>
      <c r="F478" s="31"/>
      <c r="G478" s="21"/>
      <c r="H478" s="22"/>
      <c r="I478" s="23"/>
      <c r="J478" s="24"/>
      <c r="K478" s="25"/>
      <c r="L478" s="23"/>
      <c r="M478" s="23"/>
      <c r="N478" s="24"/>
      <c r="O478" s="24"/>
      <c r="P478" s="25"/>
      <c r="Q478" s="25"/>
    </row>
    <row r="479" spans="1:18" s="20" customFormat="1" x14ac:dyDescent="0.25">
      <c r="A479" s="9"/>
      <c r="B479" s="28"/>
      <c r="C479" s="28"/>
      <c r="D479" s="28"/>
      <c r="E479" s="28"/>
      <c r="F479" s="31"/>
      <c r="G479" s="21"/>
      <c r="H479" s="22"/>
      <c r="I479" s="23"/>
      <c r="J479" s="24"/>
      <c r="K479" s="25"/>
      <c r="L479" s="23"/>
      <c r="M479" s="23"/>
      <c r="N479" s="24"/>
      <c r="O479" s="24"/>
      <c r="P479" s="25"/>
      <c r="Q479" s="25"/>
    </row>
    <row r="480" spans="1:18"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row r="2215" spans="1:17" s="20" customFormat="1" x14ac:dyDescent="0.25">
      <c r="A2215" s="9"/>
      <c r="B2215" s="28"/>
      <c r="C2215" s="28"/>
      <c r="D2215" s="28"/>
      <c r="E2215" s="28"/>
      <c r="F2215" s="31"/>
      <c r="G2215" s="21"/>
      <c r="H2215" s="22"/>
      <c r="I2215" s="23"/>
      <c r="J2215" s="24"/>
      <c r="K2215" s="25"/>
      <c r="L2215" s="23"/>
      <c r="M2215" s="23"/>
      <c r="N2215" s="24"/>
      <c r="O2215" s="24"/>
      <c r="P2215" s="25"/>
      <c r="Q2215" s="25"/>
    </row>
    <row r="2216" spans="1:17" s="20" customFormat="1" x14ac:dyDescent="0.25">
      <c r="A2216" s="9"/>
      <c r="B2216" s="28"/>
      <c r="C2216" s="28"/>
      <c r="D2216" s="28"/>
      <c r="E2216" s="28"/>
      <c r="F2216" s="31"/>
      <c r="G2216" s="21"/>
      <c r="H2216" s="22"/>
      <c r="I2216" s="23"/>
      <c r="J2216" s="24"/>
      <c r="K2216" s="25"/>
      <c r="L2216" s="23"/>
      <c r="M2216" s="23"/>
      <c r="N2216" s="24"/>
      <c r="O2216" s="24"/>
      <c r="P2216" s="25"/>
      <c r="Q2216" s="25"/>
    </row>
    <row r="2217" spans="1:17" s="20" customFormat="1" x14ac:dyDescent="0.25">
      <c r="A2217" s="9"/>
      <c r="B2217" s="28"/>
      <c r="C2217" s="28"/>
      <c r="D2217" s="28"/>
      <c r="E2217" s="28"/>
      <c r="F2217" s="31"/>
      <c r="G2217" s="21"/>
      <c r="H2217" s="22"/>
      <c r="I2217" s="23"/>
      <c r="J2217" s="24"/>
      <c r="K2217" s="25"/>
      <c r="L2217" s="23"/>
      <c r="M2217" s="23"/>
      <c r="N2217" s="24"/>
      <c r="O2217" s="24"/>
      <c r="P2217" s="25"/>
      <c r="Q2217" s="25"/>
    </row>
    <row r="2218" spans="1:17" s="20" customFormat="1" x14ac:dyDescent="0.25">
      <c r="A2218" s="9"/>
      <c r="B2218" s="28"/>
      <c r="C2218" s="28"/>
      <c r="D2218" s="28"/>
      <c r="E2218" s="28"/>
      <c r="F2218" s="31"/>
      <c r="G2218" s="21"/>
      <c r="H2218" s="22"/>
      <c r="I2218" s="23"/>
      <c r="J2218" s="24"/>
      <c r="K2218" s="25"/>
      <c r="L2218" s="23"/>
      <c r="M2218" s="23"/>
      <c r="N2218" s="24"/>
      <c r="O2218" s="24"/>
      <c r="P2218" s="25"/>
      <c r="Q2218" s="25"/>
    </row>
    <row r="2219" spans="1:17" s="20" customFormat="1" x14ac:dyDescent="0.25">
      <c r="A2219" s="9"/>
      <c r="B2219" s="28"/>
      <c r="C2219" s="28"/>
      <c r="D2219" s="28"/>
      <c r="E2219" s="28"/>
      <c r="F2219" s="31"/>
      <c r="G2219" s="21"/>
      <c r="H2219" s="22"/>
      <c r="I2219" s="23"/>
      <c r="J2219" s="24"/>
      <c r="K2219" s="25"/>
      <c r="L2219" s="23"/>
      <c r="M2219" s="23"/>
      <c r="N2219" s="24"/>
      <c r="O2219" s="24"/>
      <c r="P2219" s="25"/>
      <c r="Q2219" s="25"/>
    </row>
    <row r="2220" spans="1:17" s="20" customFormat="1" x14ac:dyDescent="0.25">
      <c r="A2220" s="9"/>
      <c r="B2220" s="28"/>
      <c r="C2220" s="28"/>
      <c r="D2220" s="28"/>
      <c r="E2220" s="28"/>
      <c r="F2220" s="31"/>
      <c r="G2220" s="21"/>
      <c r="H2220" s="22"/>
      <c r="I2220" s="23"/>
      <c r="J2220" s="24"/>
      <c r="K2220" s="25"/>
      <c r="L2220" s="23"/>
      <c r="M2220" s="23"/>
      <c r="N2220" s="24"/>
      <c r="O2220" s="24"/>
      <c r="P2220" s="25"/>
      <c r="Q2220" s="25"/>
    </row>
    <row r="2221" spans="1:17" s="20" customFormat="1" x14ac:dyDescent="0.25">
      <c r="A2221" s="9"/>
      <c r="B2221" s="28"/>
      <c r="C2221" s="28"/>
      <c r="D2221" s="28"/>
      <c r="E2221" s="28"/>
      <c r="F2221" s="31"/>
      <c r="G2221" s="21"/>
      <c r="H2221" s="22"/>
      <c r="I2221" s="23"/>
      <c r="J2221" s="24"/>
      <c r="K2221" s="25"/>
      <c r="L2221" s="23"/>
      <c r="M2221" s="23"/>
      <c r="N2221" s="24"/>
      <c r="O2221" s="24"/>
      <c r="P2221" s="25"/>
      <c r="Q2221" s="25"/>
    </row>
    <row r="2222" spans="1:17" s="20" customFormat="1" x14ac:dyDescent="0.25">
      <c r="A2222" s="9"/>
      <c r="B2222" s="28"/>
      <c r="C2222" s="28"/>
      <c r="D2222" s="28"/>
      <c r="E2222" s="28"/>
      <c r="F2222" s="31"/>
      <c r="G2222" s="21"/>
      <c r="H2222" s="22"/>
      <c r="I2222" s="23"/>
      <c r="J2222" s="24"/>
      <c r="K2222" s="25"/>
      <c r="L2222" s="23"/>
      <c r="M2222" s="23"/>
      <c r="N2222" s="24"/>
      <c r="O2222" s="24"/>
      <c r="P2222" s="25"/>
      <c r="Q2222" s="25"/>
    </row>
    <row r="2223" spans="1:17" s="20" customFormat="1" x14ac:dyDescent="0.25">
      <c r="A2223" s="9"/>
      <c r="B2223" s="28"/>
      <c r="C2223" s="28"/>
      <c r="D2223" s="28"/>
      <c r="E2223" s="28"/>
      <c r="F2223" s="31"/>
      <c r="G2223" s="21"/>
      <c r="H2223" s="22"/>
      <c r="I2223" s="23"/>
      <c r="J2223" s="24"/>
      <c r="K2223" s="25"/>
      <c r="L2223" s="23"/>
      <c r="M2223" s="23"/>
      <c r="N2223" s="24"/>
      <c r="O2223" s="24"/>
      <c r="P2223" s="25"/>
      <c r="Q2223" s="25"/>
    </row>
    <row r="2224" spans="1:17" s="20" customFormat="1" x14ac:dyDescent="0.25">
      <c r="A2224" s="9"/>
      <c r="B2224" s="28"/>
      <c r="C2224" s="28"/>
      <c r="D2224" s="28"/>
      <c r="E2224" s="28"/>
      <c r="F2224" s="31"/>
      <c r="G2224" s="21"/>
      <c r="H2224" s="22"/>
      <c r="I2224" s="23"/>
      <c r="J2224" s="24"/>
      <c r="K2224" s="25"/>
      <c r="L2224" s="23"/>
      <c r="M2224" s="23"/>
      <c r="N2224" s="24"/>
      <c r="O2224" s="24"/>
      <c r="P2224" s="25"/>
      <c r="Q2224" s="25"/>
    </row>
    <row r="2225" spans="1:17" s="20" customFormat="1" x14ac:dyDescent="0.25">
      <c r="A2225" s="9"/>
      <c r="B2225" s="28"/>
      <c r="C2225" s="28"/>
      <c r="D2225" s="28"/>
      <c r="E2225" s="28"/>
      <c r="F2225" s="31"/>
      <c r="G2225" s="21"/>
      <c r="H2225" s="22"/>
      <c r="I2225" s="23"/>
      <c r="J2225" s="24"/>
      <c r="K2225" s="25"/>
      <c r="L2225" s="23"/>
      <c r="M2225" s="23"/>
      <c r="N2225" s="24"/>
      <c r="O2225" s="24"/>
      <c r="P2225" s="25"/>
      <c r="Q2225" s="25"/>
    </row>
    <row r="2226" spans="1:17" s="20" customFormat="1" x14ac:dyDescent="0.25">
      <c r="A2226" s="9"/>
      <c r="B2226" s="28"/>
      <c r="C2226" s="28"/>
      <c r="D2226" s="28"/>
      <c r="E2226" s="28"/>
      <c r="F2226" s="31"/>
      <c r="G2226" s="21"/>
      <c r="H2226" s="22"/>
      <c r="I2226" s="23"/>
      <c r="J2226" s="24"/>
      <c r="K2226" s="25"/>
      <c r="L2226" s="23"/>
      <c r="M2226" s="23"/>
      <c r="N2226" s="24"/>
      <c r="O2226" s="24"/>
      <c r="P2226" s="25"/>
      <c r="Q2226" s="25"/>
    </row>
    <row r="2227" spans="1:17" s="20" customFormat="1" x14ac:dyDescent="0.25">
      <c r="A2227" s="9"/>
      <c r="B2227" s="28"/>
      <c r="C2227" s="28"/>
      <c r="D2227" s="28"/>
      <c r="E2227" s="28"/>
      <c r="F2227" s="31"/>
      <c r="G2227" s="21"/>
      <c r="H2227" s="22"/>
      <c r="I2227" s="23"/>
      <c r="J2227" s="24"/>
      <c r="K2227" s="25"/>
      <c r="L2227" s="23"/>
      <c r="M2227" s="23"/>
      <c r="N2227" s="24"/>
      <c r="O2227" s="24"/>
      <c r="P2227" s="25"/>
      <c r="Q2227" s="25"/>
    </row>
    <row r="2228" spans="1:17" s="20" customFormat="1" x14ac:dyDescent="0.25">
      <c r="A2228" s="9"/>
      <c r="B2228" s="28"/>
      <c r="C2228" s="28"/>
      <c r="D2228" s="28"/>
      <c r="E2228" s="28"/>
      <c r="F2228" s="31"/>
      <c r="G2228" s="21"/>
      <c r="H2228" s="22"/>
      <c r="I2228" s="23"/>
      <c r="J2228" s="24"/>
      <c r="K2228" s="25"/>
      <c r="L2228" s="23"/>
      <c r="M2228" s="23"/>
      <c r="N2228" s="24"/>
      <c r="O2228" s="24"/>
      <c r="P2228" s="25"/>
      <c r="Q2228" s="25"/>
    </row>
    <row r="2229" spans="1:17" s="20" customFormat="1" x14ac:dyDescent="0.25">
      <c r="A2229" s="9"/>
      <c r="B2229" s="28"/>
      <c r="C2229" s="28"/>
      <c r="D2229" s="28"/>
      <c r="E2229" s="28"/>
      <c r="F2229" s="31"/>
      <c r="G2229" s="21"/>
      <c r="H2229" s="22"/>
      <c r="I2229" s="23"/>
      <c r="J2229" s="24"/>
      <c r="K2229" s="25"/>
      <c r="L2229" s="23"/>
      <c r="M2229" s="23"/>
      <c r="N2229" s="24"/>
      <c r="O2229" s="24"/>
      <c r="P2229" s="25"/>
      <c r="Q2229" s="25"/>
    </row>
    <row r="2230" spans="1:17" s="20" customFormat="1" x14ac:dyDescent="0.25">
      <c r="A2230" s="9"/>
      <c r="B2230" s="28"/>
      <c r="C2230" s="28"/>
      <c r="D2230" s="28"/>
      <c r="E2230" s="28"/>
      <c r="F2230" s="31"/>
      <c r="G2230" s="21"/>
      <c r="H2230" s="22"/>
      <c r="I2230" s="23"/>
      <c r="J2230" s="24"/>
      <c r="K2230" s="25"/>
      <c r="L2230" s="23"/>
      <c r="M2230" s="23"/>
      <c r="N2230" s="24"/>
      <c r="O2230" s="24"/>
      <c r="P2230" s="25"/>
      <c r="Q2230" s="25"/>
    </row>
    <row r="2231" spans="1:17" s="20" customFormat="1" x14ac:dyDescent="0.25">
      <c r="A2231" s="9"/>
      <c r="B2231" s="28"/>
      <c r="C2231" s="28"/>
      <c r="D2231" s="28"/>
      <c r="E2231" s="28"/>
      <c r="F2231" s="31"/>
      <c r="G2231" s="21"/>
      <c r="H2231" s="22"/>
      <c r="I2231" s="23"/>
      <c r="J2231" s="24"/>
      <c r="K2231" s="25"/>
      <c r="L2231" s="23"/>
      <c r="M2231" s="23"/>
      <c r="N2231" s="24"/>
      <c r="O2231" s="24"/>
      <c r="P2231" s="25"/>
      <c r="Q2231" s="25"/>
    </row>
    <row r="2232" spans="1:17" s="20" customFormat="1" x14ac:dyDescent="0.25">
      <c r="A2232" s="9"/>
      <c r="B2232" s="28"/>
      <c r="C2232" s="28"/>
      <c r="D2232" s="28"/>
      <c r="E2232" s="28"/>
      <c r="F2232" s="31"/>
      <c r="G2232" s="21"/>
      <c r="H2232" s="22"/>
      <c r="I2232" s="23"/>
      <c r="J2232" s="24"/>
      <c r="K2232" s="25"/>
      <c r="L2232" s="23"/>
      <c r="M2232" s="23"/>
      <c r="N2232" s="24"/>
      <c r="O2232" s="24"/>
      <c r="P2232" s="25"/>
      <c r="Q2232" s="25"/>
    </row>
    <row r="2233" spans="1:17" s="20" customFormat="1" x14ac:dyDescent="0.25">
      <c r="A2233" s="9"/>
      <c r="B2233" s="28"/>
      <c r="C2233" s="28"/>
      <c r="D2233" s="28"/>
      <c r="E2233" s="28"/>
      <c r="F2233" s="31"/>
      <c r="G2233" s="21"/>
      <c r="H2233" s="22"/>
      <c r="I2233" s="23"/>
      <c r="J2233" s="24"/>
      <c r="K2233" s="25"/>
      <c r="L2233" s="23"/>
      <c r="M2233" s="23"/>
      <c r="N2233" s="24"/>
      <c r="O2233" s="24"/>
      <c r="P2233" s="25"/>
      <c r="Q2233" s="25"/>
    </row>
    <row r="2234" spans="1:17" s="20" customFormat="1" x14ac:dyDescent="0.25">
      <c r="A2234" s="9"/>
      <c r="B2234" s="28"/>
      <c r="C2234" s="28"/>
      <c r="D2234" s="28"/>
      <c r="E2234" s="28"/>
      <c r="F2234" s="31"/>
      <c r="G2234" s="21"/>
      <c r="H2234" s="22"/>
      <c r="I2234" s="23"/>
      <c r="J2234" s="24"/>
      <c r="K2234" s="25"/>
      <c r="L2234" s="23"/>
      <c r="M2234" s="23"/>
      <c r="N2234" s="24"/>
      <c r="O2234" s="24"/>
      <c r="P2234" s="25"/>
      <c r="Q2234" s="25"/>
    </row>
    <row r="2235" spans="1:17" s="20" customFormat="1" x14ac:dyDescent="0.25">
      <c r="A2235" s="9"/>
      <c r="B2235" s="28"/>
      <c r="C2235" s="28"/>
      <c r="D2235" s="28"/>
      <c r="E2235" s="28"/>
      <c r="F2235" s="31"/>
      <c r="G2235" s="21"/>
      <c r="H2235" s="22"/>
      <c r="I2235" s="23"/>
      <c r="J2235" s="24"/>
      <c r="K2235" s="25"/>
      <c r="L2235" s="23"/>
      <c r="M2235" s="23"/>
      <c r="N2235" s="24"/>
      <c r="O2235" s="24"/>
      <c r="P2235" s="25"/>
      <c r="Q2235" s="25"/>
    </row>
    <row r="2236" spans="1:17" s="20" customFormat="1" x14ac:dyDescent="0.25">
      <c r="A2236" s="9"/>
      <c r="B2236" s="28"/>
      <c r="C2236" s="28"/>
      <c r="D2236" s="28"/>
      <c r="E2236" s="28"/>
      <c r="F2236" s="31"/>
      <c r="G2236" s="21"/>
      <c r="H2236" s="22"/>
      <c r="I2236" s="23"/>
      <c r="J2236" s="24"/>
      <c r="K2236" s="25"/>
      <c r="L2236" s="23"/>
      <c r="M2236" s="23"/>
      <c r="N2236" s="24"/>
      <c r="O2236" s="24"/>
      <c r="P2236" s="25"/>
      <c r="Q2236" s="25"/>
    </row>
    <row r="2237" spans="1:17" s="20" customFormat="1" x14ac:dyDescent="0.25">
      <c r="A2237" s="9"/>
      <c r="B2237" s="28"/>
      <c r="C2237" s="28"/>
      <c r="D2237" s="28"/>
      <c r="E2237" s="28"/>
      <c r="F2237" s="31"/>
      <c r="G2237" s="21"/>
      <c r="H2237" s="22"/>
      <c r="I2237" s="23"/>
      <c r="J2237" s="24"/>
      <c r="K2237" s="25"/>
      <c r="L2237" s="23"/>
      <c r="M2237" s="23"/>
      <c r="N2237" s="24"/>
      <c r="O2237" s="24"/>
      <c r="P2237" s="25"/>
      <c r="Q2237" s="25"/>
    </row>
    <row r="2238" spans="1:17" s="20" customFormat="1" x14ac:dyDescent="0.25">
      <c r="A2238" s="9"/>
      <c r="B2238" s="28"/>
      <c r="C2238" s="28"/>
      <c r="D2238" s="28"/>
      <c r="E2238" s="28"/>
      <c r="F2238" s="31"/>
      <c r="G2238" s="21"/>
      <c r="H2238" s="22"/>
      <c r="I2238" s="23"/>
      <c r="J2238" s="24"/>
      <c r="K2238" s="25"/>
      <c r="L2238" s="23"/>
      <c r="M2238" s="23"/>
      <c r="N2238" s="24"/>
      <c r="O2238" s="24"/>
      <c r="P2238" s="25"/>
      <c r="Q2238" s="25"/>
    </row>
    <row r="2239" spans="1:17" s="20" customFormat="1" x14ac:dyDescent="0.25">
      <c r="A2239" s="9"/>
      <c r="B2239" s="28"/>
      <c r="C2239" s="28"/>
      <c r="D2239" s="28"/>
      <c r="E2239" s="28"/>
      <c r="F2239" s="31"/>
      <c r="G2239" s="21"/>
      <c r="H2239" s="22"/>
      <c r="I2239" s="23"/>
      <c r="J2239" s="24"/>
      <c r="K2239" s="25"/>
      <c r="L2239" s="23"/>
      <c r="M2239" s="23"/>
      <c r="N2239" s="24"/>
      <c r="O2239" s="24"/>
      <c r="P2239" s="25"/>
      <c r="Q2239" s="25"/>
    </row>
    <row r="2240" spans="1:17" s="20" customFormat="1" x14ac:dyDescent="0.25">
      <c r="A2240" s="9"/>
      <c r="B2240" s="28"/>
      <c r="C2240" s="28"/>
      <c r="D2240" s="28"/>
      <c r="E2240" s="28"/>
      <c r="F2240" s="31"/>
      <c r="G2240" s="21"/>
      <c r="H2240" s="22"/>
      <c r="I2240" s="23"/>
      <c r="J2240" s="24"/>
      <c r="K2240" s="25"/>
      <c r="L2240" s="23"/>
      <c r="M2240" s="23"/>
      <c r="N2240" s="24"/>
      <c r="O2240" s="24"/>
      <c r="P2240" s="25"/>
      <c r="Q2240" s="25"/>
    </row>
    <row r="2241" spans="1:17" s="20" customFormat="1" x14ac:dyDescent="0.25">
      <c r="A2241" s="9"/>
      <c r="B2241" s="28"/>
      <c r="C2241" s="28"/>
      <c r="D2241" s="28"/>
      <c r="E2241" s="28"/>
      <c r="F2241" s="31"/>
      <c r="G2241" s="21"/>
      <c r="H2241" s="22"/>
      <c r="I2241" s="23"/>
      <c r="J2241" s="24"/>
      <c r="K2241" s="25"/>
      <c r="L2241" s="23"/>
      <c r="M2241" s="23"/>
      <c r="N2241" s="24"/>
      <c r="O2241" s="24"/>
      <c r="P2241" s="25"/>
      <c r="Q2241" s="25"/>
    </row>
    <row r="2242" spans="1:17" s="20" customFormat="1" x14ac:dyDescent="0.25">
      <c r="A2242" s="9"/>
      <c r="B2242" s="28"/>
      <c r="C2242" s="28"/>
      <c r="D2242" s="28"/>
      <c r="E2242" s="28"/>
      <c r="F2242" s="31"/>
      <c r="G2242" s="21"/>
      <c r="H2242" s="22"/>
      <c r="I2242" s="23"/>
      <c r="J2242" s="24"/>
      <c r="K2242" s="25"/>
      <c r="L2242" s="23"/>
      <c r="M2242" s="23"/>
      <c r="N2242" s="24"/>
      <c r="O2242" s="24"/>
      <c r="P2242" s="25"/>
      <c r="Q2242" s="25"/>
    </row>
    <row r="2243" spans="1:17" s="20" customFormat="1" x14ac:dyDescent="0.25">
      <c r="A2243" s="9"/>
      <c r="B2243" s="28"/>
      <c r="C2243" s="28"/>
      <c r="D2243" s="28"/>
      <c r="E2243" s="28"/>
      <c r="F2243" s="31"/>
      <c r="G2243" s="21"/>
      <c r="H2243" s="22"/>
      <c r="I2243" s="23"/>
      <c r="J2243" s="24"/>
      <c r="K2243" s="25"/>
      <c r="L2243" s="23"/>
      <c r="M2243" s="23"/>
      <c r="N2243" s="24"/>
      <c r="O2243" s="24"/>
      <c r="P2243" s="25"/>
      <c r="Q2243" s="25"/>
    </row>
    <row r="2244" spans="1:17" s="20" customFormat="1" x14ac:dyDescent="0.25">
      <c r="A2244" s="9"/>
      <c r="B2244" s="28"/>
      <c r="C2244" s="28"/>
      <c r="D2244" s="28"/>
      <c r="E2244" s="28"/>
      <c r="F2244" s="31"/>
      <c r="G2244" s="21"/>
      <c r="H2244" s="22"/>
      <c r="I2244" s="23"/>
      <c r="J2244" s="24"/>
      <c r="K2244" s="25"/>
      <c r="L2244" s="23"/>
      <c r="M2244" s="23"/>
      <c r="N2244" s="24"/>
      <c r="O2244" s="24"/>
      <c r="P2244" s="25"/>
      <c r="Q2244" s="25"/>
    </row>
    <row r="2245" spans="1:17" s="20" customFormat="1" x14ac:dyDescent="0.25">
      <c r="A2245" s="9"/>
      <c r="B2245" s="28"/>
      <c r="C2245" s="28"/>
      <c r="D2245" s="28"/>
      <c r="E2245" s="28"/>
      <c r="F2245" s="31"/>
      <c r="G2245" s="21"/>
      <c r="H2245" s="22"/>
      <c r="I2245" s="23"/>
      <c r="J2245" s="24"/>
      <c r="K2245" s="25"/>
      <c r="L2245" s="23"/>
      <c r="M2245" s="23"/>
      <c r="N2245" s="24"/>
      <c r="O2245" s="24"/>
      <c r="P2245" s="25"/>
      <c r="Q2245" s="25"/>
    </row>
    <row r="2246" spans="1:17" s="20" customFormat="1" x14ac:dyDescent="0.25">
      <c r="A2246" s="9"/>
      <c r="B2246" s="28"/>
      <c r="C2246" s="28"/>
      <c r="D2246" s="28"/>
      <c r="E2246" s="28"/>
      <c r="F2246" s="31"/>
      <c r="G2246" s="21"/>
      <c r="H2246" s="22"/>
      <c r="I2246" s="23"/>
      <c r="J2246" s="24"/>
      <c r="K2246" s="25"/>
      <c r="L2246" s="23"/>
      <c r="M2246" s="23"/>
      <c r="N2246" s="24"/>
      <c r="O2246" s="24"/>
      <c r="P2246" s="25"/>
      <c r="Q2246" s="25"/>
    </row>
    <row r="2247" spans="1:17" s="20" customFormat="1" x14ac:dyDescent="0.25">
      <c r="A2247" s="9"/>
      <c r="B2247" s="28"/>
      <c r="C2247" s="28"/>
      <c r="D2247" s="28"/>
      <c r="E2247" s="28"/>
      <c r="F2247" s="31"/>
      <c r="G2247" s="21"/>
      <c r="H2247" s="22"/>
      <c r="I2247" s="23"/>
      <c r="J2247" s="24"/>
      <c r="K2247" s="25"/>
      <c r="L2247" s="23"/>
      <c r="M2247" s="23"/>
      <c r="N2247" s="24"/>
      <c r="O2247" s="24"/>
      <c r="P2247" s="25"/>
      <c r="Q2247" s="25"/>
    </row>
    <row r="2248" spans="1:17" s="20" customFormat="1" x14ac:dyDescent="0.25">
      <c r="A2248" s="9"/>
      <c r="B2248" s="28"/>
      <c r="C2248" s="28"/>
      <c r="D2248" s="28"/>
      <c r="E2248" s="28"/>
      <c r="F2248" s="31"/>
      <c r="G2248" s="21"/>
      <c r="H2248" s="22"/>
      <c r="I2248" s="23"/>
      <c r="J2248" s="24"/>
      <c r="K2248" s="25"/>
      <c r="L2248" s="23"/>
      <c r="M2248" s="23"/>
      <c r="N2248" s="24"/>
      <c r="O2248" s="24"/>
      <c r="P2248" s="25"/>
      <c r="Q2248" s="25"/>
    </row>
    <row r="2249" spans="1:17" s="20" customFormat="1" x14ac:dyDescent="0.25">
      <c r="A2249" s="9"/>
      <c r="B2249" s="28"/>
      <c r="C2249" s="28"/>
      <c r="D2249" s="28"/>
      <c r="E2249" s="28"/>
      <c r="F2249" s="31"/>
      <c r="G2249" s="21"/>
      <c r="H2249" s="22"/>
      <c r="I2249" s="23"/>
      <c r="J2249" s="24"/>
      <c r="K2249" s="25"/>
      <c r="L2249" s="23"/>
      <c r="M2249" s="23"/>
      <c r="N2249" s="24"/>
      <c r="O2249" s="24"/>
      <c r="P2249" s="25"/>
      <c r="Q2249" s="25"/>
    </row>
    <row r="2250" spans="1:17" s="20" customFormat="1" x14ac:dyDescent="0.25">
      <c r="A2250" s="9"/>
      <c r="B2250" s="28"/>
      <c r="C2250" s="28"/>
      <c r="D2250" s="28"/>
      <c r="E2250" s="28"/>
      <c r="F2250" s="31"/>
      <c r="G2250" s="21"/>
      <c r="H2250" s="22"/>
      <c r="I2250" s="23"/>
      <c r="J2250" s="24"/>
      <c r="K2250" s="25"/>
      <c r="L2250" s="23"/>
      <c r="M2250" s="23"/>
      <c r="N2250" s="24"/>
      <c r="O2250" s="24"/>
      <c r="P2250" s="25"/>
      <c r="Q2250" s="25"/>
    </row>
    <row r="2251" spans="1:17" s="20" customFormat="1" x14ac:dyDescent="0.25">
      <c r="A2251" s="9"/>
      <c r="B2251" s="28"/>
      <c r="C2251" s="28"/>
      <c r="D2251" s="28"/>
      <c r="E2251" s="28"/>
      <c r="F2251" s="31"/>
      <c r="G2251" s="21"/>
      <c r="H2251" s="22"/>
      <c r="I2251" s="23"/>
      <c r="J2251" s="24"/>
      <c r="K2251" s="25"/>
      <c r="L2251" s="23"/>
      <c r="M2251" s="23"/>
      <c r="N2251" s="24"/>
      <c r="O2251" s="24"/>
      <c r="P2251" s="25"/>
      <c r="Q2251" s="25"/>
    </row>
    <row r="2252" spans="1:17" s="20" customFormat="1" x14ac:dyDescent="0.25">
      <c r="A2252" s="9"/>
      <c r="B2252" s="28"/>
      <c r="C2252" s="28"/>
      <c r="D2252" s="28"/>
      <c r="E2252" s="28"/>
      <c r="F2252" s="31"/>
      <c r="G2252" s="21"/>
      <c r="H2252" s="22"/>
      <c r="I2252" s="23"/>
      <c r="J2252" s="24"/>
      <c r="K2252" s="25"/>
      <c r="L2252" s="23"/>
      <c r="M2252" s="23"/>
      <c r="N2252" s="24"/>
      <c r="O2252" s="24"/>
      <c r="P2252" s="25"/>
      <c r="Q2252" s="25"/>
    </row>
    <row r="2253" spans="1:17" s="20" customFormat="1" x14ac:dyDescent="0.25">
      <c r="A2253" s="9"/>
      <c r="B2253" s="28"/>
      <c r="C2253" s="28"/>
      <c r="D2253" s="28"/>
      <c r="E2253" s="28"/>
      <c r="F2253" s="31"/>
      <c r="G2253" s="21"/>
      <c r="H2253" s="22"/>
      <c r="I2253" s="23"/>
      <c r="J2253" s="24"/>
      <c r="K2253" s="25"/>
      <c r="L2253" s="23"/>
      <c r="M2253" s="23"/>
      <c r="N2253" s="24"/>
      <c r="O2253" s="24"/>
      <c r="P2253" s="25"/>
      <c r="Q2253" s="25"/>
    </row>
    <row r="2254" spans="1:17" s="20" customFormat="1" x14ac:dyDescent="0.25">
      <c r="A2254" s="9"/>
      <c r="B2254" s="28"/>
      <c r="C2254" s="28"/>
      <c r="D2254" s="28"/>
      <c r="E2254" s="28"/>
      <c r="F2254" s="31"/>
      <c r="G2254" s="21"/>
      <c r="H2254" s="22"/>
      <c r="I2254" s="23"/>
      <c r="J2254" s="24"/>
      <c r="K2254" s="25"/>
      <c r="L2254" s="23"/>
      <c r="M2254" s="23"/>
      <c r="N2254" s="24"/>
      <c r="O2254" s="24"/>
      <c r="P2254" s="25"/>
      <c r="Q2254" s="25"/>
    </row>
    <row r="2255" spans="1:17" s="20" customFormat="1" x14ac:dyDescent="0.25">
      <c r="A2255" s="9"/>
      <c r="B2255" s="28"/>
      <c r="C2255" s="28"/>
      <c r="D2255" s="28"/>
      <c r="E2255" s="28"/>
      <c r="F2255" s="31"/>
      <c r="G2255" s="21"/>
      <c r="H2255" s="22"/>
      <c r="I2255" s="23"/>
      <c r="J2255" s="24"/>
      <c r="K2255" s="25"/>
      <c r="L2255" s="23"/>
      <c r="M2255" s="23"/>
      <c r="N2255" s="24"/>
      <c r="O2255" s="24"/>
      <c r="P2255" s="25"/>
      <c r="Q2255" s="25"/>
    </row>
    <row r="2256" spans="1:17" s="20" customFormat="1" x14ac:dyDescent="0.25">
      <c r="A2256" s="9"/>
      <c r="B2256" s="28"/>
      <c r="C2256" s="28"/>
      <c r="D2256" s="28"/>
      <c r="E2256" s="28"/>
      <c r="F2256" s="31"/>
      <c r="G2256" s="21"/>
      <c r="H2256" s="22"/>
      <c r="I2256" s="23"/>
      <c r="J2256" s="24"/>
      <c r="K2256" s="25"/>
      <c r="L2256" s="23"/>
      <c r="M2256" s="23"/>
      <c r="N2256" s="24"/>
      <c r="O2256" s="24"/>
      <c r="P2256" s="25"/>
      <c r="Q2256" s="25"/>
    </row>
    <row r="2257" spans="1:17" s="20" customFormat="1" x14ac:dyDescent="0.25">
      <c r="A2257" s="9"/>
      <c r="B2257" s="28"/>
      <c r="C2257" s="28"/>
      <c r="D2257" s="28"/>
      <c r="E2257" s="28"/>
      <c r="F2257" s="31"/>
      <c r="G2257" s="21"/>
      <c r="H2257" s="22"/>
      <c r="I2257" s="23"/>
      <c r="J2257" s="24"/>
      <c r="K2257" s="25"/>
      <c r="L2257" s="23"/>
      <c r="M2257" s="23"/>
      <c r="N2257" s="24"/>
      <c r="O2257" s="24"/>
      <c r="P2257" s="25"/>
      <c r="Q2257" s="25"/>
    </row>
    <row r="2258" spans="1:17" s="20" customFormat="1" x14ac:dyDescent="0.25">
      <c r="A2258" s="9"/>
      <c r="B2258" s="28"/>
      <c r="C2258" s="28"/>
      <c r="D2258" s="28"/>
      <c r="E2258" s="28"/>
      <c r="F2258" s="31"/>
      <c r="G2258" s="21"/>
      <c r="H2258" s="22"/>
      <c r="I2258" s="23"/>
      <c r="J2258" s="24"/>
      <c r="K2258" s="25"/>
      <c r="L2258" s="23"/>
      <c r="M2258" s="23"/>
      <c r="N2258" s="24"/>
      <c r="O2258" s="24"/>
      <c r="P2258" s="25"/>
      <c r="Q2258" s="25"/>
    </row>
    <row r="2259" spans="1:17" s="20" customFormat="1" x14ac:dyDescent="0.25">
      <c r="A2259" s="9"/>
      <c r="B2259" s="28"/>
      <c r="C2259" s="28"/>
      <c r="D2259" s="28"/>
      <c r="E2259" s="28"/>
      <c r="F2259" s="31"/>
      <c r="G2259" s="21"/>
      <c r="H2259" s="22"/>
      <c r="I2259" s="23"/>
      <c r="J2259" s="24"/>
      <c r="K2259" s="25"/>
      <c r="L2259" s="23"/>
      <c r="M2259" s="23"/>
      <c r="N2259" s="24"/>
      <c r="O2259" s="24"/>
      <c r="P2259" s="25"/>
      <c r="Q2259" s="25"/>
    </row>
    <row r="2260" spans="1:17" s="20" customFormat="1" x14ac:dyDescent="0.25">
      <c r="A2260" s="9"/>
      <c r="B2260" s="28"/>
      <c r="C2260" s="28"/>
      <c r="D2260" s="28"/>
      <c r="E2260" s="28"/>
      <c r="F2260" s="31"/>
      <c r="G2260" s="21"/>
      <c r="H2260" s="22"/>
      <c r="I2260" s="23"/>
      <c r="J2260" s="24"/>
      <c r="K2260" s="25"/>
      <c r="L2260" s="23"/>
      <c r="M2260" s="23"/>
      <c r="N2260" s="24"/>
      <c r="O2260" s="24"/>
      <c r="P2260" s="25"/>
      <c r="Q2260" s="25"/>
    </row>
    <row r="2261" spans="1:17" s="20" customFormat="1" x14ac:dyDescent="0.25">
      <c r="A2261" s="9"/>
      <c r="B2261" s="28"/>
      <c r="C2261" s="28"/>
      <c r="D2261" s="28"/>
      <c r="E2261" s="28"/>
      <c r="F2261" s="31"/>
      <c r="G2261" s="21"/>
      <c r="H2261" s="22"/>
      <c r="I2261" s="23"/>
      <c r="J2261" s="24"/>
      <c r="K2261" s="25"/>
      <c r="L2261" s="23"/>
      <c r="M2261" s="23"/>
      <c r="N2261" s="24"/>
      <c r="O2261" s="24"/>
      <c r="P2261" s="25"/>
      <c r="Q2261" s="25"/>
    </row>
    <row r="2262" spans="1:17" s="20" customFormat="1" x14ac:dyDescent="0.25">
      <c r="A2262" s="9"/>
      <c r="B2262" s="28"/>
      <c r="C2262" s="28"/>
      <c r="D2262" s="28"/>
      <c r="E2262" s="28"/>
      <c r="F2262" s="31"/>
      <c r="G2262" s="21"/>
      <c r="H2262" s="22"/>
      <c r="I2262" s="23"/>
      <c r="J2262" s="24"/>
      <c r="K2262" s="25"/>
      <c r="L2262" s="23"/>
      <c r="M2262" s="23"/>
      <c r="N2262" s="24"/>
      <c r="O2262" s="24"/>
      <c r="P2262" s="25"/>
      <c r="Q2262" s="25"/>
    </row>
    <row r="2263" spans="1:17" s="20" customFormat="1" x14ac:dyDescent="0.25">
      <c r="A2263" s="9"/>
      <c r="B2263" s="28"/>
      <c r="C2263" s="28"/>
      <c r="D2263" s="28"/>
      <c r="E2263" s="28"/>
      <c r="F2263" s="31"/>
      <c r="G2263" s="21"/>
      <c r="H2263" s="22"/>
      <c r="I2263" s="23"/>
      <c r="J2263" s="24"/>
      <c r="K2263" s="25"/>
      <c r="L2263" s="23"/>
      <c r="M2263" s="23"/>
      <c r="N2263" s="24"/>
      <c r="O2263" s="24"/>
      <c r="P2263" s="25"/>
      <c r="Q2263" s="25"/>
    </row>
    <row r="2264" spans="1:17" s="20" customFormat="1" x14ac:dyDescent="0.25">
      <c r="A2264" s="9"/>
      <c r="B2264" s="28"/>
      <c r="C2264" s="28"/>
      <c r="D2264" s="28"/>
      <c r="E2264" s="28"/>
      <c r="F2264" s="31"/>
      <c r="G2264" s="21"/>
      <c r="H2264" s="22"/>
      <c r="I2264" s="23"/>
      <c r="J2264" s="24"/>
      <c r="K2264" s="25"/>
      <c r="L2264" s="23"/>
      <c r="M2264" s="23"/>
      <c r="N2264" s="24"/>
      <c r="O2264" s="24"/>
      <c r="P2264" s="25"/>
      <c r="Q2264" s="25"/>
    </row>
    <row r="2265" spans="1:17" s="20" customFormat="1" x14ac:dyDescent="0.25">
      <c r="A2265" s="9"/>
      <c r="B2265" s="28"/>
      <c r="C2265" s="28"/>
      <c r="D2265" s="28"/>
      <c r="E2265" s="28"/>
      <c r="F2265" s="31"/>
      <c r="G2265" s="21"/>
      <c r="H2265" s="22"/>
      <c r="I2265" s="23"/>
      <c r="J2265" s="24"/>
      <c r="K2265" s="25"/>
      <c r="L2265" s="23"/>
      <c r="M2265" s="23"/>
      <c r="N2265" s="24"/>
      <c r="O2265" s="24"/>
      <c r="P2265" s="25"/>
      <c r="Q2265" s="25"/>
    </row>
    <row r="2266" spans="1:17" s="20" customFormat="1" x14ac:dyDescent="0.25">
      <c r="A2266" s="9"/>
      <c r="B2266" s="28"/>
      <c r="C2266" s="28"/>
      <c r="D2266" s="28"/>
      <c r="E2266" s="28"/>
      <c r="F2266" s="31"/>
      <c r="G2266" s="21"/>
      <c r="H2266" s="22"/>
      <c r="I2266" s="23"/>
      <c r="J2266" s="24"/>
      <c r="K2266" s="25"/>
      <c r="L2266" s="23"/>
      <c r="M2266" s="23"/>
      <c r="N2266" s="24"/>
      <c r="O2266" s="24"/>
      <c r="P2266" s="25"/>
      <c r="Q2266" s="25"/>
    </row>
    <row r="2267" spans="1:17" s="20" customFormat="1" x14ac:dyDescent="0.25">
      <c r="A2267" s="9"/>
      <c r="B2267" s="28"/>
      <c r="C2267" s="28"/>
      <c r="D2267" s="28"/>
      <c r="E2267" s="28"/>
      <c r="F2267" s="31"/>
      <c r="G2267" s="21"/>
      <c r="H2267" s="22"/>
      <c r="I2267" s="23"/>
      <c r="J2267" s="24"/>
      <c r="K2267" s="25"/>
      <c r="L2267" s="23"/>
      <c r="M2267" s="23"/>
      <c r="N2267" s="24"/>
      <c r="O2267" s="24"/>
      <c r="P2267" s="25"/>
      <c r="Q2267" s="25"/>
    </row>
    <row r="2268" spans="1:17" s="20" customFormat="1" x14ac:dyDescent="0.25">
      <c r="A2268" s="9"/>
      <c r="B2268" s="28"/>
      <c r="C2268" s="28"/>
      <c r="D2268" s="28"/>
      <c r="E2268" s="28"/>
      <c r="F2268" s="31"/>
      <c r="G2268" s="21"/>
      <c r="H2268" s="22"/>
      <c r="I2268" s="23"/>
      <c r="J2268" s="24"/>
      <c r="K2268" s="25"/>
      <c r="L2268" s="23"/>
      <c r="M2268" s="23"/>
      <c r="N2268" s="24"/>
      <c r="O2268" s="24"/>
      <c r="P2268" s="25"/>
      <c r="Q2268" s="25"/>
    </row>
    <row r="2269" spans="1:17" s="20" customFormat="1" x14ac:dyDescent="0.25">
      <c r="A2269" s="9"/>
      <c r="B2269" s="28"/>
      <c r="C2269" s="28"/>
      <c r="D2269" s="28"/>
      <c r="E2269" s="28"/>
      <c r="F2269" s="31"/>
      <c r="G2269" s="21"/>
      <c r="H2269" s="22"/>
      <c r="I2269" s="23"/>
      <c r="J2269" s="24"/>
      <c r="K2269" s="25"/>
      <c r="L2269" s="23"/>
      <c r="M2269" s="23"/>
      <c r="N2269" s="24"/>
      <c r="O2269" s="24"/>
      <c r="P2269" s="25"/>
      <c r="Q2269" s="25"/>
    </row>
    <row r="2270" spans="1:17" s="20" customFormat="1" x14ac:dyDescent="0.25">
      <c r="A2270" s="9"/>
      <c r="B2270" s="28"/>
      <c r="C2270" s="28"/>
      <c r="D2270" s="28"/>
      <c r="E2270" s="28"/>
      <c r="F2270" s="31"/>
      <c r="G2270" s="21"/>
      <c r="H2270" s="22"/>
      <c r="I2270" s="23"/>
      <c r="J2270" s="24"/>
      <c r="K2270" s="25"/>
      <c r="L2270" s="23"/>
      <c r="M2270" s="23"/>
      <c r="N2270" s="24"/>
      <c r="O2270" s="24"/>
      <c r="P2270" s="25"/>
      <c r="Q2270" s="25"/>
    </row>
    <row r="2271" spans="1:17" s="20" customFormat="1" x14ac:dyDescent="0.25">
      <c r="A2271" s="9"/>
      <c r="B2271" s="28"/>
      <c r="C2271" s="28"/>
      <c r="D2271" s="28"/>
      <c r="E2271" s="28"/>
      <c r="F2271" s="31"/>
      <c r="G2271" s="21"/>
      <c r="H2271" s="22"/>
      <c r="I2271" s="23"/>
      <c r="J2271" s="24"/>
      <c r="K2271" s="25"/>
      <c r="L2271" s="23"/>
      <c r="M2271" s="23"/>
      <c r="N2271" s="24"/>
      <c r="O2271" s="24"/>
      <c r="P2271" s="25"/>
      <c r="Q2271" s="25"/>
    </row>
    <row r="2272" spans="1:17" s="20" customFormat="1" x14ac:dyDescent="0.25">
      <c r="A2272" s="9"/>
      <c r="B2272" s="28"/>
      <c r="C2272" s="28"/>
      <c r="D2272" s="28"/>
      <c r="E2272" s="28"/>
      <c r="F2272" s="31"/>
      <c r="G2272" s="21"/>
      <c r="H2272" s="22"/>
      <c r="I2272" s="23"/>
      <c r="J2272" s="24"/>
      <c r="K2272" s="25"/>
      <c r="L2272" s="23"/>
      <c r="M2272" s="23"/>
      <c r="N2272" s="24"/>
      <c r="O2272" s="24"/>
      <c r="P2272" s="25"/>
      <c r="Q2272" s="25"/>
    </row>
    <row r="2273" spans="1:17" s="20" customFormat="1" x14ac:dyDescent="0.25">
      <c r="A2273" s="9"/>
      <c r="B2273" s="28"/>
      <c r="C2273" s="28"/>
      <c r="D2273" s="28"/>
      <c r="E2273" s="28"/>
      <c r="F2273" s="31"/>
      <c r="G2273" s="21"/>
      <c r="H2273" s="22"/>
      <c r="I2273" s="23"/>
      <c r="J2273" s="24"/>
      <c r="K2273" s="25"/>
      <c r="L2273" s="23"/>
      <c r="M2273" s="23"/>
      <c r="N2273" s="24"/>
      <c r="O2273" s="24"/>
      <c r="P2273" s="25"/>
      <c r="Q2273" s="25"/>
    </row>
    <row r="2274" spans="1:17" s="20" customFormat="1" x14ac:dyDescent="0.25">
      <c r="A2274" s="9"/>
      <c r="B2274" s="28"/>
      <c r="C2274" s="28"/>
      <c r="D2274" s="28"/>
      <c r="E2274" s="28"/>
      <c r="F2274" s="31"/>
      <c r="G2274" s="21"/>
      <c r="H2274" s="22"/>
      <c r="I2274" s="23"/>
      <c r="J2274" s="24"/>
      <c r="K2274" s="25"/>
      <c r="L2274" s="23"/>
      <c r="M2274" s="23"/>
      <c r="N2274" s="24"/>
      <c r="O2274" s="24"/>
      <c r="P2274" s="25"/>
      <c r="Q2274" s="25"/>
    </row>
    <row r="2275" spans="1:17" s="20" customFormat="1" x14ac:dyDescent="0.25">
      <c r="A2275" s="9"/>
      <c r="B2275" s="28"/>
      <c r="C2275" s="28"/>
      <c r="D2275" s="28"/>
      <c r="E2275" s="28"/>
      <c r="F2275" s="31"/>
      <c r="G2275" s="21"/>
      <c r="H2275" s="22"/>
      <c r="I2275" s="23"/>
      <c r="J2275" s="24"/>
      <c r="K2275" s="25"/>
      <c r="L2275" s="23"/>
      <c r="M2275" s="23"/>
      <c r="N2275" s="24"/>
      <c r="O2275" s="24"/>
      <c r="P2275" s="25"/>
      <c r="Q2275" s="25"/>
    </row>
    <row r="2276" spans="1:17" s="20" customFormat="1" x14ac:dyDescent="0.25">
      <c r="A2276" s="9"/>
      <c r="B2276" s="28"/>
      <c r="C2276" s="28"/>
      <c r="D2276" s="28"/>
      <c r="E2276" s="28"/>
      <c r="F2276" s="31"/>
      <c r="G2276" s="21"/>
      <c r="H2276" s="22"/>
      <c r="I2276" s="23"/>
      <c r="J2276" s="24"/>
      <c r="K2276" s="25"/>
      <c r="L2276" s="23"/>
      <c r="M2276" s="23"/>
      <c r="N2276" s="24"/>
      <c r="O2276" s="24"/>
      <c r="P2276" s="25"/>
      <c r="Q2276" s="25"/>
    </row>
    <row r="2277" spans="1:17" s="20" customFormat="1" x14ac:dyDescent="0.25">
      <c r="A2277" s="9"/>
      <c r="B2277" s="28"/>
      <c r="C2277" s="28"/>
      <c r="D2277" s="28"/>
      <c r="E2277" s="28"/>
      <c r="F2277" s="31"/>
      <c r="G2277" s="21"/>
      <c r="H2277" s="22"/>
      <c r="I2277" s="23"/>
      <c r="J2277" s="24"/>
      <c r="K2277" s="25"/>
      <c r="L2277" s="23"/>
      <c r="M2277" s="23"/>
      <c r="N2277" s="24"/>
      <c r="O2277" s="24"/>
      <c r="P2277" s="25"/>
      <c r="Q2277" s="25"/>
    </row>
    <row r="2278" spans="1:17" s="20" customFormat="1" x14ac:dyDescent="0.25">
      <c r="A2278" s="9"/>
      <c r="B2278" s="28"/>
      <c r="C2278" s="28"/>
      <c r="D2278" s="28"/>
      <c r="E2278" s="28"/>
      <c r="F2278" s="31"/>
      <c r="G2278" s="21"/>
      <c r="H2278" s="22"/>
      <c r="I2278" s="23"/>
      <c r="J2278" s="24"/>
      <c r="K2278" s="25"/>
      <c r="L2278" s="23"/>
      <c r="M2278" s="23"/>
      <c r="N2278" s="24"/>
      <c r="O2278" s="24"/>
      <c r="P2278" s="25"/>
      <c r="Q2278" s="25"/>
    </row>
    <row r="2279" spans="1:17" s="20" customFormat="1" x14ac:dyDescent="0.25">
      <c r="A2279" s="9"/>
      <c r="B2279" s="28"/>
      <c r="C2279" s="28"/>
      <c r="D2279" s="28"/>
      <c r="E2279" s="28"/>
      <c r="F2279" s="31"/>
      <c r="G2279" s="21"/>
      <c r="H2279" s="22"/>
      <c r="I2279" s="23"/>
      <c r="J2279" s="24"/>
      <c r="K2279" s="25"/>
      <c r="L2279" s="23"/>
      <c r="M2279" s="23"/>
      <c r="N2279" s="24"/>
      <c r="O2279" s="24"/>
      <c r="P2279" s="25"/>
      <c r="Q2279" s="25"/>
    </row>
    <row r="2280" spans="1:17" s="20" customFormat="1" x14ac:dyDescent="0.25">
      <c r="A2280" s="9"/>
      <c r="B2280" s="28"/>
      <c r="C2280" s="28"/>
      <c r="D2280" s="28"/>
      <c r="E2280" s="28"/>
      <c r="F2280" s="31"/>
      <c r="G2280" s="21"/>
      <c r="H2280" s="22"/>
      <c r="I2280" s="23"/>
      <c r="J2280" s="24"/>
      <c r="K2280" s="25"/>
      <c r="L2280" s="23"/>
      <c r="M2280" s="23"/>
      <c r="N2280" s="24"/>
      <c r="O2280" s="24"/>
      <c r="P2280" s="25"/>
      <c r="Q2280" s="25"/>
    </row>
    <row r="2281" spans="1:17" s="20" customFormat="1" x14ac:dyDescent="0.25">
      <c r="A2281" s="9"/>
      <c r="B2281" s="28"/>
      <c r="C2281" s="28"/>
      <c r="D2281" s="28"/>
      <c r="E2281" s="28"/>
      <c r="F2281" s="31"/>
      <c r="G2281" s="21"/>
      <c r="H2281" s="22"/>
      <c r="I2281" s="23"/>
      <c r="J2281" s="24"/>
      <c r="K2281" s="25"/>
      <c r="L2281" s="23"/>
      <c r="M2281" s="23"/>
      <c r="N2281" s="24"/>
      <c r="O2281" s="24"/>
      <c r="P2281" s="25"/>
      <c r="Q2281" s="25"/>
    </row>
    <row r="2282" spans="1:17" s="20" customFormat="1" x14ac:dyDescent="0.25">
      <c r="A2282" s="9"/>
      <c r="B2282" s="28"/>
      <c r="C2282" s="28"/>
      <c r="D2282" s="28"/>
      <c r="E2282" s="28"/>
      <c r="F2282" s="31"/>
      <c r="G2282" s="21"/>
      <c r="H2282" s="22"/>
      <c r="I2282" s="23"/>
      <c r="J2282" s="24"/>
      <c r="K2282" s="25"/>
      <c r="L2282" s="23"/>
      <c r="M2282" s="23"/>
      <c r="N2282" s="24"/>
      <c r="O2282" s="24"/>
      <c r="P2282" s="25"/>
      <c r="Q2282" s="25"/>
    </row>
    <row r="2283" spans="1:17" s="20" customFormat="1" x14ac:dyDescent="0.25">
      <c r="A2283" s="9"/>
      <c r="B2283" s="28"/>
      <c r="C2283" s="28"/>
      <c r="D2283" s="28"/>
      <c r="E2283" s="28"/>
      <c r="F2283" s="31"/>
      <c r="G2283" s="21"/>
      <c r="H2283" s="22"/>
      <c r="I2283" s="23"/>
      <c r="J2283" s="24"/>
      <c r="K2283" s="25"/>
      <c r="L2283" s="23"/>
      <c r="M2283" s="23"/>
      <c r="N2283" s="24"/>
      <c r="O2283" s="24"/>
      <c r="P2283" s="25"/>
      <c r="Q2283" s="25"/>
    </row>
    <row r="2284" spans="1:17" s="20" customFormat="1" x14ac:dyDescent="0.25">
      <c r="A2284" s="9"/>
      <c r="B2284" s="28"/>
      <c r="C2284" s="28"/>
      <c r="D2284" s="28"/>
      <c r="E2284" s="28"/>
      <c r="F2284" s="31"/>
      <c r="G2284" s="21"/>
      <c r="H2284" s="22"/>
      <c r="I2284" s="23"/>
      <c r="J2284" s="24"/>
      <c r="K2284" s="25"/>
      <c r="L2284" s="23"/>
      <c r="M2284" s="23"/>
      <c r="N2284" s="24"/>
      <c r="O2284" s="24"/>
      <c r="P2284" s="25"/>
      <c r="Q2284" s="25"/>
    </row>
    <row r="2285" spans="1:17" s="20" customFormat="1" x14ac:dyDescent="0.25">
      <c r="A2285" s="9"/>
      <c r="B2285" s="28"/>
      <c r="C2285" s="28"/>
      <c r="D2285" s="28"/>
      <c r="E2285" s="28"/>
      <c r="F2285" s="31"/>
      <c r="G2285" s="21"/>
      <c r="H2285" s="22"/>
      <c r="I2285" s="23"/>
      <c r="J2285" s="24"/>
      <c r="K2285" s="25"/>
      <c r="L2285" s="23"/>
      <c r="M2285" s="23"/>
      <c r="N2285" s="24"/>
      <c r="O2285" s="24"/>
      <c r="P2285" s="25"/>
      <c r="Q2285" s="25"/>
    </row>
    <row r="2286" spans="1:17" s="20" customFormat="1" x14ac:dyDescent="0.25">
      <c r="A2286" s="9"/>
      <c r="B2286" s="28"/>
      <c r="C2286" s="28"/>
      <c r="D2286" s="28"/>
      <c r="E2286" s="28"/>
      <c r="F2286" s="31"/>
      <c r="G2286" s="21"/>
      <c r="H2286" s="22"/>
      <c r="I2286" s="23"/>
      <c r="J2286" s="24"/>
      <c r="K2286" s="25"/>
      <c r="L2286" s="23"/>
      <c r="M2286" s="23"/>
      <c r="N2286" s="24"/>
      <c r="O2286" s="24"/>
      <c r="P2286" s="25"/>
      <c r="Q2286" s="25"/>
    </row>
    <row r="2287" spans="1:17" s="20" customFormat="1" x14ac:dyDescent="0.25">
      <c r="A2287" s="9"/>
      <c r="B2287" s="28"/>
      <c r="C2287" s="28"/>
      <c r="D2287" s="28"/>
      <c r="E2287" s="28"/>
      <c r="F2287" s="31"/>
      <c r="G2287" s="21"/>
      <c r="H2287" s="22"/>
      <c r="I2287" s="23"/>
      <c r="J2287" s="24"/>
      <c r="K2287" s="25"/>
      <c r="L2287" s="23"/>
      <c r="M2287" s="23"/>
      <c r="N2287" s="24"/>
      <c r="O2287" s="24"/>
      <c r="P2287" s="25"/>
      <c r="Q2287" s="25"/>
    </row>
    <row r="2288" spans="1:17" s="20" customFormat="1" x14ac:dyDescent="0.25">
      <c r="A2288" s="9"/>
      <c r="B2288" s="28"/>
      <c r="C2288" s="28"/>
      <c r="D2288" s="28"/>
      <c r="E2288" s="28"/>
      <c r="F2288" s="31"/>
      <c r="G2288" s="21"/>
      <c r="H2288" s="22"/>
      <c r="I2288" s="23"/>
      <c r="J2288" s="24"/>
      <c r="K2288" s="25"/>
      <c r="L2288" s="23"/>
      <c r="M2288" s="23"/>
      <c r="N2288" s="24"/>
      <c r="O2288" s="24"/>
      <c r="P2288" s="25"/>
      <c r="Q2288" s="25"/>
    </row>
    <row r="2289" spans="1:17" s="20" customFormat="1" x14ac:dyDescent="0.25">
      <c r="A2289" s="9"/>
      <c r="B2289" s="28"/>
      <c r="C2289" s="28"/>
      <c r="D2289" s="28"/>
      <c r="E2289" s="28"/>
      <c r="F2289" s="31"/>
      <c r="G2289" s="21"/>
      <c r="H2289" s="22"/>
      <c r="I2289" s="23"/>
      <c r="J2289" s="24"/>
      <c r="K2289" s="25"/>
      <c r="L2289" s="23"/>
      <c r="M2289" s="23"/>
      <c r="N2289" s="24"/>
      <c r="O2289" s="24"/>
      <c r="P2289" s="25"/>
      <c r="Q2289" s="25"/>
    </row>
    <row r="2290" spans="1:17" s="20" customFormat="1" x14ac:dyDescent="0.25">
      <c r="A2290" s="9"/>
      <c r="B2290" s="28"/>
      <c r="C2290" s="28"/>
      <c r="D2290" s="28"/>
      <c r="E2290" s="28"/>
      <c r="F2290" s="31"/>
      <c r="G2290" s="21"/>
      <c r="H2290" s="22"/>
      <c r="I2290" s="23"/>
      <c r="J2290" s="24"/>
      <c r="K2290" s="25"/>
      <c r="L2290" s="23"/>
      <c r="M2290" s="23"/>
      <c r="N2290" s="24"/>
      <c r="O2290" s="24"/>
      <c r="P2290" s="25"/>
      <c r="Q2290" s="25"/>
    </row>
    <row r="2291" spans="1:17" s="20" customFormat="1" x14ac:dyDescent="0.25">
      <c r="A2291" s="9"/>
      <c r="B2291" s="28"/>
      <c r="C2291" s="28"/>
      <c r="D2291" s="28"/>
      <c r="E2291" s="28"/>
      <c r="F2291" s="31"/>
      <c r="G2291" s="21"/>
      <c r="H2291" s="22"/>
      <c r="I2291" s="23"/>
      <c r="J2291" s="24"/>
      <c r="K2291" s="25"/>
      <c r="L2291" s="23"/>
      <c r="M2291" s="23"/>
      <c r="N2291" s="24"/>
      <c r="O2291" s="24"/>
      <c r="P2291" s="25"/>
      <c r="Q2291" s="25"/>
    </row>
    <row r="2292" spans="1:17" s="20" customFormat="1" x14ac:dyDescent="0.25">
      <c r="A2292" s="9"/>
      <c r="B2292" s="28"/>
      <c r="C2292" s="28"/>
      <c r="D2292" s="28"/>
      <c r="E2292" s="28"/>
      <c r="F2292" s="31"/>
      <c r="G2292" s="21"/>
      <c r="H2292" s="22"/>
      <c r="I2292" s="23"/>
      <c r="J2292" s="24"/>
      <c r="K2292" s="25"/>
      <c r="L2292" s="23"/>
      <c r="M2292" s="23"/>
      <c r="N2292" s="24"/>
      <c r="O2292" s="24"/>
      <c r="P2292" s="25"/>
      <c r="Q2292" s="25"/>
    </row>
    <row r="2293" spans="1:17" s="20" customFormat="1" x14ac:dyDescent="0.25">
      <c r="A2293" s="9"/>
      <c r="B2293" s="28"/>
      <c r="C2293" s="28"/>
      <c r="D2293" s="28"/>
      <c r="E2293" s="28"/>
      <c r="F2293" s="31"/>
      <c r="G2293" s="21"/>
      <c r="H2293" s="22"/>
      <c r="I2293" s="23"/>
      <c r="J2293" s="24"/>
      <c r="K2293" s="25"/>
      <c r="L2293" s="23"/>
      <c r="M2293" s="23"/>
      <c r="N2293" s="24"/>
      <c r="O2293" s="24"/>
      <c r="P2293" s="25"/>
      <c r="Q2293" s="25"/>
    </row>
    <row r="2294" spans="1:17" s="20" customFormat="1" x14ac:dyDescent="0.25">
      <c r="A2294" s="9"/>
      <c r="B2294" s="28"/>
      <c r="C2294" s="28"/>
      <c r="D2294" s="28"/>
      <c r="E2294" s="28"/>
      <c r="F2294" s="31"/>
      <c r="G2294" s="21"/>
      <c r="H2294" s="22"/>
      <c r="I2294" s="23"/>
      <c r="J2294" s="24"/>
      <c r="K2294" s="25"/>
      <c r="L2294" s="23"/>
      <c r="M2294" s="23"/>
      <c r="N2294" s="24"/>
      <c r="O2294" s="24"/>
      <c r="P2294" s="25"/>
      <c r="Q2294" s="25"/>
    </row>
    <row r="2295" spans="1:17" s="20" customFormat="1" x14ac:dyDescent="0.25">
      <c r="A2295" s="9"/>
      <c r="B2295" s="28"/>
      <c r="C2295" s="28"/>
      <c r="D2295" s="28"/>
      <c r="E2295" s="28"/>
      <c r="F2295" s="31"/>
      <c r="G2295" s="21"/>
      <c r="H2295" s="22"/>
      <c r="I2295" s="23"/>
      <c r="J2295" s="24"/>
      <c r="K2295" s="25"/>
      <c r="L2295" s="23"/>
      <c r="M2295" s="23"/>
      <c r="N2295" s="24"/>
      <c r="O2295" s="24"/>
      <c r="P2295" s="25"/>
      <c r="Q2295" s="25"/>
    </row>
    <row r="2296" spans="1:17" s="20" customFormat="1" x14ac:dyDescent="0.25">
      <c r="A2296" s="9"/>
      <c r="B2296" s="28"/>
      <c r="C2296" s="28"/>
      <c r="D2296" s="28"/>
      <c r="E2296" s="28"/>
      <c r="F2296" s="31"/>
      <c r="G2296" s="21"/>
      <c r="H2296" s="22"/>
      <c r="I2296" s="23"/>
      <c r="J2296" s="24"/>
      <c r="K2296" s="25"/>
      <c r="L2296" s="23"/>
      <c r="M2296" s="23"/>
      <c r="N2296" s="24"/>
      <c r="O2296" s="24"/>
      <c r="P2296" s="25"/>
      <c r="Q2296" s="25"/>
    </row>
    <row r="2297" spans="1:17" s="20" customFormat="1" x14ac:dyDescent="0.25">
      <c r="A2297" s="9"/>
      <c r="B2297" s="28"/>
      <c r="C2297" s="28"/>
      <c r="D2297" s="28"/>
      <c r="E2297" s="28"/>
      <c r="F2297" s="31"/>
      <c r="G2297" s="21"/>
      <c r="H2297" s="22"/>
      <c r="I2297" s="23"/>
      <c r="J2297" s="24"/>
      <c r="K2297" s="25"/>
      <c r="L2297" s="23"/>
      <c r="M2297" s="23"/>
      <c r="N2297" s="24"/>
      <c r="O2297" s="24"/>
      <c r="P2297" s="25"/>
      <c r="Q2297" s="25"/>
    </row>
    <row r="2298" spans="1:17" s="20" customFormat="1" x14ac:dyDescent="0.25">
      <c r="A2298" s="9"/>
      <c r="B2298" s="28"/>
      <c r="C2298" s="28"/>
      <c r="D2298" s="28"/>
      <c r="E2298" s="28"/>
      <c r="F2298" s="31"/>
      <c r="G2298" s="21"/>
      <c r="H2298" s="22"/>
      <c r="I2298" s="23"/>
      <c r="J2298" s="24"/>
      <c r="K2298" s="25"/>
      <c r="L2298" s="23"/>
      <c r="M2298" s="23"/>
      <c r="N2298" s="24"/>
      <c r="O2298" s="24"/>
      <c r="P2298" s="25"/>
      <c r="Q2298" s="25"/>
    </row>
    <row r="2299" spans="1:17" s="20" customFormat="1" x14ac:dyDescent="0.25">
      <c r="A2299" s="9"/>
      <c r="B2299" s="28"/>
      <c r="C2299" s="28"/>
      <c r="D2299" s="28"/>
      <c r="E2299" s="28"/>
      <c r="F2299" s="31"/>
      <c r="G2299" s="21"/>
      <c r="H2299" s="22"/>
      <c r="I2299" s="23"/>
      <c r="J2299" s="24"/>
      <c r="K2299" s="25"/>
      <c r="L2299" s="23"/>
      <c r="M2299" s="23"/>
      <c r="N2299" s="24"/>
      <c r="O2299" s="24"/>
      <c r="P2299" s="25"/>
      <c r="Q2299" s="25"/>
    </row>
    <row r="2300" spans="1:17" s="20" customFormat="1" x14ac:dyDescent="0.25">
      <c r="A2300" s="9"/>
      <c r="B2300" s="28"/>
      <c r="C2300" s="28"/>
      <c r="D2300" s="28"/>
      <c r="E2300" s="28"/>
      <c r="F2300" s="31"/>
      <c r="G2300" s="21"/>
      <c r="H2300" s="22"/>
      <c r="I2300" s="23"/>
      <c r="J2300" s="24"/>
      <c r="K2300" s="25"/>
      <c r="L2300" s="23"/>
      <c r="M2300" s="23"/>
      <c r="N2300" s="24"/>
      <c r="O2300" s="24"/>
      <c r="P2300" s="25"/>
      <c r="Q2300" s="25"/>
    </row>
    <row r="2301" spans="1:17" s="20" customFormat="1" x14ac:dyDescent="0.25">
      <c r="A2301" s="9"/>
      <c r="B2301" s="28"/>
      <c r="C2301" s="28"/>
      <c r="D2301" s="28"/>
      <c r="E2301" s="28"/>
      <c r="F2301" s="31"/>
      <c r="G2301" s="21"/>
      <c r="H2301" s="22"/>
      <c r="I2301" s="23"/>
      <c r="J2301" s="24"/>
      <c r="K2301" s="25"/>
      <c r="L2301" s="23"/>
      <c r="M2301" s="23"/>
      <c r="N2301" s="24"/>
      <c r="O2301" s="24"/>
      <c r="P2301" s="25"/>
      <c r="Q2301" s="25"/>
    </row>
    <row r="2302" spans="1:17" s="20" customFormat="1" x14ac:dyDescent="0.25">
      <c r="A2302" s="9"/>
      <c r="B2302" s="28"/>
      <c r="C2302" s="28"/>
      <c r="D2302" s="28"/>
      <c r="E2302" s="28"/>
      <c r="F2302" s="31"/>
      <c r="G2302" s="21"/>
      <c r="H2302" s="22"/>
      <c r="I2302" s="23"/>
      <c r="J2302" s="24"/>
      <c r="K2302" s="25"/>
      <c r="L2302" s="23"/>
      <c r="M2302" s="23"/>
      <c r="N2302" s="24"/>
      <c r="O2302" s="24"/>
      <c r="P2302" s="25"/>
      <c r="Q2302" s="25"/>
    </row>
    <row r="2303" spans="1:17" s="20" customFormat="1" x14ac:dyDescent="0.25">
      <c r="A2303" s="9"/>
      <c r="B2303" s="28"/>
      <c r="C2303" s="28"/>
      <c r="D2303" s="28"/>
      <c r="E2303" s="28"/>
      <c r="F2303" s="31"/>
      <c r="G2303" s="21"/>
      <c r="H2303" s="22"/>
      <c r="I2303" s="23"/>
      <c r="J2303" s="24"/>
      <c r="K2303" s="25"/>
      <c r="L2303" s="23"/>
      <c r="M2303" s="23"/>
      <c r="N2303" s="24"/>
      <c r="O2303" s="24"/>
      <c r="P2303" s="25"/>
      <c r="Q2303" s="25"/>
    </row>
    <row r="2304" spans="1:17" s="20" customFormat="1" x14ac:dyDescent="0.25">
      <c r="A2304" s="9"/>
      <c r="B2304" s="28"/>
      <c r="C2304" s="28"/>
      <c r="D2304" s="28"/>
      <c r="E2304" s="28"/>
      <c r="F2304" s="31"/>
      <c r="G2304" s="21"/>
      <c r="H2304" s="22"/>
      <c r="I2304" s="23"/>
      <c r="J2304" s="24"/>
      <c r="K2304" s="25"/>
      <c r="L2304" s="23"/>
      <c r="M2304" s="23"/>
      <c r="N2304" s="24"/>
      <c r="O2304" s="24"/>
      <c r="P2304" s="25"/>
      <c r="Q2304" s="25"/>
    </row>
    <row r="2305" spans="1:17" s="20" customFormat="1" x14ac:dyDescent="0.25">
      <c r="A2305" s="9"/>
      <c r="B2305" s="28"/>
      <c r="C2305" s="28"/>
      <c r="D2305" s="28"/>
      <c r="E2305" s="28"/>
      <c r="F2305" s="31"/>
      <c r="G2305" s="21"/>
      <c r="H2305" s="22"/>
      <c r="I2305" s="23"/>
      <c r="J2305" s="24"/>
      <c r="K2305" s="25"/>
      <c r="L2305" s="23"/>
      <c r="M2305" s="23"/>
      <c r="N2305" s="24"/>
      <c r="O2305" s="24"/>
      <c r="P2305" s="25"/>
      <c r="Q2305" s="25"/>
    </row>
    <row r="2306" spans="1:17" s="20" customFormat="1" x14ac:dyDescent="0.25">
      <c r="A2306" s="9"/>
      <c r="B2306" s="28"/>
      <c r="C2306" s="28"/>
      <c r="D2306" s="28"/>
      <c r="E2306" s="28"/>
      <c r="F2306" s="31"/>
      <c r="G2306" s="21"/>
      <c r="H2306" s="22"/>
      <c r="I2306" s="23"/>
      <c r="J2306" s="24"/>
      <c r="K2306" s="25"/>
      <c r="L2306" s="23"/>
      <c r="M2306" s="23"/>
      <c r="N2306" s="24"/>
      <c r="O2306" s="24"/>
      <c r="P2306" s="25"/>
      <c r="Q2306" s="25"/>
    </row>
    <row r="2307" spans="1:17" s="20" customFormat="1" x14ac:dyDescent="0.25">
      <c r="A2307" s="9"/>
      <c r="B2307" s="28"/>
      <c r="C2307" s="28"/>
      <c r="D2307" s="28"/>
      <c r="E2307" s="28"/>
      <c r="F2307" s="31"/>
      <c r="G2307" s="21"/>
      <c r="H2307" s="22"/>
      <c r="I2307" s="23"/>
      <c r="J2307" s="24"/>
      <c r="K2307" s="25"/>
      <c r="L2307" s="23"/>
      <c r="M2307" s="23"/>
      <c r="N2307" s="24"/>
      <c r="O2307" s="24"/>
      <c r="P2307" s="25"/>
      <c r="Q2307" s="25"/>
    </row>
    <row r="2308" spans="1:17" s="20" customFormat="1" x14ac:dyDescent="0.25">
      <c r="A2308" s="9"/>
      <c r="B2308" s="28"/>
      <c r="C2308" s="28"/>
      <c r="D2308" s="28"/>
      <c r="E2308" s="28"/>
      <c r="F2308" s="31"/>
      <c r="G2308" s="21"/>
      <c r="H2308" s="22"/>
      <c r="I2308" s="23"/>
      <c r="J2308" s="24"/>
      <c r="K2308" s="25"/>
      <c r="L2308" s="23"/>
      <c r="M2308" s="23"/>
      <c r="N2308" s="24"/>
      <c r="O2308" s="24"/>
      <c r="P2308" s="25"/>
      <c r="Q2308" s="25"/>
    </row>
    <row r="2309" spans="1:17" s="20" customFormat="1" x14ac:dyDescent="0.25">
      <c r="A2309" s="9"/>
      <c r="B2309" s="28"/>
      <c r="C2309" s="28"/>
      <c r="D2309" s="28"/>
      <c r="E2309" s="28"/>
      <c r="F2309" s="31"/>
      <c r="G2309" s="21"/>
      <c r="H2309" s="22"/>
      <c r="I2309" s="23"/>
      <c r="J2309" s="24"/>
      <c r="K2309" s="25"/>
      <c r="L2309" s="23"/>
      <c r="M2309" s="23"/>
      <c r="N2309" s="24"/>
      <c r="O2309" s="24"/>
      <c r="P2309" s="25"/>
      <c r="Q2309" s="25"/>
    </row>
    <row r="2310" spans="1:17" s="20" customFormat="1" x14ac:dyDescent="0.25">
      <c r="A2310" s="9"/>
      <c r="B2310" s="28"/>
      <c r="C2310" s="28"/>
      <c r="D2310" s="28"/>
      <c r="E2310" s="28"/>
      <c r="F2310" s="31"/>
      <c r="G2310" s="21"/>
      <c r="H2310" s="22"/>
      <c r="I2310" s="23"/>
      <c r="J2310" s="24"/>
      <c r="K2310" s="25"/>
      <c r="L2310" s="23"/>
      <c r="M2310" s="23"/>
      <c r="N2310" s="24"/>
      <c r="O2310" s="24"/>
      <c r="P2310" s="25"/>
      <c r="Q2310" s="25"/>
    </row>
    <row r="2311" spans="1:17" s="20" customFormat="1" x14ac:dyDescent="0.25">
      <c r="A2311" s="9"/>
      <c r="B2311" s="28"/>
      <c r="C2311" s="28"/>
      <c r="D2311" s="28"/>
      <c r="E2311" s="28"/>
      <c r="F2311" s="31"/>
      <c r="G2311" s="21"/>
      <c r="H2311" s="22"/>
      <c r="I2311" s="23"/>
      <c r="J2311" s="24"/>
      <c r="K2311" s="25"/>
      <c r="L2311" s="23"/>
      <c r="M2311" s="23"/>
      <c r="N2311" s="24"/>
      <c r="O2311" s="24"/>
      <c r="P2311" s="25"/>
      <c r="Q2311" s="25"/>
    </row>
    <row r="2312" spans="1:17" s="20" customFormat="1" x14ac:dyDescent="0.25">
      <c r="A2312" s="9"/>
      <c r="B2312" s="28"/>
      <c r="C2312" s="28"/>
      <c r="D2312" s="28"/>
      <c r="E2312" s="28"/>
      <c r="F2312" s="31"/>
      <c r="G2312" s="21"/>
      <c r="H2312" s="22"/>
      <c r="I2312" s="23"/>
      <c r="J2312" s="24"/>
      <c r="K2312" s="25"/>
      <c r="L2312" s="23"/>
      <c r="M2312" s="23"/>
      <c r="N2312" s="24"/>
      <c r="O2312" s="24"/>
      <c r="P2312" s="25"/>
      <c r="Q2312" s="25"/>
    </row>
    <row r="2313" spans="1:17" s="20" customFormat="1" x14ac:dyDescent="0.25">
      <c r="A2313" s="9"/>
      <c r="B2313" s="28"/>
      <c r="C2313" s="28"/>
      <c r="D2313" s="28"/>
      <c r="E2313" s="28"/>
      <c r="F2313" s="31"/>
      <c r="G2313" s="21"/>
      <c r="H2313" s="22"/>
      <c r="I2313" s="23"/>
      <c r="J2313" s="24"/>
      <c r="K2313" s="25"/>
      <c r="L2313" s="23"/>
      <c r="M2313" s="23"/>
      <c r="N2313" s="24"/>
      <c r="O2313" s="24"/>
      <c r="P2313" s="25"/>
      <c r="Q2313" s="25"/>
    </row>
    <row r="2314" spans="1:17" s="20" customFormat="1" x14ac:dyDescent="0.25">
      <c r="A2314" s="9"/>
      <c r="B2314" s="28"/>
      <c r="C2314" s="28"/>
      <c r="D2314" s="28"/>
      <c r="E2314" s="28"/>
      <c r="F2314" s="31"/>
      <c r="G2314" s="21"/>
      <c r="H2314" s="22"/>
      <c r="I2314" s="23"/>
      <c r="J2314" s="24"/>
      <c r="K2314" s="25"/>
      <c r="L2314" s="23"/>
      <c r="M2314" s="23"/>
      <c r="N2314" s="24"/>
      <c r="O2314" s="24"/>
      <c r="P2314" s="25"/>
      <c r="Q2314" s="25"/>
    </row>
    <row r="2315" spans="1:17" s="20" customFormat="1" x14ac:dyDescent="0.25">
      <c r="A2315" s="9"/>
      <c r="B2315" s="28"/>
      <c r="C2315" s="28"/>
      <c r="D2315" s="28"/>
      <c r="E2315" s="28"/>
      <c r="F2315" s="31"/>
      <c r="G2315" s="21"/>
      <c r="H2315" s="22"/>
      <c r="I2315" s="23"/>
      <c r="J2315" s="24"/>
      <c r="K2315" s="25"/>
      <c r="L2315" s="23"/>
      <c r="M2315" s="23"/>
      <c r="N2315" s="24"/>
      <c r="O2315" s="24"/>
      <c r="P2315" s="25"/>
      <c r="Q2315" s="25"/>
    </row>
    <row r="2316" spans="1:17" s="20" customFormat="1" x14ac:dyDescent="0.25">
      <c r="A2316" s="9"/>
      <c r="B2316" s="28"/>
      <c r="C2316" s="28"/>
      <c r="D2316" s="28"/>
      <c r="E2316" s="28"/>
      <c r="F2316" s="31"/>
      <c r="G2316" s="21"/>
      <c r="H2316" s="22"/>
      <c r="I2316" s="23"/>
      <c r="J2316" s="24"/>
      <c r="K2316" s="25"/>
      <c r="L2316" s="23"/>
      <c r="M2316" s="23"/>
      <c r="N2316" s="24"/>
      <c r="O2316" s="24"/>
      <c r="P2316" s="25"/>
      <c r="Q2316" s="25"/>
    </row>
    <row r="2317" spans="1:17" s="20" customFormat="1" x14ac:dyDescent="0.25">
      <c r="A2317" s="9"/>
      <c r="B2317" s="28"/>
      <c r="C2317" s="28"/>
      <c r="D2317" s="28"/>
      <c r="E2317" s="28"/>
      <c r="F2317" s="31"/>
      <c r="G2317" s="21"/>
      <c r="H2317" s="22"/>
      <c r="I2317" s="23"/>
      <c r="J2317" s="24"/>
      <c r="K2317" s="25"/>
      <c r="L2317" s="23"/>
      <c r="M2317" s="23"/>
      <c r="N2317" s="24"/>
      <c r="O2317" s="24"/>
      <c r="P2317" s="25"/>
      <c r="Q2317" s="25"/>
    </row>
    <row r="2318" spans="1:17" s="20" customFormat="1" x14ac:dyDescent="0.25">
      <c r="A2318" s="9"/>
      <c r="B2318" s="28"/>
      <c r="C2318" s="28"/>
      <c r="D2318" s="28"/>
      <c r="E2318" s="28"/>
      <c r="F2318" s="31"/>
      <c r="G2318" s="21"/>
      <c r="H2318" s="22"/>
      <c r="I2318" s="23"/>
      <c r="J2318" s="24"/>
      <c r="K2318" s="25"/>
      <c r="L2318" s="23"/>
      <c r="M2318" s="23"/>
      <c r="N2318" s="24"/>
      <c r="O2318" s="24"/>
      <c r="P2318" s="25"/>
      <c r="Q2318" s="25"/>
    </row>
    <row r="2319" spans="1:17" s="20" customFormat="1" x14ac:dyDescent="0.25">
      <c r="A2319" s="9"/>
      <c r="B2319" s="28"/>
      <c r="C2319" s="28"/>
      <c r="D2319" s="28"/>
      <c r="E2319" s="28"/>
      <c r="F2319" s="31"/>
      <c r="G2319" s="21"/>
      <c r="H2319" s="22"/>
      <c r="I2319" s="23"/>
      <c r="J2319" s="24"/>
      <c r="K2319" s="25"/>
      <c r="L2319" s="23"/>
      <c r="M2319" s="23"/>
      <c r="N2319" s="24"/>
      <c r="O2319" s="24"/>
      <c r="P2319" s="25"/>
      <c r="Q2319" s="25"/>
    </row>
    <row r="2320" spans="1:17" s="20" customFormat="1" x14ac:dyDescent="0.25">
      <c r="A2320" s="9"/>
      <c r="B2320" s="28"/>
      <c r="C2320" s="28"/>
      <c r="D2320" s="28"/>
      <c r="E2320" s="28"/>
      <c r="F2320" s="31"/>
      <c r="G2320" s="21"/>
      <c r="H2320" s="22"/>
      <c r="I2320" s="23"/>
      <c r="J2320" s="24"/>
      <c r="K2320" s="25"/>
      <c r="L2320" s="23"/>
      <c r="M2320" s="23"/>
      <c r="N2320" s="24"/>
      <c r="O2320" s="24"/>
      <c r="P2320" s="25"/>
      <c r="Q2320" s="25"/>
    </row>
    <row r="2321" spans="1:17" s="20" customFormat="1" x14ac:dyDescent="0.25">
      <c r="A2321" s="9"/>
      <c r="B2321" s="28"/>
      <c r="C2321" s="28"/>
      <c r="D2321" s="28"/>
      <c r="E2321" s="28"/>
      <c r="F2321" s="31"/>
      <c r="G2321" s="21"/>
      <c r="H2321" s="22"/>
      <c r="I2321" s="23"/>
      <c r="J2321" s="24"/>
      <c r="K2321" s="25"/>
      <c r="L2321" s="23"/>
      <c r="M2321" s="23"/>
      <c r="N2321" s="24"/>
      <c r="O2321" s="24"/>
      <c r="P2321" s="25"/>
      <c r="Q2321" s="25"/>
    </row>
    <row r="2322" spans="1:17" s="20" customFormat="1" x14ac:dyDescent="0.25">
      <c r="A2322" s="9"/>
      <c r="B2322" s="28"/>
      <c r="C2322" s="28"/>
      <c r="D2322" s="28"/>
      <c r="E2322" s="28"/>
      <c r="F2322" s="31"/>
      <c r="G2322" s="21"/>
      <c r="H2322" s="22"/>
      <c r="I2322" s="23"/>
      <c r="J2322" s="24"/>
      <c r="K2322" s="25"/>
      <c r="L2322" s="23"/>
      <c r="M2322" s="23"/>
      <c r="N2322" s="24"/>
      <c r="O2322" s="24"/>
      <c r="P2322" s="25"/>
      <c r="Q2322" s="25"/>
    </row>
    <row r="2323" spans="1:17" s="20" customFormat="1" x14ac:dyDescent="0.25">
      <c r="A2323" s="9"/>
      <c r="B2323" s="28"/>
      <c r="C2323" s="28"/>
      <c r="D2323" s="28"/>
      <c r="E2323" s="28"/>
      <c r="F2323" s="31"/>
      <c r="G2323" s="21"/>
      <c r="H2323" s="22"/>
      <c r="I2323" s="23"/>
      <c r="J2323" s="24"/>
      <c r="K2323" s="25"/>
      <c r="L2323" s="23"/>
      <c r="M2323" s="23"/>
      <c r="N2323" s="24"/>
      <c r="O2323" s="24"/>
      <c r="P2323" s="25"/>
      <c r="Q2323" s="25"/>
    </row>
    <row r="2324" spans="1:17" s="20" customFormat="1" x14ac:dyDescent="0.25">
      <c r="A2324" s="9"/>
      <c r="B2324" s="28"/>
      <c r="C2324" s="28"/>
      <c r="D2324" s="28"/>
      <c r="E2324" s="28"/>
      <c r="F2324" s="31"/>
      <c r="G2324" s="21"/>
      <c r="H2324" s="22"/>
      <c r="I2324" s="23"/>
      <c r="J2324" s="24"/>
      <c r="K2324" s="25"/>
      <c r="L2324" s="23"/>
      <c r="M2324" s="23"/>
      <c r="N2324" s="24"/>
      <c r="O2324" s="24"/>
      <c r="P2324" s="25"/>
      <c r="Q2324" s="25"/>
    </row>
    <row r="2325" spans="1:17" s="20" customFormat="1" x14ac:dyDescent="0.25">
      <c r="A2325" s="9"/>
      <c r="B2325" s="28"/>
      <c r="C2325" s="28"/>
      <c r="D2325" s="28"/>
      <c r="E2325" s="28"/>
      <c r="F2325" s="31"/>
      <c r="G2325" s="21"/>
      <c r="H2325" s="22"/>
      <c r="I2325" s="23"/>
      <c r="J2325" s="24"/>
      <c r="K2325" s="25"/>
      <c r="L2325" s="23"/>
      <c r="M2325" s="23"/>
      <c r="N2325" s="24"/>
      <c r="O2325" s="24"/>
      <c r="P2325" s="25"/>
      <c r="Q2325" s="25"/>
    </row>
    <row r="2326" spans="1:17" s="20" customFormat="1" x14ac:dyDescent="0.25">
      <c r="A2326" s="9"/>
      <c r="B2326" s="28"/>
      <c r="C2326" s="28"/>
      <c r="D2326" s="28"/>
      <c r="E2326" s="28"/>
      <c r="F2326" s="31"/>
      <c r="G2326" s="21"/>
      <c r="H2326" s="22"/>
      <c r="I2326" s="23"/>
      <c r="J2326" s="24"/>
      <c r="K2326" s="25"/>
      <c r="L2326" s="23"/>
      <c r="M2326" s="23"/>
      <c r="N2326" s="24"/>
      <c r="O2326" s="24"/>
      <c r="P2326" s="25"/>
      <c r="Q2326" s="25"/>
    </row>
    <row r="2327" spans="1:17" s="20" customFormat="1" x14ac:dyDescent="0.25">
      <c r="A2327" s="9"/>
      <c r="B2327" s="28"/>
      <c r="C2327" s="28"/>
      <c r="D2327" s="28"/>
      <c r="E2327" s="28"/>
      <c r="F2327" s="31"/>
      <c r="G2327" s="21"/>
      <c r="H2327" s="22"/>
      <c r="I2327" s="23"/>
      <c r="J2327" s="24"/>
      <c r="K2327" s="25"/>
      <c r="L2327" s="23"/>
      <c r="M2327" s="23"/>
      <c r="N2327" s="24"/>
      <c r="O2327" s="24"/>
      <c r="P2327" s="25"/>
      <c r="Q2327" s="25"/>
    </row>
    <row r="2328" spans="1:17" s="20" customFormat="1" x14ac:dyDescent="0.25">
      <c r="A2328" s="9"/>
      <c r="B2328" s="28"/>
      <c r="C2328" s="28"/>
      <c r="D2328" s="28"/>
      <c r="E2328" s="28"/>
      <c r="F2328" s="31"/>
      <c r="G2328" s="21"/>
      <c r="H2328" s="22"/>
      <c r="I2328" s="23"/>
      <c r="J2328" s="24"/>
      <c r="K2328" s="25"/>
      <c r="L2328" s="23"/>
      <c r="M2328" s="23"/>
      <c r="N2328" s="24"/>
      <c r="O2328" s="24"/>
      <c r="P2328" s="25"/>
      <c r="Q2328" s="25"/>
    </row>
    <row r="2329" spans="1:17" s="20" customFormat="1" x14ac:dyDescent="0.25">
      <c r="A2329" s="9"/>
      <c r="B2329" s="28"/>
      <c r="C2329" s="28"/>
      <c r="D2329" s="28"/>
      <c r="E2329" s="28"/>
      <c r="F2329" s="31"/>
      <c r="G2329" s="21"/>
      <c r="H2329" s="22"/>
      <c r="I2329" s="23"/>
      <c r="J2329" s="24"/>
      <c r="K2329" s="25"/>
      <c r="L2329" s="23"/>
      <c r="M2329" s="23"/>
      <c r="N2329" s="24"/>
      <c r="O2329" s="24"/>
      <c r="P2329" s="25"/>
      <c r="Q2329" s="25"/>
    </row>
    <row r="2330" spans="1:17" s="20" customFormat="1" x14ac:dyDescent="0.25">
      <c r="A2330" s="9"/>
      <c r="B2330" s="28"/>
      <c r="C2330" s="28"/>
      <c r="D2330" s="28"/>
      <c r="E2330" s="28"/>
      <c r="F2330" s="31"/>
      <c r="G2330" s="21"/>
      <c r="H2330" s="22"/>
      <c r="I2330" s="23"/>
      <c r="J2330" s="24"/>
      <c r="K2330" s="25"/>
      <c r="L2330" s="23"/>
      <c r="M2330" s="23"/>
      <c r="N2330" s="24"/>
      <c r="O2330" s="24"/>
      <c r="P2330" s="25"/>
      <c r="Q2330" s="25"/>
    </row>
    <row r="2331" spans="1:17" s="20" customFormat="1" x14ac:dyDescent="0.25">
      <c r="A2331" s="9"/>
      <c r="B2331" s="28"/>
      <c r="C2331" s="28"/>
      <c r="D2331" s="28"/>
      <c r="E2331" s="28"/>
      <c r="F2331" s="31"/>
      <c r="G2331" s="21"/>
      <c r="H2331" s="22"/>
      <c r="I2331" s="23"/>
      <c r="J2331" s="24"/>
      <c r="K2331" s="25"/>
      <c r="L2331" s="23"/>
      <c r="M2331" s="23"/>
      <c r="N2331" s="24"/>
      <c r="O2331" s="24"/>
      <c r="P2331" s="25"/>
      <c r="Q2331" s="25"/>
    </row>
    <row r="2332" spans="1:17" s="20" customFormat="1" x14ac:dyDescent="0.25">
      <c r="A2332" s="9"/>
      <c r="B2332" s="28"/>
      <c r="C2332" s="28"/>
      <c r="D2332" s="28"/>
      <c r="E2332" s="28"/>
      <c r="F2332" s="31"/>
      <c r="G2332" s="21"/>
      <c r="H2332" s="22"/>
      <c r="I2332" s="23"/>
      <c r="J2332" s="24"/>
      <c r="K2332" s="25"/>
      <c r="L2332" s="23"/>
      <c r="M2332" s="23"/>
      <c r="N2332" s="24"/>
      <c r="O2332" s="24"/>
      <c r="P2332" s="25"/>
      <c r="Q2332" s="25"/>
    </row>
    <row r="2333" spans="1:17" s="20" customFormat="1" x14ac:dyDescent="0.25">
      <c r="A2333" s="9"/>
      <c r="B2333" s="28"/>
      <c r="C2333" s="28"/>
      <c r="D2333" s="28"/>
      <c r="E2333" s="28"/>
      <c r="F2333" s="31"/>
      <c r="G2333" s="21"/>
      <c r="H2333" s="22"/>
      <c r="I2333" s="23"/>
      <c r="J2333" s="24"/>
      <c r="K2333" s="25"/>
      <c r="L2333" s="23"/>
      <c r="M2333" s="23"/>
      <c r="N2333" s="24"/>
      <c r="O2333" s="24"/>
      <c r="P2333" s="25"/>
      <c r="Q2333" s="25"/>
    </row>
    <row r="2334" spans="1:17" s="20" customFormat="1" x14ac:dyDescent="0.25">
      <c r="A2334" s="9"/>
      <c r="B2334" s="28"/>
      <c r="C2334" s="28"/>
      <c r="D2334" s="28"/>
      <c r="E2334" s="28"/>
      <c r="F2334" s="31"/>
      <c r="G2334" s="21"/>
      <c r="H2334" s="22"/>
      <c r="I2334" s="23"/>
      <c r="J2334" s="24"/>
      <c r="K2334" s="25"/>
      <c r="L2334" s="23"/>
      <c r="M2334" s="23"/>
      <c r="N2334" s="24"/>
      <c r="O2334" s="24"/>
      <c r="P2334" s="25"/>
      <c r="Q2334" s="25"/>
    </row>
    <row r="2335" spans="1:17" s="20" customFormat="1" x14ac:dyDescent="0.25">
      <c r="A2335" s="9"/>
      <c r="B2335" s="28"/>
      <c r="C2335" s="28"/>
      <c r="D2335" s="28"/>
      <c r="E2335" s="28"/>
      <c r="F2335" s="31"/>
      <c r="G2335" s="21"/>
      <c r="H2335" s="22"/>
      <c r="I2335" s="23"/>
      <c r="J2335" s="24"/>
      <c r="K2335" s="25"/>
      <c r="L2335" s="23"/>
      <c r="M2335" s="23"/>
      <c r="N2335" s="24"/>
      <c r="O2335" s="24"/>
      <c r="P2335" s="25"/>
      <c r="Q2335" s="25"/>
    </row>
    <row r="2336" spans="1:17" s="20" customFormat="1" x14ac:dyDescent="0.25">
      <c r="A2336" s="9"/>
      <c r="B2336" s="28"/>
      <c r="C2336" s="28"/>
      <c r="D2336" s="28"/>
      <c r="E2336" s="28"/>
      <c r="F2336" s="31"/>
      <c r="G2336" s="21"/>
      <c r="H2336" s="22"/>
      <c r="I2336" s="23"/>
      <c r="J2336" s="24"/>
      <c r="K2336" s="25"/>
      <c r="L2336" s="23"/>
      <c r="M2336" s="23"/>
      <c r="N2336" s="24"/>
      <c r="O2336" s="24"/>
      <c r="P2336" s="25"/>
      <c r="Q2336" s="25"/>
    </row>
    <row r="2337" spans="1:17" s="20" customFormat="1" x14ac:dyDescent="0.25">
      <c r="A2337" s="9"/>
      <c r="B2337" s="28"/>
      <c r="C2337" s="28"/>
      <c r="D2337" s="28"/>
      <c r="E2337" s="28"/>
      <c r="F2337" s="31"/>
      <c r="G2337" s="21"/>
      <c r="H2337" s="22"/>
      <c r="I2337" s="23"/>
      <c r="J2337" s="24"/>
      <c r="K2337" s="25"/>
      <c r="L2337" s="23"/>
      <c r="M2337" s="23"/>
      <c r="N2337" s="24"/>
      <c r="O2337" s="24"/>
      <c r="P2337" s="25"/>
      <c r="Q2337" s="25"/>
    </row>
    <row r="2338" spans="1:17" s="20" customFormat="1" x14ac:dyDescent="0.25">
      <c r="A2338" s="9"/>
      <c r="B2338" s="28"/>
      <c r="C2338" s="28"/>
      <c r="D2338" s="28"/>
      <c r="E2338" s="28"/>
      <c r="F2338" s="31"/>
      <c r="G2338" s="21"/>
      <c r="H2338" s="22"/>
      <c r="I2338" s="23"/>
      <c r="J2338" s="24"/>
      <c r="K2338" s="25"/>
      <c r="L2338" s="23"/>
      <c r="M2338" s="23"/>
      <c r="N2338" s="24"/>
      <c r="O2338" s="24"/>
      <c r="P2338" s="25"/>
      <c r="Q2338" s="25"/>
    </row>
    <row r="2339" spans="1:17" s="20" customFormat="1" x14ac:dyDescent="0.25">
      <c r="A2339" s="9"/>
      <c r="B2339" s="28"/>
      <c r="C2339" s="28"/>
      <c r="D2339" s="28"/>
      <c r="E2339" s="28"/>
      <c r="F2339" s="31"/>
      <c r="G2339" s="21"/>
      <c r="H2339" s="22"/>
      <c r="I2339" s="23"/>
      <c r="J2339" s="24"/>
      <c r="K2339" s="25"/>
      <c r="L2339" s="23"/>
      <c r="M2339" s="23"/>
      <c r="N2339" s="24"/>
      <c r="O2339" s="24"/>
      <c r="P2339" s="25"/>
      <c r="Q2339" s="25"/>
    </row>
    <row r="2340" spans="1:17" s="20" customFormat="1" x14ac:dyDescent="0.25">
      <c r="A2340" s="9"/>
      <c r="B2340" s="28"/>
      <c r="C2340" s="28"/>
      <c r="D2340" s="28"/>
      <c r="E2340" s="28"/>
      <c r="F2340" s="31"/>
      <c r="G2340" s="21"/>
      <c r="H2340" s="22"/>
      <c r="I2340" s="23"/>
      <c r="J2340" s="24"/>
      <c r="K2340" s="25"/>
      <c r="L2340" s="23"/>
      <c r="M2340" s="23"/>
      <c r="N2340" s="24"/>
      <c r="O2340" s="24"/>
      <c r="P2340" s="25"/>
      <c r="Q2340" s="25"/>
    </row>
    <row r="2341" spans="1:17" s="20" customFormat="1" x14ac:dyDescent="0.25">
      <c r="A2341" s="9"/>
      <c r="B2341" s="28"/>
      <c r="C2341" s="28"/>
      <c r="D2341" s="28"/>
      <c r="E2341" s="28"/>
      <c r="F2341" s="31"/>
      <c r="G2341" s="21"/>
      <c r="H2341" s="22"/>
      <c r="I2341" s="23"/>
      <c r="J2341" s="24"/>
      <c r="K2341" s="25"/>
      <c r="L2341" s="23"/>
      <c r="M2341" s="23"/>
      <c r="N2341" s="24"/>
      <c r="O2341" s="24"/>
      <c r="P2341" s="25"/>
      <c r="Q2341" s="25"/>
    </row>
    <row r="2342" spans="1:17" s="20" customFormat="1" x14ac:dyDescent="0.25">
      <c r="A2342" s="9"/>
      <c r="B2342" s="28"/>
      <c r="C2342" s="28"/>
      <c r="D2342" s="28"/>
      <c r="E2342" s="28"/>
      <c r="F2342" s="31"/>
      <c r="G2342" s="21"/>
      <c r="H2342" s="22"/>
      <c r="I2342" s="23"/>
      <c r="J2342" s="24"/>
      <c r="K2342" s="25"/>
      <c r="L2342" s="23"/>
      <c r="M2342" s="23"/>
      <c r="N2342" s="24"/>
      <c r="O2342" s="24"/>
      <c r="P2342" s="25"/>
      <c r="Q2342" s="25"/>
    </row>
    <row r="2343" spans="1:17" s="20" customFormat="1" x14ac:dyDescent="0.25">
      <c r="A2343" s="9"/>
      <c r="B2343" s="28"/>
      <c r="C2343" s="28"/>
      <c r="D2343" s="28"/>
      <c r="E2343" s="28"/>
      <c r="F2343" s="31"/>
      <c r="G2343" s="21"/>
      <c r="H2343" s="22"/>
      <c r="I2343" s="23"/>
      <c r="J2343" s="24"/>
      <c r="K2343" s="25"/>
      <c r="L2343" s="23"/>
      <c r="M2343" s="23"/>
      <c r="N2343" s="24"/>
      <c r="O2343" s="24"/>
      <c r="P2343" s="25"/>
      <c r="Q2343" s="25"/>
    </row>
    <row r="2344" spans="1:17" s="20" customFormat="1" x14ac:dyDescent="0.25">
      <c r="A2344" s="9"/>
      <c r="B2344" s="28"/>
      <c r="C2344" s="28"/>
      <c r="D2344" s="28"/>
      <c r="E2344" s="28"/>
      <c r="F2344" s="31"/>
      <c r="G2344" s="21"/>
      <c r="H2344" s="22"/>
      <c r="I2344" s="23"/>
      <c r="J2344" s="24"/>
      <c r="K2344" s="25"/>
      <c r="L2344" s="23"/>
      <c r="M2344" s="23"/>
      <c r="N2344" s="24"/>
      <c r="O2344" s="24"/>
      <c r="P2344" s="25"/>
      <c r="Q2344" s="25"/>
    </row>
    <row r="2345" spans="1:17" s="20" customFormat="1" x14ac:dyDescent="0.25">
      <c r="A2345" s="9"/>
      <c r="B2345" s="28"/>
      <c r="C2345" s="28"/>
      <c r="D2345" s="28"/>
      <c r="E2345" s="28"/>
      <c r="F2345" s="31"/>
      <c r="G2345" s="21"/>
      <c r="H2345" s="22"/>
      <c r="I2345" s="23"/>
      <c r="J2345" s="24"/>
      <c r="K2345" s="25"/>
      <c r="L2345" s="23"/>
      <c r="M2345" s="23"/>
      <c r="N2345" s="24"/>
      <c r="O2345" s="24"/>
      <c r="P2345" s="25"/>
      <c r="Q2345" s="25"/>
    </row>
    <row r="2346" spans="1:17" s="20" customFormat="1" x14ac:dyDescent="0.25">
      <c r="A2346" s="9"/>
      <c r="B2346" s="28"/>
      <c r="C2346" s="28"/>
      <c r="D2346" s="28"/>
      <c r="E2346" s="28"/>
      <c r="F2346" s="31"/>
      <c r="G2346" s="21"/>
      <c r="H2346" s="22"/>
      <c r="I2346" s="23"/>
      <c r="J2346" s="24"/>
      <c r="K2346" s="25"/>
      <c r="L2346" s="23"/>
      <c r="M2346" s="23"/>
      <c r="N2346" s="24"/>
      <c r="O2346" s="24"/>
      <c r="P2346" s="25"/>
      <c r="Q2346" s="25"/>
    </row>
    <row r="2347" spans="1:17" s="20" customFormat="1" x14ac:dyDescent="0.25">
      <c r="A2347" s="9"/>
      <c r="B2347" s="28"/>
      <c r="C2347" s="28"/>
      <c r="D2347" s="28"/>
      <c r="E2347" s="28"/>
      <c r="F2347" s="31"/>
      <c r="G2347" s="21"/>
      <c r="H2347" s="22"/>
      <c r="I2347" s="23"/>
      <c r="J2347" s="24"/>
      <c r="K2347" s="25"/>
      <c r="L2347" s="23"/>
      <c r="M2347" s="23"/>
      <c r="N2347" s="24"/>
      <c r="O2347" s="24"/>
      <c r="P2347" s="25"/>
      <c r="Q2347" s="25"/>
    </row>
    <row r="2348" spans="1:17" s="20" customFormat="1" x14ac:dyDescent="0.25">
      <c r="A2348" s="9"/>
      <c r="B2348" s="28"/>
      <c r="C2348" s="28"/>
      <c r="D2348" s="28"/>
      <c r="E2348" s="28"/>
      <c r="F2348" s="31"/>
      <c r="G2348" s="21"/>
      <c r="H2348" s="22"/>
      <c r="I2348" s="23"/>
      <c r="J2348" s="24"/>
      <c r="K2348" s="25"/>
      <c r="L2348" s="23"/>
      <c r="M2348" s="23"/>
      <c r="N2348" s="24"/>
      <c r="O2348" s="24"/>
      <c r="P2348" s="25"/>
      <c r="Q2348" s="25"/>
    </row>
    <row r="2349" spans="1:17" s="20" customFormat="1" x14ac:dyDescent="0.25">
      <c r="A2349" s="9"/>
      <c r="B2349" s="28"/>
      <c r="C2349" s="28"/>
      <c r="D2349" s="28"/>
      <c r="E2349" s="28"/>
      <c r="F2349" s="31"/>
      <c r="G2349" s="21"/>
      <c r="H2349" s="22"/>
      <c r="I2349" s="23"/>
      <c r="J2349" s="24"/>
      <c r="K2349" s="25"/>
      <c r="L2349" s="23"/>
      <c r="M2349" s="23"/>
      <c r="N2349" s="24"/>
      <c r="O2349" s="24"/>
      <c r="P2349" s="25"/>
      <c r="Q2349" s="25"/>
    </row>
    <row r="2350" spans="1:17" s="20" customFormat="1" x14ac:dyDescent="0.25">
      <c r="A2350" s="9"/>
      <c r="B2350" s="28"/>
      <c r="C2350" s="28"/>
      <c r="D2350" s="28"/>
      <c r="E2350" s="28"/>
      <c r="F2350" s="31"/>
      <c r="G2350" s="21"/>
      <c r="H2350" s="22"/>
      <c r="I2350" s="23"/>
      <c r="J2350" s="24"/>
      <c r="K2350" s="25"/>
      <c r="L2350" s="23"/>
      <c r="M2350" s="23"/>
      <c r="N2350" s="24"/>
      <c r="O2350" s="24"/>
      <c r="P2350" s="25"/>
      <c r="Q2350" s="25"/>
    </row>
    <row r="2351" spans="1:17" s="20" customFormat="1" x14ac:dyDescent="0.25">
      <c r="A2351" s="9"/>
      <c r="B2351" s="28"/>
      <c r="C2351" s="28"/>
      <c r="D2351" s="28"/>
      <c r="E2351" s="28"/>
      <c r="F2351" s="31"/>
      <c r="G2351" s="21"/>
      <c r="H2351" s="22"/>
      <c r="I2351" s="23"/>
      <c r="J2351" s="24"/>
      <c r="K2351" s="25"/>
      <c r="L2351" s="23"/>
      <c r="M2351" s="23"/>
      <c r="N2351" s="24"/>
      <c r="O2351" s="24"/>
      <c r="P2351" s="25"/>
      <c r="Q2351" s="25"/>
    </row>
    <row r="2352" spans="1:17" s="20" customFormat="1" x14ac:dyDescent="0.25">
      <c r="A2352" s="9"/>
      <c r="B2352" s="28"/>
      <c r="C2352" s="28"/>
      <c r="D2352" s="28"/>
      <c r="E2352" s="28"/>
      <c r="F2352" s="31"/>
      <c r="G2352" s="21"/>
      <c r="H2352" s="22"/>
      <c r="I2352" s="23"/>
      <c r="J2352" s="24"/>
      <c r="K2352" s="25"/>
      <c r="L2352" s="23"/>
      <c r="M2352" s="23"/>
      <c r="N2352" s="24"/>
      <c r="O2352" s="24"/>
      <c r="P2352" s="25"/>
      <c r="Q2352" s="25"/>
    </row>
    <row r="2353" spans="1:17" s="20" customFormat="1" x14ac:dyDescent="0.25">
      <c r="A2353" s="9"/>
      <c r="B2353" s="28"/>
      <c r="C2353" s="28"/>
      <c r="D2353" s="28"/>
      <c r="E2353" s="28"/>
      <c r="F2353" s="31"/>
      <c r="G2353" s="21"/>
      <c r="H2353" s="22"/>
      <c r="I2353" s="23"/>
      <c r="J2353" s="24"/>
      <c r="K2353" s="25"/>
      <c r="L2353" s="23"/>
      <c r="M2353" s="23"/>
      <c r="N2353" s="24"/>
      <c r="O2353" s="24"/>
      <c r="P2353" s="25"/>
      <c r="Q2353" s="25"/>
    </row>
    <row r="2354" spans="1:17" s="20" customFormat="1" x14ac:dyDescent="0.25">
      <c r="A2354" s="9"/>
      <c r="B2354" s="28"/>
      <c r="C2354" s="28"/>
      <c r="D2354" s="28"/>
      <c r="E2354" s="28"/>
      <c r="F2354" s="31"/>
      <c r="G2354" s="21"/>
      <c r="H2354" s="22"/>
      <c r="I2354" s="23"/>
      <c r="J2354" s="24"/>
      <c r="K2354" s="25"/>
      <c r="L2354" s="23"/>
      <c r="M2354" s="23"/>
      <c r="N2354" s="24"/>
      <c r="O2354" s="24"/>
      <c r="P2354" s="25"/>
      <c r="Q2354" s="25"/>
    </row>
    <row r="2355" spans="1:17" s="20" customFormat="1" x14ac:dyDescent="0.25">
      <c r="A2355" s="9"/>
      <c r="B2355" s="28"/>
      <c r="C2355" s="28"/>
      <c r="D2355" s="28"/>
      <c r="E2355" s="28"/>
      <c r="F2355" s="31"/>
      <c r="G2355" s="21"/>
      <c r="H2355" s="22"/>
      <c r="I2355" s="23"/>
      <c r="J2355" s="24"/>
      <c r="K2355" s="25"/>
      <c r="L2355" s="23"/>
      <c r="M2355" s="23"/>
      <c r="N2355" s="24"/>
      <c r="O2355" s="24"/>
      <c r="P2355" s="25"/>
      <c r="Q2355" s="25"/>
    </row>
    <row r="2356" spans="1:17" s="20" customFormat="1" x14ac:dyDescent="0.25">
      <c r="A2356" s="9"/>
      <c r="B2356" s="28"/>
      <c r="C2356" s="28"/>
      <c r="D2356" s="28"/>
      <c r="E2356" s="28"/>
      <c r="F2356" s="31"/>
      <c r="G2356" s="21"/>
      <c r="H2356" s="22"/>
      <c r="I2356" s="23"/>
      <c r="J2356" s="24"/>
      <c r="K2356" s="25"/>
      <c r="L2356" s="23"/>
      <c r="M2356" s="23"/>
      <c r="N2356" s="24"/>
      <c r="O2356" s="24"/>
      <c r="P2356" s="25"/>
      <c r="Q2356" s="25"/>
    </row>
    <row r="2357" spans="1:17" s="20" customFormat="1" x14ac:dyDescent="0.25">
      <c r="A2357" s="9"/>
      <c r="B2357" s="28"/>
      <c r="C2357" s="28"/>
      <c r="D2357" s="28"/>
      <c r="E2357" s="28"/>
      <c r="F2357" s="31"/>
      <c r="G2357" s="21"/>
      <c r="H2357" s="22"/>
      <c r="I2357" s="23"/>
      <c r="J2357" s="24"/>
      <c r="K2357" s="25"/>
      <c r="L2357" s="23"/>
      <c r="M2357" s="23"/>
      <c r="N2357" s="24"/>
      <c r="O2357" s="24"/>
      <c r="P2357" s="25"/>
      <c r="Q2357" s="25"/>
    </row>
    <row r="2358" spans="1:17" s="20" customFormat="1" x14ac:dyDescent="0.25">
      <c r="A2358" s="9"/>
      <c r="B2358" s="28"/>
      <c r="C2358" s="28"/>
      <c r="D2358" s="28"/>
      <c r="E2358" s="28"/>
      <c r="F2358" s="31"/>
      <c r="G2358" s="21"/>
      <c r="H2358" s="22"/>
      <c r="I2358" s="23"/>
      <c r="J2358" s="24"/>
      <c r="K2358" s="25"/>
      <c r="L2358" s="23"/>
      <c r="M2358" s="23"/>
      <c r="N2358" s="24"/>
      <c r="O2358" s="24"/>
      <c r="P2358" s="25"/>
      <c r="Q2358" s="25"/>
    </row>
    <row r="2359" spans="1:17" s="20" customFormat="1" x14ac:dyDescent="0.25">
      <c r="A2359" s="9"/>
      <c r="B2359" s="28"/>
      <c r="C2359" s="28"/>
      <c r="D2359" s="28"/>
      <c r="E2359" s="28"/>
      <c r="F2359" s="31"/>
      <c r="G2359" s="21"/>
      <c r="H2359" s="22"/>
      <c r="I2359" s="23"/>
      <c r="J2359" s="24"/>
      <c r="K2359" s="25"/>
      <c r="L2359" s="23"/>
      <c r="M2359" s="23"/>
      <c r="N2359" s="24"/>
      <c r="O2359" s="24"/>
      <c r="P2359" s="25"/>
      <c r="Q2359" s="25"/>
    </row>
    <row r="2360" spans="1:17" s="20" customFormat="1" x14ac:dyDescent="0.25">
      <c r="A2360" s="9"/>
      <c r="B2360" s="28"/>
      <c r="C2360" s="28"/>
      <c r="D2360" s="28"/>
      <c r="E2360" s="28"/>
      <c r="F2360" s="31"/>
      <c r="G2360" s="21"/>
      <c r="H2360" s="22"/>
      <c r="I2360" s="23"/>
      <c r="J2360" s="24"/>
      <c r="K2360" s="25"/>
      <c r="L2360" s="23"/>
      <c r="M2360" s="23"/>
      <c r="N2360" s="24"/>
      <c r="O2360" s="24"/>
      <c r="P2360" s="25"/>
      <c r="Q2360" s="25"/>
    </row>
    <row r="2361" spans="1:17" s="20" customFormat="1" x14ac:dyDescent="0.25">
      <c r="A2361" s="9"/>
      <c r="B2361" s="28"/>
      <c r="C2361" s="28"/>
      <c r="D2361" s="28"/>
      <c r="E2361" s="28"/>
      <c r="F2361" s="31"/>
      <c r="G2361" s="21"/>
      <c r="H2361" s="22"/>
      <c r="I2361" s="23"/>
      <c r="J2361" s="24"/>
      <c r="K2361" s="25"/>
      <c r="L2361" s="23"/>
      <c r="M2361" s="23"/>
      <c r="N2361" s="24"/>
      <c r="O2361" s="24"/>
      <c r="P2361" s="25"/>
      <c r="Q2361" s="25"/>
    </row>
    <row r="2362" spans="1:17" s="20" customFormat="1" x14ac:dyDescent="0.25">
      <c r="A2362" s="9"/>
      <c r="B2362" s="28"/>
      <c r="C2362" s="28"/>
      <c r="D2362" s="28"/>
      <c r="E2362" s="28"/>
      <c r="F2362" s="31"/>
      <c r="G2362" s="21"/>
      <c r="H2362" s="22"/>
      <c r="I2362" s="23"/>
      <c r="J2362" s="24"/>
      <c r="K2362" s="25"/>
      <c r="L2362" s="23"/>
      <c r="M2362" s="23"/>
      <c r="N2362" s="24"/>
      <c r="O2362" s="24"/>
      <c r="P2362" s="25"/>
      <c r="Q2362" s="25"/>
    </row>
    <row r="2363" spans="1:17" s="20" customFormat="1" x14ac:dyDescent="0.25">
      <c r="A2363" s="9"/>
      <c r="B2363" s="28"/>
      <c r="C2363" s="28"/>
      <c r="D2363" s="28"/>
      <c r="E2363" s="28"/>
      <c r="F2363" s="31"/>
      <c r="G2363" s="21"/>
      <c r="H2363" s="22"/>
      <c r="I2363" s="23"/>
      <c r="J2363" s="24"/>
      <c r="K2363" s="25"/>
      <c r="L2363" s="23"/>
      <c r="M2363" s="23"/>
      <c r="N2363" s="24"/>
      <c r="O2363" s="24"/>
      <c r="P2363" s="25"/>
      <c r="Q2363" s="25"/>
    </row>
    <row r="2364" spans="1:17" s="20" customFormat="1" x14ac:dyDescent="0.25">
      <c r="A2364" s="9"/>
      <c r="B2364" s="28"/>
      <c r="C2364" s="28"/>
      <c r="D2364" s="28"/>
      <c r="E2364" s="28"/>
      <c r="F2364" s="31"/>
      <c r="G2364" s="21"/>
      <c r="H2364" s="22"/>
      <c r="I2364" s="23"/>
      <c r="J2364" s="24"/>
      <c r="K2364" s="25"/>
      <c r="L2364" s="23"/>
      <c r="M2364" s="23"/>
      <c r="N2364" s="24"/>
      <c r="O2364" s="24"/>
      <c r="P2364" s="25"/>
      <c r="Q2364" s="25"/>
    </row>
    <row r="2365" spans="1:17" s="20" customFormat="1" x14ac:dyDescent="0.25">
      <c r="A2365" s="9"/>
      <c r="B2365" s="28"/>
      <c r="C2365" s="28"/>
      <c r="D2365" s="28"/>
      <c r="E2365" s="28"/>
      <c r="F2365" s="31"/>
      <c r="G2365" s="21"/>
      <c r="H2365" s="22"/>
      <c r="I2365" s="23"/>
      <c r="J2365" s="24"/>
      <c r="K2365" s="25"/>
      <c r="L2365" s="23"/>
      <c r="M2365" s="23"/>
      <c r="N2365" s="24"/>
      <c r="O2365" s="24"/>
      <c r="P2365" s="25"/>
      <c r="Q2365" s="25"/>
    </row>
    <row r="2366" spans="1:17" s="20" customFormat="1" x14ac:dyDescent="0.25">
      <c r="A2366" s="9"/>
      <c r="B2366" s="28"/>
      <c r="C2366" s="28"/>
      <c r="D2366" s="28"/>
      <c r="E2366" s="28"/>
      <c r="F2366" s="31"/>
      <c r="G2366" s="21"/>
      <c r="H2366" s="22"/>
      <c r="I2366" s="23"/>
      <c r="J2366" s="24"/>
      <c r="K2366" s="25"/>
      <c r="L2366" s="23"/>
      <c r="M2366" s="23"/>
      <c r="N2366" s="24"/>
      <c r="O2366" s="24"/>
      <c r="P2366" s="25"/>
      <c r="Q2366" s="25"/>
    </row>
    <row r="2367" spans="1:17" s="20" customFormat="1" x14ac:dyDescent="0.25">
      <c r="A2367" s="9"/>
      <c r="B2367" s="28"/>
      <c r="C2367" s="28"/>
      <c r="D2367" s="28"/>
      <c r="E2367" s="28"/>
      <c r="F2367" s="31"/>
      <c r="G2367" s="21"/>
      <c r="H2367" s="22"/>
      <c r="I2367" s="23"/>
      <c r="J2367" s="24"/>
      <c r="K2367" s="25"/>
      <c r="L2367" s="23"/>
      <c r="M2367" s="23"/>
      <c r="N2367" s="24"/>
      <c r="O2367" s="24"/>
      <c r="P2367" s="25"/>
      <c r="Q2367" s="25"/>
    </row>
    <row r="2368" spans="1:17" s="20" customFormat="1" x14ac:dyDescent="0.25">
      <c r="A2368" s="9"/>
      <c r="B2368" s="28"/>
      <c r="C2368" s="28"/>
      <c r="D2368" s="28"/>
      <c r="E2368" s="28"/>
      <c r="F2368" s="31"/>
      <c r="G2368" s="21"/>
      <c r="H2368" s="22"/>
      <c r="I2368" s="23"/>
      <c r="J2368" s="24"/>
      <c r="K2368" s="25"/>
      <c r="L2368" s="23"/>
      <c r="M2368" s="23"/>
      <c r="N2368" s="24"/>
      <c r="O2368" s="24"/>
      <c r="P2368" s="25"/>
      <c r="Q2368" s="25"/>
    </row>
    <row r="2369" spans="1:17" s="20" customFormat="1" x14ac:dyDescent="0.25">
      <c r="A2369" s="9"/>
      <c r="B2369" s="28"/>
      <c r="C2369" s="28"/>
      <c r="D2369" s="28"/>
      <c r="E2369" s="28"/>
      <c r="F2369" s="31"/>
      <c r="G2369" s="21"/>
      <c r="H2369" s="22"/>
      <c r="I2369" s="23"/>
      <c r="J2369" s="24"/>
      <c r="K2369" s="25"/>
      <c r="L2369" s="23"/>
      <c r="M2369" s="23"/>
      <c r="N2369" s="24"/>
      <c r="O2369" s="24"/>
      <c r="P2369" s="25"/>
      <c r="Q2369" s="25"/>
    </row>
    <row r="2370" spans="1:17" s="20" customFormat="1" x14ac:dyDescent="0.25">
      <c r="A2370" s="9"/>
      <c r="B2370" s="28"/>
      <c r="C2370" s="28"/>
      <c r="D2370" s="28"/>
      <c r="E2370" s="28"/>
      <c r="F2370" s="31"/>
      <c r="G2370" s="21"/>
      <c r="H2370" s="22"/>
      <c r="I2370" s="23"/>
      <c r="J2370" s="24"/>
      <c r="K2370" s="25"/>
      <c r="L2370" s="23"/>
      <c r="M2370" s="23"/>
      <c r="N2370" s="24"/>
      <c r="O2370" s="24"/>
      <c r="P2370" s="25"/>
      <c r="Q2370" s="25"/>
    </row>
    <row r="2371" spans="1:17" s="20" customFormat="1" x14ac:dyDescent="0.25">
      <c r="A2371" s="9"/>
      <c r="B2371" s="28"/>
      <c r="C2371" s="28"/>
      <c r="D2371" s="28"/>
      <c r="E2371" s="28"/>
      <c r="F2371" s="31"/>
      <c r="G2371" s="21"/>
      <c r="H2371" s="22"/>
      <c r="I2371" s="23"/>
      <c r="J2371" s="24"/>
      <c r="K2371" s="25"/>
      <c r="L2371" s="23"/>
      <c r="M2371" s="23"/>
      <c r="N2371" s="24"/>
      <c r="O2371" s="24"/>
      <c r="P2371" s="25"/>
      <c r="Q2371" s="25"/>
    </row>
    <row r="2372" spans="1:17" s="20" customFormat="1" x14ac:dyDescent="0.25">
      <c r="A2372" s="9"/>
      <c r="B2372" s="28"/>
      <c r="C2372" s="28"/>
      <c r="D2372" s="28"/>
      <c r="E2372" s="28"/>
      <c r="F2372" s="31"/>
      <c r="G2372" s="21"/>
      <c r="H2372" s="22"/>
      <c r="I2372" s="23"/>
      <c r="J2372" s="24"/>
      <c r="K2372" s="25"/>
      <c r="L2372" s="23"/>
      <c r="M2372" s="23"/>
      <c r="N2372" s="24"/>
      <c r="O2372" s="24"/>
      <c r="P2372" s="25"/>
      <c r="Q2372" s="25"/>
    </row>
    <row r="2373" spans="1:17" s="20" customFormat="1" x14ac:dyDescent="0.25">
      <c r="A2373" s="9"/>
      <c r="B2373" s="28"/>
      <c r="C2373" s="28"/>
      <c r="D2373" s="28"/>
      <c r="E2373" s="28"/>
      <c r="F2373" s="31"/>
      <c r="G2373" s="21"/>
      <c r="H2373" s="22"/>
      <c r="I2373" s="23"/>
      <c r="J2373" s="24"/>
      <c r="K2373" s="25"/>
      <c r="L2373" s="23"/>
      <c r="M2373" s="23"/>
      <c r="N2373" s="24"/>
      <c r="O2373" s="24"/>
      <c r="P2373" s="25"/>
      <c r="Q2373" s="25"/>
    </row>
    <row r="2374" spans="1:17" s="20" customFormat="1" x14ac:dyDescent="0.25">
      <c r="A2374" s="9"/>
      <c r="B2374" s="28"/>
      <c r="C2374" s="28"/>
      <c r="D2374" s="28"/>
      <c r="E2374" s="28"/>
      <c r="F2374" s="31"/>
      <c r="G2374" s="21"/>
      <c r="H2374" s="22"/>
      <c r="I2374" s="23"/>
      <c r="J2374" s="24"/>
      <c r="K2374" s="25"/>
      <c r="L2374" s="23"/>
      <c r="M2374" s="23"/>
      <c r="N2374" s="24"/>
      <c r="O2374" s="24"/>
      <c r="P2374" s="25"/>
      <c r="Q2374" s="25"/>
    </row>
    <row r="2375" spans="1:17" s="20" customFormat="1" x14ac:dyDescent="0.25">
      <c r="A2375" s="9"/>
      <c r="B2375" s="28"/>
      <c r="C2375" s="28"/>
      <c r="D2375" s="28"/>
      <c r="E2375" s="28"/>
      <c r="F2375" s="31"/>
      <c r="G2375" s="21"/>
      <c r="H2375" s="22"/>
      <c r="I2375" s="23"/>
      <c r="J2375" s="24"/>
      <c r="K2375" s="25"/>
      <c r="L2375" s="23"/>
      <c r="M2375" s="23"/>
      <c r="N2375" s="24"/>
      <c r="O2375" s="24"/>
      <c r="P2375" s="25"/>
      <c r="Q2375" s="25"/>
    </row>
    <row r="2376" spans="1:17" s="20" customFormat="1" x14ac:dyDescent="0.25">
      <c r="A2376" s="9"/>
      <c r="B2376" s="28"/>
      <c r="C2376" s="28"/>
      <c r="D2376" s="28"/>
      <c r="E2376" s="28"/>
      <c r="F2376" s="31"/>
      <c r="G2376" s="21"/>
      <c r="H2376" s="22"/>
      <c r="I2376" s="23"/>
      <c r="J2376" s="24"/>
      <c r="K2376" s="25"/>
      <c r="L2376" s="23"/>
      <c r="M2376" s="23"/>
      <c r="N2376" s="24"/>
      <c r="O2376" s="24"/>
      <c r="P2376" s="25"/>
      <c r="Q2376" s="25"/>
    </row>
    <row r="2377" spans="1:17" s="20" customFormat="1" x14ac:dyDescent="0.25">
      <c r="A2377" s="9"/>
      <c r="B2377" s="28"/>
      <c r="C2377" s="28"/>
      <c r="D2377" s="28"/>
      <c r="E2377" s="28"/>
      <c r="F2377" s="31"/>
      <c r="G2377" s="21"/>
      <c r="H2377" s="22"/>
      <c r="I2377" s="23"/>
      <c r="J2377" s="24"/>
      <c r="K2377" s="25"/>
      <c r="L2377" s="23"/>
      <c r="M2377" s="23"/>
      <c r="N2377" s="24"/>
      <c r="O2377" s="24"/>
      <c r="P2377" s="25"/>
      <c r="Q2377" s="25"/>
    </row>
    <row r="2378" spans="1:17" s="20" customFormat="1" x14ac:dyDescent="0.25">
      <c r="A2378" s="9"/>
      <c r="B2378" s="28"/>
      <c r="C2378" s="28"/>
      <c r="D2378" s="28"/>
      <c r="E2378" s="28"/>
      <c r="F2378" s="31"/>
      <c r="G2378" s="21"/>
      <c r="H2378" s="22"/>
      <c r="I2378" s="23"/>
      <c r="J2378" s="24"/>
      <c r="K2378" s="25"/>
      <c r="L2378" s="23"/>
      <c r="M2378" s="23"/>
      <c r="N2378" s="24"/>
      <c r="O2378" s="24"/>
      <c r="P2378" s="25"/>
      <c r="Q2378" s="25"/>
    </row>
    <row r="2379" spans="1:17" s="20" customFormat="1" x14ac:dyDescent="0.25">
      <c r="A2379" s="9"/>
      <c r="B2379" s="28"/>
      <c r="C2379" s="28"/>
      <c r="D2379" s="28"/>
      <c r="E2379" s="28"/>
      <c r="F2379" s="31"/>
      <c r="G2379" s="21"/>
      <c r="H2379" s="22"/>
      <c r="I2379" s="23"/>
      <c r="J2379" s="24"/>
      <c r="K2379" s="25"/>
      <c r="L2379" s="23"/>
      <c r="M2379" s="23"/>
      <c r="N2379" s="24"/>
      <c r="O2379" s="24"/>
      <c r="P2379" s="25"/>
      <c r="Q2379" s="25"/>
    </row>
    <row r="2380" spans="1:17" s="20" customFormat="1" x14ac:dyDescent="0.25">
      <c r="A2380" s="9"/>
      <c r="B2380" s="28"/>
      <c r="C2380" s="28"/>
      <c r="D2380" s="28"/>
      <c r="E2380" s="28"/>
      <c r="F2380" s="31"/>
      <c r="G2380" s="21"/>
      <c r="H2380" s="22"/>
      <c r="I2380" s="23"/>
      <c r="J2380" s="24"/>
      <c r="K2380" s="25"/>
      <c r="L2380" s="23"/>
      <c r="M2380" s="23"/>
      <c r="N2380" s="24"/>
      <c r="O2380" s="24"/>
      <c r="P2380" s="25"/>
      <c r="Q2380" s="25"/>
    </row>
    <row r="2381" spans="1:17" s="20" customFormat="1" x14ac:dyDescent="0.25">
      <c r="A2381" s="9"/>
      <c r="B2381" s="28"/>
      <c r="C2381" s="28"/>
      <c r="D2381" s="28"/>
      <c r="E2381" s="28"/>
      <c r="F2381" s="31"/>
      <c r="G2381" s="21"/>
      <c r="H2381" s="22"/>
      <c r="I2381" s="23"/>
      <c r="J2381" s="24"/>
      <c r="K2381" s="25"/>
      <c r="L2381" s="23"/>
      <c r="M2381" s="23"/>
      <c r="N2381" s="24"/>
      <c r="O2381" s="24"/>
      <c r="P2381" s="25"/>
      <c r="Q2381" s="25"/>
    </row>
    <row r="2382" spans="1:17" s="20" customFormat="1" x14ac:dyDescent="0.25">
      <c r="A2382" s="9"/>
      <c r="B2382" s="28"/>
      <c r="C2382" s="28"/>
      <c r="D2382" s="28"/>
      <c r="E2382" s="28"/>
      <c r="F2382" s="31"/>
      <c r="G2382" s="21"/>
      <c r="H2382" s="22"/>
      <c r="I2382" s="23"/>
      <c r="J2382" s="24"/>
      <c r="K2382" s="25"/>
      <c r="L2382" s="23"/>
      <c r="M2382" s="23"/>
      <c r="N2382" s="24"/>
      <c r="O2382" s="24"/>
      <c r="P2382" s="25"/>
      <c r="Q2382" s="25"/>
    </row>
    <row r="2383" spans="1:17" s="20" customFormat="1" x14ac:dyDescent="0.25">
      <c r="A2383" s="9"/>
      <c r="B2383" s="28"/>
      <c r="C2383" s="28"/>
      <c r="D2383" s="28"/>
      <c r="E2383" s="28"/>
      <c r="F2383" s="31"/>
      <c r="G2383" s="21"/>
      <c r="H2383" s="22"/>
      <c r="I2383" s="23"/>
      <c r="J2383" s="24"/>
      <c r="K2383" s="25"/>
      <c r="L2383" s="23"/>
      <c r="M2383" s="23"/>
      <c r="N2383" s="24"/>
      <c r="O2383" s="24"/>
      <c r="P2383" s="25"/>
      <c r="Q2383" s="25"/>
    </row>
    <row r="2384" spans="1:17" s="20" customFormat="1" x14ac:dyDescent="0.25">
      <c r="A2384" s="9"/>
      <c r="B2384" s="28"/>
      <c r="C2384" s="28"/>
      <c r="D2384" s="28"/>
      <c r="E2384" s="28"/>
      <c r="F2384" s="31"/>
      <c r="G2384" s="21"/>
      <c r="H2384" s="22"/>
      <c r="I2384" s="23"/>
      <c r="J2384" s="24"/>
      <c r="K2384" s="25"/>
      <c r="L2384" s="23"/>
      <c r="M2384" s="23"/>
      <c r="N2384" s="24"/>
      <c r="O2384" s="24"/>
      <c r="P2384" s="25"/>
      <c r="Q2384" s="25"/>
    </row>
    <row r="2385" spans="1:17" s="20" customFormat="1" x14ac:dyDescent="0.25">
      <c r="A2385" s="9"/>
      <c r="B2385" s="28"/>
      <c r="C2385" s="28"/>
      <c r="D2385" s="28"/>
      <c r="E2385" s="28"/>
      <c r="F2385" s="31"/>
      <c r="G2385" s="21"/>
      <c r="H2385" s="22"/>
      <c r="I2385" s="23"/>
      <c r="J2385" s="24"/>
      <c r="K2385" s="25"/>
      <c r="L2385" s="23"/>
      <c r="M2385" s="23"/>
      <c r="N2385" s="24"/>
      <c r="O2385" s="24"/>
      <c r="P2385" s="25"/>
      <c r="Q2385" s="25"/>
    </row>
    <row r="2386" spans="1:17" s="20" customFormat="1" x14ac:dyDescent="0.25">
      <c r="A2386" s="9"/>
      <c r="B2386" s="28"/>
      <c r="C2386" s="28"/>
      <c r="D2386" s="28"/>
      <c r="E2386" s="28"/>
      <c r="F2386" s="31"/>
      <c r="G2386" s="21"/>
      <c r="H2386" s="22"/>
      <c r="I2386" s="23"/>
      <c r="J2386" s="24"/>
      <c r="K2386" s="25"/>
      <c r="L2386" s="23"/>
      <c r="M2386" s="23"/>
      <c r="N2386" s="24"/>
      <c r="O2386" s="24"/>
      <c r="P2386" s="25"/>
      <c r="Q2386" s="25"/>
    </row>
    <row r="2387" spans="1:17" s="20" customFormat="1" x14ac:dyDescent="0.25">
      <c r="A2387" s="9"/>
      <c r="B2387" s="28"/>
      <c r="C2387" s="28"/>
      <c r="D2387" s="28"/>
      <c r="E2387" s="28"/>
      <c r="F2387" s="31"/>
      <c r="G2387" s="21"/>
      <c r="H2387" s="22"/>
      <c r="I2387" s="23"/>
      <c r="J2387" s="24"/>
      <c r="K2387" s="25"/>
      <c r="L2387" s="23"/>
      <c r="M2387" s="23"/>
      <c r="N2387" s="24"/>
      <c r="O2387" s="24"/>
      <c r="P2387" s="25"/>
      <c r="Q2387" s="25"/>
    </row>
    <row r="2388" spans="1:17" s="20" customFormat="1" x14ac:dyDescent="0.25">
      <c r="A2388" s="9"/>
      <c r="B2388" s="28"/>
      <c r="C2388" s="28"/>
      <c r="D2388" s="28"/>
      <c r="E2388" s="28"/>
      <c r="F2388" s="31"/>
      <c r="G2388" s="21"/>
      <c r="H2388" s="22"/>
      <c r="I2388" s="23"/>
      <c r="J2388" s="24"/>
      <c r="K2388" s="25"/>
      <c r="L2388" s="23"/>
      <c r="M2388" s="23"/>
      <c r="N2388" s="24"/>
      <c r="O2388" s="24"/>
      <c r="P2388" s="25"/>
      <c r="Q2388" s="25"/>
    </row>
    <row r="2389" spans="1:17" s="20" customFormat="1" x14ac:dyDescent="0.25">
      <c r="A2389" s="9"/>
      <c r="B2389" s="28"/>
      <c r="C2389" s="28"/>
      <c r="D2389" s="28"/>
      <c r="E2389" s="28"/>
      <c r="F2389" s="31"/>
      <c r="G2389" s="21"/>
      <c r="H2389" s="22"/>
      <c r="I2389" s="23"/>
      <c r="J2389" s="24"/>
      <c r="K2389" s="25"/>
      <c r="L2389" s="23"/>
      <c r="M2389" s="23"/>
      <c r="N2389" s="24"/>
      <c r="O2389" s="24"/>
      <c r="P2389" s="25"/>
      <c r="Q2389" s="25"/>
    </row>
    <row r="2390" spans="1:17" s="20" customFormat="1" x14ac:dyDescent="0.25">
      <c r="A2390" s="9"/>
      <c r="B2390" s="28"/>
      <c r="C2390" s="28"/>
      <c r="D2390" s="28"/>
      <c r="E2390" s="28"/>
      <c r="F2390" s="31"/>
      <c r="G2390" s="21"/>
      <c r="H2390" s="22"/>
      <c r="I2390" s="23"/>
      <c r="J2390" s="24"/>
      <c r="K2390" s="25"/>
      <c r="L2390" s="23"/>
      <c r="M2390" s="23"/>
      <c r="N2390" s="24"/>
      <c r="O2390" s="24"/>
      <c r="P2390" s="25"/>
      <c r="Q2390" s="25"/>
    </row>
    <row r="2391" spans="1:17" s="20" customFormat="1" x14ac:dyDescent="0.25">
      <c r="A2391" s="9"/>
      <c r="B2391" s="28"/>
      <c r="C2391" s="28"/>
      <c r="D2391" s="28"/>
      <c r="E2391" s="28"/>
      <c r="F2391" s="31"/>
      <c r="G2391" s="21"/>
      <c r="H2391" s="22"/>
      <c r="I2391" s="23"/>
      <c r="J2391" s="24"/>
      <c r="K2391" s="25"/>
      <c r="L2391" s="23"/>
      <c r="M2391" s="23"/>
      <c r="N2391" s="24"/>
      <c r="O2391" s="24"/>
      <c r="P2391" s="25"/>
      <c r="Q2391" s="25"/>
    </row>
    <row r="2392" spans="1:17" s="20" customFormat="1" x14ac:dyDescent="0.25">
      <c r="A2392" s="9"/>
      <c r="B2392" s="28"/>
      <c r="C2392" s="28"/>
      <c r="D2392" s="28"/>
      <c r="E2392" s="28"/>
      <c r="F2392" s="31"/>
      <c r="G2392" s="21"/>
      <c r="H2392" s="22"/>
      <c r="I2392" s="23"/>
      <c r="J2392" s="24"/>
      <c r="K2392" s="25"/>
      <c r="L2392" s="23"/>
      <c r="M2392" s="23"/>
      <c r="N2392" s="24"/>
      <c r="O2392" s="24"/>
      <c r="P2392" s="25"/>
      <c r="Q2392" s="25"/>
    </row>
    <row r="2393" spans="1:17" s="20" customFormat="1" x14ac:dyDescent="0.25">
      <c r="A2393" s="9"/>
      <c r="B2393" s="28"/>
      <c r="C2393" s="28"/>
      <c r="D2393" s="28"/>
      <c r="E2393" s="28"/>
      <c r="F2393" s="31"/>
      <c r="G2393" s="21"/>
      <c r="H2393" s="22"/>
      <c r="I2393" s="23"/>
      <c r="J2393" s="24"/>
      <c r="K2393" s="25"/>
      <c r="L2393" s="23"/>
      <c r="M2393" s="23"/>
      <c r="N2393" s="24"/>
      <c r="O2393" s="24"/>
      <c r="P2393" s="25"/>
      <c r="Q2393" s="25"/>
    </row>
    <row r="2394" spans="1:17" s="20" customFormat="1" x14ac:dyDescent="0.25">
      <c r="A2394" s="9"/>
      <c r="B2394" s="28"/>
      <c r="C2394" s="28"/>
      <c r="D2394" s="28"/>
      <c r="E2394" s="28"/>
      <c r="F2394" s="31"/>
      <c r="G2394" s="21"/>
      <c r="H2394" s="22"/>
      <c r="I2394" s="23"/>
      <c r="J2394" s="24"/>
      <c r="K2394" s="25"/>
      <c r="L2394" s="23"/>
      <c r="M2394" s="23"/>
      <c r="N2394" s="24"/>
      <c r="O2394" s="24"/>
      <c r="P2394" s="25"/>
      <c r="Q2394" s="25"/>
    </row>
    <row r="2395" spans="1:17" s="20" customFormat="1" x14ac:dyDescent="0.25">
      <c r="A2395" s="9"/>
      <c r="B2395" s="28"/>
      <c r="C2395" s="28"/>
      <c r="D2395" s="28"/>
      <c r="E2395" s="28"/>
      <c r="F2395" s="31"/>
      <c r="G2395" s="21"/>
      <c r="H2395" s="22"/>
      <c r="I2395" s="23"/>
      <c r="J2395" s="24"/>
      <c r="K2395" s="25"/>
      <c r="L2395" s="23"/>
      <c r="M2395" s="23"/>
      <c r="N2395" s="24"/>
      <c r="O2395" s="24"/>
      <c r="P2395" s="25"/>
      <c r="Q2395" s="25"/>
    </row>
    <row r="2396" spans="1:17" s="20" customFormat="1" x14ac:dyDescent="0.25">
      <c r="A2396" s="9"/>
      <c r="B2396" s="28"/>
      <c r="C2396" s="28"/>
      <c r="D2396" s="28"/>
      <c r="E2396" s="28"/>
      <c r="F2396" s="31"/>
      <c r="G2396" s="21"/>
      <c r="H2396" s="22"/>
      <c r="I2396" s="23"/>
      <c r="J2396" s="24"/>
      <c r="K2396" s="25"/>
      <c r="L2396" s="23"/>
      <c r="M2396" s="23"/>
      <c r="N2396" s="24"/>
      <c r="O2396" s="24"/>
      <c r="P2396" s="25"/>
      <c r="Q2396" s="25"/>
    </row>
    <row r="2397" spans="1:17" s="20" customFormat="1" x14ac:dyDescent="0.25">
      <c r="A2397" s="9"/>
      <c r="B2397" s="28"/>
      <c r="C2397" s="28"/>
      <c r="D2397" s="28"/>
      <c r="E2397" s="28"/>
      <c r="F2397" s="31"/>
      <c r="G2397" s="21"/>
      <c r="H2397" s="22"/>
      <c r="I2397" s="23"/>
      <c r="J2397" s="24"/>
      <c r="K2397" s="25"/>
      <c r="L2397" s="23"/>
      <c r="M2397" s="23"/>
      <c r="N2397" s="24"/>
      <c r="O2397" s="24"/>
      <c r="P2397" s="25"/>
      <c r="Q2397" s="25"/>
    </row>
    <row r="2398" spans="1:17" s="20" customFormat="1" x14ac:dyDescent="0.25">
      <c r="A2398" s="9"/>
      <c r="B2398" s="28"/>
      <c r="C2398" s="28"/>
      <c r="D2398" s="28"/>
      <c r="E2398" s="28"/>
      <c r="F2398" s="31"/>
      <c r="G2398" s="21"/>
      <c r="H2398" s="22"/>
      <c r="I2398" s="23"/>
      <c r="J2398" s="24"/>
      <c r="K2398" s="25"/>
      <c r="L2398" s="23"/>
      <c r="M2398" s="23"/>
      <c r="N2398" s="24"/>
      <c r="O2398" s="24"/>
      <c r="P2398" s="25"/>
      <c r="Q2398" s="25"/>
    </row>
    <row r="2399" spans="1:17" s="20" customFormat="1" x14ac:dyDescent="0.25">
      <c r="A2399" s="9"/>
      <c r="B2399" s="28"/>
      <c r="C2399" s="28"/>
      <c r="D2399" s="28"/>
      <c r="E2399" s="28"/>
      <c r="F2399" s="31"/>
      <c r="G2399" s="21"/>
      <c r="H2399" s="22"/>
      <c r="I2399" s="23"/>
      <c r="J2399" s="24"/>
      <c r="K2399" s="25"/>
      <c r="L2399" s="23"/>
      <c r="M2399" s="23"/>
      <c r="N2399" s="24"/>
      <c r="O2399" s="24"/>
      <c r="P2399" s="25"/>
      <c r="Q2399" s="25"/>
    </row>
    <row r="2400" spans="1:17" s="20" customFormat="1" x14ac:dyDescent="0.25">
      <c r="A2400" s="9"/>
      <c r="B2400" s="28"/>
      <c r="C2400" s="28"/>
      <c r="D2400" s="28"/>
      <c r="E2400" s="28"/>
      <c r="F2400" s="31"/>
      <c r="G2400" s="21"/>
      <c r="H2400" s="22"/>
      <c r="I2400" s="23"/>
      <c r="J2400" s="24"/>
      <c r="K2400" s="25"/>
      <c r="L2400" s="23"/>
      <c r="M2400" s="23"/>
      <c r="N2400" s="24"/>
      <c r="O2400" s="24"/>
      <c r="P2400" s="25"/>
      <c r="Q2400" s="25"/>
    </row>
    <row r="2401" spans="1:17" s="20" customFormat="1" x14ac:dyDescent="0.25">
      <c r="A2401" s="9"/>
      <c r="B2401" s="28"/>
      <c r="C2401" s="28"/>
      <c r="D2401" s="28"/>
      <c r="E2401" s="28"/>
      <c r="F2401" s="31"/>
      <c r="G2401" s="21"/>
      <c r="H2401" s="22"/>
      <c r="I2401" s="23"/>
      <c r="J2401" s="24"/>
      <c r="K2401" s="25"/>
      <c r="L2401" s="23"/>
      <c r="M2401" s="23"/>
      <c r="N2401" s="24"/>
      <c r="O2401" s="24"/>
      <c r="P2401" s="25"/>
      <c r="Q2401" s="25"/>
    </row>
    <row r="2402" spans="1:17" s="20" customFormat="1" x14ac:dyDescent="0.25">
      <c r="A2402" s="9"/>
      <c r="B2402" s="28"/>
      <c r="C2402" s="28"/>
      <c r="D2402" s="28"/>
      <c r="E2402" s="28"/>
      <c r="F2402" s="31"/>
      <c r="G2402" s="21"/>
      <c r="H2402" s="22"/>
      <c r="I2402" s="23"/>
      <c r="J2402" s="24"/>
      <c r="K2402" s="25"/>
      <c r="L2402" s="23"/>
      <c r="M2402" s="23"/>
      <c r="N2402" s="24"/>
      <c r="O2402" s="24"/>
      <c r="P2402" s="25"/>
      <c r="Q2402" s="25"/>
    </row>
    <row r="2403" spans="1:17" s="20" customFormat="1" x14ac:dyDescent="0.25">
      <c r="A2403" s="9"/>
      <c r="B2403" s="28"/>
      <c r="C2403" s="28"/>
      <c r="D2403" s="28"/>
      <c r="E2403" s="28"/>
      <c r="F2403" s="31"/>
      <c r="G2403" s="21"/>
      <c r="H2403" s="22"/>
      <c r="I2403" s="23"/>
      <c r="J2403" s="24"/>
      <c r="K2403" s="25"/>
      <c r="L2403" s="23"/>
      <c r="M2403" s="23"/>
      <c r="N2403" s="24"/>
      <c r="O2403" s="24"/>
      <c r="P2403" s="25"/>
      <c r="Q2403" s="25"/>
    </row>
    <row r="2404" spans="1:17" s="20" customFormat="1" x14ac:dyDescent="0.25">
      <c r="A2404" s="9"/>
      <c r="B2404" s="28"/>
      <c r="C2404" s="28"/>
      <c r="D2404" s="28"/>
      <c r="E2404" s="28"/>
      <c r="F2404" s="31"/>
      <c r="G2404" s="21"/>
      <c r="H2404" s="22"/>
      <c r="I2404" s="23"/>
      <c r="J2404" s="24"/>
      <c r="K2404" s="25"/>
      <c r="L2404" s="23"/>
      <c r="M2404" s="23"/>
      <c r="N2404" s="24"/>
      <c r="O2404" s="24"/>
      <c r="P2404" s="25"/>
      <c r="Q2404" s="25"/>
    </row>
    <row r="2405" spans="1:17" s="20" customFormat="1" x14ac:dyDescent="0.25">
      <c r="A2405" s="9"/>
      <c r="B2405" s="28"/>
      <c r="C2405" s="28"/>
      <c r="D2405" s="28"/>
      <c r="E2405" s="28"/>
      <c r="F2405" s="31"/>
      <c r="G2405" s="21"/>
      <c r="H2405" s="22"/>
      <c r="I2405" s="23"/>
      <c r="J2405" s="24"/>
      <c r="K2405" s="25"/>
      <c r="L2405" s="23"/>
      <c r="M2405" s="23"/>
      <c r="N2405" s="24"/>
      <c r="O2405" s="24"/>
      <c r="P2405" s="25"/>
      <c r="Q2405" s="25"/>
    </row>
    <row r="2406" spans="1:17" s="20" customFormat="1" x14ac:dyDescent="0.25">
      <c r="A2406" s="9"/>
      <c r="B2406" s="28"/>
      <c r="C2406" s="28"/>
      <c r="D2406" s="28"/>
      <c r="E2406" s="28"/>
      <c r="F2406" s="31"/>
      <c r="G2406" s="21"/>
      <c r="H2406" s="22"/>
      <c r="I2406" s="23"/>
      <c r="J2406" s="24"/>
      <c r="K2406" s="25"/>
      <c r="L2406" s="23"/>
      <c r="M2406" s="23"/>
      <c r="N2406" s="24"/>
      <c r="O2406" s="24"/>
      <c r="P2406" s="25"/>
      <c r="Q2406" s="25"/>
    </row>
    <row r="2407" spans="1:17" s="20" customFormat="1" x14ac:dyDescent="0.25">
      <c r="A2407" s="9"/>
      <c r="B2407" s="28"/>
      <c r="C2407" s="28"/>
      <c r="D2407" s="28"/>
      <c r="E2407" s="28"/>
      <c r="F2407" s="31"/>
      <c r="G2407" s="21"/>
      <c r="H2407" s="22"/>
      <c r="I2407" s="23"/>
      <c r="J2407" s="24"/>
      <c r="K2407" s="25"/>
      <c r="L2407" s="23"/>
      <c r="M2407" s="23"/>
      <c r="N2407" s="24"/>
      <c r="O2407" s="24"/>
      <c r="P2407" s="25"/>
      <c r="Q2407" s="25"/>
    </row>
    <row r="2408" spans="1:17" s="20" customFormat="1" x14ac:dyDescent="0.25">
      <c r="A2408" s="9"/>
      <c r="B2408" s="28"/>
      <c r="C2408" s="28"/>
      <c r="D2408" s="28"/>
      <c r="E2408" s="28"/>
      <c r="F2408" s="31"/>
      <c r="G2408" s="21"/>
      <c r="H2408" s="22"/>
      <c r="I2408" s="23"/>
      <c r="J2408" s="24"/>
      <c r="K2408" s="25"/>
      <c r="L2408" s="23"/>
      <c r="M2408" s="23"/>
      <c r="N2408" s="24"/>
      <c r="O2408" s="24"/>
      <c r="P2408" s="25"/>
      <c r="Q2408" s="25"/>
    </row>
    <row r="2409" spans="1:17" s="20" customFormat="1" x14ac:dyDescent="0.25">
      <c r="A2409" s="9"/>
      <c r="B2409" s="28"/>
      <c r="C2409" s="28"/>
      <c r="D2409" s="28"/>
      <c r="E2409" s="28"/>
      <c r="F2409" s="31"/>
      <c r="G2409" s="21"/>
      <c r="H2409" s="22"/>
      <c r="I2409" s="23"/>
      <c r="J2409" s="24"/>
      <c r="K2409" s="25"/>
      <c r="L2409" s="23"/>
      <c r="M2409" s="23"/>
      <c r="N2409" s="24"/>
      <c r="O2409" s="24"/>
      <c r="P2409" s="25"/>
      <c r="Q2409" s="25"/>
    </row>
    <row r="2410" spans="1:17" s="20" customFormat="1" x14ac:dyDescent="0.25">
      <c r="A2410" s="9"/>
      <c r="B2410" s="28"/>
      <c r="C2410" s="28"/>
      <c r="D2410" s="28"/>
      <c r="E2410" s="28"/>
      <c r="F2410" s="31"/>
      <c r="G2410" s="21"/>
      <c r="H2410" s="22"/>
      <c r="I2410" s="23"/>
      <c r="J2410" s="24"/>
      <c r="K2410" s="25"/>
      <c r="L2410" s="23"/>
      <c r="M2410" s="23"/>
      <c r="N2410" s="24"/>
      <c r="O2410" s="24"/>
      <c r="P2410" s="25"/>
      <c r="Q2410" s="25"/>
    </row>
    <row r="2411" spans="1:17" s="20" customFormat="1" x14ac:dyDescent="0.25">
      <c r="A2411" s="9"/>
      <c r="B2411" s="28"/>
      <c r="C2411" s="28"/>
      <c r="D2411" s="28"/>
      <c r="E2411" s="28"/>
      <c r="F2411" s="31"/>
      <c r="G2411" s="21"/>
      <c r="H2411" s="22"/>
      <c r="I2411" s="23"/>
      <c r="J2411" s="24"/>
      <c r="K2411" s="25"/>
      <c r="L2411" s="23"/>
      <c r="M2411" s="23"/>
      <c r="N2411" s="24"/>
      <c r="O2411" s="24"/>
      <c r="P2411" s="25"/>
      <c r="Q2411" s="25"/>
    </row>
    <row r="2412" spans="1:17" s="20" customFormat="1" x14ac:dyDescent="0.25">
      <c r="A2412" s="9"/>
      <c r="B2412" s="28"/>
      <c r="C2412" s="28"/>
      <c r="D2412" s="28"/>
      <c r="E2412" s="28"/>
      <c r="F2412" s="31"/>
      <c r="G2412" s="21"/>
      <c r="H2412" s="22"/>
      <c r="I2412" s="23"/>
      <c r="J2412" s="24"/>
      <c r="K2412" s="25"/>
      <c r="L2412" s="23"/>
      <c r="M2412" s="23"/>
      <c r="N2412" s="24"/>
      <c r="O2412" s="24"/>
      <c r="P2412" s="25"/>
      <c r="Q2412" s="25"/>
    </row>
    <row r="2413" spans="1:17" s="20" customFormat="1" x14ac:dyDescent="0.25">
      <c r="A2413" s="9"/>
      <c r="B2413" s="28"/>
      <c r="C2413" s="28"/>
      <c r="D2413" s="28"/>
      <c r="E2413" s="28"/>
      <c r="F2413" s="31"/>
      <c r="G2413" s="21"/>
      <c r="H2413" s="22"/>
      <c r="I2413" s="23"/>
      <c r="J2413" s="24"/>
      <c r="K2413" s="25"/>
      <c r="L2413" s="23"/>
      <c r="M2413" s="23"/>
      <c r="N2413" s="24"/>
      <c r="O2413" s="24"/>
      <c r="P2413" s="25"/>
      <c r="Q2413" s="25"/>
    </row>
    <row r="2414" spans="1:17" s="20" customFormat="1" x14ac:dyDescent="0.25">
      <c r="A2414" s="9"/>
      <c r="B2414" s="28"/>
      <c r="C2414" s="28"/>
      <c r="D2414" s="28"/>
      <c r="E2414" s="28"/>
      <c r="F2414" s="31"/>
      <c r="G2414" s="21"/>
      <c r="H2414" s="22"/>
      <c r="I2414" s="23"/>
      <c r="J2414" s="24"/>
      <c r="K2414" s="25"/>
      <c r="L2414" s="23"/>
      <c r="M2414" s="23"/>
      <c r="N2414" s="24"/>
      <c r="O2414" s="24"/>
      <c r="P2414" s="25"/>
      <c r="Q2414" s="25"/>
    </row>
    <row r="2415" spans="1:17" s="20" customFormat="1" x14ac:dyDescent="0.25">
      <c r="A2415" s="9"/>
      <c r="B2415" s="28"/>
      <c r="C2415" s="28"/>
      <c r="D2415" s="28"/>
      <c r="E2415" s="28"/>
      <c r="F2415" s="31"/>
      <c r="G2415" s="21"/>
      <c r="H2415" s="22"/>
      <c r="I2415" s="23"/>
      <c r="J2415" s="24"/>
      <c r="K2415" s="25"/>
      <c r="L2415" s="23"/>
      <c r="M2415" s="23"/>
      <c r="N2415" s="24"/>
      <c r="O2415" s="24"/>
      <c r="P2415" s="25"/>
      <c r="Q2415" s="25"/>
    </row>
    <row r="2416" spans="1:17" s="20" customFormat="1" x14ac:dyDescent="0.25">
      <c r="A2416" s="9"/>
      <c r="B2416" s="28"/>
      <c r="C2416" s="28"/>
      <c r="D2416" s="28"/>
      <c r="E2416" s="28"/>
      <c r="F2416" s="31"/>
      <c r="G2416" s="21"/>
      <c r="H2416" s="22"/>
      <c r="I2416" s="23"/>
      <c r="J2416" s="24"/>
      <c r="K2416" s="25"/>
      <c r="L2416" s="23"/>
      <c r="M2416" s="23"/>
      <c r="N2416" s="24"/>
      <c r="O2416" s="24"/>
      <c r="P2416" s="25"/>
      <c r="Q2416" s="25"/>
    </row>
    <row r="2417" spans="1:18" s="20" customFormat="1" x14ac:dyDescent="0.25">
      <c r="A2417" s="9"/>
      <c r="B2417" s="28"/>
      <c r="C2417" s="28"/>
      <c r="D2417" s="28"/>
      <c r="E2417" s="28"/>
      <c r="F2417" s="31"/>
      <c r="G2417" s="21"/>
      <c r="H2417" s="22"/>
      <c r="I2417" s="23"/>
      <c r="J2417" s="24"/>
      <c r="K2417" s="25"/>
      <c r="L2417" s="23"/>
      <c r="M2417" s="23"/>
      <c r="N2417" s="24"/>
      <c r="O2417" s="24"/>
      <c r="P2417" s="25"/>
      <c r="Q2417" s="25"/>
    </row>
    <row r="2418" spans="1:18" s="20" customFormat="1" x14ac:dyDescent="0.25">
      <c r="A2418" s="9"/>
      <c r="B2418" s="28"/>
      <c r="C2418" s="28"/>
      <c r="D2418" s="28"/>
      <c r="E2418" s="28"/>
      <c r="F2418" s="31"/>
      <c r="G2418" s="21"/>
      <c r="H2418" s="22"/>
      <c r="I2418" s="23"/>
      <c r="J2418" s="24"/>
      <c r="K2418" s="25"/>
      <c r="L2418" s="23"/>
      <c r="M2418" s="23"/>
      <c r="N2418" s="24"/>
      <c r="O2418" s="24"/>
      <c r="P2418" s="25"/>
      <c r="Q2418" s="25"/>
    </row>
    <row r="2419" spans="1:18" s="20" customFormat="1" x14ac:dyDescent="0.25">
      <c r="A2419" s="9"/>
      <c r="B2419" s="28"/>
      <c r="C2419" s="28"/>
      <c r="D2419" s="28"/>
      <c r="E2419" s="28"/>
      <c r="F2419" s="31"/>
      <c r="G2419" s="21"/>
      <c r="H2419" s="22"/>
      <c r="I2419" s="23"/>
      <c r="J2419" s="24"/>
      <c r="K2419" s="25"/>
      <c r="L2419" s="23"/>
      <c r="M2419" s="23"/>
      <c r="N2419" s="24"/>
      <c r="O2419" s="24"/>
      <c r="P2419" s="25"/>
      <c r="Q2419" s="25"/>
    </row>
    <row r="2420" spans="1:18" s="20" customFormat="1" x14ac:dyDescent="0.25">
      <c r="A2420" s="9"/>
      <c r="B2420" s="28"/>
      <c r="C2420" s="28"/>
      <c r="D2420" s="28"/>
      <c r="E2420" s="28"/>
      <c r="F2420" s="31"/>
      <c r="G2420" s="21"/>
      <c r="H2420" s="22"/>
      <c r="I2420" s="23"/>
      <c r="J2420" s="24"/>
      <c r="K2420" s="25"/>
      <c r="L2420" s="23"/>
      <c r="M2420" s="23"/>
      <c r="N2420" s="24"/>
      <c r="O2420" s="24"/>
      <c r="P2420" s="25"/>
      <c r="Q2420" s="25"/>
    </row>
    <row r="2421" spans="1:18" s="20" customFormat="1" x14ac:dyDescent="0.25">
      <c r="A2421" s="9"/>
      <c r="B2421" s="28"/>
      <c r="C2421" s="28"/>
      <c r="D2421" s="28"/>
      <c r="E2421" s="28"/>
      <c r="F2421" s="31"/>
      <c r="G2421" s="21"/>
      <c r="H2421" s="22"/>
      <c r="I2421" s="23"/>
      <c r="J2421" s="24"/>
      <c r="K2421" s="25"/>
      <c r="L2421" s="23"/>
      <c r="M2421" s="23"/>
      <c r="N2421" s="24"/>
      <c r="O2421" s="24"/>
      <c r="P2421" s="25"/>
      <c r="Q2421" s="25"/>
    </row>
    <row r="2422" spans="1:18" s="20" customFormat="1" x14ac:dyDescent="0.25">
      <c r="A2422" s="9"/>
      <c r="B2422" s="28"/>
      <c r="C2422" s="28"/>
      <c r="D2422" s="28"/>
      <c r="E2422" s="28"/>
      <c r="F2422" s="31"/>
      <c r="G2422" s="21"/>
      <c r="H2422" s="22"/>
      <c r="I2422" s="23"/>
      <c r="J2422" s="24"/>
      <c r="K2422" s="25"/>
      <c r="L2422" s="23"/>
      <c r="M2422" s="23"/>
      <c r="N2422" s="24"/>
      <c r="O2422" s="24"/>
      <c r="P2422" s="25"/>
      <c r="Q2422" s="25"/>
    </row>
    <row r="2423" spans="1:18" s="20" customFormat="1" x14ac:dyDescent="0.25">
      <c r="A2423" s="9"/>
      <c r="B2423" s="28"/>
      <c r="C2423" s="28"/>
      <c r="D2423" s="28"/>
      <c r="E2423" s="28"/>
      <c r="F2423" s="31"/>
      <c r="G2423" s="21"/>
      <c r="H2423" s="22"/>
      <c r="I2423" s="23"/>
      <c r="J2423" s="24"/>
      <c r="K2423" s="25"/>
      <c r="L2423" s="23"/>
      <c r="M2423" s="23"/>
      <c r="N2423" s="24"/>
      <c r="O2423" s="24"/>
      <c r="P2423" s="25"/>
      <c r="Q2423" s="25"/>
    </row>
    <row r="2424" spans="1:18" s="20" customFormat="1" x14ac:dyDescent="0.25">
      <c r="A2424" s="9"/>
      <c r="B2424" s="28"/>
      <c r="C2424" s="28"/>
      <c r="D2424" s="28"/>
      <c r="E2424" s="28"/>
      <c r="F2424" s="31"/>
      <c r="G2424" s="21"/>
      <c r="H2424" s="22"/>
      <c r="I2424" s="23"/>
      <c r="J2424" s="24"/>
      <c r="K2424" s="25"/>
      <c r="L2424" s="23"/>
      <c r="M2424" s="23"/>
      <c r="N2424" s="24"/>
      <c r="O2424" s="24"/>
      <c r="P2424" s="25"/>
      <c r="Q2424" s="25"/>
    </row>
    <row r="2425" spans="1:18" s="20" customFormat="1" x14ac:dyDescent="0.25">
      <c r="A2425" s="9"/>
      <c r="B2425" s="28"/>
      <c r="C2425" s="28"/>
      <c r="D2425" s="28"/>
      <c r="E2425" s="28"/>
      <c r="F2425" s="31"/>
      <c r="G2425" s="21"/>
      <c r="H2425" s="22"/>
      <c r="I2425" s="23"/>
      <c r="J2425" s="24"/>
      <c r="K2425" s="25"/>
      <c r="L2425" s="23"/>
      <c r="M2425" s="23"/>
      <c r="N2425" s="24"/>
      <c r="O2425" s="24"/>
      <c r="P2425" s="25"/>
      <c r="Q2425" s="25"/>
    </row>
    <row r="2426" spans="1:18" s="20" customFormat="1" x14ac:dyDescent="0.25">
      <c r="A2426" s="9"/>
      <c r="B2426" s="28"/>
      <c r="C2426" s="28"/>
      <c r="D2426" s="28"/>
      <c r="E2426" s="28"/>
      <c r="F2426" s="31"/>
      <c r="G2426" s="21"/>
      <c r="H2426" s="22"/>
      <c r="I2426" s="23"/>
      <c r="J2426" s="24"/>
      <c r="K2426" s="25"/>
      <c r="L2426" s="23"/>
      <c r="M2426" s="23"/>
      <c r="N2426" s="24"/>
      <c r="O2426" s="24"/>
      <c r="P2426" s="25"/>
      <c r="Q2426" s="25"/>
    </row>
    <row r="2427" spans="1:18" s="20" customFormat="1" x14ac:dyDescent="0.25">
      <c r="A2427" s="9"/>
      <c r="B2427" s="28"/>
      <c r="C2427" s="28"/>
      <c r="D2427" s="28"/>
      <c r="E2427" s="28"/>
      <c r="F2427" s="31"/>
      <c r="G2427" s="21"/>
      <c r="H2427" s="22"/>
      <c r="I2427" s="23"/>
      <c r="J2427" s="24"/>
      <c r="K2427" s="25"/>
      <c r="L2427" s="23"/>
      <c r="M2427" s="23"/>
      <c r="N2427" s="24"/>
      <c r="O2427" s="24"/>
      <c r="P2427" s="25"/>
      <c r="Q2427" s="25"/>
    </row>
    <row r="2428" spans="1:18" s="20" customFormat="1" x14ac:dyDescent="0.25">
      <c r="A2428" s="9"/>
      <c r="B2428" s="28"/>
      <c r="C2428" s="28"/>
      <c r="D2428" s="28"/>
      <c r="E2428" s="28"/>
      <c r="F2428" s="31"/>
      <c r="G2428" s="21"/>
      <c r="H2428" s="22"/>
      <c r="I2428" s="23"/>
      <c r="J2428" s="24"/>
      <c r="K2428" s="25"/>
      <c r="L2428" s="23"/>
      <c r="M2428" s="23"/>
      <c r="N2428" s="24"/>
      <c r="O2428" s="24"/>
      <c r="P2428" s="25"/>
      <c r="Q2428" s="25"/>
    </row>
    <row r="2429" spans="1:18" s="20" customFormat="1" x14ac:dyDescent="0.25">
      <c r="A2429" s="9"/>
      <c r="B2429" s="28"/>
      <c r="C2429" s="28"/>
      <c r="D2429" s="28"/>
      <c r="E2429" s="28"/>
      <c r="F2429" s="31"/>
      <c r="G2429" s="21"/>
      <c r="H2429" s="22"/>
      <c r="I2429" s="23"/>
      <c r="J2429" s="24"/>
      <c r="K2429" s="25"/>
      <c r="L2429" s="23"/>
      <c r="M2429" s="23"/>
      <c r="N2429" s="24"/>
      <c r="O2429" s="24"/>
      <c r="P2429" s="25"/>
      <c r="Q2429" s="25"/>
    </row>
    <row r="2430" spans="1:18" x14ac:dyDescent="0.25">
      <c r="A2430" s="9"/>
      <c r="B2430" s="28"/>
      <c r="C2430" s="28"/>
      <c r="D2430" s="28"/>
      <c r="E2430" s="28"/>
      <c r="F2430" s="31"/>
      <c r="G2430" s="21"/>
      <c r="H2430" s="22"/>
      <c r="I2430" s="23"/>
      <c r="J2430" s="24"/>
      <c r="K2430" s="25"/>
      <c r="L2430" s="23"/>
      <c r="M2430" s="23"/>
      <c r="N2430" s="24"/>
      <c r="O2430" s="24"/>
      <c r="P2430" s="25"/>
      <c r="Q2430" s="25"/>
      <c r="R2430" s="20"/>
    </row>
    <row r="2431" spans="1:18" x14ac:dyDescent="0.25">
      <c r="A2431" s="9"/>
      <c r="B2431" s="28"/>
      <c r="C2431" s="28"/>
      <c r="D2431" s="28"/>
      <c r="E2431" s="28"/>
      <c r="F2431" s="31"/>
      <c r="G2431" s="21"/>
      <c r="H2431" s="22"/>
      <c r="I2431" s="23"/>
      <c r="J2431" s="24"/>
      <c r="K2431" s="25"/>
      <c r="L2431" s="23"/>
      <c r="M2431" s="23"/>
      <c r="N2431" s="24"/>
      <c r="O2431" s="24"/>
      <c r="P2431" s="25"/>
      <c r="Q2431" s="25"/>
      <c r="R2431" s="20"/>
    </row>
    <row r="2432" spans="1:18" x14ac:dyDescent="0.25">
      <c r="A2432" s="9"/>
      <c r="B2432" s="28"/>
      <c r="C2432" s="28"/>
      <c r="D2432" s="28"/>
      <c r="E2432" s="28"/>
      <c r="F2432" s="31"/>
      <c r="G2432" s="21"/>
      <c r="H2432" s="22"/>
      <c r="I2432" s="23"/>
      <c r="J2432" s="24"/>
      <c r="K2432" s="25"/>
      <c r="L2432" s="23"/>
      <c r="M2432" s="23"/>
      <c r="N2432" s="24"/>
      <c r="O2432" s="24"/>
      <c r="P2432" s="25"/>
      <c r="Q2432" s="25"/>
      <c r="R2432" s="20"/>
    </row>
    <row r="2433" spans="1:18" x14ac:dyDescent="0.25">
      <c r="A2433" s="9"/>
      <c r="B2433" s="28"/>
      <c r="C2433" s="28"/>
      <c r="D2433" s="28"/>
      <c r="E2433" s="28"/>
      <c r="F2433" s="31"/>
      <c r="G2433" s="21"/>
      <c r="H2433" s="22"/>
      <c r="I2433" s="23"/>
      <c r="J2433" s="24"/>
      <c r="K2433" s="25"/>
      <c r="L2433" s="23"/>
      <c r="M2433" s="23"/>
      <c r="N2433" s="24"/>
      <c r="O2433" s="24"/>
      <c r="P2433" s="25"/>
      <c r="Q2433" s="25"/>
      <c r="R2433" s="20"/>
    </row>
    <row r="2434" spans="1:18" x14ac:dyDescent="0.25">
      <c r="A2434" s="9"/>
      <c r="B2434" s="28"/>
      <c r="C2434" s="28"/>
      <c r="D2434" s="28"/>
      <c r="E2434" s="28"/>
      <c r="F2434" s="31"/>
      <c r="G2434" s="21"/>
      <c r="H2434" s="22"/>
      <c r="I2434" s="23"/>
      <c r="J2434" s="24"/>
      <c r="K2434" s="25"/>
      <c r="L2434" s="23"/>
      <c r="M2434" s="23"/>
      <c r="N2434" s="24"/>
      <c r="O2434" s="24"/>
      <c r="P2434" s="25"/>
      <c r="Q2434" s="25"/>
      <c r="R2434" s="20"/>
    </row>
    <row r="2435" spans="1:18" x14ac:dyDescent="0.25">
      <c r="A2435" s="9"/>
      <c r="B2435" s="28"/>
      <c r="C2435" s="28"/>
      <c r="D2435" s="28"/>
      <c r="E2435" s="28"/>
      <c r="F2435" s="31"/>
      <c r="G2435" s="21"/>
      <c r="H2435" s="22"/>
      <c r="I2435" s="23"/>
      <c r="J2435" s="24"/>
      <c r="K2435" s="25"/>
      <c r="L2435" s="23"/>
      <c r="M2435" s="23"/>
      <c r="N2435" s="24"/>
      <c r="O2435" s="24"/>
      <c r="P2435" s="25"/>
      <c r="Q2435" s="25"/>
      <c r="R2435" s="20"/>
    </row>
    <row r="2436" spans="1:18" x14ac:dyDescent="0.25">
      <c r="A2436" s="9"/>
      <c r="B2436" s="28"/>
      <c r="C2436" s="28"/>
      <c r="D2436" s="28"/>
      <c r="E2436" s="28"/>
      <c r="F2436" s="31"/>
      <c r="G2436" s="21"/>
      <c r="H2436" s="22"/>
      <c r="I2436" s="23"/>
      <c r="J2436" s="24"/>
      <c r="K2436" s="25"/>
      <c r="L2436" s="23"/>
      <c r="M2436" s="23"/>
      <c r="N2436" s="24"/>
      <c r="O2436" s="24"/>
      <c r="P2436" s="25"/>
      <c r="Q2436" s="25"/>
      <c r="R2436" s="20"/>
    </row>
    <row r="2437" spans="1:18" x14ac:dyDescent="0.25">
      <c r="A2437" s="9"/>
      <c r="B2437" s="28"/>
      <c r="C2437" s="28"/>
      <c r="D2437" s="28"/>
      <c r="E2437" s="28"/>
      <c r="F2437" s="31"/>
      <c r="G2437" s="21"/>
      <c r="H2437" s="22"/>
      <c r="I2437" s="23"/>
      <c r="J2437" s="24"/>
      <c r="K2437" s="25"/>
      <c r="L2437" s="23"/>
      <c r="M2437" s="23"/>
      <c r="N2437" s="24"/>
      <c r="O2437" s="24"/>
      <c r="P2437" s="25"/>
      <c r="Q2437" s="25"/>
      <c r="R2437" s="20"/>
    </row>
    <row r="2438" spans="1:18" x14ac:dyDescent="0.25">
      <c r="A2438" s="9"/>
      <c r="B2438" s="28"/>
      <c r="C2438" s="28"/>
      <c r="D2438" s="28"/>
      <c r="E2438" s="28"/>
      <c r="F2438" s="31"/>
      <c r="G2438" s="21"/>
      <c r="H2438" s="22"/>
      <c r="I2438" s="23"/>
      <c r="J2438" s="24"/>
      <c r="K2438" s="25"/>
      <c r="L2438" s="23"/>
      <c r="M2438" s="23"/>
      <c r="N2438" s="24"/>
      <c r="O2438" s="24"/>
      <c r="P2438" s="25"/>
      <c r="Q2438" s="25"/>
      <c r="R2438" s="20"/>
    </row>
    <row r="2439" spans="1:18" x14ac:dyDescent="0.25">
      <c r="A2439" s="9"/>
      <c r="B2439" s="28"/>
      <c r="C2439" s="28"/>
      <c r="D2439" s="28"/>
      <c r="E2439" s="28"/>
      <c r="F2439" s="31"/>
      <c r="G2439" s="21"/>
      <c r="H2439" s="22"/>
      <c r="I2439" s="23"/>
      <c r="J2439" s="24"/>
      <c r="K2439" s="25"/>
      <c r="L2439" s="23"/>
      <c r="M2439" s="23"/>
      <c r="N2439" s="24"/>
      <c r="O2439" s="24"/>
      <c r="P2439" s="25"/>
      <c r="Q2439" s="25"/>
      <c r="R2439" s="20"/>
    </row>
    <row r="2440" spans="1:18" x14ac:dyDescent="0.25">
      <c r="A2440" s="9"/>
      <c r="B2440" s="28"/>
      <c r="C2440" s="28"/>
      <c r="D2440" s="28"/>
      <c r="E2440" s="28"/>
      <c r="F2440" s="31"/>
      <c r="G2440" s="21"/>
      <c r="H2440" s="22"/>
      <c r="I2440" s="23"/>
      <c r="J2440" s="24"/>
      <c r="K2440" s="25"/>
      <c r="L2440" s="23"/>
      <c r="M2440" s="23"/>
      <c r="N2440" s="24"/>
      <c r="O2440" s="24"/>
      <c r="P2440" s="25"/>
      <c r="Q2440" s="25"/>
      <c r="R2440" s="20"/>
    </row>
  </sheetData>
  <sheetProtection formatCells="0" insertRows="0"/>
  <conditionalFormatting sqref="G2:Q233 G236:Q472 H234:Q234 I235:L235 N235:Q235">
    <cfRule type="expression" dxfId="63" priority="168">
      <formula>($B2=6)</formula>
    </cfRule>
  </conditionalFormatting>
  <dataValidations count="1">
    <dataValidation type="list" showInputMessage="1" showErrorMessage="1" sqref="A2:A472">
      <formula1>INDIRECT("txtstylestab[style_Name]")</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R2214"/>
  <sheetViews>
    <sheetView zoomScale="90" zoomScaleNormal="90" workbookViewId="0">
      <pane ySplit="1" topLeftCell="A236" activePane="bottomLeft" state="frozen"/>
      <selection pane="bottomLeft" activeCell="H243" sqref="H243"/>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2</v>
      </c>
      <c r="D2" s="28">
        <v>0</v>
      </c>
      <c r="E2" s="28">
        <v>0</v>
      </c>
      <c r="F2" s="29" t="str">
        <f>IF(OR(B2=1,B2=2,B2=3),TEXT(C2,"#")&amp;".","")&amp;IF(OR(B2=2,B2=3),TEXT(D2,"#")&amp;".","")&amp;IF(B2=3,TEXT(E2,"#")&amp;".","")</f>
        <v>2.</v>
      </c>
      <c r="G2" s="11" t="s">
        <v>73</v>
      </c>
      <c r="H2" s="11"/>
      <c r="I2" s="11"/>
      <c r="J2" s="11"/>
      <c r="K2" s="11"/>
      <c r="L2" s="11"/>
      <c r="M2" s="11"/>
      <c r="N2" s="11"/>
      <c r="O2" s="11"/>
      <c r="P2" s="11"/>
      <c r="Q2" s="11"/>
      <c r="R2" s="12"/>
    </row>
    <row r="3" spans="1:18" ht="15.75" thickTop="1" x14ac:dyDescent="0.25">
      <c r="A3" s="9" t="s">
        <v>13</v>
      </c>
      <c r="B3" s="28">
        <f>IF(ISBLANK(A3),0,INDEX(txtstylestab[],MATCH(A3,txtstylestab[style_Name],0),1))</f>
        <v>7</v>
      </c>
      <c r="C3" s="28">
        <f>IF(B3=1,C2+1,C2)</f>
        <v>2</v>
      </c>
      <c r="D3" s="28">
        <f>IF(B3=1,0,IF(B3=2,D2+1,IF(AND(B3=3,D2=0),1,D2)))</f>
        <v>0</v>
      </c>
      <c r="E3" s="28">
        <f>IF(OR(B3=1,B3=2),0,IF(B3=3,E2+1,E2))</f>
        <v>0</v>
      </c>
      <c r="F3" s="78" t="str">
        <f>IF(OR(B3=1,B3=2,B3=3),TEXT(C3,"#")&amp;".","")&amp;IF(OR(B3=2,B3=3),TEXT(D3,"#")&amp;".","")&amp;IF(B3=3,TEXT(E3,"#")&amp;".","")</f>
        <v/>
      </c>
      <c r="G3" s="78" t="s">
        <v>872</v>
      </c>
      <c r="H3" s="78"/>
      <c r="I3" s="78"/>
      <c r="J3" s="78"/>
      <c r="K3" s="78"/>
      <c r="L3" s="78"/>
      <c r="M3" s="78"/>
      <c r="N3" s="78"/>
      <c r="O3" s="78"/>
      <c r="P3" s="78"/>
      <c r="Q3" s="78"/>
      <c r="R3" s="13"/>
    </row>
    <row r="4" spans="1:18" ht="18" thickBot="1" x14ac:dyDescent="0.35">
      <c r="A4" s="9" t="s">
        <v>11</v>
      </c>
      <c r="B4" s="28">
        <f>IF(ISBLANK(A4),0,INDEX(txtstylestab[],MATCH(A4,txtstylestab[style_Name],0),1))</f>
        <v>2</v>
      </c>
      <c r="C4" s="28">
        <f t="shared" ref="C4:C67" si="0">IF(B4=1,C3+1,C3)</f>
        <v>2</v>
      </c>
      <c r="D4" s="28">
        <f t="shared" ref="D4:D67" si="1">IF(B4=1,0,IF(B4=2,D3+1,IF(AND(B4=3,D3=0),1,D3)))</f>
        <v>1</v>
      </c>
      <c r="E4" s="28">
        <f t="shared" ref="E4:E67" si="2">IF(OR(B4=1,B4=2),0,IF(B4=3,E3+1,E3))</f>
        <v>0</v>
      </c>
      <c r="F4" s="51" t="str">
        <f t="shared" ref="F4:F67" si="3">IF(OR(B4=1,B4=2,B4=3),TEXT(C4,"#")&amp;".","")&amp;IF(OR(B4=2,B4=3),TEXT(D4,"#")&amp;".","")&amp;IF(B4=3,TEXT(E4,"#")&amp;".","")</f>
        <v>2.1.</v>
      </c>
      <c r="G4" s="57" t="s">
        <v>1926</v>
      </c>
      <c r="H4" s="57"/>
      <c r="I4" s="57"/>
      <c r="J4" s="57"/>
      <c r="K4" s="57"/>
      <c r="L4" s="57"/>
      <c r="M4" s="57"/>
      <c r="N4" s="57"/>
      <c r="O4" s="57"/>
      <c r="P4" s="57"/>
      <c r="Q4" s="57"/>
      <c r="R4" s="13"/>
    </row>
    <row r="5" spans="1:18" ht="15.75" thickTop="1" x14ac:dyDescent="0.25">
      <c r="A5" s="9" t="s">
        <v>21</v>
      </c>
      <c r="B5" s="28">
        <f>IF(ISBLANK(A5),0,INDEX(txtstylestab[],MATCH(A5,txtstylestab[style_Name],0),1))</f>
        <v>0</v>
      </c>
      <c r="C5" s="28">
        <f t="shared" si="0"/>
        <v>2</v>
      </c>
      <c r="D5" s="28">
        <f t="shared" si="1"/>
        <v>1</v>
      </c>
      <c r="E5" s="28">
        <f t="shared" si="2"/>
        <v>0</v>
      </c>
      <c r="F5" s="59" t="str">
        <f t="shared" si="3"/>
        <v/>
      </c>
      <c r="G5" s="42" t="s">
        <v>82</v>
      </c>
      <c r="H5" s="43" t="s">
        <v>83</v>
      </c>
      <c r="I5" s="44" t="s">
        <v>84</v>
      </c>
      <c r="J5" s="45" t="s">
        <v>85</v>
      </c>
      <c r="K5" s="46" t="s">
        <v>86</v>
      </c>
      <c r="L5" s="47" t="s">
        <v>2397</v>
      </c>
      <c r="M5" s="48" t="s">
        <v>2332</v>
      </c>
      <c r="N5" s="49"/>
      <c r="O5" s="50" t="s">
        <v>3161</v>
      </c>
      <c r="P5" s="59"/>
      <c r="Q5" s="59"/>
      <c r="R5" s="13"/>
    </row>
    <row r="6" spans="1:18" ht="45" x14ac:dyDescent="0.25">
      <c r="A6" s="9" t="s">
        <v>21</v>
      </c>
      <c r="B6" s="28">
        <f>IF(ISBLANK(A6),0,INDEX(txtstylestab[],MATCH(A6,txtstylestab[style_Name],0),1))</f>
        <v>0</v>
      </c>
      <c r="C6" s="28">
        <f t="shared" si="0"/>
        <v>2</v>
      </c>
      <c r="D6" s="28">
        <f t="shared" si="1"/>
        <v>1</v>
      </c>
      <c r="E6" s="28">
        <f t="shared" si="2"/>
        <v>0</v>
      </c>
      <c r="F6" s="59" t="str">
        <f t="shared" si="3"/>
        <v/>
      </c>
      <c r="G6" s="42" t="s">
        <v>873</v>
      </c>
      <c r="H6" s="43" t="s">
        <v>874</v>
      </c>
      <c r="I6" s="44" t="s">
        <v>2278</v>
      </c>
      <c r="J6" s="45" t="s">
        <v>2280</v>
      </c>
      <c r="K6" s="46" t="s">
        <v>2279</v>
      </c>
      <c r="L6" s="47" t="s">
        <v>2781</v>
      </c>
      <c r="M6" s="48" t="s">
        <v>2862</v>
      </c>
      <c r="N6" s="49"/>
      <c r="O6" s="50" t="s">
        <v>3256</v>
      </c>
      <c r="P6" s="59"/>
      <c r="Q6" s="59"/>
      <c r="R6" s="13"/>
    </row>
    <row r="7" spans="1:18" ht="30" x14ac:dyDescent="0.25">
      <c r="A7" s="9" t="s">
        <v>21</v>
      </c>
      <c r="B7" s="28">
        <f>IF(ISBLANK(A7),0,INDEX(txtstylestab[],MATCH(A7,txtstylestab[style_Name],0),1))</f>
        <v>0</v>
      </c>
      <c r="C7" s="28">
        <f t="shared" si="0"/>
        <v>2</v>
      </c>
      <c r="D7" s="28">
        <f t="shared" si="1"/>
        <v>1</v>
      </c>
      <c r="E7" s="28">
        <f t="shared" si="2"/>
        <v>0</v>
      </c>
      <c r="F7" s="59" t="str">
        <f t="shared" si="3"/>
        <v/>
      </c>
      <c r="G7" s="42"/>
      <c r="H7" s="43"/>
      <c r="I7" s="44" t="s">
        <v>2275</v>
      </c>
      <c r="J7" s="45" t="s">
        <v>2276</v>
      </c>
      <c r="K7" s="46" t="s">
        <v>2277</v>
      </c>
      <c r="L7" s="47"/>
      <c r="M7" s="48"/>
      <c r="N7" s="49"/>
      <c r="O7" s="50"/>
      <c r="P7" s="59"/>
      <c r="Q7" s="59"/>
      <c r="R7" s="13"/>
    </row>
    <row r="8" spans="1:18" ht="60" x14ac:dyDescent="0.25">
      <c r="A8" s="9" t="s">
        <v>21</v>
      </c>
      <c r="B8" s="28">
        <f>IF(ISBLANK(A8),0,INDEX(txtstylestab[],MATCH(A8,txtstylestab[style_Name],0),1))</f>
        <v>0</v>
      </c>
      <c r="C8" s="28">
        <f t="shared" si="0"/>
        <v>2</v>
      </c>
      <c r="D8" s="28">
        <f t="shared" si="1"/>
        <v>1</v>
      </c>
      <c r="E8" s="28">
        <f t="shared" si="2"/>
        <v>0</v>
      </c>
      <c r="F8" s="59" t="str">
        <f t="shared" si="3"/>
        <v/>
      </c>
      <c r="G8" s="42" t="s">
        <v>1927</v>
      </c>
      <c r="H8" s="43" t="s">
        <v>1928</v>
      </c>
      <c r="I8" s="44" t="s">
        <v>1929</v>
      </c>
      <c r="J8" s="45" t="s">
        <v>1930</v>
      </c>
      <c r="K8" s="46" t="s">
        <v>1931</v>
      </c>
      <c r="L8" s="47" t="s">
        <v>2782</v>
      </c>
      <c r="M8" s="48" t="s">
        <v>2783</v>
      </c>
      <c r="N8" s="49"/>
      <c r="O8" s="50" t="s">
        <v>3259</v>
      </c>
      <c r="P8" s="59"/>
      <c r="Q8" s="59"/>
      <c r="R8" s="13"/>
    </row>
    <row r="9" spans="1:18" ht="45" x14ac:dyDescent="0.25">
      <c r="A9" s="9" t="s">
        <v>14</v>
      </c>
      <c r="B9" s="28">
        <f>IF(ISBLANK(A9),0,INDEX(txtstylestab[],MATCH(A9,txtstylestab[style_Name],0),1))</f>
        <v>6</v>
      </c>
      <c r="C9" s="28">
        <f t="shared" si="0"/>
        <v>2</v>
      </c>
      <c r="D9" s="28">
        <f t="shared" si="1"/>
        <v>1</v>
      </c>
      <c r="E9" s="28">
        <f t="shared" si="2"/>
        <v>0</v>
      </c>
      <c r="F9" s="59" t="str">
        <f t="shared" si="3"/>
        <v/>
      </c>
      <c r="G9" s="42" t="s">
        <v>1932</v>
      </c>
      <c r="H9" s="43" t="s">
        <v>878</v>
      </c>
      <c r="I9" s="44" t="s">
        <v>1938</v>
      </c>
      <c r="J9" s="45" t="s">
        <v>1943</v>
      </c>
      <c r="K9" s="46" t="s">
        <v>1948</v>
      </c>
      <c r="L9" s="47" t="s">
        <v>2784</v>
      </c>
      <c r="M9" s="48" t="s">
        <v>2797</v>
      </c>
      <c r="N9" s="49"/>
      <c r="O9" s="50" t="s">
        <v>3260</v>
      </c>
      <c r="P9" s="59"/>
      <c r="Q9" s="59"/>
      <c r="R9" s="13"/>
    </row>
    <row r="10" spans="1:18" ht="45" x14ac:dyDescent="0.25">
      <c r="A10" s="9" t="s">
        <v>14</v>
      </c>
      <c r="B10" s="28">
        <f>IF(ISBLANK(A10),0,INDEX(txtstylestab[],MATCH(A10,txtstylestab[style_Name],0),1))</f>
        <v>6</v>
      </c>
      <c r="C10" s="28">
        <f t="shared" si="0"/>
        <v>2</v>
      </c>
      <c r="D10" s="28">
        <f t="shared" si="1"/>
        <v>1</v>
      </c>
      <c r="E10" s="28">
        <f t="shared" si="2"/>
        <v>0</v>
      </c>
      <c r="F10" s="59" t="str">
        <f t="shared" si="3"/>
        <v/>
      </c>
      <c r="G10" s="42" t="s">
        <v>1952</v>
      </c>
      <c r="H10" s="43" t="s">
        <v>1953</v>
      </c>
      <c r="I10" s="44" t="s">
        <v>2202</v>
      </c>
      <c r="J10" s="45" t="s">
        <v>2203</v>
      </c>
      <c r="K10" s="46" t="s">
        <v>2201</v>
      </c>
      <c r="L10" s="47" t="s">
        <v>2785</v>
      </c>
      <c r="M10" s="48" t="s">
        <v>2786</v>
      </c>
      <c r="N10" s="49"/>
      <c r="O10" s="50" t="s">
        <v>3261</v>
      </c>
      <c r="P10" s="59"/>
      <c r="Q10" s="59"/>
      <c r="R10" s="13"/>
    </row>
    <row r="11" spans="1:18" ht="30" x14ac:dyDescent="0.25">
      <c r="A11" s="9" t="s">
        <v>14</v>
      </c>
      <c r="B11" s="28">
        <f>IF(ISBLANK(A11),0,INDEX(txtstylestab[],MATCH(A11,txtstylestab[style_Name],0),1))</f>
        <v>6</v>
      </c>
      <c r="C11" s="28">
        <f t="shared" si="0"/>
        <v>2</v>
      </c>
      <c r="D11" s="28">
        <f t="shared" si="1"/>
        <v>1</v>
      </c>
      <c r="E11" s="28">
        <f t="shared" si="2"/>
        <v>0</v>
      </c>
      <c r="F11" s="59" t="str">
        <f t="shared" si="3"/>
        <v/>
      </c>
      <c r="G11" s="42" t="s">
        <v>37</v>
      </c>
      <c r="H11" s="43" t="s">
        <v>1771</v>
      </c>
      <c r="I11" s="44" t="s">
        <v>1939</v>
      </c>
      <c r="J11" s="45" t="s">
        <v>1944</v>
      </c>
      <c r="K11" s="46" t="s">
        <v>1949</v>
      </c>
      <c r="L11" s="47" t="s">
        <v>2787</v>
      </c>
      <c r="M11" s="48" t="s">
        <v>2788</v>
      </c>
      <c r="N11" s="49"/>
      <c r="O11" s="50" t="s">
        <v>3262</v>
      </c>
      <c r="P11" s="59"/>
      <c r="Q11" s="59"/>
      <c r="R11" s="13"/>
    </row>
    <row r="12" spans="1:18" ht="45" x14ac:dyDescent="0.25">
      <c r="A12" s="9" t="s">
        <v>14</v>
      </c>
      <c r="B12" s="28">
        <f>IF(ISBLANK(A12),0,INDEX(txtstylestab[],MATCH(A12,txtstylestab[style_Name],0),1))</f>
        <v>6</v>
      </c>
      <c r="C12" s="28">
        <f t="shared" si="0"/>
        <v>2</v>
      </c>
      <c r="D12" s="28">
        <f t="shared" si="1"/>
        <v>1</v>
      </c>
      <c r="E12" s="28">
        <f t="shared" si="2"/>
        <v>0</v>
      </c>
      <c r="F12" s="59" t="str">
        <f t="shared" si="3"/>
        <v/>
      </c>
      <c r="G12" s="42" t="s">
        <v>1933</v>
      </c>
      <c r="H12" s="43" t="s">
        <v>1935</v>
      </c>
      <c r="I12" s="44" t="s">
        <v>1940</v>
      </c>
      <c r="J12" s="45" t="s">
        <v>1945</v>
      </c>
      <c r="K12" s="46" t="s">
        <v>1950</v>
      </c>
      <c r="L12" s="47" t="s">
        <v>2789</v>
      </c>
      <c r="M12" s="48" t="s">
        <v>2790</v>
      </c>
      <c r="N12" s="49"/>
      <c r="O12" s="50" t="s">
        <v>3263</v>
      </c>
      <c r="P12" s="59"/>
      <c r="Q12" s="59"/>
      <c r="R12" s="13"/>
    </row>
    <row r="13" spans="1:18" ht="30" x14ac:dyDescent="0.25">
      <c r="A13" s="9" t="s">
        <v>14</v>
      </c>
      <c r="B13" s="28">
        <f>IF(ISBLANK(A13),0,INDEX(txtstylestab[],MATCH(A13,txtstylestab[style_Name],0),1))</f>
        <v>6</v>
      </c>
      <c r="C13" s="28">
        <f t="shared" si="0"/>
        <v>2</v>
      </c>
      <c r="D13" s="28">
        <f t="shared" si="1"/>
        <v>1</v>
      </c>
      <c r="E13" s="28">
        <f t="shared" si="2"/>
        <v>0</v>
      </c>
      <c r="F13" s="59" t="str">
        <f t="shared" si="3"/>
        <v/>
      </c>
      <c r="G13" s="42" t="s">
        <v>39</v>
      </c>
      <c r="H13" s="43" t="s">
        <v>1936</v>
      </c>
      <c r="I13" s="44" t="s">
        <v>1941</v>
      </c>
      <c r="J13" s="45" t="s">
        <v>1946</v>
      </c>
      <c r="K13" s="46" t="s">
        <v>1794</v>
      </c>
      <c r="L13" s="47" t="s">
        <v>2791</v>
      </c>
      <c r="M13" s="48" t="s">
        <v>2792</v>
      </c>
      <c r="N13" s="49"/>
      <c r="O13" s="50" t="s">
        <v>3264</v>
      </c>
      <c r="P13" s="59"/>
      <c r="Q13" s="59"/>
      <c r="R13" s="13"/>
    </row>
    <row r="14" spans="1:18" ht="30" x14ac:dyDescent="0.25">
      <c r="A14" s="9" t="s">
        <v>14</v>
      </c>
      <c r="B14" s="28">
        <f>IF(ISBLANK(A14),0,INDEX(txtstylestab[],MATCH(A14,txtstylestab[style_Name],0),1))</f>
        <v>6</v>
      </c>
      <c r="C14" s="28">
        <f t="shared" si="0"/>
        <v>2</v>
      </c>
      <c r="D14" s="28">
        <f t="shared" si="1"/>
        <v>1</v>
      </c>
      <c r="E14" s="28">
        <f t="shared" si="2"/>
        <v>0</v>
      </c>
      <c r="F14" s="59" t="str">
        <f t="shared" si="3"/>
        <v/>
      </c>
      <c r="G14" s="42" t="s">
        <v>1934</v>
      </c>
      <c r="H14" s="43" t="s">
        <v>1937</v>
      </c>
      <c r="I14" s="44" t="s">
        <v>1942</v>
      </c>
      <c r="J14" s="45" t="s">
        <v>1947</v>
      </c>
      <c r="K14" s="46" t="s">
        <v>1951</v>
      </c>
      <c r="L14" s="47" t="s">
        <v>2793</v>
      </c>
      <c r="M14" s="48" t="s">
        <v>2794</v>
      </c>
      <c r="N14" s="49"/>
      <c r="O14" s="50" t="s">
        <v>3265</v>
      </c>
      <c r="P14" s="59"/>
      <c r="Q14" s="59"/>
      <c r="R14" s="13"/>
    </row>
    <row r="15" spans="1:18" ht="75" x14ac:dyDescent="0.25">
      <c r="A15" s="9" t="s">
        <v>14</v>
      </c>
      <c r="B15" s="28">
        <f>IF(ISBLANK(A15),0,INDEX(txtstylestab[],MATCH(A15,txtstylestab[style_Name],0),1))</f>
        <v>6</v>
      </c>
      <c r="C15" s="28">
        <f t="shared" si="0"/>
        <v>2</v>
      </c>
      <c r="D15" s="28">
        <f t="shared" si="1"/>
        <v>1</v>
      </c>
      <c r="E15" s="28">
        <f t="shared" si="2"/>
        <v>0</v>
      </c>
      <c r="F15" s="59" t="str">
        <f t="shared" si="3"/>
        <v/>
      </c>
      <c r="G15" s="42" t="s">
        <v>1955</v>
      </c>
      <c r="H15" s="43" t="s">
        <v>1956</v>
      </c>
      <c r="I15" s="44" t="s">
        <v>2205</v>
      </c>
      <c r="J15" s="45" t="s">
        <v>2206</v>
      </c>
      <c r="K15" s="46" t="s">
        <v>2204</v>
      </c>
      <c r="L15" s="47" t="s">
        <v>2795</v>
      </c>
      <c r="M15" s="48" t="s">
        <v>2796</v>
      </c>
      <c r="N15" s="49"/>
      <c r="O15" s="50" t="s">
        <v>3266</v>
      </c>
      <c r="P15" s="59"/>
      <c r="Q15" s="59"/>
      <c r="R15" s="13"/>
    </row>
    <row r="16" spans="1:18" ht="45" x14ac:dyDescent="0.25">
      <c r="A16" s="9" t="s">
        <v>14</v>
      </c>
      <c r="B16" s="28">
        <f>IF(ISBLANK(A16),0,INDEX(txtstylestab[],MATCH(A16,txtstylestab[style_Name],0),1))</f>
        <v>6</v>
      </c>
      <c r="C16" s="28">
        <f t="shared" si="0"/>
        <v>2</v>
      </c>
      <c r="D16" s="28">
        <f t="shared" si="1"/>
        <v>1</v>
      </c>
      <c r="E16" s="28">
        <f t="shared" si="2"/>
        <v>0</v>
      </c>
      <c r="F16" s="59" t="str">
        <f t="shared" si="3"/>
        <v/>
      </c>
      <c r="G16" s="42" t="s">
        <v>1776</v>
      </c>
      <c r="H16" s="43" t="s">
        <v>1954</v>
      </c>
      <c r="I16" s="44" t="s">
        <v>2298</v>
      </c>
      <c r="J16" s="45" t="s">
        <v>2208</v>
      </c>
      <c r="K16" s="46" t="s">
        <v>2207</v>
      </c>
      <c r="L16" s="47"/>
      <c r="M16" s="48"/>
      <c r="N16" s="49"/>
      <c r="O16" s="50" t="s">
        <v>3267</v>
      </c>
      <c r="P16" s="59"/>
      <c r="Q16" s="59"/>
      <c r="R16" s="13"/>
    </row>
    <row r="17" spans="1:18" ht="60" x14ac:dyDescent="0.25">
      <c r="A17" s="9" t="s">
        <v>14</v>
      </c>
      <c r="B17" s="28">
        <f>IF(ISBLANK(A17),0,INDEX(txtstylestab[],MATCH(A17,txtstylestab[style_Name],0),1))</f>
        <v>6</v>
      </c>
      <c r="C17" s="28">
        <f t="shared" si="0"/>
        <v>2</v>
      </c>
      <c r="D17" s="28">
        <f t="shared" si="1"/>
        <v>1</v>
      </c>
      <c r="E17" s="28">
        <f t="shared" si="2"/>
        <v>0</v>
      </c>
      <c r="F17" s="59" t="str">
        <f t="shared" si="3"/>
        <v/>
      </c>
      <c r="G17" s="42" t="s">
        <v>1957</v>
      </c>
      <c r="H17" s="43" t="s">
        <v>1958</v>
      </c>
      <c r="I17" s="44" t="s">
        <v>1959</v>
      </c>
      <c r="J17" s="45" t="s">
        <v>1960</v>
      </c>
      <c r="K17" s="46" t="s">
        <v>1961</v>
      </c>
      <c r="L17" s="47" t="s">
        <v>2367</v>
      </c>
      <c r="M17" s="48" t="s">
        <v>2368</v>
      </c>
      <c r="N17" s="49"/>
      <c r="O17" s="50" t="s">
        <v>3257</v>
      </c>
      <c r="P17" s="59"/>
      <c r="Q17" s="59"/>
      <c r="R17" s="13"/>
    </row>
    <row r="18" spans="1:18" ht="30" x14ac:dyDescent="0.25">
      <c r="A18" s="9" t="s">
        <v>21</v>
      </c>
      <c r="B18" s="28">
        <f>IF(ISBLANK(A18),0,INDEX(txtstylestab[],MATCH(A18,txtstylestab[style_Name],0),1))</f>
        <v>0</v>
      </c>
      <c r="C18" s="28">
        <f t="shared" si="0"/>
        <v>2</v>
      </c>
      <c r="D18" s="28">
        <f t="shared" si="1"/>
        <v>1</v>
      </c>
      <c r="E18" s="28">
        <f t="shared" si="2"/>
        <v>0</v>
      </c>
      <c r="F18" s="59" t="str">
        <f t="shared" si="3"/>
        <v/>
      </c>
      <c r="G18" s="42"/>
      <c r="H18" s="43"/>
      <c r="I18" s="44"/>
      <c r="J18" s="45"/>
      <c r="K18" s="46"/>
      <c r="L18" s="47"/>
      <c r="M18" s="48"/>
      <c r="N18" s="49"/>
      <c r="O18" s="50" t="s">
        <v>3258</v>
      </c>
      <c r="P18" s="59"/>
      <c r="Q18" s="59"/>
      <c r="R18" s="13"/>
    </row>
    <row r="19" spans="1:18" ht="30" x14ac:dyDescent="0.25">
      <c r="A19" s="9" t="s">
        <v>21</v>
      </c>
      <c r="B19" s="28">
        <f>IF(ISBLANK(A19),0,INDEX(txtstylestab[],MATCH(A19,txtstylestab[style_Name],0),1))</f>
        <v>0</v>
      </c>
      <c r="C19" s="28">
        <f t="shared" si="0"/>
        <v>2</v>
      </c>
      <c r="D19" s="28">
        <f t="shared" si="1"/>
        <v>1</v>
      </c>
      <c r="E19" s="28">
        <f t="shared" si="2"/>
        <v>0</v>
      </c>
      <c r="F19" s="59" t="str">
        <f t="shared" si="3"/>
        <v/>
      </c>
      <c r="G19" s="42" t="s">
        <v>1962</v>
      </c>
      <c r="H19" s="43" t="s">
        <v>1963</v>
      </c>
      <c r="I19" s="44" t="s">
        <v>1964</v>
      </c>
      <c r="J19" s="45" t="s">
        <v>1965</v>
      </c>
      <c r="K19" s="46" t="s">
        <v>1966</v>
      </c>
      <c r="L19" s="47" t="s">
        <v>2799</v>
      </c>
      <c r="M19" s="48" t="s">
        <v>2861</v>
      </c>
      <c r="N19" s="49"/>
      <c r="O19" s="50" t="s">
        <v>3272</v>
      </c>
      <c r="P19" s="59"/>
      <c r="Q19" s="59"/>
      <c r="R19" s="13"/>
    </row>
    <row r="20" spans="1:18" ht="45" x14ac:dyDescent="0.25">
      <c r="A20" s="9" t="s">
        <v>14</v>
      </c>
      <c r="B20" s="28">
        <f>IF(ISBLANK(A20),0,INDEX(txtstylestab[],MATCH(A20,txtstylestab[style_Name],0),1))</f>
        <v>6</v>
      </c>
      <c r="C20" s="28">
        <f t="shared" si="0"/>
        <v>2</v>
      </c>
      <c r="D20" s="28">
        <f t="shared" si="1"/>
        <v>1</v>
      </c>
      <c r="E20" s="28">
        <f t="shared" si="2"/>
        <v>0</v>
      </c>
      <c r="F20" s="59" t="str">
        <f t="shared" si="3"/>
        <v/>
      </c>
      <c r="G20" s="42" t="s">
        <v>1967</v>
      </c>
      <c r="H20" s="43" t="s">
        <v>1969</v>
      </c>
      <c r="I20" s="44" t="s">
        <v>1971</v>
      </c>
      <c r="J20" s="45" t="s">
        <v>1973</v>
      </c>
      <c r="K20" s="46" t="s">
        <v>1975</v>
      </c>
      <c r="L20" s="47" t="s">
        <v>2800</v>
      </c>
      <c r="M20" s="48" t="s">
        <v>2801</v>
      </c>
      <c r="N20" s="49"/>
      <c r="O20" s="50" t="s">
        <v>3268</v>
      </c>
      <c r="P20" s="59"/>
      <c r="Q20" s="59"/>
      <c r="R20" s="13"/>
    </row>
    <row r="21" spans="1:18" ht="45" x14ac:dyDescent="0.25">
      <c r="A21" s="9" t="s">
        <v>14</v>
      </c>
      <c r="B21" s="28">
        <f>IF(ISBLANK(A21),0,INDEX(txtstylestab[],MATCH(A21,txtstylestab[style_Name],0),1))</f>
        <v>6</v>
      </c>
      <c r="C21" s="28">
        <f t="shared" si="0"/>
        <v>2</v>
      </c>
      <c r="D21" s="28">
        <f t="shared" si="1"/>
        <v>1</v>
      </c>
      <c r="E21" s="28">
        <f t="shared" si="2"/>
        <v>0</v>
      </c>
      <c r="F21" s="59" t="str">
        <f t="shared" si="3"/>
        <v/>
      </c>
      <c r="G21" s="42" t="s">
        <v>1968</v>
      </c>
      <c r="H21" s="43" t="s">
        <v>1970</v>
      </c>
      <c r="I21" s="44" t="s">
        <v>1972</v>
      </c>
      <c r="J21" s="45" t="s">
        <v>1974</v>
      </c>
      <c r="K21" s="46" t="s">
        <v>1976</v>
      </c>
      <c r="L21" s="47" t="s">
        <v>2802</v>
      </c>
      <c r="M21" s="48" t="s">
        <v>2803</v>
      </c>
      <c r="N21" s="49"/>
      <c r="O21" s="50" t="s">
        <v>3269</v>
      </c>
      <c r="P21" s="59"/>
      <c r="Q21" s="59"/>
      <c r="R21" s="13"/>
    </row>
    <row r="22" spans="1:18" ht="90" x14ac:dyDescent="0.25">
      <c r="A22" s="9" t="s">
        <v>14</v>
      </c>
      <c r="B22" s="28">
        <f>IF(ISBLANK(A22),0,INDEX(txtstylestab[],MATCH(A22,txtstylestab[style_Name],0),1))</f>
        <v>6</v>
      </c>
      <c r="C22" s="28">
        <f t="shared" si="0"/>
        <v>2</v>
      </c>
      <c r="D22" s="28">
        <f t="shared" si="1"/>
        <v>1</v>
      </c>
      <c r="E22" s="28">
        <f t="shared" si="2"/>
        <v>0</v>
      </c>
      <c r="F22" s="59" t="str">
        <f t="shared" si="3"/>
        <v/>
      </c>
      <c r="G22" s="42" t="s">
        <v>1977</v>
      </c>
      <c r="H22" s="43" t="s">
        <v>1978</v>
      </c>
      <c r="I22" s="44" t="s">
        <v>1979</v>
      </c>
      <c r="J22" s="45" t="s">
        <v>1980</v>
      </c>
      <c r="K22" s="46" t="s">
        <v>1981</v>
      </c>
      <c r="L22" s="47" t="s">
        <v>2804</v>
      </c>
      <c r="M22" s="48" t="s">
        <v>2805</v>
      </c>
      <c r="N22" s="49"/>
      <c r="O22" s="50" t="s">
        <v>3270</v>
      </c>
      <c r="P22" s="59"/>
      <c r="Q22" s="59"/>
      <c r="R22" s="13"/>
    </row>
    <row r="23" spans="1:18" ht="45" x14ac:dyDescent="0.25">
      <c r="A23" s="9" t="s">
        <v>21</v>
      </c>
      <c r="B23" s="28">
        <f>IF(ISBLANK(A23),0,INDEX(txtstylestab[],MATCH(A23,txtstylestab[style_Name],0),1))</f>
        <v>0</v>
      </c>
      <c r="C23" s="28">
        <f t="shared" si="0"/>
        <v>2</v>
      </c>
      <c r="D23" s="28">
        <f t="shared" si="1"/>
        <v>1</v>
      </c>
      <c r="E23" s="28">
        <f t="shared" si="2"/>
        <v>0</v>
      </c>
      <c r="F23" s="59" t="str">
        <f t="shared" si="3"/>
        <v/>
      </c>
      <c r="G23" s="42" t="s">
        <v>875</v>
      </c>
      <c r="H23" s="43" t="s">
        <v>536</v>
      </c>
      <c r="I23" s="44" t="s">
        <v>503</v>
      </c>
      <c r="J23" s="45" t="s">
        <v>504</v>
      </c>
      <c r="K23" s="46" t="s">
        <v>537</v>
      </c>
      <c r="L23" s="47" t="s">
        <v>2806</v>
      </c>
      <c r="M23" s="48" t="s">
        <v>2807</v>
      </c>
      <c r="N23" s="49"/>
      <c r="O23" s="50" t="s">
        <v>3239</v>
      </c>
      <c r="P23" s="59"/>
      <c r="Q23" s="59"/>
      <c r="R23" s="13"/>
    </row>
    <row r="24" spans="1:18" ht="90" x14ac:dyDescent="0.25">
      <c r="A24" s="9" t="s">
        <v>21</v>
      </c>
      <c r="B24" s="28">
        <f>IF(ISBLANK(A24),0,INDEX(txtstylestab[],MATCH(A24,txtstylestab[style_Name],0),1))</f>
        <v>0</v>
      </c>
      <c r="C24" s="28">
        <f t="shared" si="0"/>
        <v>2</v>
      </c>
      <c r="D24" s="28">
        <f t="shared" si="1"/>
        <v>1</v>
      </c>
      <c r="E24" s="28">
        <f t="shared" si="2"/>
        <v>0</v>
      </c>
      <c r="F24" s="59" t="str">
        <f t="shared" si="3"/>
        <v/>
      </c>
      <c r="G24" s="42" t="s">
        <v>879</v>
      </c>
      <c r="H24" s="43" t="s">
        <v>880</v>
      </c>
      <c r="I24" s="44" t="s">
        <v>881</v>
      </c>
      <c r="J24" s="45" t="s">
        <v>882</v>
      </c>
      <c r="K24" s="46" t="s">
        <v>883</v>
      </c>
      <c r="L24" s="47"/>
      <c r="M24" s="48"/>
      <c r="N24" s="49"/>
      <c r="O24" s="50" t="s">
        <v>3271</v>
      </c>
      <c r="P24" s="59"/>
      <c r="Q24" s="59"/>
      <c r="R24" s="13"/>
    </row>
    <row r="25" spans="1:18" ht="30" x14ac:dyDescent="0.25">
      <c r="A25" s="9" t="s">
        <v>21</v>
      </c>
      <c r="B25" s="28">
        <f>IF(ISBLANK(A25),0,INDEX(txtstylestab[],MATCH(A25,txtstylestab[style_Name],0),1))</f>
        <v>0</v>
      </c>
      <c r="C25" s="28">
        <f t="shared" si="0"/>
        <v>2</v>
      </c>
      <c r="D25" s="28">
        <f t="shared" si="1"/>
        <v>1</v>
      </c>
      <c r="E25" s="28">
        <f t="shared" si="2"/>
        <v>0</v>
      </c>
      <c r="F25" s="59" t="str">
        <f t="shared" si="3"/>
        <v/>
      </c>
      <c r="G25" s="42" t="s">
        <v>876</v>
      </c>
      <c r="H25" s="43" t="s">
        <v>26</v>
      </c>
      <c r="I25" s="44" t="s">
        <v>48</v>
      </c>
      <c r="J25" s="45" t="s">
        <v>54</v>
      </c>
      <c r="K25" s="46" t="s">
        <v>877</v>
      </c>
      <c r="L25" s="47" t="s">
        <v>2816</v>
      </c>
      <c r="M25" s="48" t="s">
        <v>2817</v>
      </c>
      <c r="N25" s="49"/>
      <c r="O25" s="50" t="s">
        <v>3168</v>
      </c>
      <c r="P25" s="59"/>
      <c r="Q25" s="59"/>
      <c r="R25" s="13"/>
    </row>
    <row r="26" spans="1:18" ht="18" thickBot="1" x14ac:dyDescent="0.35">
      <c r="A26" s="9" t="s">
        <v>11</v>
      </c>
      <c r="B26" s="28">
        <f>IF(ISBLANK(A26),0,INDEX(txtstylestab[],MATCH(A26,txtstylestab[style_Name],0),1))</f>
        <v>2</v>
      </c>
      <c r="C26" s="28">
        <f t="shared" si="0"/>
        <v>2</v>
      </c>
      <c r="D26" s="28">
        <f t="shared" si="1"/>
        <v>2</v>
      </c>
      <c r="E26" s="28">
        <f t="shared" si="2"/>
        <v>0</v>
      </c>
      <c r="F26" s="51" t="str">
        <f t="shared" si="3"/>
        <v>2.2.</v>
      </c>
      <c r="G26" s="52" t="s">
        <v>884</v>
      </c>
      <c r="H26" s="52"/>
      <c r="I26" s="52"/>
      <c r="J26" s="52"/>
      <c r="K26" s="52"/>
      <c r="L26" s="52"/>
      <c r="M26" s="52"/>
      <c r="N26" s="52"/>
      <c r="O26" s="52"/>
      <c r="P26" s="52"/>
      <c r="Q26" s="52"/>
      <c r="R26" s="13"/>
    </row>
    <row r="27" spans="1:18" ht="15.75" thickTop="1" x14ac:dyDescent="0.25">
      <c r="A27" s="9" t="s">
        <v>21</v>
      </c>
      <c r="B27" s="28">
        <f>IF(ISBLANK(A27),0,INDEX(txtstylestab[],MATCH(A27,txtstylestab[style_Name],0),1))</f>
        <v>0</v>
      </c>
      <c r="C27" s="28">
        <f t="shared" si="0"/>
        <v>2</v>
      </c>
      <c r="D27" s="28">
        <f t="shared" si="1"/>
        <v>2</v>
      </c>
      <c r="E27" s="28">
        <f t="shared" si="2"/>
        <v>0</v>
      </c>
      <c r="F27" s="59" t="str">
        <f t="shared" si="3"/>
        <v/>
      </c>
      <c r="G27" s="42" t="s">
        <v>82</v>
      </c>
      <c r="H27" s="43" t="s">
        <v>83</v>
      </c>
      <c r="I27" s="44" t="s">
        <v>84</v>
      </c>
      <c r="J27" s="45" t="s">
        <v>85</v>
      </c>
      <c r="K27" s="46" t="s">
        <v>86</v>
      </c>
      <c r="L27" s="47" t="s">
        <v>2397</v>
      </c>
      <c r="M27" s="48" t="s">
        <v>2332</v>
      </c>
      <c r="N27" s="49"/>
      <c r="O27" s="50" t="s">
        <v>3161</v>
      </c>
      <c r="P27" s="50"/>
      <c r="Q27" s="59"/>
      <c r="R27" s="13"/>
    </row>
    <row r="28" spans="1:18" ht="61.5" customHeight="1" x14ac:dyDescent="0.25">
      <c r="A28" s="9" t="s">
        <v>21</v>
      </c>
      <c r="B28" s="28">
        <f>IF(ISBLANK(A28),0,INDEX(txtstylestab[],MATCH(A28,txtstylestab[style_Name],0),1))</f>
        <v>0</v>
      </c>
      <c r="C28" s="28">
        <f t="shared" si="0"/>
        <v>2</v>
      </c>
      <c r="D28" s="28">
        <f t="shared" si="1"/>
        <v>2</v>
      </c>
      <c r="E28" s="28">
        <f t="shared" si="2"/>
        <v>0</v>
      </c>
      <c r="F28" s="59" t="str">
        <f t="shared" si="3"/>
        <v/>
      </c>
      <c r="G28" s="42" t="s">
        <v>2032</v>
      </c>
      <c r="H28" s="43" t="s">
        <v>2033</v>
      </c>
      <c r="I28" s="44" t="s">
        <v>2034</v>
      </c>
      <c r="J28" s="45" t="s">
        <v>2128</v>
      </c>
      <c r="K28" s="46" t="s">
        <v>2036</v>
      </c>
      <c r="L28" s="47" t="s">
        <v>2860</v>
      </c>
      <c r="M28" s="48" t="s">
        <v>2818</v>
      </c>
      <c r="N28" s="49"/>
      <c r="O28" s="50" t="s">
        <v>3252</v>
      </c>
      <c r="P28" s="59"/>
      <c r="Q28" s="59"/>
      <c r="R28" s="13"/>
    </row>
    <row r="29" spans="1:18" ht="45" x14ac:dyDescent="0.25">
      <c r="A29" s="9" t="s">
        <v>14</v>
      </c>
      <c r="B29" s="28">
        <f>IF(ISBLANK(A29),0,INDEX(txtstylestab[],MATCH(A29,txtstylestab[style_Name],0),1))</f>
        <v>6</v>
      </c>
      <c r="C29" s="28">
        <f t="shared" si="0"/>
        <v>2</v>
      </c>
      <c r="D29" s="28">
        <f t="shared" si="1"/>
        <v>2</v>
      </c>
      <c r="E29" s="28">
        <f t="shared" si="2"/>
        <v>0</v>
      </c>
      <c r="F29" s="59" t="str">
        <f t="shared" si="3"/>
        <v/>
      </c>
      <c r="G29" s="42" t="s">
        <v>2037</v>
      </c>
      <c r="H29" s="43" t="s">
        <v>2039</v>
      </c>
      <c r="I29" s="44" t="s">
        <v>2041</v>
      </c>
      <c r="J29" s="45" t="s">
        <v>2043</v>
      </c>
      <c r="K29" s="46" t="s">
        <v>2045</v>
      </c>
      <c r="L29" s="47" t="s">
        <v>2859</v>
      </c>
      <c r="M29" s="48" t="s">
        <v>2858</v>
      </c>
      <c r="N29" s="49"/>
      <c r="O29" s="50" t="s">
        <v>3251</v>
      </c>
      <c r="P29" s="59"/>
      <c r="Q29" s="59"/>
      <c r="R29" s="13"/>
    </row>
    <row r="30" spans="1:18" ht="30" x14ac:dyDescent="0.25">
      <c r="A30" s="9" t="s">
        <v>14</v>
      </c>
      <c r="B30" s="28">
        <f>IF(ISBLANK(A30),0,INDEX(txtstylestab[],MATCH(A30,txtstylestab[style_Name],0),1))</f>
        <v>6</v>
      </c>
      <c r="C30" s="28">
        <f t="shared" si="0"/>
        <v>2</v>
      </c>
      <c r="D30" s="28">
        <f t="shared" si="1"/>
        <v>2</v>
      </c>
      <c r="E30" s="28">
        <f t="shared" si="2"/>
        <v>0</v>
      </c>
      <c r="F30" s="59" t="str">
        <f t="shared" si="3"/>
        <v/>
      </c>
      <c r="G30" s="42" t="s">
        <v>896</v>
      </c>
      <c r="H30" s="43" t="s">
        <v>897</v>
      </c>
      <c r="I30" s="44" t="s">
        <v>898</v>
      </c>
      <c r="J30" s="45" t="s">
        <v>899</v>
      </c>
      <c r="K30" s="46" t="s">
        <v>900</v>
      </c>
      <c r="L30" s="47" t="s">
        <v>2809</v>
      </c>
      <c r="M30" s="48" t="s">
        <v>2810</v>
      </c>
      <c r="N30" s="49"/>
      <c r="O30" s="50" t="s">
        <v>3173</v>
      </c>
      <c r="P30" s="59"/>
      <c r="Q30" s="59"/>
      <c r="R30" s="13"/>
    </row>
    <row r="31" spans="1:18" ht="30" x14ac:dyDescent="0.25">
      <c r="A31" s="9" t="s">
        <v>21</v>
      </c>
      <c r="B31" s="28">
        <f>IF(ISBLANK(A31),0,INDEX(txtstylestab[],MATCH(A31,txtstylestab[style_Name],0),1))</f>
        <v>0</v>
      </c>
      <c r="C31" s="28">
        <f t="shared" si="0"/>
        <v>2</v>
      </c>
      <c r="D31" s="28">
        <f t="shared" si="1"/>
        <v>2</v>
      </c>
      <c r="E31" s="28">
        <f t="shared" si="2"/>
        <v>0</v>
      </c>
      <c r="F31" s="59" t="str">
        <f t="shared" si="3"/>
        <v/>
      </c>
      <c r="G31" s="42" t="s">
        <v>885</v>
      </c>
      <c r="H31" s="43" t="s">
        <v>886</v>
      </c>
      <c r="I31" s="44" t="s">
        <v>887</v>
      </c>
      <c r="J31" s="45" t="s">
        <v>888</v>
      </c>
      <c r="K31" s="46" t="s">
        <v>889</v>
      </c>
      <c r="L31" s="47" t="s">
        <v>2811</v>
      </c>
      <c r="M31" s="48" t="s">
        <v>2812</v>
      </c>
      <c r="N31" s="49"/>
      <c r="O31" s="50" t="s">
        <v>3253</v>
      </c>
      <c r="P31" s="59"/>
      <c r="Q31" s="59"/>
      <c r="R31" s="13"/>
    </row>
    <row r="32" spans="1:18" ht="45" x14ac:dyDescent="0.25">
      <c r="A32" s="9" t="s">
        <v>21</v>
      </c>
      <c r="B32" s="28">
        <f>IF(ISBLANK(A32),0,INDEX(txtstylestab[],MATCH(A32,txtstylestab[style_Name],0),1))</f>
        <v>0</v>
      </c>
      <c r="C32" s="28">
        <f t="shared" si="0"/>
        <v>2</v>
      </c>
      <c r="D32" s="28">
        <f t="shared" si="1"/>
        <v>2</v>
      </c>
      <c r="E32" s="28">
        <f t="shared" si="2"/>
        <v>0</v>
      </c>
      <c r="F32" s="59" t="str">
        <f t="shared" si="3"/>
        <v/>
      </c>
      <c r="G32" s="42" t="s">
        <v>890</v>
      </c>
      <c r="H32" s="43" t="s">
        <v>891</v>
      </c>
      <c r="I32" s="44" t="s">
        <v>417</v>
      </c>
      <c r="J32" s="45" t="s">
        <v>395</v>
      </c>
      <c r="K32" s="46" t="s">
        <v>1729</v>
      </c>
      <c r="L32" s="47" t="s">
        <v>2813</v>
      </c>
      <c r="M32" s="48" t="s">
        <v>2801</v>
      </c>
      <c r="N32" s="49"/>
      <c r="O32" s="50" t="s">
        <v>3254</v>
      </c>
      <c r="P32" s="59"/>
      <c r="Q32" s="59"/>
      <c r="R32" s="13"/>
    </row>
    <row r="33" spans="1:18" ht="45" x14ac:dyDescent="0.25">
      <c r="A33" s="9" t="s">
        <v>21</v>
      </c>
      <c r="B33" s="28">
        <f>IF(ISBLANK(A33),0,INDEX(txtstylestab[],MATCH(A33,txtstylestab[style_Name],0),1))</f>
        <v>0</v>
      </c>
      <c r="C33" s="28">
        <f t="shared" si="0"/>
        <v>2</v>
      </c>
      <c r="D33" s="28">
        <f t="shared" si="1"/>
        <v>2</v>
      </c>
      <c r="E33" s="28">
        <f t="shared" si="2"/>
        <v>0</v>
      </c>
      <c r="F33" s="59" t="str">
        <f t="shared" si="3"/>
        <v/>
      </c>
      <c r="G33" s="42" t="s">
        <v>892</v>
      </c>
      <c r="H33" s="43" t="s">
        <v>893</v>
      </c>
      <c r="I33" s="44" t="s">
        <v>1709</v>
      </c>
      <c r="J33" s="45" t="s">
        <v>894</v>
      </c>
      <c r="K33" s="46" t="s">
        <v>895</v>
      </c>
      <c r="L33" s="47" t="s">
        <v>2814</v>
      </c>
      <c r="M33" s="48" t="s">
        <v>2815</v>
      </c>
      <c r="N33" s="49"/>
      <c r="O33" s="50" t="s">
        <v>3255</v>
      </c>
      <c r="P33" s="59"/>
      <c r="Q33" s="59"/>
      <c r="R33" s="13"/>
    </row>
    <row r="34" spans="1:18" ht="45" x14ac:dyDescent="0.25">
      <c r="A34" s="9" t="s">
        <v>21</v>
      </c>
      <c r="B34" s="28">
        <f>IF(ISBLANK(A34),0,INDEX(txtstylestab[],MATCH(A34,txtstylestab[style_Name],0),1))</f>
        <v>0</v>
      </c>
      <c r="C34" s="28">
        <f t="shared" si="0"/>
        <v>2</v>
      </c>
      <c r="D34" s="28">
        <f t="shared" si="1"/>
        <v>2</v>
      </c>
      <c r="E34" s="28">
        <f t="shared" si="2"/>
        <v>0</v>
      </c>
      <c r="F34" s="59" t="str">
        <f t="shared" si="3"/>
        <v/>
      </c>
      <c r="G34" s="42" t="s">
        <v>535</v>
      </c>
      <c r="H34" s="43" t="s">
        <v>536</v>
      </c>
      <c r="I34" s="44" t="s">
        <v>503</v>
      </c>
      <c r="J34" s="45" t="s">
        <v>504</v>
      </c>
      <c r="K34" s="46" t="s">
        <v>537</v>
      </c>
      <c r="L34" s="47" t="s">
        <v>2806</v>
      </c>
      <c r="M34" s="48" t="s">
        <v>2807</v>
      </c>
      <c r="N34" s="49"/>
      <c r="O34" s="50" t="s">
        <v>3239</v>
      </c>
      <c r="P34" s="59"/>
      <c r="Q34" s="59"/>
      <c r="R34" s="13"/>
    </row>
    <row r="35" spans="1:18" ht="30" x14ac:dyDescent="0.25">
      <c r="A35" s="9" t="s">
        <v>21</v>
      </c>
      <c r="B35" s="28">
        <f>IF(ISBLANK(A35),0,INDEX(txtstylestab[],MATCH(A35,txtstylestab[style_Name],0),1))</f>
        <v>0</v>
      </c>
      <c r="C35" s="28">
        <f t="shared" si="0"/>
        <v>2</v>
      </c>
      <c r="D35" s="28">
        <f t="shared" si="1"/>
        <v>2</v>
      </c>
      <c r="E35" s="28">
        <f t="shared" si="2"/>
        <v>0</v>
      </c>
      <c r="F35" s="59" t="str">
        <f t="shared" si="3"/>
        <v/>
      </c>
      <c r="G35" s="42" t="s">
        <v>561</v>
      </c>
      <c r="H35" s="43" t="s">
        <v>26</v>
      </c>
      <c r="I35" s="44" t="s">
        <v>48</v>
      </c>
      <c r="J35" s="45" t="s">
        <v>54</v>
      </c>
      <c r="K35" s="46" t="s">
        <v>59</v>
      </c>
      <c r="L35" s="47" t="s">
        <v>2816</v>
      </c>
      <c r="M35" s="48" t="s">
        <v>2817</v>
      </c>
      <c r="N35" s="49"/>
      <c r="O35" s="50" t="s">
        <v>3168</v>
      </c>
      <c r="P35" s="59"/>
      <c r="Q35" s="59"/>
      <c r="R35" s="13"/>
    </row>
    <row r="36" spans="1:18" ht="18" thickBot="1" x14ac:dyDescent="0.35">
      <c r="A36" s="9" t="s">
        <v>11</v>
      </c>
      <c r="B36" s="28">
        <f>IF(ISBLANK(A36),0,INDEX(txtstylestab[],MATCH(A36,txtstylestab[style_Name],0),1))</f>
        <v>2</v>
      </c>
      <c r="C36" s="28">
        <f t="shared" si="0"/>
        <v>2</v>
      </c>
      <c r="D36" s="28">
        <f t="shared" si="1"/>
        <v>3</v>
      </c>
      <c r="E36" s="28">
        <f t="shared" si="2"/>
        <v>0</v>
      </c>
      <c r="F36" s="54" t="str">
        <f t="shared" si="3"/>
        <v>2.3.</v>
      </c>
      <c r="G36" s="54" t="s">
        <v>901</v>
      </c>
      <c r="H36" s="54"/>
      <c r="I36" s="54"/>
      <c r="J36" s="54"/>
      <c r="K36" s="54"/>
      <c r="L36" s="54"/>
      <c r="M36" s="54"/>
      <c r="N36" s="54"/>
      <c r="O36" s="54"/>
      <c r="P36" s="54"/>
      <c r="Q36" s="54"/>
      <c r="R36" s="13"/>
    </row>
    <row r="37" spans="1:18" ht="15.75" thickTop="1" x14ac:dyDescent="0.25">
      <c r="A37" s="9" t="s">
        <v>21</v>
      </c>
      <c r="B37" s="28">
        <f>IF(ISBLANK(A37),0,INDEX(txtstylestab[],MATCH(A37,txtstylestab[style_Name],0),1))</f>
        <v>0</v>
      </c>
      <c r="C37" s="28">
        <f t="shared" si="0"/>
        <v>2</v>
      </c>
      <c r="D37" s="28">
        <f t="shared" si="1"/>
        <v>3</v>
      </c>
      <c r="E37" s="28">
        <f t="shared" si="2"/>
        <v>0</v>
      </c>
      <c r="F37" s="59" t="str">
        <f t="shared" si="3"/>
        <v/>
      </c>
      <c r="G37" s="42" t="s">
        <v>82</v>
      </c>
      <c r="H37" s="43" t="s">
        <v>83</v>
      </c>
      <c r="I37" s="44" t="s">
        <v>84</v>
      </c>
      <c r="J37" s="45" t="s">
        <v>85</v>
      </c>
      <c r="K37" s="46" t="s">
        <v>86</v>
      </c>
      <c r="L37" s="47" t="s">
        <v>2397</v>
      </c>
      <c r="M37" s="48" t="s">
        <v>2332</v>
      </c>
      <c r="N37" s="49"/>
      <c r="O37" s="50" t="s">
        <v>3161</v>
      </c>
      <c r="P37" s="50"/>
      <c r="Q37" s="59"/>
      <c r="R37" s="13"/>
    </row>
    <row r="38" spans="1:18" ht="30" x14ac:dyDescent="0.25">
      <c r="A38" s="9" t="s">
        <v>21</v>
      </c>
      <c r="B38" s="28">
        <f>IF(ISBLANK(A38),0,INDEX(txtstylestab[],MATCH(A38,txtstylestab[style_Name],0),1))</f>
        <v>0</v>
      </c>
      <c r="C38" s="28">
        <f t="shared" si="0"/>
        <v>2</v>
      </c>
      <c r="D38" s="28">
        <f t="shared" si="1"/>
        <v>3</v>
      </c>
      <c r="E38" s="28">
        <f t="shared" si="2"/>
        <v>0</v>
      </c>
      <c r="F38" s="59" t="str">
        <f t="shared" si="3"/>
        <v/>
      </c>
      <c r="G38" s="42" t="s">
        <v>902</v>
      </c>
      <c r="H38" s="43" t="s">
        <v>903</v>
      </c>
      <c r="I38" s="44" t="s">
        <v>904</v>
      </c>
      <c r="J38" s="45" t="s">
        <v>905</v>
      </c>
      <c r="K38" s="46" t="s">
        <v>906</v>
      </c>
      <c r="L38" s="47" t="s">
        <v>2819</v>
      </c>
      <c r="M38" s="48" t="s">
        <v>2820</v>
      </c>
      <c r="N38" s="49"/>
      <c r="O38" s="50" t="s">
        <v>3247</v>
      </c>
      <c r="P38" s="59"/>
      <c r="Q38" s="59"/>
      <c r="R38" s="13"/>
    </row>
    <row r="39" spans="1:18" ht="45" x14ac:dyDescent="0.25">
      <c r="A39" s="9" t="s">
        <v>21</v>
      </c>
      <c r="B39" s="28">
        <f>IF(ISBLANK(A39),0,INDEX(txtstylestab[],MATCH(A39,txtstylestab[style_Name],0),1))</f>
        <v>0</v>
      </c>
      <c r="C39" s="28">
        <f t="shared" si="0"/>
        <v>2</v>
      </c>
      <c r="D39" s="28">
        <f t="shared" si="1"/>
        <v>3</v>
      </c>
      <c r="E39" s="28">
        <f t="shared" si="2"/>
        <v>0</v>
      </c>
      <c r="F39" s="59" t="str">
        <f t="shared" si="3"/>
        <v/>
      </c>
      <c r="G39" s="42" t="s">
        <v>907</v>
      </c>
      <c r="H39" s="43" t="s">
        <v>908</v>
      </c>
      <c r="I39" s="44" t="s">
        <v>1641</v>
      </c>
      <c r="J39" s="45" t="s">
        <v>909</v>
      </c>
      <c r="K39" s="46" t="s">
        <v>910</v>
      </c>
      <c r="L39" s="47" t="s">
        <v>2821</v>
      </c>
      <c r="M39" s="48" t="s">
        <v>2822</v>
      </c>
      <c r="N39" s="49"/>
      <c r="O39" s="50" t="s">
        <v>3248</v>
      </c>
      <c r="P39" s="59"/>
      <c r="Q39" s="59"/>
      <c r="R39" s="13"/>
    </row>
    <row r="40" spans="1:18" ht="60" x14ac:dyDescent="0.25">
      <c r="A40" s="9" t="s">
        <v>21</v>
      </c>
      <c r="B40" s="28">
        <f>IF(ISBLANK(A40),0,INDEX(txtstylestab[],MATCH(A40,txtstylestab[style_Name],0),1))</f>
        <v>0</v>
      </c>
      <c r="C40" s="28">
        <f t="shared" si="0"/>
        <v>2</v>
      </c>
      <c r="D40" s="28">
        <f t="shared" si="1"/>
        <v>3</v>
      </c>
      <c r="E40" s="28">
        <f t="shared" si="2"/>
        <v>0</v>
      </c>
      <c r="F40" s="59" t="str">
        <f t="shared" si="3"/>
        <v/>
      </c>
      <c r="G40" s="42" t="s">
        <v>911</v>
      </c>
      <c r="H40" s="43" t="s">
        <v>912</v>
      </c>
      <c r="I40" s="44" t="s">
        <v>1642</v>
      </c>
      <c r="J40" s="45" t="s">
        <v>913</v>
      </c>
      <c r="K40" s="46" t="s">
        <v>914</v>
      </c>
      <c r="L40" s="47" t="s">
        <v>2823</v>
      </c>
      <c r="M40" s="48" t="s">
        <v>2824</v>
      </c>
      <c r="N40" s="49"/>
      <c r="O40" s="50" t="s">
        <v>3249</v>
      </c>
      <c r="P40" s="59"/>
      <c r="Q40" s="59"/>
      <c r="R40" s="13"/>
    </row>
    <row r="41" spans="1:18" ht="30" x14ac:dyDescent="0.25">
      <c r="A41" s="9" t="s">
        <v>21</v>
      </c>
      <c r="B41" s="28">
        <f>IF(ISBLANK(A41),0,INDEX(txtstylestab[],MATCH(A41,txtstylestab[style_Name],0),1))</f>
        <v>0</v>
      </c>
      <c r="C41" s="28">
        <f t="shared" si="0"/>
        <v>2</v>
      </c>
      <c r="D41" s="28">
        <f t="shared" si="1"/>
        <v>3</v>
      </c>
      <c r="E41" s="28">
        <f t="shared" si="2"/>
        <v>0</v>
      </c>
      <c r="F41" s="59" t="str">
        <f t="shared" si="3"/>
        <v/>
      </c>
      <c r="G41" s="42" t="s">
        <v>915</v>
      </c>
      <c r="H41" s="43" t="s">
        <v>916</v>
      </c>
      <c r="I41" s="44" t="s">
        <v>917</v>
      </c>
      <c r="J41" s="45" t="s">
        <v>918</v>
      </c>
      <c r="K41" s="46" t="s">
        <v>919</v>
      </c>
      <c r="L41" s="47" t="s">
        <v>2825</v>
      </c>
      <c r="M41" s="48" t="s">
        <v>2826</v>
      </c>
      <c r="N41" s="49"/>
      <c r="O41" s="50" t="s">
        <v>3250</v>
      </c>
      <c r="P41" s="59"/>
      <c r="Q41" s="59"/>
      <c r="R41" s="13"/>
    </row>
    <row r="42" spans="1:18" x14ac:dyDescent="0.25">
      <c r="A42" s="9" t="s">
        <v>21</v>
      </c>
      <c r="B42" s="28">
        <f>IF(ISBLANK(A42),0,INDEX(txtstylestab[],MATCH(A42,txtstylestab[style_Name],0),1))</f>
        <v>0</v>
      </c>
      <c r="C42" s="28">
        <f t="shared" si="0"/>
        <v>2</v>
      </c>
      <c r="D42" s="28">
        <f t="shared" si="1"/>
        <v>3</v>
      </c>
      <c r="E42" s="28">
        <f t="shared" si="2"/>
        <v>0</v>
      </c>
      <c r="F42" s="59" t="str">
        <f t="shared" si="3"/>
        <v/>
      </c>
      <c r="G42" s="42" t="s">
        <v>6</v>
      </c>
      <c r="H42" s="43" t="s">
        <v>26</v>
      </c>
      <c r="I42" s="44" t="s">
        <v>48</v>
      </c>
      <c r="J42" s="45" t="s">
        <v>54</v>
      </c>
      <c r="K42" s="46" t="s">
        <v>59</v>
      </c>
      <c r="L42" s="47" t="s">
        <v>2524</v>
      </c>
      <c r="M42" s="48" t="s">
        <v>2525</v>
      </c>
      <c r="N42" s="49"/>
      <c r="O42" s="50" t="s">
        <v>3168</v>
      </c>
      <c r="P42" s="50"/>
      <c r="Q42" s="59"/>
      <c r="R42" s="13"/>
    </row>
    <row r="43" spans="1:18" ht="15.75" thickBot="1" x14ac:dyDescent="0.3">
      <c r="A43" s="9" t="s">
        <v>12</v>
      </c>
      <c r="B43" s="28">
        <f>IF(ISBLANK(A43),0,INDEX(txtstylestab[],MATCH(A43,txtstylestab[style_Name],0),1))</f>
        <v>3</v>
      </c>
      <c r="C43" s="28">
        <f t="shared" si="0"/>
        <v>2</v>
      </c>
      <c r="D43" s="28">
        <f t="shared" si="1"/>
        <v>3</v>
      </c>
      <c r="E43" s="28">
        <f t="shared" si="2"/>
        <v>1</v>
      </c>
      <c r="F43" s="55" t="str">
        <f t="shared" si="3"/>
        <v>2.3.1.</v>
      </c>
      <c r="G43" s="55" t="s">
        <v>920</v>
      </c>
      <c r="H43" s="55"/>
      <c r="I43" s="55"/>
      <c r="J43" s="55"/>
      <c r="K43" s="55"/>
      <c r="L43" s="55"/>
      <c r="M43" s="55"/>
      <c r="N43" s="55"/>
      <c r="O43" s="55"/>
      <c r="P43" s="55"/>
      <c r="Q43" s="55"/>
      <c r="R43" s="13"/>
    </row>
    <row r="44" spans="1:18" x14ac:dyDescent="0.25">
      <c r="A44" s="9" t="s">
        <v>21</v>
      </c>
      <c r="B44" s="28">
        <f>IF(ISBLANK(A44),0,INDEX(txtstylestab[],MATCH(A44,txtstylestab[style_Name],0),1))</f>
        <v>0</v>
      </c>
      <c r="C44" s="28">
        <f t="shared" si="0"/>
        <v>2</v>
      </c>
      <c r="D44" s="28">
        <f t="shared" si="1"/>
        <v>3</v>
      </c>
      <c r="E44" s="28">
        <f t="shared" si="2"/>
        <v>1</v>
      </c>
      <c r="F44" s="59" t="str">
        <f t="shared" si="3"/>
        <v/>
      </c>
      <c r="G44" s="42" t="s">
        <v>82</v>
      </c>
      <c r="H44" s="43" t="s">
        <v>83</v>
      </c>
      <c r="I44" s="44" t="s">
        <v>84</v>
      </c>
      <c r="J44" s="45" t="s">
        <v>85</v>
      </c>
      <c r="K44" s="46" t="s">
        <v>86</v>
      </c>
      <c r="L44" s="47"/>
      <c r="M44" s="47"/>
      <c r="N44" s="48"/>
      <c r="O44" s="50" t="s">
        <v>3161</v>
      </c>
      <c r="P44" s="49"/>
      <c r="Q44" s="50"/>
      <c r="R44" s="13"/>
    </row>
    <row r="45" spans="1:18" x14ac:dyDescent="0.25">
      <c r="A45" s="9" t="s">
        <v>21</v>
      </c>
      <c r="B45" s="28">
        <f>IF(ISBLANK(A45),0,INDEX(txtstylestab[],MATCH(A45,txtstylestab[style_Name],0),1))</f>
        <v>0</v>
      </c>
      <c r="C45" s="28">
        <f t="shared" si="0"/>
        <v>2</v>
      </c>
      <c r="D45" s="28">
        <f t="shared" si="1"/>
        <v>3</v>
      </c>
      <c r="E45" s="28">
        <f t="shared" si="2"/>
        <v>1</v>
      </c>
      <c r="F45" s="59" t="str">
        <f t="shared" si="3"/>
        <v/>
      </c>
      <c r="G45" s="42" t="s">
        <v>921</v>
      </c>
      <c r="H45" s="43" t="s">
        <v>922</v>
      </c>
      <c r="I45" s="44" t="s">
        <v>923</v>
      </c>
      <c r="J45" s="45" t="s">
        <v>924</v>
      </c>
      <c r="K45" s="46" t="s">
        <v>925</v>
      </c>
      <c r="L45" s="47"/>
      <c r="M45" s="48"/>
      <c r="N45" s="49"/>
      <c r="O45" s="50" t="s">
        <v>3245</v>
      </c>
      <c r="P45" s="59"/>
      <c r="Q45" s="59"/>
      <c r="R45" s="13"/>
    </row>
    <row r="46" spans="1:18" ht="30" x14ac:dyDescent="0.25">
      <c r="A46" s="9" t="s">
        <v>21</v>
      </c>
      <c r="B46" s="28">
        <f>IF(ISBLANK(A46),0,INDEX(txtstylestab[],MATCH(A46,txtstylestab[style_Name],0),1))</f>
        <v>0</v>
      </c>
      <c r="C46" s="28">
        <f t="shared" si="0"/>
        <v>2</v>
      </c>
      <c r="D46" s="28">
        <f t="shared" si="1"/>
        <v>3</v>
      </c>
      <c r="E46" s="28">
        <f t="shared" si="2"/>
        <v>1</v>
      </c>
      <c r="F46" s="59" t="str">
        <f t="shared" si="3"/>
        <v/>
      </c>
      <c r="G46" s="42" t="s">
        <v>928</v>
      </c>
      <c r="H46" s="43" t="s">
        <v>929</v>
      </c>
      <c r="I46" s="44" t="s">
        <v>926</v>
      </c>
      <c r="J46" s="45" t="s">
        <v>930</v>
      </c>
      <c r="K46" s="46" t="s">
        <v>927</v>
      </c>
      <c r="L46" s="47"/>
      <c r="M46" s="48"/>
      <c r="N46" s="49"/>
      <c r="O46" s="50" t="s">
        <v>3246</v>
      </c>
      <c r="P46" s="59"/>
      <c r="Q46" s="59"/>
      <c r="R46" s="13"/>
    </row>
    <row r="47" spans="1:18" x14ac:dyDescent="0.25">
      <c r="A47" s="9" t="s">
        <v>21</v>
      </c>
      <c r="B47" s="28">
        <f>IF(ISBLANK(A47),0,INDEX(txtstylestab[],MATCH(A47,txtstylestab[style_Name],0),1))</f>
        <v>0</v>
      </c>
      <c r="C47" s="28">
        <f t="shared" si="0"/>
        <v>2</v>
      </c>
      <c r="D47" s="28">
        <f t="shared" si="1"/>
        <v>3</v>
      </c>
      <c r="E47" s="28">
        <f t="shared" si="2"/>
        <v>1</v>
      </c>
      <c r="F47" s="59" t="str">
        <f t="shared" si="3"/>
        <v/>
      </c>
      <c r="G47" s="42" t="s">
        <v>6</v>
      </c>
      <c r="H47" s="43" t="s">
        <v>26</v>
      </c>
      <c r="I47" s="44" t="s">
        <v>48</v>
      </c>
      <c r="J47" s="45" t="s">
        <v>384</v>
      </c>
      <c r="K47" s="46" t="s">
        <v>59</v>
      </c>
      <c r="L47" s="47"/>
      <c r="M47" s="47"/>
      <c r="N47" s="48"/>
      <c r="O47" s="50" t="s">
        <v>3168</v>
      </c>
      <c r="P47" s="49"/>
      <c r="Q47" s="50"/>
      <c r="R47" s="13"/>
    </row>
    <row r="48" spans="1:18" ht="18" thickBot="1" x14ac:dyDescent="0.35">
      <c r="A48" s="9" t="s">
        <v>11</v>
      </c>
      <c r="B48" s="28">
        <f>IF(ISBLANK(A48),0,INDEX(txtstylestab[],MATCH(A48,txtstylestab[style_Name],0),1))</f>
        <v>2</v>
      </c>
      <c r="C48" s="28">
        <f t="shared" si="0"/>
        <v>2</v>
      </c>
      <c r="D48" s="28">
        <f t="shared" si="1"/>
        <v>4</v>
      </c>
      <c r="E48" s="28">
        <f t="shared" si="2"/>
        <v>0</v>
      </c>
      <c r="F48" s="54" t="str">
        <f t="shared" si="3"/>
        <v>2.4.</v>
      </c>
      <c r="G48" s="54" t="s">
        <v>931</v>
      </c>
      <c r="H48" s="54"/>
      <c r="I48" s="54"/>
      <c r="J48" s="54"/>
      <c r="K48" s="54"/>
      <c r="L48" s="54"/>
      <c r="M48" s="54"/>
      <c r="N48" s="54"/>
      <c r="O48" s="54"/>
      <c r="P48" s="54"/>
      <c r="Q48" s="54"/>
      <c r="R48" s="13"/>
    </row>
    <row r="49" spans="1:18" ht="15.75" thickTop="1" x14ac:dyDescent="0.25">
      <c r="A49" s="9" t="s">
        <v>21</v>
      </c>
      <c r="B49" s="28">
        <f>IF(ISBLANK(A49),0,INDEX(txtstylestab[],MATCH(A49,txtstylestab[style_Name],0),1))</f>
        <v>0</v>
      </c>
      <c r="C49" s="28">
        <f t="shared" si="0"/>
        <v>2</v>
      </c>
      <c r="D49" s="28">
        <f t="shared" si="1"/>
        <v>4</v>
      </c>
      <c r="E49" s="28">
        <f t="shared" si="2"/>
        <v>0</v>
      </c>
      <c r="F49" s="59" t="str">
        <f t="shared" si="3"/>
        <v/>
      </c>
      <c r="G49" s="42" t="s">
        <v>82</v>
      </c>
      <c r="H49" s="43" t="s">
        <v>83</v>
      </c>
      <c r="I49" s="44" t="s">
        <v>84</v>
      </c>
      <c r="J49" s="45" t="s">
        <v>85</v>
      </c>
      <c r="K49" s="46" t="s">
        <v>86</v>
      </c>
      <c r="L49" s="47" t="s">
        <v>2397</v>
      </c>
      <c r="M49" s="48" t="s">
        <v>2332</v>
      </c>
      <c r="N49" s="49"/>
      <c r="O49" s="50" t="s">
        <v>3161</v>
      </c>
      <c r="P49" s="50"/>
      <c r="Q49" s="59"/>
      <c r="R49" s="13"/>
    </row>
    <row r="50" spans="1:18" ht="75" x14ac:dyDescent="0.25">
      <c r="A50" s="9" t="s">
        <v>21</v>
      </c>
      <c r="B50" s="28">
        <f>IF(ISBLANK(A50),0,INDEX(txtstylestab[],MATCH(A50,txtstylestab[style_Name],0),1))</f>
        <v>0</v>
      </c>
      <c r="C50" s="28">
        <f t="shared" si="0"/>
        <v>2</v>
      </c>
      <c r="D50" s="28">
        <f t="shared" si="1"/>
        <v>4</v>
      </c>
      <c r="E50" s="28">
        <f t="shared" si="2"/>
        <v>0</v>
      </c>
      <c r="F50" s="59" t="str">
        <f t="shared" si="3"/>
        <v/>
      </c>
      <c r="G50" s="42" t="s">
        <v>1982</v>
      </c>
      <c r="H50" s="43" t="s">
        <v>1983</v>
      </c>
      <c r="I50" s="44" t="s">
        <v>1984</v>
      </c>
      <c r="J50" s="45" t="s">
        <v>1985</v>
      </c>
      <c r="K50" s="46" t="s">
        <v>1986</v>
      </c>
      <c r="L50" s="47" t="s">
        <v>2827</v>
      </c>
      <c r="M50" s="48" t="s">
        <v>2857</v>
      </c>
      <c r="N50" s="49"/>
      <c r="O50" s="50" t="s">
        <v>3243</v>
      </c>
      <c r="P50" s="59"/>
      <c r="Q50" s="59"/>
      <c r="R50" s="13"/>
    </row>
    <row r="51" spans="1:18" ht="90" x14ac:dyDescent="0.25">
      <c r="A51" s="9" t="s">
        <v>14</v>
      </c>
      <c r="B51" s="28">
        <f>IF(ISBLANK(A51),0,INDEX(txtstylestab[],MATCH(A51,txtstylestab[style_Name],0),1))</f>
        <v>6</v>
      </c>
      <c r="C51" s="28">
        <f t="shared" si="0"/>
        <v>2</v>
      </c>
      <c r="D51" s="28">
        <f t="shared" si="1"/>
        <v>4</v>
      </c>
      <c r="E51" s="28">
        <f t="shared" si="2"/>
        <v>0</v>
      </c>
      <c r="F51" s="59" t="str">
        <f t="shared" si="3"/>
        <v/>
      </c>
      <c r="G51" s="42" t="s">
        <v>1987</v>
      </c>
      <c r="H51" s="43" t="s">
        <v>1988</v>
      </c>
      <c r="I51" s="44" t="s">
        <v>1989</v>
      </c>
      <c r="J51" s="45" t="s">
        <v>1990</v>
      </c>
      <c r="K51" s="46" t="s">
        <v>1991</v>
      </c>
      <c r="L51" s="47" t="s">
        <v>2828</v>
      </c>
      <c r="M51" s="48" t="s">
        <v>2829</v>
      </c>
      <c r="N51" s="49"/>
      <c r="O51" s="50" t="s">
        <v>3240</v>
      </c>
      <c r="P51" s="59"/>
      <c r="Q51" s="59"/>
      <c r="R51" s="13"/>
    </row>
    <row r="52" spans="1:18" ht="90" x14ac:dyDescent="0.25">
      <c r="A52" s="9" t="s">
        <v>14</v>
      </c>
      <c r="B52" s="28">
        <f>IF(ISBLANK(A52),0,INDEX(txtstylestab[],MATCH(A52,txtstylestab[style_Name],0),1))</f>
        <v>6</v>
      </c>
      <c r="C52" s="28">
        <f t="shared" si="0"/>
        <v>2</v>
      </c>
      <c r="D52" s="28">
        <f t="shared" si="1"/>
        <v>4</v>
      </c>
      <c r="E52" s="28">
        <f t="shared" si="2"/>
        <v>0</v>
      </c>
      <c r="F52" s="59" t="str">
        <f t="shared" si="3"/>
        <v/>
      </c>
      <c r="G52" s="42" t="s">
        <v>1992</v>
      </c>
      <c r="H52" s="43" t="s">
        <v>1993</v>
      </c>
      <c r="I52" s="44" t="s">
        <v>1994</v>
      </c>
      <c r="J52" s="45" t="s">
        <v>1995</v>
      </c>
      <c r="K52" s="46" t="s">
        <v>1996</v>
      </c>
      <c r="L52" s="47" t="s">
        <v>2830</v>
      </c>
      <c r="M52" s="48" t="s">
        <v>2856</v>
      </c>
      <c r="N52" s="49"/>
      <c r="O52" s="50" t="s">
        <v>3241</v>
      </c>
      <c r="P52" s="59"/>
      <c r="Q52" s="59"/>
      <c r="R52" s="13"/>
    </row>
    <row r="53" spans="1:18" ht="45" x14ac:dyDescent="0.25">
      <c r="A53" s="9" t="s">
        <v>21</v>
      </c>
      <c r="B53" s="28">
        <f>IF(ISBLANK(A53),0,INDEX(txtstylestab[],MATCH(A53,txtstylestab[style_Name],0),1))</f>
        <v>0</v>
      </c>
      <c r="C53" s="28">
        <f t="shared" si="0"/>
        <v>2</v>
      </c>
      <c r="D53" s="28">
        <f t="shared" si="1"/>
        <v>4</v>
      </c>
      <c r="E53" s="28">
        <f t="shared" si="2"/>
        <v>0</v>
      </c>
      <c r="F53" s="59" t="str">
        <f t="shared" si="3"/>
        <v/>
      </c>
      <c r="G53" s="42"/>
      <c r="H53" s="43"/>
      <c r="I53" s="44"/>
      <c r="J53" s="45"/>
      <c r="K53" s="46"/>
      <c r="L53" s="47"/>
      <c r="M53" s="48"/>
      <c r="N53" s="49"/>
      <c r="O53" s="50" t="s">
        <v>3242</v>
      </c>
      <c r="P53" s="59"/>
      <c r="Q53" s="59"/>
      <c r="R53" s="13"/>
    </row>
    <row r="54" spans="1:18" ht="45" x14ac:dyDescent="0.25">
      <c r="A54" s="9" t="s">
        <v>21</v>
      </c>
      <c r="B54" s="28">
        <f>IF(ISBLANK(A54),0,INDEX(txtstylestab[],MATCH(A54,txtstylestab[style_Name],0),1))</f>
        <v>0</v>
      </c>
      <c r="C54" s="28">
        <f t="shared" si="0"/>
        <v>2</v>
      </c>
      <c r="D54" s="28">
        <f t="shared" si="1"/>
        <v>4</v>
      </c>
      <c r="E54" s="28">
        <f t="shared" si="2"/>
        <v>0</v>
      </c>
      <c r="F54" s="59" t="str">
        <f t="shared" si="3"/>
        <v/>
      </c>
      <c r="G54" s="42" t="s">
        <v>392</v>
      </c>
      <c r="H54" s="43" t="s">
        <v>891</v>
      </c>
      <c r="I54" s="44" t="s">
        <v>1643</v>
      </c>
      <c r="J54" s="45" t="s">
        <v>395</v>
      </c>
      <c r="K54" s="46" t="s">
        <v>932</v>
      </c>
      <c r="L54" s="47" t="s">
        <v>2522</v>
      </c>
      <c r="M54" s="48" t="s">
        <v>2523</v>
      </c>
      <c r="N54" s="49"/>
      <c r="O54" s="50" t="s">
        <v>3244</v>
      </c>
      <c r="P54" s="59"/>
      <c r="Q54" s="59"/>
      <c r="R54" s="13"/>
    </row>
    <row r="55" spans="1:18" ht="45" x14ac:dyDescent="0.25">
      <c r="A55" s="9" t="s">
        <v>21</v>
      </c>
      <c r="B55" s="28">
        <f>IF(ISBLANK(A55),0,INDEX(txtstylestab[],MATCH(A55,txtstylestab[style_Name],0),1))</f>
        <v>0</v>
      </c>
      <c r="C55" s="28">
        <f t="shared" si="0"/>
        <v>2</v>
      </c>
      <c r="D55" s="28">
        <f t="shared" si="1"/>
        <v>4</v>
      </c>
      <c r="E55" s="28">
        <f t="shared" si="2"/>
        <v>0</v>
      </c>
      <c r="F55" s="59" t="str">
        <f t="shared" si="3"/>
        <v/>
      </c>
      <c r="G55" s="42" t="s">
        <v>535</v>
      </c>
      <c r="H55" s="43" t="s">
        <v>536</v>
      </c>
      <c r="I55" s="44" t="s">
        <v>2209</v>
      </c>
      <c r="J55" s="45" t="s">
        <v>504</v>
      </c>
      <c r="K55" s="46" t="s">
        <v>537</v>
      </c>
      <c r="L55" s="47" t="s">
        <v>2831</v>
      </c>
      <c r="M55" s="48" t="s">
        <v>2801</v>
      </c>
      <c r="N55" s="49"/>
      <c r="O55" s="50" t="s">
        <v>3239</v>
      </c>
      <c r="P55" s="59"/>
      <c r="Q55" s="59"/>
      <c r="R55" s="13"/>
    </row>
    <row r="56" spans="1:18" x14ac:dyDescent="0.25">
      <c r="A56" s="9" t="s">
        <v>21</v>
      </c>
      <c r="B56" s="28">
        <f>IF(ISBLANK(A56),0,INDEX(txtstylestab[],MATCH(A56,txtstylestab[style_Name],0),1))</f>
        <v>0</v>
      </c>
      <c r="C56" s="28">
        <f t="shared" si="0"/>
        <v>2</v>
      </c>
      <c r="D56" s="28">
        <f t="shared" si="1"/>
        <v>4</v>
      </c>
      <c r="E56" s="28">
        <f t="shared" si="2"/>
        <v>0</v>
      </c>
      <c r="F56" s="59" t="str">
        <f t="shared" si="3"/>
        <v/>
      </c>
      <c r="G56" s="42" t="s">
        <v>6</v>
      </c>
      <c r="H56" s="43" t="s">
        <v>26</v>
      </c>
      <c r="I56" s="44" t="s">
        <v>48</v>
      </c>
      <c r="J56" s="45" t="s">
        <v>384</v>
      </c>
      <c r="K56" s="46" t="s">
        <v>59</v>
      </c>
      <c r="L56" s="47" t="s">
        <v>2524</v>
      </c>
      <c r="M56" s="48" t="s">
        <v>2525</v>
      </c>
      <c r="N56" s="49"/>
      <c r="O56" s="50" t="s">
        <v>3168</v>
      </c>
      <c r="P56" s="50"/>
      <c r="Q56" s="59"/>
      <c r="R56" s="13"/>
    </row>
    <row r="57" spans="1:18" ht="18" thickBot="1" x14ac:dyDescent="0.35">
      <c r="A57" s="9" t="s">
        <v>11</v>
      </c>
      <c r="B57" s="28">
        <f>IF(ISBLANK(A57),0,INDEX(txtstylestab[],MATCH(A57,txtstylestab[style_Name],0),1))</f>
        <v>2</v>
      </c>
      <c r="C57" s="28">
        <f t="shared" si="0"/>
        <v>2</v>
      </c>
      <c r="D57" s="28">
        <f t="shared" si="1"/>
        <v>5</v>
      </c>
      <c r="E57" s="28">
        <f t="shared" si="2"/>
        <v>0</v>
      </c>
      <c r="F57" s="54" t="str">
        <f t="shared" si="3"/>
        <v>2.5.</v>
      </c>
      <c r="G57" s="54" t="s">
        <v>933</v>
      </c>
      <c r="H57" s="54"/>
      <c r="I57" s="54"/>
      <c r="J57" s="54"/>
      <c r="K57" s="54"/>
      <c r="L57" s="54"/>
      <c r="M57" s="54"/>
      <c r="N57" s="54"/>
      <c r="O57" s="54"/>
      <c r="P57" s="54"/>
      <c r="Q57" s="54"/>
      <c r="R57" s="13"/>
    </row>
    <row r="58" spans="1:18" ht="15.75" thickTop="1" x14ac:dyDescent="0.25">
      <c r="A58" s="9" t="s">
        <v>21</v>
      </c>
      <c r="B58" s="28">
        <f>IF(ISBLANK(A58),0,INDEX(txtstylestab[],MATCH(A58,txtstylestab[style_Name],0),1))</f>
        <v>0</v>
      </c>
      <c r="C58" s="28">
        <f t="shared" si="0"/>
        <v>2</v>
      </c>
      <c r="D58" s="28">
        <f t="shared" si="1"/>
        <v>5</v>
      </c>
      <c r="E58" s="28">
        <f t="shared" si="2"/>
        <v>0</v>
      </c>
      <c r="F58" s="59" t="str">
        <f t="shared" si="3"/>
        <v/>
      </c>
      <c r="G58" s="42" t="s">
        <v>82</v>
      </c>
      <c r="H58" s="43" t="s">
        <v>83</v>
      </c>
      <c r="I58" s="44" t="s">
        <v>84</v>
      </c>
      <c r="J58" s="45" t="s">
        <v>85</v>
      </c>
      <c r="K58" s="46" t="s">
        <v>86</v>
      </c>
      <c r="L58" s="47" t="s">
        <v>2397</v>
      </c>
      <c r="M58" s="48" t="s">
        <v>2332</v>
      </c>
      <c r="N58" s="49"/>
      <c r="O58" s="50" t="s">
        <v>3161</v>
      </c>
      <c r="P58" s="50"/>
      <c r="Q58" s="59"/>
      <c r="R58" s="13"/>
    </row>
    <row r="59" spans="1:18" x14ac:dyDescent="0.25">
      <c r="A59" s="9" t="s">
        <v>21</v>
      </c>
      <c r="B59" s="28">
        <f>IF(ISBLANK(A59),0,INDEX(txtstylestab[],MATCH(A59,txtstylestab[style_Name],0),1))</f>
        <v>0</v>
      </c>
      <c r="C59" s="28">
        <f t="shared" si="0"/>
        <v>2</v>
      </c>
      <c r="D59" s="28">
        <f t="shared" si="1"/>
        <v>5</v>
      </c>
      <c r="E59" s="28">
        <f t="shared" si="2"/>
        <v>0</v>
      </c>
      <c r="F59" s="59" t="str">
        <f t="shared" si="3"/>
        <v/>
      </c>
      <c r="G59" s="42" t="s">
        <v>408</v>
      </c>
      <c r="H59" s="43" t="s">
        <v>409</v>
      </c>
      <c r="I59" s="44" t="s">
        <v>410</v>
      </c>
      <c r="J59" s="45" t="s">
        <v>411</v>
      </c>
      <c r="K59" s="46" t="s">
        <v>412</v>
      </c>
      <c r="L59" s="47" t="s">
        <v>2518</v>
      </c>
      <c r="M59" s="48" t="s">
        <v>2519</v>
      </c>
      <c r="N59" s="49"/>
      <c r="O59" s="50"/>
      <c r="P59" s="59"/>
      <c r="Q59" s="59"/>
      <c r="R59" s="13"/>
    </row>
    <row r="60" spans="1:18" ht="30" x14ac:dyDescent="0.25">
      <c r="A60" s="9" t="s">
        <v>21</v>
      </c>
      <c r="B60" s="28">
        <f>IF(ISBLANK(A60),0,INDEX(txtstylestab[],MATCH(A60,txtstylestab[style_Name],0),1))</f>
        <v>0</v>
      </c>
      <c r="C60" s="28">
        <f t="shared" si="0"/>
        <v>2</v>
      </c>
      <c r="D60" s="28">
        <f t="shared" si="1"/>
        <v>5</v>
      </c>
      <c r="E60" s="28">
        <f t="shared" si="2"/>
        <v>0</v>
      </c>
      <c r="F60" s="59" t="str">
        <f t="shared" si="3"/>
        <v/>
      </c>
      <c r="G60" s="42"/>
      <c r="H60" s="43"/>
      <c r="I60" s="44" t="s">
        <v>937</v>
      </c>
      <c r="J60" s="45" t="s">
        <v>935</v>
      </c>
      <c r="K60" s="46" t="s">
        <v>936</v>
      </c>
      <c r="L60" s="47"/>
      <c r="M60" s="48"/>
      <c r="N60" s="49"/>
      <c r="O60" s="50"/>
      <c r="P60" s="59"/>
      <c r="Q60" s="59"/>
      <c r="R60" s="13"/>
    </row>
    <row r="61" spans="1:18" ht="60" x14ac:dyDescent="0.25">
      <c r="A61" s="9" t="s">
        <v>21</v>
      </c>
      <c r="B61" s="28">
        <f>IF(ISBLANK(A61),0,INDEX(txtstylestab[],MATCH(A61,txtstylestab[style_Name],0),1))</f>
        <v>0</v>
      </c>
      <c r="C61" s="28">
        <f t="shared" si="0"/>
        <v>2</v>
      </c>
      <c r="D61" s="28">
        <f t="shared" si="1"/>
        <v>5</v>
      </c>
      <c r="E61" s="28">
        <f t="shared" si="2"/>
        <v>0</v>
      </c>
      <c r="F61" s="59" t="str">
        <f t="shared" si="3"/>
        <v/>
      </c>
      <c r="G61" s="42" t="s">
        <v>1997</v>
      </c>
      <c r="H61" s="43" t="s">
        <v>1998</v>
      </c>
      <c r="I61" s="44" t="s">
        <v>2211</v>
      </c>
      <c r="J61" s="45" t="s">
        <v>2212</v>
      </c>
      <c r="K61" s="46" t="s">
        <v>2210</v>
      </c>
      <c r="L61" s="47" t="s">
        <v>2832</v>
      </c>
      <c r="M61" s="48" t="s">
        <v>2833</v>
      </c>
      <c r="N61" s="49"/>
      <c r="O61" s="50" t="s">
        <v>3237</v>
      </c>
      <c r="P61" s="59"/>
      <c r="Q61" s="59"/>
      <c r="R61" s="13"/>
    </row>
    <row r="62" spans="1:18" ht="45" x14ac:dyDescent="0.25">
      <c r="A62" s="9" t="s">
        <v>21</v>
      </c>
      <c r="B62" s="28">
        <f>IF(ISBLANK(A62),0,INDEX(txtstylestab[],MATCH(A62,txtstylestab[style_Name],0),1))</f>
        <v>0</v>
      </c>
      <c r="C62" s="28">
        <f t="shared" si="0"/>
        <v>2</v>
      </c>
      <c r="D62" s="28">
        <f t="shared" si="1"/>
        <v>5</v>
      </c>
      <c r="E62" s="28">
        <f t="shared" si="2"/>
        <v>0</v>
      </c>
      <c r="F62" s="59" t="str">
        <f t="shared" si="3"/>
        <v/>
      </c>
      <c r="G62" s="42" t="s">
        <v>416</v>
      </c>
      <c r="H62" s="43" t="s">
        <v>891</v>
      </c>
      <c r="I62" s="44" t="s">
        <v>1643</v>
      </c>
      <c r="J62" s="45" t="s">
        <v>395</v>
      </c>
      <c r="K62" s="46" t="s">
        <v>932</v>
      </c>
      <c r="L62" s="47" t="s">
        <v>2834</v>
      </c>
      <c r="M62" s="48" t="s">
        <v>2801</v>
      </c>
      <c r="N62" s="49"/>
      <c r="O62" s="50" t="s">
        <v>3238</v>
      </c>
      <c r="P62" s="59"/>
      <c r="Q62" s="59"/>
      <c r="R62" s="13"/>
    </row>
    <row r="63" spans="1:18" ht="45" x14ac:dyDescent="0.25">
      <c r="A63" s="9" t="s">
        <v>21</v>
      </c>
      <c r="B63" s="28">
        <f>IF(ISBLANK(A63),0,INDEX(txtstylestab[],MATCH(A63,txtstylestab[style_Name],0),1))</f>
        <v>0</v>
      </c>
      <c r="C63" s="28">
        <f t="shared" si="0"/>
        <v>2</v>
      </c>
      <c r="D63" s="28">
        <f t="shared" si="1"/>
        <v>5</v>
      </c>
      <c r="E63" s="28">
        <f t="shared" si="2"/>
        <v>0</v>
      </c>
      <c r="F63" s="59" t="str">
        <f t="shared" si="3"/>
        <v/>
      </c>
      <c r="G63" s="42" t="s">
        <v>535</v>
      </c>
      <c r="H63" s="43" t="s">
        <v>536</v>
      </c>
      <c r="I63" s="44" t="s">
        <v>2199</v>
      </c>
      <c r="J63" s="45" t="s">
        <v>504</v>
      </c>
      <c r="K63" s="46" t="s">
        <v>537</v>
      </c>
      <c r="L63" s="47" t="s">
        <v>2522</v>
      </c>
      <c r="M63" s="48" t="s">
        <v>2523</v>
      </c>
      <c r="N63" s="49"/>
      <c r="O63" s="50" t="s">
        <v>3239</v>
      </c>
      <c r="P63" s="59"/>
      <c r="Q63" s="59"/>
      <c r="R63" s="13"/>
    </row>
    <row r="64" spans="1:18" x14ac:dyDescent="0.25">
      <c r="A64" s="9" t="s">
        <v>21</v>
      </c>
      <c r="B64" s="28">
        <f>IF(ISBLANK(A64),0,INDEX(txtstylestab[],MATCH(A64,txtstylestab[style_Name],0),1))</f>
        <v>0</v>
      </c>
      <c r="C64" s="28">
        <f t="shared" si="0"/>
        <v>2</v>
      </c>
      <c r="D64" s="28">
        <f t="shared" si="1"/>
        <v>5</v>
      </c>
      <c r="E64" s="28">
        <f t="shared" si="2"/>
        <v>0</v>
      </c>
      <c r="F64" s="59" t="str">
        <f t="shared" si="3"/>
        <v/>
      </c>
      <c r="G64" s="42" t="s">
        <v>934</v>
      </c>
      <c r="H64" s="43" t="s">
        <v>26</v>
      </c>
      <c r="I64" s="44" t="s">
        <v>48</v>
      </c>
      <c r="J64" s="45" t="s">
        <v>54</v>
      </c>
      <c r="K64" s="46" t="s">
        <v>59</v>
      </c>
      <c r="L64" s="47" t="s">
        <v>2524</v>
      </c>
      <c r="M64" s="48" t="s">
        <v>2525</v>
      </c>
      <c r="N64" s="49"/>
      <c r="O64" s="50" t="s">
        <v>3168</v>
      </c>
      <c r="P64" s="59"/>
      <c r="Q64" s="59"/>
      <c r="R64" s="13"/>
    </row>
    <row r="65" spans="1:18" ht="18" thickBot="1" x14ac:dyDescent="0.35">
      <c r="A65" s="9" t="s">
        <v>11</v>
      </c>
      <c r="B65" s="28">
        <f>IF(ISBLANK(A65),0,INDEX(txtstylestab[],MATCH(A65,txtstylestab[style_Name],0),1))</f>
        <v>2</v>
      </c>
      <c r="C65" s="28">
        <f t="shared" si="0"/>
        <v>2</v>
      </c>
      <c r="D65" s="28">
        <f t="shared" si="1"/>
        <v>6</v>
      </c>
      <c r="E65" s="28">
        <f t="shared" si="2"/>
        <v>0</v>
      </c>
      <c r="F65" s="54" t="str">
        <f t="shared" si="3"/>
        <v>2.6.</v>
      </c>
      <c r="G65" s="54" t="s">
        <v>938</v>
      </c>
      <c r="H65" s="54"/>
      <c r="I65" s="54"/>
      <c r="J65" s="54"/>
      <c r="K65" s="54"/>
      <c r="L65" s="54"/>
      <c r="M65" s="54"/>
      <c r="N65" s="54"/>
      <c r="O65" s="54"/>
      <c r="P65" s="54"/>
      <c r="Q65" s="54"/>
      <c r="R65" s="13"/>
    </row>
    <row r="66" spans="1:18" ht="15.75" thickTop="1" x14ac:dyDescent="0.25">
      <c r="A66" s="9" t="s">
        <v>21</v>
      </c>
      <c r="B66" s="28">
        <f>IF(ISBLANK(A66),0,INDEX(txtstylestab[],MATCH(A66,txtstylestab[style_Name],0),1))</f>
        <v>0</v>
      </c>
      <c r="C66" s="28">
        <f t="shared" si="0"/>
        <v>2</v>
      </c>
      <c r="D66" s="28">
        <f t="shared" si="1"/>
        <v>6</v>
      </c>
      <c r="E66" s="28">
        <f t="shared" si="2"/>
        <v>0</v>
      </c>
      <c r="F66" s="59" t="str">
        <f t="shared" si="3"/>
        <v/>
      </c>
      <c r="G66" s="42" t="s">
        <v>82</v>
      </c>
      <c r="H66" s="43" t="s">
        <v>83</v>
      </c>
      <c r="I66" s="44" t="s">
        <v>84</v>
      </c>
      <c r="J66" s="45" t="s">
        <v>808</v>
      </c>
      <c r="K66" s="46" t="s">
        <v>86</v>
      </c>
      <c r="L66" s="47" t="s">
        <v>2397</v>
      </c>
      <c r="M66" s="48" t="s">
        <v>2332</v>
      </c>
      <c r="N66" s="49"/>
      <c r="O66" s="50" t="s">
        <v>3161</v>
      </c>
      <c r="P66" s="59"/>
      <c r="Q66" s="59"/>
      <c r="R66" s="13"/>
    </row>
    <row r="67" spans="1:18" ht="75" x14ac:dyDescent="0.25">
      <c r="A67" s="9" t="s">
        <v>21</v>
      </c>
      <c r="B67" s="28">
        <f>IF(ISBLANK(A67),0,INDEX(txtstylestab[],MATCH(A67,txtstylestab[style_Name],0),1))</f>
        <v>0</v>
      </c>
      <c r="C67" s="28">
        <f t="shared" si="0"/>
        <v>2</v>
      </c>
      <c r="D67" s="28">
        <f t="shared" si="1"/>
        <v>6</v>
      </c>
      <c r="E67" s="28">
        <f t="shared" si="2"/>
        <v>0</v>
      </c>
      <c r="F67" s="59" t="str">
        <f t="shared" si="3"/>
        <v/>
      </c>
      <c r="G67" s="42" t="s">
        <v>939</v>
      </c>
      <c r="H67" s="43" t="s">
        <v>940</v>
      </c>
      <c r="I67" s="44" t="s">
        <v>941</v>
      </c>
      <c r="J67" s="45" t="s">
        <v>942</v>
      </c>
      <c r="K67" s="46" t="s">
        <v>943</v>
      </c>
      <c r="L67" s="47" t="s">
        <v>2835</v>
      </c>
      <c r="M67" s="48" t="s">
        <v>2836</v>
      </c>
      <c r="N67" s="49"/>
      <c r="O67" s="50" t="s">
        <v>3235</v>
      </c>
      <c r="P67" s="59"/>
      <c r="Q67" s="59"/>
      <c r="R67" s="13"/>
    </row>
    <row r="68" spans="1:18" ht="30" x14ac:dyDescent="0.25">
      <c r="A68" s="9" t="s">
        <v>21</v>
      </c>
      <c r="B68" s="28">
        <f>IF(ISBLANK(A68),0,INDEX(txtstylestab[],MATCH(A68,txtstylestab[style_Name],0),1))</f>
        <v>0</v>
      </c>
      <c r="C68" s="28">
        <f t="shared" ref="C68:C131" si="4">IF(B68=1,C67+1,C67)</f>
        <v>2</v>
      </c>
      <c r="D68" s="28">
        <f t="shared" ref="D68:D131" si="5">IF(B68=1,0,IF(B68=2,D67+1,IF(AND(B68=3,D67=0),1,D67)))</f>
        <v>6</v>
      </c>
      <c r="E68" s="28">
        <f t="shared" ref="E68:E131" si="6">IF(OR(B68=1,B68=2),0,IF(B68=3,E67+1,E67))</f>
        <v>0</v>
      </c>
      <c r="F68" s="59" t="str">
        <f t="shared" ref="F68:F131" si="7">IF(OR(B68=1,B68=2,B68=3),TEXT(C68,"#")&amp;".","")&amp;IF(OR(B68=2,B68=3),TEXT(D68,"#")&amp;".","")&amp;IF(B68=3,TEXT(E68,"#")&amp;".","")</f>
        <v/>
      </c>
      <c r="G68" s="42" t="s">
        <v>815</v>
      </c>
      <c r="H68" s="43" t="s">
        <v>944</v>
      </c>
      <c r="I68" s="44" t="s">
        <v>945</v>
      </c>
      <c r="J68" s="45" t="s">
        <v>946</v>
      </c>
      <c r="K68" s="46" t="s">
        <v>947</v>
      </c>
      <c r="L68" s="47" t="s">
        <v>2751</v>
      </c>
      <c r="M68" s="48" t="s">
        <v>2752</v>
      </c>
      <c r="N68" s="49"/>
      <c r="O68" s="50" t="s">
        <v>3236</v>
      </c>
      <c r="P68" s="59"/>
      <c r="Q68" s="59"/>
      <c r="R68" s="13"/>
    </row>
    <row r="69" spans="1:18" x14ac:dyDescent="0.25">
      <c r="A69" s="9" t="s">
        <v>21</v>
      </c>
      <c r="B69" s="28">
        <f>IF(ISBLANK(A69),0,INDEX(txtstylestab[],MATCH(A69,txtstylestab[style_Name],0),1))</f>
        <v>0</v>
      </c>
      <c r="C69" s="28">
        <f t="shared" si="4"/>
        <v>2</v>
      </c>
      <c r="D69" s="28">
        <f t="shared" si="5"/>
        <v>6</v>
      </c>
      <c r="E69" s="28">
        <f t="shared" si="6"/>
        <v>0</v>
      </c>
      <c r="F69" s="59" t="str">
        <f t="shared" si="7"/>
        <v/>
      </c>
      <c r="G69" s="42" t="s">
        <v>684</v>
      </c>
      <c r="H69" s="43" t="s">
        <v>96</v>
      </c>
      <c r="I69" s="44" t="s">
        <v>48</v>
      </c>
      <c r="J69" s="45" t="s">
        <v>54</v>
      </c>
      <c r="K69" s="46" t="s">
        <v>59</v>
      </c>
      <c r="L69" s="47" t="s">
        <v>2524</v>
      </c>
      <c r="M69" s="48" t="s">
        <v>2525</v>
      </c>
      <c r="N69" s="49"/>
      <c r="O69" s="50" t="s">
        <v>3168</v>
      </c>
      <c r="P69" s="59"/>
      <c r="Q69" s="59"/>
      <c r="R69" s="13"/>
    </row>
    <row r="70" spans="1:18" x14ac:dyDescent="0.25">
      <c r="A70" s="9" t="s">
        <v>13</v>
      </c>
      <c r="B70" s="28">
        <f>IF(ISBLANK(A70),0,INDEX(txtstylestab[],MATCH(A70,txtstylestab[style_Name],0),1))</f>
        <v>7</v>
      </c>
      <c r="C70" s="28">
        <f t="shared" si="4"/>
        <v>2</v>
      </c>
      <c r="D70" s="28">
        <f t="shared" si="5"/>
        <v>6</v>
      </c>
      <c r="E70" s="28">
        <f t="shared" si="6"/>
        <v>0</v>
      </c>
      <c r="F70" s="78" t="str">
        <f t="shared" si="7"/>
        <v/>
      </c>
      <c r="G70" s="78" t="s">
        <v>18</v>
      </c>
      <c r="H70" s="78"/>
      <c r="I70" s="78"/>
      <c r="J70" s="78"/>
      <c r="K70" s="78"/>
      <c r="L70" s="78"/>
      <c r="M70" s="78"/>
      <c r="N70" s="78"/>
      <c r="O70" s="78"/>
      <c r="P70" s="78"/>
      <c r="Q70" s="78"/>
      <c r="R70" s="13"/>
    </row>
    <row r="71" spans="1:18" ht="18" thickBot="1" x14ac:dyDescent="0.35">
      <c r="A71" s="9" t="s">
        <v>11</v>
      </c>
      <c r="B71" s="28">
        <f>IF(ISBLANK(A71),0,INDEX(txtstylestab[],MATCH(A71,txtstylestab[style_Name],0),1))</f>
        <v>2</v>
      </c>
      <c r="C71" s="28">
        <f t="shared" si="4"/>
        <v>2</v>
      </c>
      <c r="D71" s="28">
        <f t="shared" si="5"/>
        <v>7</v>
      </c>
      <c r="E71" s="28">
        <f t="shared" si="6"/>
        <v>0</v>
      </c>
      <c r="F71" s="54" t="str">
        <f t="shared" si="7"/>
        <v>2.7.</v>
      </c>
      <c r="G71" s="54" t="s">
        <v>948</v>
      </c>
      <c r="H71" s="54"/>
      <c r="I71" s="54"/>
      <c r="J71" s="54"/>
      <c r="K71" s="54"/>
      <c r="L71" s="54"/>
      <c r="M71" s="54"/>
      <c r="N71" s="54"/>
      <c r="O71" s="54"/>
      <c r="P71" s="54"/>
      <c r="Q71" s="54"/>
      <c r="R71" s="13"/>
    </row>
    <row r="72" spans="1:18" ht="60.75" thickTop="1" x14ac:dyDescent="0.25">
      <c r="A72" s="9" t="s">
        <v>21</v>
      </c>
      <c r="B72" s="28">
        <f>IF(ISBLANK(A72),0,INDEX(txtstylestab[],MATCH(A72,txtstylestab[style_Name],0),1))</f>
        <v>0</v>
      </c>
      <c r="C72" s="28">
        <f t="shared" si="4"/>
        <v>2</v>
      </c>
      <c r="D72" s="28">
        <f t="shared" si="5"/>
        <v>7</v>
      </c>
      <c r="E72" s="28">
        <f t="shared" si="6"/>
        <v>0</v>
      </c>
      <c r="F72" s="59" t="str">
        <f t="shared" si="7"/>
        <v/>
      </c>
      <c r="G72" s="42" t="s">
        <v>1999</v>
      </c>
      <c r="H72" s="43" t="s">
        <v>616</v>
      </c>
      <c r="I72" s="44" t="s">
        <v>618</v>
      </c>
      <c r="J72" s="45" t="s">
        <v>619</v>
      </c>
      <c r="K72" s="46" t="s">
        <v>60</v>
      </c>
      <c r="L72" s="47" t="s">
        <v>2351</v>
      </c>
      <c r="M72" s="48" t="s">
        <v>2850</v>
      </c>
      <c r="N72" s="49"/>
      <c r="O72" s="50" t="s">
        <v>3161</v>
      </c>
      <c r="P72" s="59"/>
      <c r="Q72" s="59"/>
      <c r="R72" s="13"/>
    </row>
    <row r="73" spans="1:18" ht="105" x14ac:dyDescent="0.25">
      <c r="A73" s="9" t="s">
        <v>21</v>
      </c>
      <c r="B73" s="28">
        <f>IF(ISBLANK(A73),0,INDEX(txtstylestab[],MATCH(A73,txtstylestab[style_Name],0),1))</f>
        <v>0</v>
      </c>
      <c r="C73" s="28">
        <f t="shared" si="4"/>
        <v>2</v>
      </c>
      <c r="D73" s="28">
        <f t="shared" si="5"/>
        <v>7</v>
      </c>
      <c r="E73" s="28">
        <f t="shared" si="6"/>
        <v>0</v>
      </c>
      <c r="F73" s="59" t="str">
        <f t="shared" si="7"/>
        <v/>
      </c>
      <c r="G73" s="42" t="s">
        <v>75</v>
      </c>
      <c r="H73" s="43" t="s">
        <v>2261</v>
      </c>
      <c r="I73" s="44" t="s">
        <v>1743</v>
      </c>
      <c r="J73" s="45" t="s">
        <v>949</v>
      </c>
      <c r="K73" s="46" t="s">
        <v>950</v>
      </c>
      <c r="L73" s="47" t="s">
        <v>2837</v>
      </c>
      <c r="M73" s="48" t="s">
        <v>2855</v>
      </c>
      <c r="N73" s="49"/>
      <c r="O73" s="50" t="s">
        <v>3232</v>
      </c>
      <c r="P73" s="59"/>
      <c r="Q73" s="59"/>
      <c r="R73" s="13"/>
    </row>
    <row r="74" spans="1:18" ht="90" x14ac:dyDescent="0.25">
      <c r="A74" s="9" t="s">
        <v>21</v>
      </c>
      <c r="B74" s="28">
        <f>IF(ISBLANK(A74),0,INDEX(txtstylestab[],MATCH(A74,txtstylestab[style_Name],0),1))</f>
        <v>0</v>
      </c>
      <c r="C74" s="28">
        <f t="shared" si="4"/>
        <v>2</v>
      </c>
      <c r="D74" s="28">
        <f t="shared" si="5"/>
        <v>7</v>
      </c>
      <c r="E74" s="28">
        <f t="shared" si="6"/>
        <v>0</v>
      </c>
      <c r="F74" s="59" t="str">
        <f t="shared" si="7"/>
        <v/>
      </c>
      <c r="G74" s="42"/>
      <c r="H74" s="43"/>
      <c r="I74" s="44" t="s">
        <v>2268</v>
      </c>
      <c r="J74" s="45" t="s">
        <v>2269</v>
      </c>
      <c r="K74" s="46" t="s">
        <v>2270</v>
      </c>
      <c r="L74" s="47"/>
      <c r="M74" s="48"/>
      <c r="N74" s="49"/>
      <c r="O74" s="50"/>
      <c r="P74" s="59"/>
      <c r="Q74" s="59"/>
      <c r="R74" s="13"/>
    </row>
    <row r="75" spans="1:18" ht="120" x14ac:dyDescent="0.25">
      <c r="A75" s="9" t="s">
        <v>21</v>
      </c>
      <c r="B75" s="28">
        <f>IF(ISBLANK(A75),0,INDEX(txtstylestab[],MATCH(A75,txtstylestab[style_Name],0),1))</f>
        <v>0</v>
      </c>
      <c r="C75" s="28">
        <f t="shared" si="4"/>
        <v>2</v>
      </c>
      <c r="D75" s="28">
        <f t="shared" si="5"/>
        <v>7</v>
      </c>
      <c r="E75" s="28">
        <f t="shared" si="6"/>
        <v>0</v>
      </c>
      <c r="F75" s="59" t="str">
        <f t="shared" si="7"/>
        <v/>
      </c>
      <c r="G75" s="42" t="s">
        <v>951</v>
      </c>
      <c r="H75" s="43" t="s">
        <v>953</v>
      </c>
      <c r="I75" s="44" t="s">
        <v>952</v>
      </c>
      <c r="J75" s="45" t="s">
        <v>954</v>
      </c>
      <c r="K75" s="46" t="s">
        <v>955</v>
      </c>
      <c r="L75" s="47" t="s">
        <v>2838</v>
      </c>
      <c r="M75" s="48" t="s">
        <v>2854</v>
      </c>
      <c r="N75" s="49"/>
      <c r="O75" s="50" t="s">
        <v>3233</v>
      </c>
      <c r="P75" s="59"/>
      <c r="Q75" s="59"/>
      <c r="R75" s="13"/>
    </row>
    <row r="76" spans="1:18" ht="45" x14ac:dyDescent="0.25">
      <c r="A76" s="9" t="s">
        <v>21</v>
      </c>
      <c r="B76" s="28">
        <f>IF(ISBLANK(A76),0,INDEX(txtstylestab[],MATCH(A76,txtstylestab[style_Name],0),1))</f>
        <v>0</v>
      </c>
      <c r="C76" s="28">
        <f t="shared" si="4"/>
        <v>2</v>
      </c>
      <c r="D76" s="28">
        <f t="shared" si="5"/>
        <v>7</v>
      </c>
      <c r="E76" s="28">
        <f t="shared" si="6"/>
        <v>0</v>
      </c>
      <c r="F76" s="59" t="str">
        <f t="shared" si="7"/>
        <v/>
      </c>
      <c r="G76" s="42" t="s">
        <v>956</v>
      </c>
      <c r="H76" s="43" t="s">
        <v>957</v>
      </c>
      <c r="I76" s="44" t="s">
        <v>958</v>
      </c>
      <c r="J76" s="45" t="s">
        <v>959</v>
      </c>
      <c r="K76" s="46" t="s">
        <v>960</v>
      </c>
      <c r="L76" s="47" t="s">
        <v>2852</v>
      </c>
      <c r="M76" s="48" t="s">
        <v>2853</v>
      </c>
      <c r="N76" s="49"/>
      <c r="O76" s="50" t="s">
        <v>3234</v>
      </c>
      <c r="P76" s="59"/>
      <c r="Q76" s="59"/>
      <c r="R76" s="13"/>
    </row>
    <row r="77" spans="1:18" x14ac:dyDescent="0.25">
      <c r="A77" s="9" t="s">
        <v>22</v>
      </c>
      <c r="B77" s="28">
        <f>IF(ISBLANK(A77),0,INDEX(txtstylestab[],MATCH(A77,txtstylestab[style_Name],0),1))</f>
        <v>4</v>
      </c>
      <c r="C77" s="28">
        <f t="shared" si="4"/>
        <v>2</v>
      </c>
      <c r="D77" s="28">
        <f t="shared" si="5"/>
        <v>7</v>
      </c>
      <c r="E77" s="28">
        <f t="shared" si="6"/>
        <v>0</v>
      </c>
      <c r="F77" s="56" t="str">
        <f t="shared" si="7"/>
        <v/>
      </c>
      <c r="G77" s="53" t="s">
        <v>1732</v>
      </c>
      <c r="H77" s="53"/>
      <c r="I77" s="53"/>
      <c r="J77" s="53"/>
      <c r="K77" s="53"/>
      <c r="L77" s="53"/>
      <c r="M77" s="53"/>
      <c r="N77" s="53"/>
      <c r="O77" s="53"/>
      <c r="P77" s="53"/>
      <c r="Q77" s="53"/>
      <c r="R77" s="13"/>
    </row>
    <row r="78" spans="1:18" ht="30" x14ac:dyDescent="0.25">
      <c r="A78" s="9" t="s">
        <v>21</v>
      </c>
      <c r="B78" s="28">
        <f>IF(ISBLANK(A78),0,INDEX(txtstylestab[],MATCH(A78,txtstylestab[style_Name],0),1))</f>
        <v>0</v>
      </c>
      <c r="C78" s="28">
        <f t="shared" si="4"/>
        <v>2</v>
      </c>
      <c r="D78" s="28">
        <f t="shared" si="5"/>
        <v>7</v>
      </c>
      <c r="E78" s="28">
        <f t="shared" si="6"/>
        <v>0</v>
      </c>
      <c r="F78" s="59" t="str">
        <f t="shared" si="7"/>
        <v/>
      </c>
      <c r="G78" s="42" t="s">
        <v>20</v>
      </c>
      <c r="H78" s="43" t="s">
        <v>45</v>
      </c>
      <c r="I78" s="44" t="s">
        <v>2283</v>
      </c>
      <c r="J78" s="45" t="s">
        <v>528</v>
      </c>
      <c r="K78" s="46" t="s">
        <v>63</v>
      </c>
      <c r="L78" s="47" t="s">
        <v>2370</v>
      </c>
      <c r="M78" s="48" t="s">
        <v>2371</v>
      </c>
      <c r="N78" s="49"/>
      <c r="O78" s="50" t="s">
        <v>3231</v>
      </c>
      <c r="P78" s="59"/>
      <c r="Q78" s="59"/>
      <c r="R78" s="13"/>
    </row>
    <row r="79" spans="1:18" ht="30" x14ac:dyDescent="0.25">
      <c r="A79" s="9" t="s">
        <v>21</v>
      </c>
      <c r="B79" s="28">
        <f>IF(ISBLANK(A79),0,INDEX(txtstylestab[],MATCH(A79,txtstylestab[style_Name],0),1))</f>
        <v>0</v>
      </c>
      <c r="C79" s="28">
        <f t="shared" si="4"/>
        <v>2</v>
      </c>
      <c r="D79" s="28">
        <f t="shared" si="5"/>
        <v>7</v>
      </c>
      <c r="E79" s="28">
        <f t="shared" si="6"/>
        <v>0</v>
      </c>
      <c r="F79" s="59" t="str">
        <f t="shared" si="7"/>
        <v/>
      </c>
      <c r="G79" s="42"/>
      <c r="H79" s="43"/>
      <c r="I79" s="44" t="s">
        <v>2285</v>
      </c>
      <c r="J79" s="45" t="s">
        <v>1600</v>
      </c>
      <c r="K79" s="46" t="s">
        <v>78</v>
      </c>
      <c r="L79" s="47"/>
      <c r="M79" s="47"/>
      <c r="N79" s="48"/>
      <c r="O79" s="48"/>
      <c r="P79" s="49"/>
      <c r="Q79" s="50"/>
      <c r="R79" s="13"/>
    </row>
    <row r="80" spans="1:18" ht="18" thickBot="1" x14ac:dyDescent="0.35">
      <c r="A80" s="9" t="s">
        <v>11</v>
      </c>
      <c r="B80" s="28">
        <f>IF(ISBLANK(A80),0,INDEX(txtstylestab[],MATCH(A80,txtstylestab[style_Name],0),1))</f>
        <v>2</v>
      </c>
      <c r="C80" s="28">
        <f t="shared" si="4"/>
        <v>2</v>
      </c>
      <c r="D80" s="28">
        <f t="shared" si="5"/>
        <v>8</v>
      </c>
      <c r="E80" s="28">
        <f t="shared" si="6"/>
        <v>0</v>
      </c>
      <c r="F80" s="54" t="str">
        <f t="shared" si="7"/>
        <v>2.8.</v>
      </c>
      <c r="G80" s="54" t="s">
        <v>961</v>
      </c>
      <c r="H80" s="54"/>
      <c r="I80" s="54"/>
      <c r="J80" s="54"/>
      <c r="K80" s="54"/>
      <c r="L80" s="54"/>
      <c r="M80" s="54"/>
      <c r="N80" s="54"/>
      <c r="O80" s="54"/>
      <c r="P80" s="54"/>
      <c r="Q80" s="54"/>
      <c r="R80" s="13"/>
    </row>
    <row r="81" spans="1:18" ht="15.75" thickTop="1" x14ac:dyDescent="0.25">
      <c r="A81" s="9" t="s">
        <v>22</v>
      </c>
      <c r="B81" s="28">
        <f>IF(ISBLANK(A81),0,INDEX(txtstylestab[],MATCH(A81,txtstylestab[style_Name],0),1))</f>
        <v>4</v>
      </c>
      <c r="C81" s="28">
        <f t="shared" si="4"/>
        <v>2</v>
      </c>
      <c r="D81" s="28">
        <f t="shared" si="5"/>
        <v>8</v>
      </c>
      <c r="E81" s="28">
        <f t="shared" si="6"/>
        <v>0</v>
      </c>
      <c r="F81" s="56" t="str">
        <f t="shared" si="7"/>
        <v/>
      </c>
      <c r="G81" s="53" t="s">
        <v>962</v>
      </c>
      <c r="H81" s="53"/>
      <c r="I81" s="53"/>
      <c r="J81" s="53"/>
      <c r="K81" s="53"/>
      <c r="L81" s="53"/>
      <c r="M81" s="53"/>
      <c r="N81" s="53"/>
      <c r="O81" s="53"/>
      <c r="P81" s="53"/>
      <c r="Q81" s="53"/>
      <c r="R81" s="13"/>
    </row>
    <row r="82" spans="1:18" ht="60" x14ac:dyDescent="0.25">
      <c r="A82" s="9" t="s">
        <v>21</v>
      </c>
      <c r="B82" s="28">
        <f>IF(ISBLANK(A82),0,INDEX(txtstylestab[],MATCH(A82,txtstylestab[style_Name],0),1))</f>
        <v>0</v>
      </c>
      <c r="C82" s="28">
        <f t="shared" si="4"/>
        <v>2</v>
      </c>
      <c r="D82" s="28">
        <f t="shared" si="5"/>
        <v>8</v>
      </c>
      <c r="E82" s="28">
        <f t="shared" si="6"/>
        <v>0</v>
      </c>
      <c r="F82" s="59" t="str">
        <f t="shared" si="7"/>
        <v/>
      </c>
      <c r="G82" s="42" t="s">
        <v>2851</v>
      </c>
      <c r="H82" s="43" t="s">
        <v>616</v>
      </c>
      <c r="I82" s="44" t="s">
        <v>618</v>
      </c>
      <c r="J82" s="45" t="s">
        <v>619</v>
      </c>
      <c r="K82" s="46" t="s">
        <v>60</v>
      </c>
      <c r="L82" s="47" t="s">
        <v>2849</v>
      </c>
      <c r="M82" s="48" t="s">
        <v>2850</v>
      </c>
      <c r="N82" s="49"/>
      <c r="O82" s="50" t="s">
        <v>3472</v>
      </c>
      <c r="P82" s="59"/>
      <c r="Q82" s="59"/>
      <c r="R82" s="13"/>
    </row>
    <row r="83" spans="1:18" ht="60" x14ac:dyDescent="0.25">
      <c r="A83" s="9" t="s">
        <v>21</v>
      </c>
      <c r="B83" s="28">
        <f>IF(ISBLANK(A83),0,INDEX(txtstylestab[],MATCH(A83,txtstylestab[style_Name],0),1))</f>
        <v>0</v>
      </c>
      <c r="C83" s="28">
        <f t="shared" si="4"/>
        <v>2</v>
      </c>
      <c r="D83" s="28">
        <f t="shared" si="5"/>
        <v>8</v>
      </c>
      <c r="E83" s="28">
        <f t="shared" si="6"/>
        <v>0</v>
      </c>
      <c r="F83" s="59" t="str">
        <f t="shared" si="7"/>
        <v/>
      </c>
      <c r="G83" s="42" t="s">
        <v>963</v>
      </c>
      <c r="H83" s="43" t="s">
        <v>2000</v>
      </c>
      <c r="I83" s="44" t="s">
        <v>964</v>
      </c>
      <c r="J83" s="45" t="s">
        <v>965</v>
      </c>
      <c r="K83" s="46" t="s">
        <v>966</v>
      </c>
      <c r="L83" s="47" t="s">
        <v>2847</v>
      </c>
      <c r="M83" s="48" t="s">
        <v>2848</v>
      </c>
      <c r="N83" s="49"/>
      <c r="O83" s="50" t="s">
        <v>3227</v>
      </c>
      <c r="P83" s="59"/>
      <c r="Q83" s="59"/>
      <c r="R83" s="13"/>
    </row>
    <row r="84" spans="1:18" ht="90" x14ac:dyDescent="0.25">
      <c r="A84" s="9" t="s">
        <v>21</v>
      </c>
      <c r="B84" s="28">
        <f>IF(ISBLANK(A84),0,INDEX(txtstylestab[],MATCH(A84,txtstylestab[style_Name],0),1))</f>
        <v>0</v>
      </c>
      <c r="C84" s="28">
        <f t="shared" si="4"/>
        <v>2</v>
      </c>
      <c r="D84" s="28">
        <f t="shared" si="5"/>
        <v>8</v>
      </c>
      <c r="E84" s="28">
        <f t="shared" si="6"/>
        <v>0</v>
      </c>
      <c r="F84" s="59" t="str">
        <f t="shared" si="7"/>
        <v/>
      </c>
      <c r="G84" s="42" t="s">
        <v>41</v>
      </c>
      <c r="H84" s="43" t="s">
        <v>2262</v>
      </c>
      <c r="I84" s="44" t="s">
        <v>2267</v>
      </c>
      <c r="J84" s="45" t="s">
        <v>967</v>
      </c>
      <c r="K84" s="46" t="s">
        <v>968</v>
      </c>
      <c r="L84" s="47" t="s">
        <v>2846</v>
      </c>
      <c r="M84" s="48" t="s">
        <v>2845</v>
      </c>
      <c r="N84" s="49"/>
      <c r="O84" s="50" t="s">
        <v>3228</v>
      </c>
      <c r="P84" s="59"/>
      <c r="Q84" s="59"/>
      <c r="R84" s="13"/>
    </row>
    <row r="85" spans="1:18" ht="120" x14ac:dyDescent="0.25">
      <c r="A85" s="9" t="s">
        <v>21</v>
      </c>
      <c r="B85" s="28">
        <f>IF(ISBLANK(A85),0,INDEX(txtstylestab[],MATCH(A85,txtstylestab[style_Name],0),1))</f>
        <v>0</v>
      </c>
      <c r="C85" s="28">
        <f t="shared" si="4"/>
        <v>2</v>
      </c>
      <c r="D85" s="28">
        <f t="shared" si="5"/>
        <v>8</v>
      </c>
      <c r="E85" s="28">
        <f t="shared" si="6"/>
        <v>0</v>
      </c>
      <c r="F85" s="59" t="str">
        <f t="shared" si="7"/>
        <v/>
      </c>
      <c r="G85" s="42"/>
      <c r="H85" s="43"/>
      <c r="I85" s="44" t="s">
        <v>2299</v>
      </c>
      <c r="J85" s="45" t="s">
        <v>2265</v>
      </c>
      <c r="K85" s="46" t="s">
        <v>2266</v>
      </c>
      <c r="L85" s="47"/>
      <c r="M85" s="48"/>
      <c r="N85" s="49"/>
      <c r="O85" s="50"/>
      <c r="P85" s="59"/>
      <c r="Q85" s="59"/>
      <c r="R85" s="13"/>
    </row>
    <row r="86" spans="1:18" ht="75" x14ac:dyDescent="0.25">
      <c r="A86" s="9" t="s">
        <v>21</v>
      </c>
      <c r="B86" s="28">
        <f>IF(ISBLANK(A86),0,INDEX(txtstylestab[],MATCH(A86,txtstylestab[style_Name],0),1))</f>
        <v>0</v>
      </c>
      <c r="C86" s="28">
        <f t="shared" si="4"/>
        <v>2</v>
      </c>
      <c r="D86" s="28">
        <f t="shared" si="5"/>
        <v>8</v>
      </c>
      <c r="E86" s="28">
        <f t="shared" si="6"/>
        <v>0</v>
      </c>
      <c r="F86" s="59" t="str">
        <f t="shared" si="7"/>
        <v/>
      </c>
      <c r="G86" s="42" t="s">
        <v>2001</v>
      </c>
      <c r="H86" s="43" t="s">
        <v>77</v>
      </c>
      <c r="I86" s="44" t="s">
        <v>49</v>
      </c>
      <c r="J86" s="45" t="s">
        <v>399</v>
      </c>
      <c r="K86" s="46" t="s">
        <v>61</v>
      </c>
      <c r="L86" s="47" t="s">
        <v>2844</v>
      </c>
      <c r="M86" s="48" t="s">
        <v>2843</v>
      </c>
      <c r="N86" s="49"/>
      <c r="O86" s="50" t="s">
        <v>3229</v>
      </c>
      <c r="P86" s="59"/>
      <c r="Q86" s="59"/>
      <c r="R86" s="13"/>
    </row>
    <row r="87" spans="1:18" ht="30" x14ac:dyDescent="0.25">
      <c r="A87" s="9" t="s">
        <v>21</v>
      </c>
      <c r="B87" s="28">
        <f>IF(ISBLANK(A87),0,INDEX(txtstylestab[],MATCH(A87,txtstylestab[style_Name],0),1))</f>
        <v>0</v>
      </c>
      <c r="C87" s="28">
        <f t="shared" si="4"/>
        <v>2</v>
      </c>
      <c r="D87" s="28">
        <f t="shared" si="5"/>
        <v>8</v>
      </c>
      <c r="E87" s="28">
        <f t="shared" si="6"/>
        <v>0</v>
      </c>
      <c r="F87" s="59" t="str">
        <f t="shared" si="7"/>
        <v/>
      </c>
      <c r="G87" s="42" t="s">
        <v>42</v>
      </c>
      <c r="H87" s="43" t="s">
        <v>43</v>
      </c>
      <c r="I87" s="44" t="s">
        <v>50</v>
      </c>
      <c r="J87" s="45" t="s">
        <v>55</v>
      </c>
      <c r="K87" s="46" t="s">
        <v>62</v>
      </c>
      <c r="L87" s="47" t="s">
        <v>2353</v>
      </c>
      <c r="M87" s="48" t="s">
        <v>2395</v>
      </c>
      <c r="N87" s="49"/>
      <c r="O87" s="50" t="s">
        <v>3230</v>
      </c>
      <c r="P87" s="59"/>
      <c r="Q87" s="59"/>
      <c r="R87" s="13"/>
    </row>
    <row r="88" spans="1:18" x14ac:dyDescent="0.25">
      <c r="A88" s="9" t="s">
        <v>22</v>
      </c>
      <c r="B88" s="28">
        <f>IF(ISBLANK(A88),0,INDEX(txtstylestab[],MATCH(A88,txtstylestab[style_Name],0),1))</f>
        <v>4</v>
      </c>
      <c r="C88" s="28">
        <f t="shared" si="4"/>
        <v>2</v>
      </c>
      <c r="D88" s="28">
        <f t="shared" si="5"/>
        <v>8</v>
      </c>
      <c r="E88" s="28">
        <f t="shared" si="6"/>
        <v>0</v>
      </c>
      <c r="F88" s="56" t="str">
        <f t="shared" si="7"/>
        <v/>
      </c>
      <c r="G88" s="53" t="s">
        <v>1732</v>
      </c>
      <c r="H88" s="53"/>
      <c r="I88" s="53"/>
      <c r="J88" s="53"/>
      <c r="K88" s="53"/>
      <c r="L88" s="53"/>
      <c r="M88" s="53"/>
      <c r="N88" s="53"/>
      <c r="O88" s="53"/>
      <c r="P88" s="53"/>
      <c r="Q88" s="53"/>
      <c r="R88" s="13"/>
    </row>
    <row r="89" spans="1:18" ht="30" x14ac:dyDescent="0.25">
      <c r="A89" s="9" t="s">
        <v>21</v>
      </c>
      <c r="B89" s="28">
        <f>IF(ISBLANK(A89),0,INDEX(txtstylestab[],MATCH(A89,txtstylestab[style_Name],0),1))</f>
        <v>0</v>
      </c>
      <c r="C89" s="28">
        <f t="shared" si="4"/>
        <v>2</v>
      </c>
      <c r="D89" s="28">
        <f t="shared" si="5"/>
        <v>8</v>
      </c>
      <c r="E89" s="28">
        <f t="shared" si="6"/>
        <v>0</v>
      </c>
      <c r="F89" s="59" t="str">
        <f t="shared" si="7"/>
        <v/>
      </c>
      <c r="G89" s="42" t="s">
        <v>20</v>
      </c>
      <c r="H89" s="43" t="s">
        <v>45</v>
      </c>
      <c r="I89" s="44" t="s">
        <v>2283</v>
      </c>
      <c r="J89" s="45" t="s">
        <v>528</v>
      </c>
      <c r="K89" s="46" t="s">
        <v>63</v>
      </c>
      <c r="L89" s="47" t="s">
        <v>2370</v>
      </c>
      <c r="M89" s="48" t="s">
        <v>2371</v>
      </c>
      <c r="N89" s="49"/>
      <c r="O89" s="50" t="s">
        <v>3231</v>
      </c>
      <c r="P89" s="59"/>
      <c r="Q89" s="59"/>
      <c r="R89" s="13"/>
    </row>
    <row r="90" spans="1:18" ht="30" x14ac:dyDescent="0.25">
      <c r="A90" s="9" t="s">
        <v>21</v>
      </c>
      <c r="B90" s="28">
        <f>IF(ISBLANK(A90),0,INDEX(txtstylestab[],MATCH(A90,txtstylestab[style_Name],0),1))</f>
        <v>0</v>
      </c>
      <c r="C90" s="28">
        <f t="shared" si="4"/>
        <v>2</v>
      </c>
      <c r="D90" s="28">
        <f t="shared" si="5"/>
        <v>8</v>
      </c>
      <c r="E90" s="28">
        <f t="shared" si="6"/>
        <v>0</v>
      </c>
      <c r="F90" s="59" t="str">
        <f t="shared" si="7"/>
        <v/>
      </c>
      <c r="G90" s="42"/>
      <c r="H90" s="43"/>
      <c r="I90" s="44" t="s">
        <v>2285</v>
      </c>
      <c r="J90" s="45" t="s">
        <v>1600</v>
      </c>
      <c r="K90" s="46" t="s">
        <v>78</v>
      </c>
      <c r="L90" s="47"/>
      <c r="M90" s="47"/>
      <c r="N90" s="48"/>
      <c r="O90" s="48"/>
      <c r="P90" s="49"/>
      <c r="Q90" s="50"/>
      <c r="R90" s="13"/>
    </row>
    <row r="91" spans="1:18" ht="18" thickBot="1" x14ac:dyDescent="0.35">
      <c r="A91" s="9" t="s">
        <v>11</v>
      </c>
      <c r="B91" s="28">
        <f>IF(ISBLANK(A91),0,INDEX(txtstylestab[],MATCH(A91,txtstylestab[style_Name],0),1))</f>
        <v>2</v>
      </c>
      <c r="C91" s="28">
        <f t="shared" si="4"/>
        <v>2</v>
      </c>
      <c r="D91" s="28">
        <f t="shared" si="5"/>
        <v>9</v>
      </c>
      <c r="E91" s="28">
        <f t="shared" si="6"/>
        <v>0</v>
      </c>
      <c r="F91" s="54" t="str">
        <f t="shared" si="7"/>
        <v>2.9.</v>
      </c>
      <c r="G91" s="54" t="s">
        <v>969</v>
      </c>
      <c r="H91" s="54"/>
      <c r="I91" s="54"/>
      <c r="J91" s="54"/>
      <c r="K91" s="54"/>
      <c r="L91" s="54"/>
      <c r="M91" s="54"/>
      <c r="N91" s="54"/>
      <c r="O91" s="54"/>
      <c r="P91" s="54"/>
      <c r="Q91" s="54"/>
      <c r="R91" s="13"/>
    </row>
    <row r="92" spans="1:18" ht="15.75" thickTop="1" x14ac:dyDescent="0.25">
      <c r="A92" s="9" t="s">
        <v>22</v>
      </c>
      <c r="B92" s="28">
        <f>IF(ISBLANK(A92),0,INDEX(txtstylestab[],MATCH(A92,txtstylestab[style_Name],0),1))</f>
        <v>4</v>
      </c>
      <c r="C92" s="28">
        <f t="shared" si="4"/>
        <v>2</v>
      </c>
      <c r="D92" s="28">
        <f t="shared" si="5"/>
        <v>9</v>
      </c>
      <c r="E92" s="28">
        <f t="shared" si="6"/>
        <v>0</v>
      </c>
      <c r="F92" s="56" t="str">
        <f t="shared" si="7"/>
        <v/>
      </c>
      <c r="G92" s="53" t="s">
        <v>80</v>
      </c>
      <c r="H92" s="53"/>
      <c r="I92" s="53"/>
      <c r="J92" s="53"/>
      <c r="K92" s="53"/>
      <c r="L92" s="53"/>
      <c r="M92" s="53"/>
      <c r="N92" s="53"/>
      <c r="O92" s="53"/>
      <c r="P92" s="53"/>
      <c r="Q92" s="53"/>
      <c r="R92" s="13"/>
    </row>
    <row r="93" spans="1:18" x14ac:dyDescent="0.25">
      <c r="A93" s="9" t="s">
        <v>23</v>
      </c>
      <c r="B93" s="28">
        <f>IF(ISBLANK(A93),0,INDEX(txtstylestab[],MATCH(A93,txtstylestab[style_Name],0),1))</f>
        <v>5</v>
      </c>
      <c r="C93" s="28">
        <f t="shared" si="4"/>
        <v>2</v>
      </c>
      <c r="D93" s="28">
        <f t="shared" si="5"/>
        <v>9</v>
      </c>
      <c r="E93" s="28">
        <f t="shared" si="6"/>
        <v>0</v>
      </c>
      <c r="F93" s="56" t="str">
        <f t="shared" si="7"/>
        <v/>
      </c>
      <c r="G93" s="58" t="s">
        <v>81</v>
      </c>
      <c r="H93" s="58"/>
      <c r="I93" s="58"/>
      <c r="J93" s="58"/>
      <c r="K93" s="58"/>
      <c r="L93" s="58"/>
      <c r="M93" s="58"/>
      <c r="N93" s="58"/>
      <c r="O93" s="58"/>
      <c r="P93" s="58"/>
      <c r="Q93" s="58"/>
      <c r="R93" s="13"/>
    </row>
    <row r="94" spans="1:18" x14ac:dyDescent="0.25">
      <c r="A94" s="9" t="s">
        <v>22</v>
      </c>
      <c r="B94" s="28">
        <f>IF(ISBLANK(A94),0,INDEX(txtstylestab[],MATCH(A94,txtstylestab[style_Name],0),1))</f>
        <v>4</v>
      </c>
      <c r="C94" s="28">
        <f t="shared" si="4"/>
        <v>2</v>
      </c>
      <c r="D94" s="28">
        <f t="shared" si="5"/>
        <v>9</v>
      </c>
      <c r="E94" s="28">
        <f t="shared" si="6"/>
        <v>0</v>
      </c>
      <c r="F94" s="56" t="str">
        <f t="shared" si="7"/>
        <v/>
      </c>
      <c r="G94" s="53" t="s">
        <v>962</v>
      </c>
      <c r="H94" s="53"/>
      <c r="I94" s="53"/>
      <c r="J94" s="53"/>
      <c r="K94" s="53"/>
      <c r="L94" s="53"/>
      <c r="M94" s="53"/>
      <c r="N94" s="53"/>
      <c r="O94" s="53"/>
      <c r="P94" s="53"/>
      <c r="Q94" s="53"/>
      <c r="R94" s="13"/>
    </row>
    <row r="95" spans="1:18" x14ac:dyDescent="0.25">
      <c r="A95" s="9" t="s">
        <v>21</v>
      </c>
      <c r="B95" s="28">
        <f>IF(ISBLANK(A95),0,INDEX(txtstylestab[],MATCH(A95,txtstylestab[style_Name],0),1))</f>
        <v>0</v>
      </c>
      <c r="C95" s="28">
        <f t="shared" si="4"/>
        <v>2</v>
      </c>
      <c r="D95" s="28">
        <f t="shared" si="5"/>
        <v>9</v>
      </c>
      <c r="E95" s="28">
        <f t="shared" si="6"/>
        <v>0</v>
      </c>
      <c r="F95" s="59" t="str">
        <f t="shared" si="7"/>
        <v/>
      </c>
      <c r="G95" s="42" t="s">
        <v>82</v>
      </c>
      <c r="H95" s="43" t="s">
        <v>83</v>
      </c>
      <c r="I95" s="44" t="s">
        <v>84</v>
      </c>
      <c r="J95" s="45" t="s">
        <v>2284</v>
      </c>
      <c r="K95" s="46" t="s">
        <v>86</v>
      </c>
      <c r="L95" s="47" t="s">
        <v>2397</v>
      </c>
      <c r="M95" s="48" t="s">
        <v>2332</v>
      </c>
      <c r="N95" s="49"/>
      <c r="O95" s="50" t="s">
        <v>3161</v>
      </c>
      <c r="P95" s="50"/>
      <c r="Q95" s="59"/>
      <c r="R95" s="13"/>
    </row>
    <row r="96" spans="1:18" ht="45" x14ac:dyDescent="0.25">
      <c r="A96" s="9" t="s">
        <v>21</v>
      </c>
      <c r="B96" s="28">
        <f>IF(ISBLANK(A96),0,INDEX(txtstylestab[],MATCH(A96,txtstylestab[style_Name],0),1))</f>
        <v>0</v>
      </c>
      <c r="C96" s="28">
        <f t="shared" si="4"/>
        <v>2</v>
      </c>
      <c r="D96" s="28">
        <f t="shared" si="5"/>
        <v>9</v>
      </c>
      <c r="E96" s="28">
        <f t="shared" si="6"/>
        <v>0</v>
      </c>
      <c r="F96" s="59" t="str">
        <f t="shared" si="7"/>
        <v/>
      </c>
      <c r="G96" s="42" t="s">
        <v>87</v>
      </c>
      <c r="H96" s="43" t="s">
        <v>974</v>
      </c>
      <c r="I96" s="44" t="s">
        <v>89</v>
      </c>
      <c r="J96" s="45" t="s">
        <v>90</v>
      </c>
      <c r="K96" s="46" t="s">
        <v>91</v>
      </c>
      <c r="L96" s="47" t="s">
        <v>2839</v>
      </c>
      <c r="M96" s="48" t="s">
        <v>2863</v>
      </c>
      <c r="N96" s="49"/>
      <c r="O96" s="50" t="s">
        <v>3345</v>
      </c>
      <c r="P96" s="59"/>
      <c r="Q96" s="59"/>
      <c r="R96" s="13"/>
    </row>
    <row r="97" spans="1:18" ht="120" x14ac:dyDescent="0.25">
      <c r="A97" s="9" t="s">
        <v>21</v>
      </c>
      <c r="B97" s="28">
        <f>IF(ISBLANK(A97),0,INDEX(txtstylestab[],MATCH(A97,txtstylestab[style_Name],0),1))</f>
        <v>0</v>
      </c>
      <c r="C97" s="28">
        <f t="shared" si="4"/>
        <v>2</v>
      </c>
      <c r="D97" s="28">
        <f t="shared" si="5"/>
        <v>9</v>
      </c>
      <c r="E97" s="28">
        <f t="shared" si="6"/>
        <v>0</v>
      </c>
      <c r="F97" s="59" t="str">
        <f t="shared" si="7"/>
        <v/>
      </c>
      <c r="G97" s="42" t="s">
        <v>970</v>
      </c>
      <c r="H97" s="43" t="s">
        <v>971</v>
      </c>
      <c r="I97" s="44" t="s">
        <v>972</v>
      </c>
      <c r="J97" s="45" t="s">
        <v>1587</v>
      </c>
      <c r="K97" s="46" t="s">
        <v>973</v>
      </c>
      <c r="L97" s="47" t="s">
        <v>2840</v>
      </c>
      <c r="M97" s="48" t="s">
        <v>2864</v>
      </c>
      <c r="N97" s="49"/>
      <c r="O97" s="50" t="s">
        <v>3219</v>
      </c>
      <c r="P97" s="59"/>
      <c r="Q97" s="59"/>
      <c r="R97" s="13"/>
    </row>
    <row r="98" spans="1:18" ht="105" x14ac:dyDescent="0.25">
      <c r="A98" s="9" t="s">
        <v>21</v>
      </c>
      <c r="B98" s="28">
        <f>IF(ISBLANK(A98),0,INDEX(txtstylestab[],MATCH(A98,txtstylestab[style_Name],0),1))</f>
        <v>0</v>
      </c>
      <c r="C98" s="28">
        <f t="shared" si="4"/>
        <v>2</v>
      </c>
      <c r="D98" s="28">
        <f t="shared" si="5"/>
        <v>9</v>
      </c>
      <c r="E98" s="28">
        <f t="shared" si="6"/>
        <v>0</v>
      </c>
      <c r="F98" s="59" t="str">
        <f t="shared" si="7"/>
        <v/>
      </c>
      <c r="G98" s="42" t="s">
        <v>92</v>
      </c>
      <c r="H98" s="43" t="s">
        <v>2002</v>
      </c>
      <c r="I98" s="44" t="s">
        <v>1744</v>
      </c>
      <c r="J98" s="45" t="s">
        <v>529</v>
      </c>
      <c r="K98" s="46" t="s">
        <v>93</v>
      </c>
      <c r="L98" s="47" t="s">
        <v>2841</v>
      </c>
      <c r="M98" s="48" t="s">
        <v>2865</v>
      </c>
      <c r="N98" s="49"/>
      <c r="O98" s="50" t="s">
        <v>3220</v>
      </c>
      <c r="P98" s="59"/>
      <c r="Q98" s="59"/>
      <c r="R98" s="13"/>
    </row>
    <row r="99" spans="1:18" ht="75" x14ac:dyDescent="0.25">
      <c r="A99" s="9" t="s">
        <v>21</v>
      </c>
      <c r="B99" s="28">
        <f>IF(ISBLANK(A99),0,INDEX(txtstylestab[],MATCH(A99,txtstylestab[style_Name],0),1))</f>
        <v>0</v>
      </c>
      <c r="C99" s="28">
        <f t="shared" si="4"/>
        <v>2</v>
      </c>
      <c r="D99" s="28">
        <f t="shared" si="5"/>
        <v>9</v>
      </c>
      <c r="E99" s="28">
        <f t="shared" si="6"/>
        <v>0</v>
      </c>
      <c r="F99" s="59" t="str">
        <f t="shared" si="7"/>
        <v/>
      </c>
      <c r="G99" s="42" t="s">
        <v>1783</v>
      </c>
      <c r="H99" s="43" t="s">
        <v>1784</v>
      </c>
      <c r="I99" s="44" t="s">
        <v>1785</v>
      </c>
      <c r="J99" s="45" t="s">
        <v>1786</v>
      </c>
      <c r="K99" s="46" t="s">
        <v>1787</v>
      </c>
      <c r="L99" s="47" t="s">
        <v>2866</v>
      </c>
      <c r="M99" s="48" t="s">
        <v>2842</v>
      </c>
      <c r="N99" s="49"/>
      <c r="O99" s="50" t="s">
        <v>3221</v>
      </c>
      <c r="P99" s="59"/>
      <c r="Q99" s="59"/>
      <c r="R99" s="13"/>
    </row>
    <row r="100" spans="1:18" ht="60" x14ac:dyDescent="0.25">
      <c r="A100" s="9" t="s">
        <v>14</v>
      </c>
      <c r="B100" s="28">
        <f>IF(ISBLANK(A100),0,INDEX(txtstylestab[],MATCH(A100,txtstylestab[style_Name],0),1))</f>
        <v>6</v>
      </c>
      <c r="C100" s="28">
        <f t="shared" si="4"/>
        <v>2</v>
      </c>
      <c r="D100" s="28">
        <f t="shared" si="5"/>
        <v>9</v>
      </c>
      <c r="E100" s="28">
        <f t="shared" si="6"/>
        <v>0</v>
      </c>
      <c r="F100" s="59" t="str">
        <f t="shared" si="7"/>
        <v/>
      </c>
      <c r="G100" s="42" t="s">
        <v>975</v>
      </c>
      <c r="H100" s="43" t="s">
        <v>978</v>
      </c>
      <c r="I100" s="44" t="s">
        <v>980</v>
      </c>
      <c r="J100" s="45" t="s">
        <v>982</v>
      </c>
      <c r="K100" s="46" t="s">
        <v>985</v>
      </c>
      <c r="L100" s="47" t="s">
        <v>2375</v>
      </c>
      <c r="M100" s="48" t="s">
        <v>2376</v>
      </c>
      <c r="N100" s="49"/>
      <c r="O100" s="50" t="s">
        <v>3222</v>
      </c>
      <c r="P100" s="59"/>
      <c r="Q100" s="59"/>
      <c r="R100" s="13"/>
    </row>
    <row r="101" spans="1:18" ht="60" x14ac:dyDescent="0.25">
      <c r="A101" s="9" t="s">
        <v>14</v>
      </c>
      <c r="B101" s="28">
        <f>IF(ISBLANK(A101),0,INDEX(txtstylestab[],MATCH(A101,txtstylestab[style_Name],0),1))</f>
        <v>6</v>
      </c>
      <c r="C101" s="28">
        <f t="shared" si="4"/>
        <v>2</v>
      </c>
      <c r="D101" s="28">
        <f t="shared" si="5"/>
        <v>9</v>
      </c>
      <c r="E101" s="28">
        <f t="shared" si="6"/>
        <v>0</v>
      </c>
      <c r="F101" s="59" t="str">
        <f t="shared" si="7"/>
        <v/>
      </c>
      <c r="G101" s="42" t="s">
        <v>976</v>
      </c>
      <c r="H101" s="43" t="s">
        <v>979</v>
      </c>
      <c r="I101" s="44" t="s">
        <v>981</v>
      </c>
      <c r="J101" s="45" t="s">
        <v>983</v>
      </c>
      <c r="K101" s="46" t="s">
        <v>986</v>
      </c>
      <c r="L101" s="47" t="s">
        <v>2377</v>
      </c>
      <c r="M101" s="48" t="s">
        <v>2378</v>
      </c>
      <c r="N101" s="49"/>
      <c r="O101" s="50" t="s">
        <v>3223</v>
      </c>
      <c r="P101" s="59"/>
      <c r="Q101" s="59"/>
      <c r="R101" s="13"/>
    </row>
    <row r="102" spans="1:18" ht="45" x14ac:dyDescent="0.25">
      <c r="A102" s="9" t="s">
        <v>14</v>
      </c>
      <c r="B102" s="28">
        <f>IF(ISBLANK(A102),0,INDEX(txtstylestab[],MATCH(A102,txtstylestab[style_Name],0),1))</f>
        <v>6</v>
      </c>
      <c r="C102" s="28">
        <f t="shared" si="4"/>
        <v>2</v>
      </c>
      <c r="D102" s="28">
        <f t="shared" si="5"/>
        <v>9</v>
      </c>
      <c r="E102" s="28">
        <f t="shared" si="6"/>
        <v>0</v>
      </c>
      <c r="F102" s="59" t="str">
        <f t="shared" si="7"/>
        <v/>
      </c>
      <c r="G102" s="42" t="s">
        <v>977</v>
      </c>
      <c r="H102" s="43" t="s">
        <v>978</v>
      </c>
      <c r="I102" s="44" t="s">
        <v>980</v>
      </c>
      <c r="J102" s="45" t="s">
        <v>984</v>
      </c>
      <c r="K102" s="46" t="s">
        <v>987</v>
      </c>
      <c r="L102" s="47" t="s">
        <v>2379</v>
      </c>
      <c r="M102" s="48" t="s">
        <v>2380</v>
      </c>
      <c r="N102" s="49"/>
      <c r="O102" s="50" t="s">
        <v>3224</v>
      </c>
      <c r="P102" s="59"/>
      <c r="Q102" s="59"/>
      <c r="R102" s="13"/>
    </row>
    <row r="103" spans="1:18" ht="135" x14ac:dyDescent="0.25">
      <c r="A103" s="9" t="s">
        <v>21</v>
      </c>
      <c r="B103" s="28">
        <f>IF(ISBLANK(A103),0,INDEX(txtstylestab[],MATCH(A103,txtstylestab[style_Name],0),1))</f>
        <v>0</v>
      </c>
      <c r="C103" s="28">
        <f t="shared" si="4"/>
        <v>2</v>
      </c>
      <c r="D103" s="28">
        <f t="shared" si="5"/>
        <v>9</v>
      </c>
      <c r="E103" s="28">
        <f t="shared" si="6"/>
        <v>0</v>
      </c>
      <c r="F103" s="59" t="str">
        <f t="shared" si="7"/>
        <v/>
      </c>
      <c r="G103" s="42" t="s">
        <v>2213</v>
      </c>
      <c r="H103" s="43" t="s">
        <v>2214</v>
      </c>
      <c r="I103" s="44" t="s">
        <v>1745</v>
      </c>
      <c r="J103" s="45" t="s">
        <v>94</v>
      </c>
      <c r="K103" s="46" t="s">
        <v>95</v>
      </c>
      <c r="L103" s="47" t="s">
        <v>2381</v>
      </c>
      <c r="M103" s="48" t="s">
        <v>2867</v>
      </c>
      <c r="N103" s="49"/>
      <c r="O103" s="50" t="s">
        <v>3225</v>
      </c>
      <c r="P103" s="59"/>
      <c r="Q103" s="59"/>
      <c r="R103" s="13"/>
    </row>
    <row r="104" spans="1:18" ht="30" x14ac:dyDescent="0.25">
      <c r="A104" s="9" t="s">
        <v>21</v>
      </c>
      <c r="B104" s="28">
        <f>IF(ISBLANK(A104),0,INDEX(txtstylestab[],MATCH(A104,txtstylestab[style_Name],0),1))</f>
        <v>0</v>
      </c>
      <c r="C104" s="28">
        <f t="shared" si="4"/>
        <v>2</v>
      </c>
      <c r="D104" s="28">
        <f t="shared" si="5"/>
        <v>9</v>
      </c>
      <c r="E104" s="28">
        <f t="shared" si="6"/>
        <v>0</v>
      </c>
      <c r="F104" s="59" t="str">
        <f t="shared" si="7"/>
        <v/>
      </c>
      <c r="G104" s="42" t="s">
        <v>97</v>
      </c>
      <c r="H104" s="43" t="s">
        <v>96</v>
      </c>
      <c r="I104" s="44" t="s">
        <v>48</v>
      </c>
      <c r="J104" s="45" t="s">
        <v>397</v>
      </c>
      <c r="K104" s="46" t="s">
        <v>59</v>
      </c>
      <c r="L104" s="47" t="s">
        <v>2370</v>
      </c>
      <c r="M104" s="48" t="s">
        <v>2525</v>
      </c>
      <c r="N104" s="49"/>
      <c r="O104" s="50" t="s">
        <v>3226</v>
      </c>
      <c r="P104" s="59"/>
      <c r="Q104" s="59"/>
      <c r="R104" s="13"/>
    </row>
    <row r="105" spans="1:18" ht="18" thickBot="1" x14ac:dyDescent="0.35">
      <c r="A105" s="9" t="s">
        <v>11</v>
      </c>
      <c r="B105" s="28">
        <f>IF(ISBLANK(A105),0,INDEX(txtstylestab[],MATCH(A105,txtstylestab[style_Name],0),1))</f>
        <v>2</v>
      </c>
      <c r="C105" s="28">
        <f t="shared" si="4"/>
        <v>2</v>
      </c>
      <c r="D105" s="28">
        <f t="shared" si="5"/>
        <v>10</v>
      </c>
      <c r="E105" s="28">
        <f t="shared" si="6"/>
        <v>0</v>
      </c>
      <c r="F105" s="54" t="str">
        <f t="shared" si="7"/>
        <v>2.10.</v>
      </c>
      <c r="G105" s="54" t="s">
        <v>988</v>
      </c>
      <c r="H105" s="54"/>
      <c r="I105" s="54"/>
      <c r="J105" s="54"/>
      <c r="K105" s="54"/>
      <c r="L105" s="54"/>
      <c r="M105" s="54"/>
      <c r="N105" s="54"/>
      <c r="O105" s="54"/>
      <c r="P105" s="54"/>
      <c r="Q105" s="54"/>
      <c r="R105" s="13"/>
    </row>
    <row r="106" spans="1:18" ht="15.75" thickTop="1" x14ac:dyDescent="0.25">
      <c r="A106" s="9" t="s">
        <v>21</v>
      </c>
      <c r="B106" s="28">
        <f>IF(ISBLANK(A106),0,INDEX(txtstylestab[],MATCH(A106,txtstylestab[style_Name],0),1))</f>
        <v>0</v>
      </c>
      <c r="C106" s="28">
        <f t="shared" si="4"/>
        <v>2</v>
      </c>
      <c r="D106" s="28">
        <f t="shared" si="5"/>
        <v>10</v>
      </c>
      <c r="E106" s="28">
        <f t="shared" si="6"/>
        <v>0</v>
      </c>
      <c r="F106" s="59" t="str">
        <f t="shared" si="7"/>
        <v/>
      </c>
      <c r="G106" s="42" t="s">
        <v>344</v>
      </c>
      <c r="H106" s="43" t="s">
        <v>83</v>
      </c>
      <c r="I106" s="44" t="s">
        <v>84</v>
      </c>
      <c r="J106" s="45" t="s">
        <v>85</v>
      </c>
      <c r="K106" s="46" t="s">
        <v>86</v>
      </c>
      <c r="L106" s="47" t="s">
        <v>2397</v>
      </c>
      <c r="M106" s="48" t="s">
        <v>2332</v>
      </c>
      <c r="N106" s="49"/>
      <c r="O106" s="50" t="s">
        <v>3168</v>
      </c>
      <c r="P106" s="50"/>
      <c r="Q106" s="59"/>
      <c r="R106" s="13"/>
    </row>
    <row r="107" spans="1:18" ht="45" x14ac:dyDescent="0.25">
      <c r="A107" s="9" t="s">
        <v>21</v>
      </c>
      <c r="B107" s="28">
        <f>IF(ISBLANK(A107),0,INDEX(txtstylestab[],MATCH(A107,txtstylestab[style_Name],0),1))</f>
        <v>0</v>
      </c>
      <c r="C107" s="28">
        <f t="shared" si="4"/>
        <v>2</v>
      </c>
      <c r="D107" s="28">
        <f t="shared" si="5"/>
        <v>10</v>
      </c>
      <c r="E107" s="28">
        <f t="shared" si="6"/>
        <v>0</v>
      </c>
      <c r="F107" s="59" t="str">
        <f t="shared" si="7"/>
        <v/>
      </c>
      <c r="G107" s="42" t="s">
        <v>995</v>
      </c>
      <c r="H107" s="43" t="s">
        <v>996</v>
      </c>
      <c r="I107" s="44" t="s">
        <v>997</v>
      </c>
      <c r="J107" s="45" t="s">
        <v>998</v>
      </c>
      <c r="K107" s="46" t="s">
        <v>999</v>
      </c>
      <c r="L107" s="47" t="s">
        <v>2868</v>
      </c>
      <c r="M107" s="48" t="s">
        <v>2869</v>
      </c>
      <c r="N107" s="49"/>
      <c r="O107" s="50" t="s">
        <v>3217</v>
      </c>
      <c r="P107" s="59"/>
      <c r="Q107" s="59"/>
      <c r="R107" s="13"/>
    </row>
    <row r="108" spans="1:18" ht="45" x14ac:dyDescent="0.25">
      <c r="A108" s="9" t="s">
        <v>21</v>
      </c>
      <c r="B108" s="28">
        <f>IF(ISBLANK(A108),0,INDEX(txtstylestab[],MATCH(A108,txtstylestab[style_Name],0),1))</f>
        <v>0</v>
      </c>
      <c r="C108" s="28">
        <f t="shared" si="4"/>
        <v>2</v>
      </c>
      <c r="D108" s="28">
        <f t="shared" si="5"/>
        <v>10</v>
      </c>
      <c r="E108" s="28">
        <f t="shared" si="6"/>
        <v>0</v>
      </c>
      <c r="F108" s="59" t="str">
        <f t="shared" si="7"/>
        <v/>
      </c>
      <c r="G108" s="42" t="s">
        <v>989</v>
      </c>
      <c r="H108" s="43" t="s">
        <v>990</v>
      </c>
      <c r="I108" s="44" t="s">
        <v>991</v>
      </c>
      <c r="J108" s="45" t="s">
        <v>992</v>
      </c>
      <c r="K108" s="46" t="s">
        <v>993</v>
      </c>
      <c r="L108" s="47" t="s">
        <v>2870</v>
      </c>
      <c r="M108" s="48" t="s">
        <v>2871</v>
      </c>
      <c r="N108" s="49"/>
      <c r="O108" s="50" t="s">
        <v>3218</v>
      </c>
      <c r="P108" s="59"/>
      <c r="Q108" s="59"/>
      <c r="R108" s="13"/>
    </row>
    <row r="109" spans="1:18" x14ac:dyDescent="0.25">
      <c r="A109" s="9" t="s">
        <v>21</v>
      </c>
      <c r="B109" s="28">
        <f>IF(ISBLANK(A109),0,INDEX(txtstylestab[],MATCH(A109,txtstylestab[style_Name],0),1))</f>
        <v>0</v>
      </c>
      <c r="C109" s="28">
        <f t="shared" si="4"/>
        <v>2</v>
      </c>
      <c r="D109" s="28">
        <f t="shared" si="5"/>
        <v>10</v>
      </c>
      <c r="E109" s="28">
        <f t="shared" si="6"/>
        <v>0</v>
      </c>
      <c r="F109" s="59" t="str">
        <f t="shared" si="7"/>
        <v/>
      </c>
      <c r="G109" s="42" t="s">
        <v>6</v>
      </c>
      <c r="H109" s="43" t="s">
        <v>26</v>
      </c>
      <c r="I109" s="44" t="s">
        <v>994</v>
      </c>
      <c r="J109" s="45" t="s">
        <v>54</v>
      </c>
      <c r="K109" s="46" t="s">
        <v>59</v>
      </c>
      <c r="L109" s="47" t="s">
        <v>2524</v>
      </c>
      <c r="M109" s="48" t="s">
        <v>2525</v>
      </c>
      <c r="N109" s="49"/>
      <c r="O109" s="50" t="s">
        <v>3168</v>
      </c>
      <c r="P109" s="50"/>
      <c r="Q109" s="59"/>
      <c r="R109" s="13"/>
    </row>
    <row r="110" spans="1:18" ht="18" thickBot="1" x14ac:dyDescent="0.35">
      <c r="A110" s="9" t="s">
        <v>11</v>
      </c>
      <c r="B110" s="28">
        <f>IF(ISBLANK(A110),0,INDEX(txtstylestab[],MATCH(A110,txtstylestab[style_Name],0),1))</f>
        <v>2</v>
      </c>
      <c r="C110" s="28">
        <f t="shared" si="4"/>
        <v>2</v>
      </c>
      <c r="D110" s="28">
        <f t="shared" si="5"/>
        <v>11</v>
      </c>
      <c r="E110" s="28">
        <f t="shared" si="6"/>
        <v>0</v>
      </c>
      <c r="F110" s="54" t="str">
        <f t="shared" si="7"/>
        <v>2.11.</v>
      </c>
      <c r="G110" s="54" t="s">
        <v>1000</v>
      </c>
      <c r="H110" s="54"/>
      <c r="I110" s="54"/>
      <c r="J110" s="54"/>
      <c r="K110" s="54"/>
      <c r="L110" s="54"/>
      <c r="M110" s="54"/>
      <c r="N110" s="54"/>
      <c r="O110" s="54"/>
      <c r="P110" s="54"/>
      <c r="Q110" s="54"/>
      <c r="R110" s="13"/>
    </row>
    <row r="111" spans="1:18" ht="15.75" thickTop="1" x14ac:dyDescent="0.25">
      <c r="A111" s="9" t="s">
        <v>21</v>
      </c>
      <c r="B111" s="28">
        <f>IF(ISBLANK(A111),0,INDEX(txtstylestab[],MATCH(A111,txtstylestab[style_Name],0),1))</f>
        <v>0</v>
      </c>
      <c r="C111" s="28">
        <f t="shared" si="4"/>
        <v>2</v>
      </c>
      <c r="D111" s="28">
        <f t="shared" si="5"/>
        <v>11</v>
      </c>
      <c r="E111" s="28">
        <f t="shared" si="6"/>
        <v>0</v>
      </c>
      <c r="F111" s="59" t="str">
        <f t="shared" si="7"/>
        <v/>
      </c>
      <c r="G111" s="42" t="s">
        <v>82</v>
      </c>
      <c r="H111" s="43" t="s">
        <v>83</v>
      </c>
      <c r="I111" s="44" t="s">
        <v>84</v>
      </c>
      <c r="J111" s="45" t="s">
        <v>85</v>
      </c>
      <c r="K111" s="46" t="s">
        <v>86</v>
      </c>
      <c r="L111" s="47" t="s">
        <v>2397</v>
      </c>
      <c r="M111" s="48" t="s">
        <v>2332</v>
      </c>
      <c r="N111" s="49"/>
      <c r="O111" s="50" t="s">
        <v>3161</v>
      </c>
      <c r="P111" s="50"/>
      <c r="Q111" s="59"/>
      <c r="R111" s="13"/>
    </row>
    <row r="112" spans="1:18" ht="90" x14ac:dyDescent="0.25">
      <c r="A112" s="9" t="s">
        <v>21</v>
      </c>
      <c r="B112" s="28">
        <f>IF(ISBLANK(A112),0,INDEX(txtstylestab[],MATCH(A112,txtstylestab[style_Name],0),1))</f>
        <v>0</v>
      </c>
      <c r="C112" s="28">
        <f t="shared" si="4"/>
        <v>2</v>
      </c>
      <c r="D112" s="28">
        <f t="shared" si="5"/>
        <v>11</v>
      </c>
      <c r="E112" s="28">
        <f t="shared" si="6"/>
        <v>0</v>
      </c>
      <c r="F112" s="59" t="str">
        <f t="shared" si="7"/>
        <v/>
      </c>
      <c r="G112" s="42" t="s">
        <v>1011</v>
      </c>
      <c r="H112" s="43" t="s">
        <v>1010</v>
      </c>
      <c r="I112" s="44" t="s">
        <v>1012</v>
      </c>
      <c r="J112" s="45" t="s">
        <v>1588</v>
      </c>
      <c r="K112" s="46" t="s">
        <v>1013</v>
      </c>
      <c r="L112" s="47" t="s">
        <v>2876</v>
      </c>
      <c r="M112" s="48" t="s">
        <v>2878</v>
      </c>
      <c r="N112" s="49"/>
      <c r="O112" s="50" t="s">
        <v>3214</v>
      </c>
      <c r="P112" s="59"/>
      <c r="Q112" s="59"/>
      <c r="R112" s="13"/>
    </row>
    <row r="113" spans="1:18" ht="45" x14ac:dyDescent="0.25">
      <c r="A113" s="9" t="s">
        <v>21</v>
      </c>
      <c r="B113" s="28">
        <f>IF(ISBLANK(A113),0,INDEX(txtstylestab[],MATCH(A113,txtstylestab[style_Name],0),1))</f>
        <v>0</v>
      </c>
      <c r="C113" s="28">
        <f t="shared" si="4"/>
        <v>2</v>
      </c>
      <c r="D113" s="28">
        <f t="shared" si="5"/>
        <v>11</v>
      </c>
      <c r="E113" s="28">
        <f t="shared" si="6"/>
        <v>0</v>
      </c>
      <c r="F113" s="59" t="str">
        <f t="shared" si="7"/>
        <v/>
      </c>
      <c r="G113" s="42" t="s">
        <v>1001</v>
      </c>
      <c r="H113" s="43" t="s">
        <v>1002</v>
      </c>
      <c r="I113" s="44" t="s">
        <v>1003</v>
      </c>
      <c r="J113" s="45" t="s">
        <v>1004</v>
      </c>
      <c r="K113" s="46" t="s">
        <v>1005</v>
      </c>
      <c r="L113" s="47" t="s">
        <v>2872</v>
      </c>
      <c r="M113" s="48" t="s">
        <v>2873</v>
      </c>
      <c r="N113" s="49"/>
      <c r="O113" s="50" t="s">
        <v>3215</v>
      </c>
      <c r="P113" s="59"/>
      <c r="Q113" s="59"/>
      <c r="R113" s="13"/>
    </row>
    <row r="114" spans="1:18" ht="75" x14ac:dyDescent="0.25">
      <c r="A114" s="9" t="s">
        <v>21</v>
      </c>
      <c r="B114" s="28">
        <f>IF(ISBLANK(A114),0,INDEX(txtstylestab[],MATCH(A114,txtstylestab[style_Name],0),1))</f>
        <v>0</v>
      </c>
      <c r="C114" s="28">
        <f t="shared" si="4"/>
        <v>2</v>
      </c>
      <c r="D114" s="28">
        <f t="shared" si="5"/>
        <v>11</v>
      </c>
      <c r="E114" s="28">
        <f t="shared" si="6"/>
        <v>0</v>
      </c>
      <c r="F114" s="59" t="str">
        <f t="shared" si="7"/>
        <v/>
      </c>
      <c r="G114" s="42" t="s">
        <v>1006</v>
      </c>
      <c r="H114" s="43" t="s">
        <v>1007</v>
      </c>
      <c r="I114" s="44" t="s">
        <v>1644</v>
      </c>
      <c r="J114" s="45" t="s">
        <v>1008</v>
      </c>
      <c r="K114" s="46" t="s">
        <v>1009</v>
      </c>
      <c r="L114" s="47" t="s">
        <v>2874</v>
      </c>
      <c r="M114" s="48" t="s">
        <v>2875</v>
      </c>
      <c r="N114" s="49"/>
      <c r="O114" s="50" t="s">
        <v>3216</v>
      </c>
      <c r="P114" s="59"/>
      <c r="Q114" s="59"/>
      <c r="R114" s="13"/>
    </row>
    <row r="115" spans="1:18" x14ac:dyDescent="0.25">
      <c r="A115" s="9" t="s">
        <v>21</v>
      </c>
      <c r="B115" s="28">
        <f>IF(ISBLANK(A115),0,INDEX(txtstylestab[],MATCH(A115,txtstylestab[style_Name],0),1))</f>
        <v>0</v>
      </c>
      <c r="C115" s="28">
        <f t="shared" si="4"/>
        <v>2</v>
      </c>
      <c r="D115" s="28">
        <f t="shared" si="5"/>
        <v>11</v>
      </c>
      <c r="E115" s="28">
        <f t="shared" si="6"/>
        <v>0</v>
      </c>
      <c r="F115" s="59" t="str">
        <f t="shared" si="7"/>
        <v/>
      </c>
      <c r="G115" s="42" t="s">
        <v>6</v>
      </c>
      <c r="H115" s="43" t="s">
        <v>26</v>
      </c>
      <c r="I115" s="44" t="s">
        <v>48</v>
      </c>
      <c r="J115" s="45" t="s">
        <v>54</v>
      </c>
      <c r="K115" s="46" t="s">
        <v>59</v>
      </c>
      <c r="L115" s="47" t="s">
        <v>2524</v>
      </c>
      <c r="M115" s="48" t="s">
        <v>2525</v>
      </c>
      <c r="N115" s="49"/>
      <c r="O115" s="50" t="s">
        <v>3168</v>
      </c>
      <c r="P115" s="50"/>
      <c r="Q115" s="59"/>
      <c r="R115" s="13"/>
    </row>
    <row r="116" spans="1:18" ht="18" thickBot="1" x14ac:dyDescent="0.35">
      <c r="A116" s="9" t="s">
        <v>11</v>
      </c>
      <c r="B116" s="28">
        <f>IF(ISBLANK(A116),0,INDEX(txtstylestab[],MATCH(A116,txtstylestab[style_Name],0),1))</f>
        <v>2</v>
      </c>
      <c r="C116" s="28">
        <f t="shared" si="4"/>
        <v>2</v>
      </c>
      <c r="D116" s="28">
        <f t="shared" si="5"/>
        <v>12</v>
      </c>
      <c r="E116" s="28">
        <f t="shared" si="6"/>
        <v>0</v>
      </c>
      <c r="F116" s="54" t="str">
        <f t="shared" si="7"/>
        <v>2.12.</v>
      </c>
      <c r="G116" s="54" t="s">
        <v>1014</v>
      </c>
      <c r="H116" s="54"/>
      <c r="I116" s="54"/>
      <c r="J116" s="54"/>
      <c r="K116" s="54"/>
      <c r="L116" s="54"/>
      <c r="M116" s="54"/>
      <c r="N116" s="54"/>
      <c r="O116" s="54"/>
      <c r="P116" s="54"/>
      <c r="Q116" s="54"/>
      <c r="R116" s="13"/>
    </row>
    <row r="117" spans="1:18" ht="15.75" thickTop="1" x14ac:dyDescent="0.25">
      <c r="A117" s="9" t="s">
        <v>21</v>
      </c>
      <c r="B117" s="28">
        <f>IF(ISBLANK(A117),0,INDEX(txtstylestab[],MATCH(A117,txtstylestab[style_Name],0),1))</f>
        <v>0</v>
      </c>
      <c r="C117" s="28">
        <f t="shared" si="4"/>
        <v>2</v>
      </c>
      <c r="D117" s="28">
        <f t="shared" si="5"/>
        <v>12</v>
      </c>
      <c r="E117" s="28">
        <f t="shared" si="6"/>
        <v>0</v>
      </c>
      <c r="F117" s="59" t="str">
        <f t="shared" si="7"/>
        <v/>
      </c>
      <c r="G117" s="42" t="s">
        <v>82</v>
      </c>
      <c r="H117" s="43" t="s">
        <v>83</v>
      </c>
      <c r="I117" s="44" t="s">
        <v>84</v>
      </c>
      <c r="J117" s="45" t="s">
        <v>85</v>
      </c>
      <c r="K117" s="46" t="s">
        <v>86</v>
      </c>
      <c r="L117" s="47" t="s">
        <v>2397</v>
      </c>
      <c r="M117" s="48" t="s">
        <v>2332</v>
      </c>
      <c r="N117" s="49"/>
      <c r="O117" s="50" t="s">
        <v>3161</v>
      </c>
      <c r="P117" s="50"/>
      <c r="Q117" s="59"/>
      <c r="R117" s="13"/>
    </row>
    <row r="118" spans="1:18" ht="60" x14ac:dyDescent="0.25">
      <c r="A118" s="9" t="s">
        <v>21</v>
      </c>
      <c r="B118" s="28">
        <f>IF(ISBLANK(A118),0,INDEX(txtstylestab[],MATCH(A118,txtstylestab[style_Name],0),1))</f>
        <v>0</v>
      </c>
      <c r="C118" s="28">
        <f t="shared" si="4"/>
        <v>2</v>
      </c>
      <c r="D118" s="28">
        <f t="shared" si="5"/>
        <v>12</v>
      </c>
      <c r="E118" s="28">
        <f t="shared" si="6"/>
        <v>0</v>
      </c>
      <c r="F118" s="59" t="str">
        <f t="shared" si="7"/>
        <v/>
      </c>
      <c r="G118" s="42" t="s">
        <v>1015</v>
      </c>
      <c r="H118" s="43" t="s">
        <v>2003</v>
      </c>
      <c r="I118" s="44" t="s">
        <v>1016</v>
      </c>
      <c r="J118" s="45" t="s">
        <v>1017</v>
      </c>
      <c r="K118" s="46" t="s">
        <v>1018</v>
      </c>
      <c r="L118" s="47" t="s">
        <v>2877</v>
      </c>
      <c r="M118" s="48" t="s">
        <v>2879</v>
      </c>
      <c r="N118" s="49"/>
      <c r="O118" s="50" t="s">
        <v>3213</v>
      </c>
      <c r="P118" s="59"/>
      <c r="Q118" s="59"/>
      <c r="R118" s="13"/>
    </row>
    <row r="119" spans="1:18" x14ac:dyDescent="0.25">
      <c r="A119" s="9" t="s">
        <v>21</v>
      </c>
      <c r="B119" s="28">
        <f>IF(ISBLANK(A119),0,INDEX(txtstylestab[],MATCH(A119,txtstylestab[style_Name],0),1))</f>
        <v>0</v>
      </c>
      <c r="C119" s="28">
        <f t="shared" si="4"/>
        <v>2</v>
      </c>
      <c r="D119" s="28">
        <f t="shared" si="5"/>
        <v>12</v>
      </c>
      <c r="E119" s="28">
        <f t="shared" si="6"/>
        <v>0</v>
      </c>
      <c r="F119" s="59" t="str">
        <f t="shared" si="7"/>
        <v/>
      </c>
      <c r="G119" s="42" t="s">
        <v>6</v>
      </c>
      <c r="H119" s="43" t="s">
        <v>26</v>
      </c>
      <c r="I119" s="44" t="s">
        <v>48</v>
      </c>
      <c r="J119" s="45" t="s">
        <v>54</v>
      </c>
      <c r="K119" s="46" t="s">
        <v>59</v>
      </c>
      <c r="L119" s="47" t="s">
        <v>2524</v>
      </c>
      <c r="M119" s="48" t="s">
        <v>2525</v>
      </c>
      <c r="N119" s="49"/>
      <c r="O119" s="50" t="s">
        <v>3168</v>
      </c>
      <c r="P119" s="50"/>
      <c r="Q119" s="59"/>
      <c r="R119" s="13"/>
    </row>
    <row r="120" spans="1:18" ht="18" thickBot="1" x14ac:dyDescent="0.35">
      <c r="A120" s="9" t="s">
        <v>11</v>
      </c>
      <c r="B120" s="28">
        <f>IF(ISBLANK(A120),0,INDEX(txtstylestab[],MATCH(A120,txtstylestab[style_Name],0),1))</f>
        <v>2</v>
      </c>
      <c r="C120" s="28">
        <f t="shared" si="4"/>
        <v>2</v>
      </c>
      <c r="D120" s="28">
        <f t="shared" si="5"/>
        <v>13</v>
      </c>
      <c r="E120" s="28">
        <f t="shared" si="6"/>
        <v>0</v>
      </c>
      <c r="F120" s="54" t="str">
        <f t="shared" si="7"/>
        <v>2.13.</v>
      </c>
      <c r="G120" s="54" t="s">
        <v>1019</v>
      </c>
      <c r="H120" s="54"/>
      <c r="I120" s="54"/>
      <c r="J120" s="54"/>
      <c r="K120" s="54"/>
      <c r="L120" s="54"/>
      <c r="M120" s="54"/>
      <c r="N120" s="54"/>
      <c r="O120" s="54"/>
      <c r="P120" s="54"/>
      <c r="Q120" s="54"/>
      <c r="R120" s="13"/>
    </row>
    <row r="121" spans="1:18" ht="15.75" thickTop="1" x14ac:dyDescent="0.25">
      <c r="A121" s="9" t="s">
        <v>21</v>
      </c>
      <c r="B121" s="28">
        <f>IF(ISBLANK(A121),0,INDEX(txtstylestab[],MATCH(A121,txtstylestab[style_Name],0),1))</f>
        <v>0</v>
      </c>
      <c r="C121" s="28">
        <f t="shared" si="4"/>
        <v>2</v>
      </c>
      <c r="D121" s="28">
        <f t="shared" si="5"/>
        <v>13</v>
      </c>
      <c r="E121" s="28">
        <f t="shared" si="6"/>
        <v>0</v>
      </c>
      <c r="F121" s="59" t="str">
        <f t="shared" si="7"/>
        <v/>
      </c>
      <c r="G121" s="42" t="s">
        <v>82</v>
      </c>
      <c r="H121" s="43" t="s">
        <v>83</v>
      </c>
      <c r="I121" s="44" t="s">
        <v>84</v>
      </c>
      <c r="J121" s="45" t="s">
        <v>85</v>
      </c>
      <c r="K121" s="46" t="s">
        <v>86</v>
      </c>
      <c r="L121" s="47" t="s">
        <v>2397</v>
      </c>
      <c r="M121" s="48" t="s">
        <v>2332</v>
      </c>
      <c r="N121" s="49"/>
      <c r="O121" s="50" t="s">
        <v>3161</v>
      </c>
      <c r="P121" s="50"/>
      <c r="Q121" s="59"/>
      <c r="R121" s="13"/>
    </row>
    <row r="122" spans="1:18" ht="60" x14ac:dyDescent="0.25">
      <c r="A122" s="9" t="s">
        <v>21</v>
      </c>
      <c r="B122" s="28">
        <f>IF(ISBLANK(A122),0,INDEX(txtstylestab[],MATCH(A122,txtstylestab[style_Name],0),1))</f>
        <v>0</v>
      </c>
      <c r="C122" s="28">
        <f t="shared" si="4"/>
        <v>2</v>
      </c>
      <c r="D122" s="28">
        <f t="shared" si="5"/>
        <v>13</v>
      </c>
      <c r="E122" s="28">
        <f t="shared" si="6"/>
        <v>0</v>
      </c>
      <c r="F122" s="59" t="str">
        <f t="shared" si="7"/>
        <v/>
      </c>
      <c r="G122" s="42" t="s">
        <v>1020</v>
      </c>
      <c r="H122" s="43" t="s">
        <v>1021</v>
      </c>
      <c r="I122" s="44" t="s">
        <v>1022</v>
      </c>
      <c r="J122" s="45" t="s">
        <v>1023</v>
      </c>
      <c r="K122" s="46" t="s">
        <v>1024</v>
      </c>
      <c r="L122" s="47" t="s">
        <v>2880</v>
      </c>
      <c r="M122" s="48" t="s">
        <v>2881</v>
      </c>
      <c r="N122" s="49"/>
      <c r="O122" s="50" t="s">
        <v>3211</v>
      </c>
      <c r="P122" s="59"/>
      <c r="Q122" s="59"/>
      <c r="R122" s="13"/>
    </row>
    <row r="123" spans="1:18" ht="60" x14ac:dyDescent="0.25">
      <c r="A123" s="9" t="s">
        <v>21</v>
      </c>
      <c r="B123" s="28">
        <f>IF(ISBLANK(A123),0,INDEX(txtstylestab[],MATCH(A123,txtstylestab[style_Name],0),1))</f>
        <v>0</v>
      </c>
      <c r="C123" s="28">
        <f t="shared" si="4"/>
        <v>2</v>
      </c>
      <c r="D123" s="28">
        <f t="shared" si="5"/>
        <v>13</v>
      </c>
      <c r="E123" s="28">
        <f t="shared" si="6"/>
        <v>0</v>
      </c>
      <c r="F123" s="59" t="str">
        <f t="shared" si="7"/>
        <v/>
      </c>
      <c r="G123" s="42" t="s">
        <v>1025</v>
      </c>
      <c r="H123" s="43" t="s">
        <v>1026</v>
      </c>
      <c r="I123" s="44" t="s">
        <v>1027</v>
      </c>
      <c r="J123" s="45" t="s">
        <v>1028</v>
      </c>
      <c r="K123" s="46" t="s">
        <v>1029</v>
      </c>
      <c r="L123" s="47" t="s">
        <v>2882</v>
      </c>
      <c r="M123" s="48" t="s">
        <v>2883</v>
      </c>
      <c r="N123" s="49"/>
      <c r="O123" s="50" t="s">
        <v>3212</v>
      </c>
      <c r="P123" s="59"/>
      <c r="Q123" s="59"/>
      <c r="R123" s="13"/>
    </row>
    <row r="124" spans="1:18" ht="45" x14ac:dyDescent="0.25">
      <c r="A124" s="9" t="s">
        <v>21</v>
      </c>
      <c r="B124" s="28">
        <f>IF(ISBLANK(A124),0,INDEX(txtstylestab[],MATCH(A124,txtstylestab[style_Name],0),1))</f>
        <v>0</v>
      </c>
      <c r="C124" s="28">
        <f t="shared" si="4"/>
        <v>2</v>
      </c>
      <c r="D124" s="28">
        <f t="shared" si="5"/>
        <v>13</v>
      </c>
      <c r="E124" s="28">
        <f t="shared" si="6"/>
        <v>0</v>
      </c>
      <c r="F124" s="59" t="str">
        <f t="shared" si="7"/>
        <v/>
      </c>
      <c r="G124" s="42" t="s">
        <v>535</v>
      </c>
      <c r="H124" s="43" t="s">
        <v>536</v>
      </c>
      <c r="I124" s="44" t="s">
        <v>503</v>
      </c>
      <c r="J124" s="45" t="s">
        <v>504</v>
      </c>
      <c r="K124" s="46" t="s">
        <v>1030</v>
      </c>
      <c r="L124" s="47" t="s">
        <v>2884</v>
      </c>
      <c r="M124" s="48" t="s">
        <v>2807</v>
      </c>
      <c r="N124" s="49"/>
      <c r="O124" s="50" t="s">
        <v>3239</v>
      </c>
      <c r="P124" s="50"/>
      <c r="Q124" s="59"/>
      <c r="R124" s="13"/>
    </row>
    <row r="125" spans="1:18" x14ac:dyDescent="0.25">
      <c r="A125" s="9" t="s">
        <v>21</v>
      </c>
      <c r="B125" s="28">
        <f>IF(ISBLANK(A125),0,INDEX(txtstylestab[],MATCH(A125,txtstylestab[style_Name],0),1))</f>
        <v>0</v>
      </c>
      <c r="C125" s="28">
        <f t="shared" si="4"/>
        <v>2</v>
      </c>
      <c r="D125" s="28">
        <f t="shared" si="5"/>
        <v>13</v>
      </c>
      <c r="E125" s="28">
        <f t="shared" si="6"/>
        <v>0</v>
      </c>
      <c r="F125" s="59" t="str">
        <f t="shared" si="7"/>
        <v/>
      </c>
      <c r="G125" s="42" t="s">
        <v>6</v>
      </c>
      <c r="H125" s="43" t="s">
        <v>96</v>
      </c>
      <c r="I125" s="44" t="s">
        <v>48</v>
      </c>
      <c r="J125" s="45" t="s">
        <v>54</v>
      </c>
      <c r="K125" s="46" t="s">
        <v>59</v>
      </c>
      <c r="L125" s="47" t="s">
        <v>2524</v>
      </c>
      <c r="M125" s="48" t="s">
        <v>2525</v>
      </c>
      <c r="N125" s="49"/>
      <c r="O125" s="50" t="s">
        <v>3168</v>
      </c>
      <c r="P125" s="50"/>
      <c r="Q125" s="59"/>
      <c r="R125" s="13"/>
    </row>
    <row r="126" spans="1:18" x14ac:dyDescent="0.25">
      <c r="A126" s="9" t="s">
        <v>13</v>
      </c>
      <c r="B126" s="28">
        <f>IF(ISBLANK(A126),0,INDEX(txtstylestab[],MATCH(A126,txtstylestab[style_Name],0),1))</f>
        <v>7</v>
      </c>
      <c r="C126" s="28">
        <f t="shared" si="4"/>
        <v>2</v>
      </c>
      <c r="D126" s="28">
        <f t="shared" si="5"/>
        <v>13</v>
      </c>
      <c r="E126" s="28">
        <f t="shared" si="6"/>
        <v>0</v>
      </c>
      <c r="F126" s="78" t="str">
        <f t="shared" si="7"/>
        <v/>
      </c>
      <c r="G126" s="78" t="s">
        <v>457</v>
      </c>
      <c r="H126" s="78"/>
      <c r="I126" s="78"/>
      <c r="J126" s="78"/>
      <c r="K126" s="78"/>
      <c r="L126" s="78"/>
      <c r="M126" s="78"/>
      <c r="N126" s="78"/>
      <c r="O126" s="78"/>
      <c r="P126" s="78"/>
      <c r="Q126" s="78"/>
      <c r="R126" s="13"/>
    </row>
    <row r="127" spans="1:18" ht="18" thickBot="1" x14ac:dyDescent="0.35">
      <c r="A127" s="9" t="s">
        <v>11</v>
      </c>
      <c r="B127" s="28">
        <f>IF(ISBLANK(A127),0,INDEX(txtstylestab[],MATCH(A127,txtstylestab[style_Name],0),1))</f>
        <v>2</v>
      </c>
      <c r="C127" s="28">
        <f t="shared" si="4"/>
        <v>2</v>
      </c>
      <c r="D127" s="28">
        <f t="shared" si="5"/>
        <v>14</v>
      </c>
      <c r="E127" s="28">
        <f t="shared" si="6"/>
        <v>0</v>
      </c>
      <c r="F127" s="54" t="str">
        <f t="shared" si="7"/>
        <v>2.14.</v>
      </c>
      <c r="G127" s="54" t="s">
        <v>1031</v>
      </c>
      <c r="H127" s="54"/>
      <c r="I127" s="54"/>
      <c r="J127" s="54"/>
      <c r="K127" s="54"/>
      <c r="L127" s="54"/>
      <c r="M127" s="54"/>
      <c r="N127" s="54"/>
      <c r="O127" s="54"/>
      <c r="P127" s="54"/>
      <c r="Q127" s="54"/>
      <c r="R127" s="13"/>
    </row>
    <row r="128" spans="1:18" ht="15.75" thickTop="1" x14ac:dyDescent="0.25">
      <c r="A128" s="9" t="s">
        <v>21</v>
      </c>
      <c r="B128" s="28">
        <f>IF(ISBLANK(A128),0,INDEX(txtstylestab[],MATCH(A128,txtstylestab[style_Name],0),1))</f>
        <v>0</v>
      </c>
      <c r="C128" s="28">
        <f t="shared" si="4"/>
        <v>2</v>
      </c>
      <c r="D128" s="28">
        <f t="shared" si="5"/>
        <v>14</v>
      </c>
      <c r="E128" s="28">
        <f t="shared" si="6"/>
        <v>0</v>
      </c>
      <c r="F128" s="59" t="str">
        <f t="shared" si="7"/>
        <v/>
      </c>
      <c r="G128" s="42" t="s">
        <v>82</v>
      </c>
      <c r="H128" s="43" t="s">
        <v>83</v>
      </c>
      <c r="I128" s="44" t="s">
        <v>84</v>
      </c>
      <c r="J128" s="45" t="s">
        <v>85</v>
      </c>
      <c r="K128" s="46" t="s">
        <v>86</v>
      </c>
      <c r="L128" s="47" t="s">
        <v>2397</v>
      </c>
      <c r="M128" s="48" t="s">
        <v>2332</v>
      </c>
      <c r="N128" s="49"/>
      <c r="O128" s="50" t="s">
        <v>3161</v>
      </c>
      <c r="P128" s="50"/>
      <c r="Q128" s="59"/>
      <c r="R128" s="13"/>
    </row>
    <row r="129" spans="1:18" x14ac:dyDescent="0.25">
      <c r="A129" s="9" t="s">
        <v>22</v>
      </c>
      <c r="B129" s="28">
        <f>IF(ISBLANK(A129),0,INDEX(txtstylestab[],MATCH(A129,txtstylestab[style_Name],0),1))</f>
        <v>4</v>
      </c>
      <c r="C129" s="28">
        <f t="shared" si="4"/>
        <v>2</v>
      </c>
      <c r="D129" s="28">
        <f t="shared" si="5"/>
        <v>14</v>
      </c>
      <c r="E129" s="28">
        <f t="shared" si="6"/>
        <v>0</v>
      </c>
      <c r="F129" s="56" t="str">
        <f t="shared" si="7"/>
        <v/>
      </c>
      <c r="G129" s="53" t="s">
        <v>1032</v>
      </c>
      <c r="H129" s="53"/>
      <c r="I129" s="53"/>
      <c r="J129" s="53"/>
      <c r="K129" s="53"/>
      <c r="L129" s="53"/>
      <c r="M129" s="53"/>
      <c r="N129" s="53"/>
      <c r="O129" s="53"/>
      <c r="P129" s="53"/>
      <c r="Q129" s="53"/>
      <c r="R129" s="13"/>
    </row>
    <row r="130" spans="1:18" ht="45" x14ac:dyDescent="0.25">
      <c r="A130" s="9" t="s">
        <v>21</v>
      </c>
      <c r="B130" s="28">
        <f>IF(ISBLANK(A130),0,INDEX(txtstylestab[],MATCH(A130,txtstylestab[style_Name],0),1))</f>
        <v>0</v>
      </c>
      <c r="C130" s="28">
        <f t="shared" si="4"/>
        <v>2</v>
      </c>
      <c r="D130" s="28">
        <f t="shared" si="5"/>
        <v>14</v>
      </c>
      <c r="E130" s="28">
        <f t="shared" si="6"/>
        <v>0</v>
      </c>
      <c r="F130" s="59" t="str">
        <f t="shared" si="7"/>
        <v/>
      </c>
      <c r="G130" s="42" t="s">
        <v>1033</v>
      </c>
      <c r="H130" s="43" t="s">
        <v>1034</v>
      </c>
      <c r="I130" s="44" t="s">
        <v>1645</v>
      </c>
      <c r="J130" s="45" t="s">
        <v>1035</v>
      </c>
      <c r="K130" s="46" t="s">
        <v>1036</v>
      </c>
      <c r="L130" s="47" t="s">
        <v>2885</v>
      </c>
      <c r="M130" s="48" t="s">
        <v>2886</v>
      </c>
      <c r="N130" s="49"/>
      <c r="O130" s="50" t="s">
        <v>3207</v>
      </c>
      <c r="P130" s="59"/>
      <c r="Q130" s="59"/>
      <c r="R130" s="13"/>
    </row>
    <row r="131" spans="1:18" x14ac:dyDescent="0.25">
      <c r="A131" s="9" t="s">
        <v>22</v>
      </c>
      <c r="B131" s="28">
        <f>IF(ISBLANK(A131),0,INDEX(txtstylestab[],MATCH(A131,txtstylestab[style_Name],0),1))</f>
        <v>4</v>
      </c>
      <c r="C131" s="28">
        <f t="shared" si="4"/>
        <v>2</v>
      </c>
      <c r="D131" s="28">
        <f t="shared" si="5"/>
        <v>14</v>
      </c>
      <c r="E131" s="28">
        <f t="shared" si="6"/>
        <v>0</v>
      </c>
      <c r="F131" s="56" t="str">
        <f t="shared" si="7"/>
        <v/>
      </c>
      <c r="G131" s="53" t="s">
        <v>1037</v>
      </c>
      <c r="H131" s="53"/>
      <c r="I131" s="53"/>
      <c r="J131" s="53"/>
      <c r="K131" s="53"/>
      <c r="L131" s="53"/>
      <c r="M131" s="53"/>
      <c r="N131" s="53"/>
      <c r="O131" s="53"/>
      <c r="P131" s="53"/>
      <c r="Q131" s="53"/>
      <c r="R131" s="13"/>
    </row>
    <row r="132" spans="1:18" ht="60" x14ac:dyDescent="0.25">
      <c r="A132" s="9" t="s">
        <v>21</v>
      </c>
      <c r="B132" s="28">
        <f>IF(ISBLANK(A132),0,INDEX(txtstylestab[],MATCH(A132,txtstylestab[style_Name],0),1))</f>
        <v>0</v>
      </c>
      <c r="C132" s="28">
        <f t="shared" ref="C132:C195" si="8">IF(B132=1,C131+1,C131)</f>
        <v>2</v>
      </c>
      <c r="D132" s="28">
        <f t="shared" ref="D132:D195" si="9">IF(B132=1,0,IF(B132=2,D131+1,IF(AND(B132=3,D131=0),1,D131)))</f>
        <v>14</v>
      </c>
      <c r="E132" s="28">
        <f t="shared" ref="E132:E195" si="10">IF(OR(B132=1,B132=2),0,IF(B132=3,E131+1,E131))</f>
        <v>0</v>
      </c>
      <c r="F132" s="59" t="str">
        <f t="shared" ref="F132:F195" si="11">IF(OR(B132=1,B132=2,B132=3),TEXT(C132,"#")&amp;".","")&amp;IF(OR(B132=2,B132=3),TEXT(D132,"#")&amp;".","")&amp;IF(B132=3,TEXT(E132,"#")&amp;".","")</f>
        <v/>
      </c>
      <c r="G132" s="42" t="s">
        <v>1038</v>
      </c>
      <c r="H132" s="43" t="s">
        <v>1039</v>
      </c>
      <c r="I132" s="44" t="s">
        <v>1040</v>
      </c>
      <c r="J132" s="45" t="s">
        <v>1041</v>
      </c>
      <c r="K132" s="46" t="s">
        <v>1042</v>
      </c>
      <c r="L132" s="47" t="s">
        <v>2887</v>
      </c>
      <c r="M132" s="48" t="s">
        <v>2888</v>
      </c>
      <c r="N132" s="49"/>
      <c r="O132" s="50" t="s">
        <v>3208</v>
      </c>
      <c r="P132" s="59"/>
      <c r="Q132" s="59"/>
      <c r="R132" s="13"/>
    </row>
    <row r="133" spans="1:18" x14ac:dyDescent="0.25">
      <c r="A133" s="9" t="s">
        <v>22</v>
      </c>
      <c r="B133" s="28">
        <f>IF(ISBLANK(A133),0,INDEX(txtstylestab[],MATCH(A133,txtstylestab[style_Name],0),1))</f>
        <v>4</v>
      </c>
      <c r="C133" s="28">
        <f t="shared" si="8"/>
        <v>2</v>
      </c>
      <c r="D133" s="28">
        <f t="shared" si="9"/>
        <v>14</v>
      </c>
      <c r="E133" s="28">
        <f t="shared" si="10"/>
        <v>0</v>
      </c>
      <c r="F133" s="56" t="str">
        <f t="shared" si="11"/>
        <v/>
      </c>
      <c r="G133" s="53" t="s">
        <v>2004</v>
      </c>
      <c r="H133" s="53"/>
      <c r="I133" s="53"/>
      <c r="J133" s="53"/>
      <c r="K133" s="53"/>
      <c r="L133" s="53"/>
      <c r="M133" s="53"/>
      <c r="N133" s="53"/>
      <c r="O133" s="53"/>
      <c r="P133" s="53"/>
      <c r="Q133" s="53"/>
      <c r="R133" s="13"/>
    </row>
    <row r="134" spans="1:18" ht="135" x14ac:dyDescent="0.25">
      <c r="A134" s="9" t="s">
        <v>21</v>
      </c>
      <c r="B134" s="28">
        <f>IF(ISBLANK(A134),0,INDEX(txtstylestab[],MATCH(A134,txtstylestab[style_Name],0),1))</f>
        <v>0</v>
      </c>
      <c r="C134" s="28">
        <f t="shared" si="8"/>
        <v>2</v>
      </c>
      <c r="D134" s="28">
        <f t="shared" si="9"/>
        <v>14</v>
      </c>
      <c r="E134" s="28">
        <f t="shared" si="10"/>
        <v>0</v>
      </c>
      <c r="F134" s="59" t="str">
        <f t="shared" si="11"/>
        <v/>
      </c>
      <c r="G134" s="42" t="s">
        <v>1043</v>
      </c>
      <c r="H134" s="43" t="s">
        <v>1044</v>
      </c>
      <c r="I134" s="44" t="s">
        <v>1646</v>
      </c>
      <c r="J134" s="45" t="s">
        <v>1045</v>
      </c>
      <c r="K134" s="46" t="s">
        <v>1046</v>
      </c>
      <c r="L134" s="47" t="s">
        <v>2889</v>
      </c>
      <c r="M134" s="48" t="s">
        <v>2890</v>
      </c>
      <c r="N134" s="49"/>
      <c r="O134" s="50" t="s">
        <v>3209</v>
      </c>
      <c r="P134" s="59"/>
      <c r="Q134" s="59"/>
      <c r="R134" s="13"/>
    </row>
    <row r="135" spans="1:18" ht="45" x14ac:dyDescent="0.25">
      <c r="A135" s="9" t="s">
        <v>21</v>
      </c>
      <c r="B135" s="28">
        <f>IF(ISBLANK(A135),0,INDEX(txtstylestab[],MATCH(A135,txtstylestab[style_Name],0),1))</f>
        <v>0</v>
      </c>
      <c r="C135" s="28">
        <f t="shared" si="8"/>
        <v>2</v>
      </c>
      <c r="D135" s="28">
        <f t="shared" si="9"/>
        <v>14</v>
      </c>
      <c r="E135" s="28">
        <f t="shared" si="10"/>
        <v>0</v>
      </c>
      <c r="F135" s="59" t="str">
        <f t="shared" si="11"/>
        <v/>
      </c>
      <c r="G135" s="42" t="s">
        <v>1050</v>
      </c>
      <c r="H135" s="43" t="s">
        <v>1051</v>
      </c>
      <c r="I135" s="44" t="s">
        <v>1052</v>
      </c>
      <c r="J135" s="45" t="s">
        <v>1053</v>
      </c>
      <c r="K135" s="46" t="s">
        <v>1054</v>
      </c>
      <c r="L135" s="47" t="s">
        <v>2891</v>
      </c>
      <c r="M135" s="48" t="s">
        <v>2892</v>
      </c>
      <c r="N135" s="49"/>
      <c r="O135" s="49"/>
      <c r="P135" s="50"/>
      <c r="Q135" s="59"/>
      <c r="R135" s="13"/>
    </row>
    <row r="136" spans="1:18" ht="45" x14ac:dyDescent="0.25">
      <c r="A136" s="9" t="s">
        <v>21</v>
      </c>
      <c r="B136" s="28">
        <f>IF(ISBLANK(A136),0,INDEX(txtstylestab[],MATCH(A136,txtstylestab[style_Name],0),1))</f>
        <v>0</v>
      </c>
      <c r="C136" s="28">
        <f t="shared" si="8"/>
        <v>2</v>
      </c>
      <c r="D136" s="28">
        <f t="shared" si="9"/>
        <v>14</v>
      </c>
      <c r="E136" s="28">
        <f t="shared" si="10"/>
        <v>0</v>
      </c>
      <c r="F136" s="59" t="str">
        <f t="shared" si="11"/>
        <v/>
      </c>
      <c r="G136" s="42" t="s">
        <v>1055</v>
      </c>
      <c r="H136" s="43" t="s">
        <v>1056</v>
      </c>
      <c r="I136" s="44" t="s">
        <v>1057</v>
      </c>
      <c r="J136" s="45" t="s">
        <v>1058</v>
      </c>
      <c r="K136" s="46" t="s">
        <v>1059</v>
      </c>
      <c r="L136" s="47" t="s">
        <v>2893</v>
      </c>
      <c r="M136" s="48" t="s">
        <v>2894</v>
      </c>
      <c r="N136" s="49"/>
      <c r="O136" s="49"/>
      <c r="P136" s="50"/>
      <c r="Q136" s="59"/>
      <c r="R136" s="13"/>
    </row>
    <row r="137" spans="1:18" ht="60" x14ac:dyDescent="0.25">
      <c r="A137" s="9" t="s">
        <v>21</v>
      </c>
      <c r="B137" s="28">
        <f>IF(ISBLANK(A137),0,INDEX(txtstylestab[],MATCH(A137,txtstylestab[style_Name],0),1))</f>
        <v>0</v>
      </c>
      <c r="C137" s="28">
        <f t="shared" si="8"/>
        <v>2</v>
      </c>
      <c r="D137" s="28">
        <f t="shared" si="9"/>
        <v>14</v>
      </c>
      <c r="E137" s="28">
        <f t="shared" si="10"/>
        <v>0</v>
      </c>
      <c r="F137" s="59" t="str">
        <f t="shared" si="11"/>
        <v/>
      </c>
      <c r="G137" s="42" t="s">
        <v>1047</v>
      </c>
      <c r="H137" s="43" t="s">
        <v>2263</v>
      </c>
      <c r="I137" s="44" t="s">
        <v>1746</v>
      </c>
      <c r="J137" s="45" t="s">
        <v>1048</v>
      </c>
      <c r="K137" s="46" t="s">
        <v>1049</v>
      </c>
      <c r="L137" s="47" t="s">
        <v>2895</v>
      </c>
      <c r="M137" s="48" t="s">
        <v>2896</v>
      </c>
      <c r="N137" s="49"/>
      <c r="O137" s="50" t="s">
        <v>3210</v>
      </c>
      <c r="P137" s="59"/>
      <c r="Q137" s="59"/>
      <c r="R137" s="13"/>
    </row>
    <row r="138" spans="1:18" x14ac:dyDescent="0.25">
      <c r="A138" s="9" t="s">
        <v>21</v>
      </c>
      <c r="B138" s="28">
        <f>IF(ISBLANK(A138),0,INDEX(txtstylestab[],MATCH(A138,txtstylestab[style_Name],0),1))</f>
        <v>0</v>
      </c>
      <c r="C138" s="28">
        <f t="shared" si="8"/>
        <v>2</v>
      </c>
      <c r="D138" s="28">
        <f t="shared" si="9"/>
        <v>14</v>
      </c>
      <c r="E138" s="28">
        <f t="shared" si="10"/>
        <v>0</v>
      </c>
      <c r="F138" s="59" t="str">
        <f t="shared" si="11"/>
        <v/>
      </c>
      <c r="G138" s="42" t="s">
        <v>6</v>
      </c>
      <c r="H138" s="43" t="s">
        <v>26</v>
      </c>
      <c r="I138" s="44" t="s">
        <v>48</v>
      </c>
      <c r="J138" s="45" t="s">
        <v>54</v>
      </c>
      <c r="K138" s="46" t="s">
        <v>59</v>
      </c>
      <c r="L138" s="47" t="s">
        <v>2524</v>
      </c>
      <c r="M138" s="48" t="s">
        <v>2525</v>
      </c>
      <c r="N138" s="49"/>
      <c r="O138" s="50" t="s">
        <v>3168</v>
      </c>
      <c r="P138" s="50"/>
      <c r="Q138" s="59"/>
      <c r="R138" s="13"/>
    </row>
    <row r="139" spans="1:18" ht="18" thickBot="1" x14ac:dyDescent="0.35">
      <c r="A139" s="9" t="s">
        <v>11</v>
      </c>
      <c r="B139" s="28">
        <f>IF(ISBLANK(A139),0,INDEX(txtstylestab[],MATCH(A139,txtstylestab[style_Name],0),1))</f>
        <v>2</v>
      </c>
      <c r="C139" s="28">
        <f t="shared" si="8"/>
        <v>2</v>
      </c>
      <c r="D139" s="28">
        <f t="shared" si="9"/>
        <v>15</v>
      </c>
      <c r="E139" s="28">
        <f t="shared" si="10"/>
        <v>0</v>
      </c>
      <c r="F139" s="54" t="str">
        <f t="shared" si="11"/>
        <v>2.15.</v>
      </c>
      <c r="G139" s="54" t="s">
        <v>1060</v>
      </c>
      <c r="H139" s="54"/>
      <c r="I139" s="54"/>
      <c r="J139" s="54"/>
      <c r="K139" s="54"/>
      <c r="L139" s="54"/>
      <c r="M139" s="54"/>
      <c r="N139" s="54"/>
      <c r="O139" s="54"/>
      <c r="P139" s="54"/>
      <c r="Q139" s="54"/>
      <c r="R139" s="13"/>
    </row>
    <row r="140" spans="1:18" ht="15.75" thickTop="1" x14ac:dyDescent="0.25">
      <c r="A140" s="9" t="s">
        <v>21</v>
      </c>
      <c r="B140" s="28">
        <f>IF(ISBLANK(A140),0,INDEX(txtstylestab[],MATCH(A140,txtstylestab[style_Name],0),1))</f>
        <v>0</v>
      </c>
      <c r="C140" s="28">
        <f t="shared" si="8"/>
        <v>2</v>
      </c>
      <c r="D140" s="28">
        <f t="shared" si="9"/>
        <v>15</v>
      </c>
      <c r="E140" s="28">
        <f t="shared" si="10"/>
        <v>0</v>
      </c>
      <c r="F140" s="59" t="str">
        <f t="shared" si="11"/>
        <v/>
      </c>
      <c r="G140" s="42" t="s">
        <v>82</v>
      </c>
      <c r="H140" s="43" t="s">
        <v>83</v>
      </c>
      <c r="I140" s="44" t="s">
        <v>84</v>
      </c>
      <c r="J140" s="45" t="s">
        <v>85</v>
      </c>
      <c r="K140" s="46" t="s">
        <v>86</v>
      </c>
      <c r="L140" s="47" t="s">
        <v>2397</v>
      </c>
      <c r="M140" s="48" t="s">
        <v>2332</v>
      </c>
      <c r="N140" s="49"/>
      <c r="O140" s="50" t="s">
        <v>3161</v>
      </c>
      <c r="P140" s="50"/>
      <c r="Q140" s="59"/>
      <c r="R140" s="13"/>
    </row>
    <row r="141" spans="1:18" ht="60" x14ac:dyDescent="0.25">
      <c r="A141" s="9" t="s">
        <v>21</v>
      </c>
      <c r="B141" s="28">
        <f>IF(ISBLANK(A141),0,INDEX(txtstylestab[],MATCH(A141,txtstylestab[style_Name],0),1))</f>
        <v>0</v>
      </c>
      <c r="C141" s="28">
        <f t="shared" si="8"/>
        <v>2</v>
      </c>
      <c r="D141" s="28">
        <f t="shared" si="9"/>
        <v>15</v>
      </c>
      <c r="E141" s="28">
        <f t="shared" si="10"/>
        <v>0</v>
      </c>
      <c r="F141" s="59" t="str">
        <f t="shared" si="11"/>
        <v/>
      </c>
      <c r="G141" s="42" t="s">
        <v>1061</v>
      </c>
      <c r="H141" s="43" t="s">
        <v>1062</v>
      </c>
      <c r="I141" s="44" t="s">
        <v>1063</v>
      </c>
      <c r="J141" s="45" t="s">
        <v>1065</v>
      </c>
      <c r="K141" s="46" t="s">
        <v>1064</v>
      </c>
      <c r="L141" s="47" t="s">
        <v>2897</v>
      </c>
      <c r="M141" s="48" t="s">
        <v>2898</v>
      </c>
      <c r="N141" s="49"/>
      <c r="O141" s="50" t="s">
        <v>3206</v>
      </c>
      <c r="P141" s="59"/>
      <c r="Q141" s="59"/>
      <c r="R141" s="13"/>
    </row>
    <row r="142" spans="1:18" x14ac:dyDescent="0.25">
      <c r="A142" s="9" t="s">
        <v>21</v>
      </c>
      <c r="B142" s="28">
        <f>IF(ISBLANK(A142),0,INDEX(txtstylestab[],MATCH(A142,txtstylestab[style_Name],0),1))</f>
        <v>0</v>
      </c>
      <c r="C142" s="28">
        <f t="shared" si="8"/>
        <v>2</v>
      </c>
      <c r="D142" s="28">
        <f t="shared" si="9"/>
        <v>15</v>
      </c>
      <c r="E142" s="28">
        <f t="shared" si="10"/>
        <v>0</v>
      </c>
      <c r="F142" s="59" t="str">
        <f t="shared" si="11"/>
        <v/>
      </c>
      <c r="G142" s="42" t="s">
        <v>6</v>
      </c>
      <c r="H142" s="43" t="s">
        <v>26</v>
      </c>
      <c r="I142" s="44" t="s">
        <v>48</v>
      </c>
      <c r="J142" s="45" t="s">
        <v>384</v>
      </c>
      <c r="K142" s="46" t="s">
        <v>59</v>
      </c>
      <c r="L142" s="47" t="s">
        <v>2524</v>
      </c>
      <c r="M142" s="48" t="s">
        <v>2525</v>
      </c>
      <c r="N142" s="49"/>
      <c r="O142" s="50" t="s">
        <v>3168</v>
      </c>
      <c r="P142" s="50"/>
      <c r="Q142" s="59"/>
      <c r="R142" s="13"/>
    </row>
    <row r="143" spans="1:18" ht="18" thickBot="1" x14ac:dyDescent="0.35">
      <c r="A143" s="9" t="s">
        <v>11</v>
      </c>
      <c r="B143" s="28">
        <f>IF(ISBLANK(A143),0,INDEX(txtstylestab[],MATCH(A143,txtstylestab[style_Name],0),1))</f>
        <v>2</v>
      </c>
      <c r="C143" s="28">
        <f t="shared" si="8"/>
        <v>2</v>
      </c>
      <c r="D143" s="28">
        <f t="shared" si="9"/>
        <v>16</v>
      </c>
      <c r="E143" s="28">
        <f t="shared" si="10"/>
        <v>0</v>
      </c>
      <c r="F143" s="54" t="str">
        <f t="shared" si="11"/>
        <v>2.16.</v>
      </c>
      <c r="G143" s="54" t="s">
        <v>1066</v>
      </c>
      <c r="H143" s="54"/>
      <c r="I143" s="54"/>
      <c r="J143" s="54"/>
      <c r="K143" s="54"/>
      <c r="L143" s="54"/>
      <c r="M143" s="54"/>
      <c r="N143" s="54"/>
      <c r="O143" s="54"/>
      <c r="P143" s="54"/>
      <c r="Q143" s="54"/>
      <c r="R143" s="13"/>
    </row>
    <row r="144" spans="1:18" ht="15.75" thickTop="1" x14ac:dyDescent="0.25">
      <c r="A144" s="9" t="s">
        <v>21</v>
      </c>
      <c r="B144" s="28">
        <f>IF(ISBLANK(A144),0,INDEX(txtstylestab[],MATCH(A144,txtstylestab[style_Name],0),1))</f>
        <v>0</v>
      </c>
      <c r="C144" s="28">
        <f t="shared" si="8"/>
        <v>2</v>
      </c>
      <c r="D144" s="28">
        <f t="shared" si="9"/>
        <v>16</v>
      </c>
      <c r="E144" s="28">
        <f t="shared" si="10"/>
        <v>0</v>
      </c>
      <c r="F144" s="59" t="str">
        <f t="shared" si="11"/>
        <v/>
      </c>
      <c r="G144" s="42" t="s">
        <v>82</v>
      </c>
      <c r="H144" s="43" t="s">
        <v>83</v>
      </c>
      <c r="I144" s="44" t="s">
        <v>84</v>
      </c>
      <c r="J144" s="45" t="s">
        <v>85</v>
      </c>
      <c r="K144" s="46" t="s">
        <v>86</v>
      </c>
      <c r="L144" s="47" t="s">
        <v>2397</v>
      </c>
      <c r="M144" s="48" t="s">
        <v>2332</v>
      </c>
      <c r="N144" s="49"/>
      <c r="O144" s="50" t="s">
        <v>3161</v>
      </c>
      <c r="P144" s="50"/>
      <c r="Q144" s="59"/>
      <c r="R144" s="13"/>
    </row>
    <row r="145" spans="1:18" ht="105" x14ac:dyDescent="0.25">
      <c r="A145" s="9" t="s">
        <v>21</v>
      </c>
      <c r="B145" s="28">
        <f>IF(ISBLANK(A145),0,INDEX(txtstylestab[],MATCH(A145,txtstylestab[style_Name],0),1))</f>
        <v>0</v>
      </c>
      <c r="C145" s="28">
        <f t="shared" si="8"/>
        <v>2</v>
      </c>
      <c r="D145" s="28">
        <f t="shared" si="9"/>
        <v>16</v>
      </c>
      <c r="E145" s="28">
        <f t="shared" si="10"/>
        <v>0</v>
      </c>
      <c r="F145" s="59" t="str">
        <f t="shared" si="11"/>
        <v/>
      </c>
      <c r="G145" s="42" t="s">
        <v>2005</v>
      </c>
      <c r="H145" s="43" t="s">
        <v>2006</v>
      </c>
      <c r="I145" s="44" t="s">
        <v>2007</v>
      </c>
      <c r="J145" s="45" t="s">
        <v>2008</v>
      </c>
      <c r="K145" s="46" t="s">
        <v>2327</v>
      </c>
      <c r="L145" s="47" t="s">
        <v>2903</v>
      </c>
      <c r="M145" s="48" t="s">
        <v>2904</v>
      </c>
      <c r="N145" s="49"/>
      <c r="O145" s="50" t="s">
        <v>3205</v>
      </c>
      <c r="P145" s="59"/>
      <c r="Q145" s="59"/>
      <c r="R145" s="13"/>
    </row>
    <row r="146" spans="1:18" x14ac:dyDescent="0.25">
      <c r="A146" s="9" t="s">
        <v>22</v>
      </c>
      <c r="B146" s="28">
        <f>IF(ISBLANK(A146),0,INDEX(txtstylestab[],MATCH(A146,txtstylestab[style_Name],0),1))</f>
        <v>4</v>
      </c>
      <c r="C146" s="28">
        <f t="shared" si="8"/>
        <v>2</v>
      </c>
      <c r="D146" s="28">
        <f t="shared" si="9"/>
        <v>16</v>
      </c>
      <c r="E146" s="28">
        <f t="shared" si="10"/>
        <v>0</v>
      </c>
      <c r="F146" s="56" t="str">
        <f t="shared" si="11"/>
        <v/>
      </c>
      <c r="G146" s="53" t="s">
        <v>1067</v>
      </c>
      <c r="H146" s="53"/>
      <c r="I146" s="53"/>
      <c r="J146" s="53"/>
      <c r="K146" s="53"/>
      <c r="L146" s="53"/>
      <c r="M146" s="53"/>
      <c r="N146" s="53"/>
      <c r="O146" s="53"/>
      <c r="P146" s="53"/>
      <c r="Q146" s="53"/>
      <c r="R146" s="13"/>
    </row>
    <row r="147" spans="1:18" ht="45" x14ac:dyDescent="0.25">
      <c r="A147" s="9" t="s">
        <v>14</v>
      </c>
      <c r="B147" s="28">
        <f>IF(ISBLANK(A147),0,INDEX(txtstylestab[],MATCH(A147,txtstylestab[style_Name],0),1))</f>
        <v>6</v>
      </c>
      <c r="C147" s="28">
        <f t="shared" si="8"/>
        <v>2</v>
      </c>
      <c r="D147" s="28">
        <f t="shared" si="9"/>
        <v>16</v>
      </c>
      <c r="E147" s="28">
        <f t="shared" si="10"/>
        <v>0</v>
      </c>
      <c r="F147" s="59" t="str">
        <f t="shared" si="11"/>
        <v/>
      </c>
      <c r="G147" s="42" t="s">
        <v>2009</v>
      </c>
      <c r="H147" s="43" t="s">
        <v>2010</v>
      </c>
      <c r="I147" s="44" t="s">
        <v>2011</v>
      </c>
      <c r="J147" s="45" t="s">
        <v>2012</v>
      </c>
      <c r="K147" s="46" t="s">
        <v>2013</v>
      </c>
      <c r="L147" s="47" t="s">
        <v>2899</v>
      </c>
      <c r="M147" s="48" t="s">
        <v>2900</v>
      </c>
      <c r="N147" s="49"/>
      <c r="O147" s="50" t="s">
        <v>3203</v>
      </c>
      <c r="P147" s="59"/>
      <c r="Q147" s="59"/>
      <c r="R147" s="13"/>
    </row>
    <row r="148" spans="1:18" x14ac:dyDescent="0.25">
      <c r="A148" s="9" t="s">
        <v>22</v>
      </c>
      <c r="B148" s="28">
        <f>IF(ISBLANK(A148),0,INDEX(txtstylestab[],MATCH(A148,txtstylestab[style_Name],0),1))</f>
        <v>4</v>
      </c>
      <c r="C148" s="28">
        <f t="shared" si="8"/>
        <v>2</v>
      </c>
      <c r="D148" s="28">
        <f t="shared" si="9"/>
        <v>16</v>
      </c>
      <c r="E148" s="28">
        <f t="shared" si="10"/>
        <v>0</v>
      </c>
      <c r="F148" s="56" t="str">
        <f t="shared" si="11"/>
        <v/>
      </c>
      <c r="G148" s="53" t="s">
        <v>1068</v>
      </c>
      <c r="H148" s="53"/>
      <c r="I148" s="53"/>
      <c r="J148" s="53"/>
      <c r="K148" s="53"/>
      <c r="L148" s="53"/>
      <c r="M148" s="53"/>
      <c r="N148" s="53"/>
      <c r="O148" s="53"/>
      <c r="P148" s="53"/>
      <c r="Q148" s="53"/>
      <c r="R148" s="13"/>
    </row>
    <row r="149" spans="1:18" ht="60" x14ac:dyDescent="0.25">
      <c r="A149" s="9" t="s">
        <v>14</v>
      </c>
      <c r="B149" s="28">
        <f>IF(ISBLANK(A149),0,INDEX(txtstylestab[],MATCH(A149,txtstylestab[style_Name],0),1))</f>
        <v>6</v>
      </c>
      <c r="C149" s="28">
        <f t="shared" si="8"/>
        <v>2</v>
      </c>
      <c r="D149" s="28">
        <f t="shared" si="9"/>
        <v>16</v>
      </c>
      <c r="E149" s="28">
        <f t="shared" si="10"/>
        <v>0</v>
      </c>
      <c r="F149" s="59" t="str">
        <f t="shared" si="11"/>
        <v/>
      </c>
      <c r="G149" s="42" t="s">
        <v>2014</v>
      </c>
      <c r="H149" s="43" t="s">
        <v>2015</v>
      </c>
      <c r="I149" s="44" t="s">
        <v>2016</v>
      </c>
      <c r="J149" s="45" t="s">
        <v>2017</v>
      </c>
      <c r="K149" s="46" t="s">
        <v>2018</v>
      </c>
      <c r="L149" s="47" t="s">
        <v>2901</v>
      </c>
      <c r="M149" s="48" t="s">
        <v>2902</v>
      </c>
      <c r="N149" s="49"/>
      <c r="O149" s="50" t="s">
        <v>3204</v>
      </c>
      <c r="P149" s="59"/>
      <c r="Q149" s="59"/>
      <c r="R149" s="13"/>
    </row>
    <row r="150" spans="1:18" x14ac:dyDescent="0.25">
      <c r="A150" s="9" t="s">
        <v>21</v>
      </c>
      <c r="B150" s="28">
        <f>IF(ISBLANK(A150),0,INDEX(txtstylestab[],MATCH(A150,txtstylestab[style_Name],0),1))</f>
        <v>0</v>
      </c>
      <c r="C150" s="28">
        <f t="shared" si="8"/>
        <v>2</v>
      </c>
      <c r="D150" s="28">
        <f t="shared" si="9"/>
        <v>16</v>
      </c>
      <c r="E150" s="28">
        <f t="shared" si="10"/>
        <v>0</v>
      </c>
      <c r="F150" s="59" t="str">
        <f t="shared" si="11"/>
        <v/>
      </c>
      <c r="G150" s="42" t="s">
        <v>684</v>
      </c>
      <c r="H150" s="43" t="s">
        <v>26</v>
      </c>
      <c r="I150" s="44" t="s">
        <v>48</v>
      </c>
      <c r="J150" s="45" t="s">
        <v>384</v>
      </c>
      <c r="K150" s="46" t="s">
        <v>59</v>
      </c>
      <c r="L150" s="47" t="s">
        <v>2524</v>
      </c>
      <c r="M150" s="48" t="s">
        <v>2525</v>
      </c>
      <c r="N150" s="49"/>
      <c r="O150" s="50" t="s">
        <v>3168</v>
      </c>
      <c r="P150" s="50"/>
      <c r="Q150" s="59"/>
      <c r="R150" s="13"/>
    </row>
    <row r="151" spans="1:18" ht="18" thickBot="1" x14ac:dyDescent="0.35">
      <c r="A151" s="9" t="s">
        <v>11</v>
      </c>
      <c r="B151" s="28">
        <f>IF(ISBLANK(A151),0,INDEX(txtstylestab[],MATCH(A151,txtstylestab[style_Name],0),1))</f>
        <v>2</v>
      </c>
      <c r="C151" s="28">
        <f t="shared" si="8"/>
        <v>2</v>
      </c>
      <c r="D151" s="28">
        <f t="shared" si="9"/>
        <v>17</v>
      </c>
      <c r="E151" s="28">
        <f t="shared" si="10"/>
        <v>0</v>
      </c>
      <c r="F151" s="54" t="str">
        <f t="shared" si="11"/>
        <v>2.17.</v>
      </c>
      <c r="G151" s="54" t="s">
        <v>1069</v>
      </c>
      <c r="H151" s="54"/>
      <c r="I151" s="54"/>
      <c r="J151" s="54"/>
      <c r="K151" s="54"/>
      <c r="L151" s="54"/>
      <c r="M151" s="54"/>
      <c r="N151" s="54"/>
      <c r="O151" s="54"/>
      <c r="P151" s="54"/>
      <c r="Q151" s="54"/>
      <c r="R151" s="13"/>
    </row>
    <row r="152" spans="1:18" ht="15.75" thickTop="1" x14ac:dyDescent="0.25">
      <c r="A152" s="9" t="s">
        <v>21</v>
      </c>
      <c r="B152" s="28">
        <f>IF(ISBLANK(A152),0,INDEX(txtstylestab[],MATCH(A152,txtstylestab[style_Name],0),1))</f>
        <v>0</v>
      </c>
      <c r="C152" s="28">
        <f t="shared" si="8"/>
        <v>2</v>
      </c>
      <c r="D152" s="28">
        <f t="shared" si="9"/>
        <v>17</v>
      </c>
      <c r="E152" s="28">
        <f t="shared" si="10"/>
        <v>0</v>
      </c>
      <c r="F152" s="59" t="str">
        <f t="shared" si="11"/>
        <v/>
      </c>
      <c r="G152" s="42" t="s">
        <v>82</v>
      </c>
      <c r="H152" s="43" t="s">
        <v>83</v>
      </c>
      <c r="I152" s="44" t="s">
        <v>84</v>
      </c>
      <c r="J152" s="45" t="s">
        <v>85</v>
      </c>
      <c r="K152" s="46" t="s">
        <v>86</v>
      </c>
      <c r="L152" s="47" t="s">
        <v>2397</v>
      </c>
      <c r="M152" s="48" t="s">
        <v>2332</v>
      </c>
      <c r="N152" s="49"/>
      <c r="O152" s="50" t="s">
        <v>3161</v>
      </c>
      <c r="P152" s="50"/>
      <c r="Q152" s="59"/>
      <c r="R152" s="13"/>
    </row>
    <row r="153" spans="1:18" ht="45" x14ac:dyDescent="0.25">
      <c r="A153" s="9" t="s">
        <v>21</v>
      </c>
      <c r="B153" s="28">
        <f>IF(ISBLANK(A153),0,INDEX(txtstylestab[],MATCH(A153,txtstylestab[style_Name],0),1))</f>
        <v>0</v>
      </c>
      <c r="C153" s="28">
        <f t="shared" si="8"/>
        <v>2</v>
      </c>
      <c r="D153" s="28">
        <f t="shared" si="9"/>
        <v>17</v>
      </c>
      <c r="E153" s="28">
        <f t="shared" si="10"/>
        <v>0</v>
      </c>
      <c r="F153" s="59" t="str">
        <f t="shared" si="11"/>
        <v/>
      </c>
      <c r="G153" s="42" t="s">
        <v>1070</v>
      </c>
      <c r="H153" s="43" t="s">
        <v>2264</v>
      </c>
      <c r="I153" s="44" t="s">
        <v>1747</v>
      </c>
      <c r="J153" s="45" t="s">
        <v>1071</v>
      </c>
      <c r="K153" s="46" t="s">
        <v>1072</v>
      </c>
      <c r="L153" s="47" t="s">
        <v>2905</v>
      </c>
      <c r="M153" s="48" t="s">
        <v>2910</v>
      </c>
      <c r="N153" s="49"/>
      <c r="O153" s="50" t="s">
        <v>3200</v>
      </c>
      <c r="P153" s="59"/>
      <c r="Q153" s="59"/>
      <c r="R153" s="13"/>
    </row>
    <row r="154" spans="1:18" ht="75" x14ac:dyDescent="0.25">
      <c r="A154" s="9" t="s">
        <v>21</v>
      </c>
      <c r="B154" s="28">
        <f>IF(ISBLANK(A154),0,INDEX(txtstylestab[],MATCH(A154,txtstylestab[style_Name],0),1))</f>
        <v>0</v>
      </c>
      <c r="C154" s="28">
        <f t="shared" si="8"/>
        <v>2</v>
      </c>
      <c r="D154" s="28">
        <f t="shared" si="9"/>
        <v>17</v>
      </c>
      <c r="E154" s="28">
        <f t="shared" si="10"/>
        <v>0</v>
      </c>
      <c r="F154" s="59" t="str">
        <f t="shared" si="11"/>
        <v/>
      </c>
      <c r="G154" s="42" t="s">
        <v>1073</v>
      </c>
      <c r="H154" s="43" t="s">
        <v>1074</v>
      </c>
      <c r="I154" s="44" t="s">
        <v>1075</v>
      </c>
      <c r="J154" s="45" t="s">
        <v>1076</v>
      </c>
      <c r="K154" s="46" t="s">
        <v>1077</v>
      </c>
      <c r="L154" s="47" t="s">
        <v>2906</v>
      </c>
      <c r="M154" s="48" t="s">
        <v>2907</v>
      </c>
      <c r="N154" s="49"/>
      <c r="O154" s="50" t="s">
        <v>3201</v>
      </c>
      <c r="P154" s="59"/>
      <c r="Q154" s="59"/>
      <c r="R154" s="13"/>
    </row>
    <row r="155" spans="1:18" ht="60" x14ac:dyDescent="0.25">
      <c r="A155" s="9" t="s">
        <v>21</v>
      </c>
      <c r="B155" s="28">
        <f>IF(ISBLANK(A155),0,INDEX(txtstylestab[],MATCH(A155,txtstylestab[style_Name],0),1))</f>
        <v>0</v>
      </c>
      <c r="C155" s="28">
        <f t="shared" si="8"/>
        <v>2</v>
      </c>
      <c r="D155" s="28">
        <f t="shared" si="9"/>
        <v>17</v>
      </c>
      <c r="E155" s="28">
        <f t="shared" si="10"/>
        <v>0</v>
      </c>
      <c r="F155" s="59" t="str">
        <f t="shared" si="11"/>
        <v/>
      </c>
      <c r="G155" s="42" t="s">
        <v>1078</v>
      </c>
      <c r="H155" s="43" t="s">
        <v>1079</v>
      </c>
      <c r="I155" s="44" t="s">
        <v>1080</v>
      </c>
      <c r="J155" s="45" t="s">
        <v>1081</v>
      </c>
      <c r="K155" s="46" t="s">
        <v>1082</v>
      </c>
      <c r="L155" s="47" t="s">
        <v>2908</v>
      </c>
      <c r="M155" s="48" t="s">
        <v>2909</v>
      </c>
      <c r="N155" s="49"/>
      <c r="O155" s="50" t="s">
        <v>3202</v>
      </c>
      <c r="P155" s="59"/>
      <c r="Q155" s="59"/>
      <c r="R155" s="13"/>
    </row>
    <row r="156" spans="1:18" x14ac:dyDescent="0.25">
      <c r="A156" s="9" t="s">
        <v>21</v>
      </c>
      <c r="B156" s="28">
        <f>IF(ISBLANK(A156),0,INDEX(txtstylestab[],MATCH(A156,txtstylestab[style_Name],0),1))</f>
        <v>0</v>
      </c>
      <c r="C156" s="28">
        <f t="shared" si="8"/>
        <v>2</v>
      </c>
      <c r="D156" s="28">
        <f t="shared" si="9"/>
        <v>17</v>
      </c>
      <c r="E156" s="28">
        <f t="shared" si="10"/>
        <v>0</v>
      </c>
      <c r="F156" s="59" t="str">
        <f t="shared" si="11"/>
        <v/>
      </c>
      <c r="G156" s="42" t="s">
        <v>6</v>
      </c>
      <c r="H156" s="43" t="s">
        <v>26</v>
      </c>
      <c r="I156" s="44" t="s">
        <v>48</v>
      </c>
      <c r="J156" s="45" t="s">
        <v>54</v>
      </c>
      <c r="K156" s="46" t="s">
        <v>59</v>
      </c>
      <c r="L156" s="47" t="s">
        <v>2524</v>
      </c>
      <c r="M156" s="48" t="s">
        <v>2525</v>
      </c>
      <c r="N156" s="49"/>
      <c r="O156" s="50" t="s">
        <v>3168</v>
      </c>
      <c r="P156" s="50"/>
      <c r="Q156" s="59"/>
      <c r="R156" s="13"/>
    </row>
    <row r="157" spans="1:18" ht="18" thickBot="1" x14ac:dyDescent="0.35">
      <c r="A157" s="9" t="s">
        <v>11</v>
      </c>
      <c r="B157" s="28">
        <f>IF(ISBLANK(A157),0,INDEX(txtstylestab[],MATCH(A157,txtstylestab[style_Name],0),1))</f>
        <v>2</v>
      </c>
      <c r="C157" s="28">
        <f t="shared" si="8"/>
        <v>2</v>
      </c>
      <c r="D157" s="28">
        <f t="shared" si="9"/>
        <v>18</v>
      </c>
      <c r="E157" s="28">
        <f t="shared" si="10"/>
        <v>0</v>
      </c>
      <c r="F157" s="54" t="str">
        <f t="shared" si="11"/>
        <v>2.18.</v>
      </c>
      <c r="G157" s="54" t="s">
        <v>1083</v>
      </c>
      <c r="H157" s="54"/>
      <c r="I157" s="54"/>
      <c r="J157" s="54"/>
      <c r="K157" s="54"/>
      <c r="L157" s="54"/>
      <c r="M157" s="54"/>
      <c r="N157" s="54"/>
      <c r="O157" s="54"/>
      <c r="P157" s="54"/>
      <c r="Q157" s="54"/>
      <c r="R157" s="13"/>
    </row>
    <row r="158" spans="1:18" ht="16.5" thickTop="1" thickBot="1" x14ac:dyDescent="0.3">
      <c r="A158" s="9" t="s">
        <v>12</v>
      </c>
      <c r="B158" s="28">
        <f>IF(ISBLANK(A158),0,INDEX(txtstylestab[],MATCH(A158,txtstylestab[style_Name],0),1))</f>
        <v>3</v>
      </c>
      <c r="C158" s="28">
        <f t="shared" si="8"/>
        <v>2</v>
      </c>
      <c r="D158" s="28">
        <f t="shared" si="9"/>
        <v>18</v>
      </c>
      <c r="E158" s="28">
        <f t="shared" si="10"/>
        <v>1</v>
      </c>
      <c r="F158" s="55" t="str">
        <f t="shared" si="11"/>
        <v>2.18.1.</v>
      </c>
      <c r="G158" s="55" t="s">
        <v>1084</v>
      </c>
      <c r="H158" s="55"/>
      <c r="I158" s="55"/>
      <c r="J158" s="55"/>
      <c r="K158" s="55"/>
      <c r="L158" s="55"/>
      <c r="M158" s="55"/>
      <c r="N158" s="55"/>
      <c r="O158" s="55"/>
      <c r="P158" s="55"/>
      <c r="Q158" s="55"/>
      <c r="R158" s="13"/>
    </row>
    <row r="159" spans="1:18" x14ac:dyDescent="0.25">
      <c r="A159" s="9" t="s">
        <v>21</v>
      </c>
      <c r="B159" s="28">
        <f>IF(ISBLANK(A159),0,INDEX(txtstylestab[],MATCH(A159,txtstylestab[style_Name],0),1))</f>
        <v>0</v>
      </c>
      <c r="C159" s="28">
        <f t="shared" si="8"/>
        <v>2</v>
      </c>
      <c r="D159" s="28">
        <f t="shared" si="9"/>
        <v>18</v>
      </c>
      <c r="E159" s="28">
        <f t="shared" si="10"/>
        <v>1</v>
      </c>
      <c r="F159" s="59" t="str">
        <f t="shared" si="11"/>
        <v/>
      </c>
      <c r="G159" s="42" t="s">
        <v>82</v>
      </c>
      <c r="H159" s="43" t="s">
        <v>83</v>
      </c>
      <c r="I159" s="44" t="s">
        <v>84</v>
      </c>
      <c r="J159" s="45" t="s">
        <v>85</v>
      </c>
      <c r="K159" s="46" t="s">
        <v>86</v>
      </c>
      <c r="L159" s="47" t="s">
        <v>2397</v>
      </c>
      <c r="M159" s="48" t="s">
        <v>2332</v>
      </c>
      <c r="N159" s="49"/>
      <c r="O159" s="50" t="s">
        <v>3161</v>
      </c>
      <c r="P159" s="50"/>
      <c r="Q159" s="59"/>
      <c r="R159" s="13"/>
    </row>
    <row r="160" spans="1:18" ht="75" x14ac:dyDescent="0.25">
      <c r="A160" s="9" t="s">
        <v>21</v>
      </c>
      <c r="B160" s="28">
        <f>IF(ISBLANK(A160),0,INDEX(txtstylestab[],MATCH(A160,txtstylestab[style_Name],0),1))</f>
        <v>0</v>
      </c>
      <c r="C160" s="28">
        <f t="shared" si="8"/>
        <v>2</v>
      </c>
      <c r="D160" s="28">
        <f t="shared" si="9"/>
        <v>18</v>
      </c>
      <c r="E160" s="28">
        <f t="shared" si="10"/>
        <v>1</v>
      </c>
      <c r="F160" s="59" t="str">
        <f t="shared" si="11"/>
        <v/>
      </c>
      <c r="G160" s="42" t="s">
        <v>1085</v>
      </c>
      <c r="H160" s="43" t="s">
        <v>1086</v>
      </c>
      <c r="I160" s="44" t="s">
        <v>1647</v>
      </c>
      <c r="J160" s="45" t="s">
        <v>1087</v>
      </c>
      <c r="K160" s="46" t="s">
        <v>1088</v>
      </c>
      <c r="L160" s="47" t="s">
        <v>2911</v>
      </c>
      <c r="M160" s="48" t="s">
        <v>2912</v>
      </c>
      <c r="N160" s="49"/>
      <c r="O160" s="50" t="s">
        <v>3199</v>
      </c>
      <c r="P160" s="59"/>
      <c r="Q160" s="59"/>
      <c r="R160" s="13"/>
    </row>
    <row r="161" spans="1:18" ht="45" x14ac:dyDescent="0.25">
      <c r="A161" s="9" t="s">
        <v>21</v>
      </c>
      <c r="B161" s="28">
        <f>IF(ISBLANK(A161),0,INDEX(txtstylestab[],MATCH(A161,txtstylestab[style_Name],0),1))</f>
        <v>0</v>
      </c>
      <c r="C161" s="28">
        <f t="shared" si="8"/>
        <v>2</v>
      </c>
      <c r="D161" s="28">
        <f t="shared" si="9"/>
        <v>18</v>
      </c>
      <c r="E161" s="28">
        <f t="shared" si="10"/>
        <v>1</v>
      </c>
      <c r="F161" s="59" t="str">
        <f t="shared" si="11"/>
        <v/>
      </c>
      <c r="G161" s="42" t="s">
        <v>535</v>
      </c>
      <c r="H161" s="43" t="s">
        <v>536</v>
      </c>
      <c r="I161" s="44" t="s">
        <v>503</v>
      </c>
      <c r="J161" s="45" t="s">
        <v>504</v>
      </c>
      <c r="K161" s="46" t="s">
        <v>1030</v>
      </c>
      <c r="L161" s="47" t="s">
        <v>2913</v>
      </c>
      <c r="M161" s="48" t="s">
        <v>2914</v>
      </c>
      <c r="N161" s="49"/>
      <c r="O161" s="50" t="s">
        <v>3198</v>
      </c>
      <c r="P161" s="59"/>
      <c r="Q161" s="59"/>
      <c r="R161" s="13"/>
    </row>
    <row r="162" spans="1:18" x14ac:dyDescent="0.25">
      <c r="A162" s="9" t="s">
        <v>21</v>
      </c>
      <c r="B162" s="28">
        <f>IF(ISBLANK(A162),0,INDEX(txtstylestab[],MATCH(A162,txtstylestab[style_Name],0),1))</f>
        <v>0</v>
      </c>
      <c r="C162" s="28">
        <f t="shared" si="8"/>
        <v>2</v>
      </c>
      <c r="D162" s="28">
        <f t="shared" si="9"/>
        <v>18</v>
      </c>
      <c r="E162" s="28">
        <f t="shared" si="10"/>
        <v>1</v>
      </c>
      <c r="F162" s="59" t="str">
        <f t="shared" si="11"/>
        <v/>
      </c>
      <c r="G162" s="42" t="s">
        <v>6</v>
      </c>
      <c r="H162" s="43" t="s">
        <v>26</v>
      </c>
      <c r="I162" s="44" t="s">
        <v>48</v>
      </c>
      <c r="J162" s="45" t="s">
        <v>54</v>
      </c>
      <c r="K162" s="46" t="s">
        <v>59</v>
      </c>
      <c r="L162" s="47" t="s">
        <v>2524</v>
      </c>
      <c r="M162" s="48" t="s">
        <v>2525</v>
      </c>
      <c r="N162" s="49"/>
      <c r="O162" s="50" t="s">
        <v>3168</v>
      </c>
      <c r="P162" s="50"/>
      <c r="Q162" s="59"/>
      <c r="R162" s="13"/>
    </row>
    <row r="163" spans="1:18" ht="15.75" thickBot="1" x14ac:dyDescent="0.3">
      <c r="A163" s="9" t="s">
        <v>12</v>
      </c>
      <c r="B163" s="28">
        <f>IF(ISBLANK(A163),0,INDEX(txtstylestab[],MATCH(A163,txtstylestab[style_Name],0),1))</f>
        <v>3</v>
      </c>
      <c r="C163" s="28">
        <f t="shared" si="8"/>
        <v>2</v>
      </c>
      <c r="D163" s="28">
        <f t="shared" si="9"/>
        <v>18</v>
      </c>
      <c r="E163" s="28">
        <f t="shared" si="10"/>
        <v>2</v>
      </c>
      <c r="F163" s="55" t="str">
        <f t="shared" si="11"/>
        <v>2.18.2.</v>
      </c>
      <c r="G163" s="55" t="s">
        <v>1089</v>
      </c>
      <c r="H163" s="55"/>
      <c r="I163" s="55"/>
      <c r="J163" s="55"/>
      <c r="K163" s="55"/>
      <c r="L163" s="55"/>
      <c r="M163" s="55"/>
      <c r="N163" s="55"/>
      <c r="O163" s="55"/>
      <c r="P163" s="55"/>
      <c r="Q163" s="55"/>
      <c r="R163" s="13"/>
    </row>
    <row r="164" spans="1:18" x14ac:dyDescent="0.25">
      <c r="A164" s="9" t="s">
        <v>21</v>
      </c>
      <c r="B164" s="28">
        <f>IF(ISBLANK(A164),0,INDEX(txtstylestab[],MATCH(A164,txtstylestab[style_Name],0),1))</f>
        <v>0</v>
      </c>
      <c r="C164" s="28">
        <f t="shared" si="8"/>
        <v>2</v>
      </c>
      <c r="D164" s="28">
        <f t="shared" si="9"/>
        <v>18</v>
      </c>
      <c r="E164" s="28">
        <f t="shared" si="10"/>
        <v>2</v>
      </c>
      <c r="F164" s="59" t="str">
        <f t="shared" si="11"/>
        <v/>
      </c>
      <c r="G164" s="42" t="s">
        <v>82</v>
      </c>
      <c r="H164" s="43" t="s">
        <v>83</v>
      </c>
      <c r="I164" s="44" t="s">
        <v>84</v>
      </c>
      <c r="J164" s="45" t="s">
        <v>1090</v>
      </c>
      <c r="K164" s="46" t="s">
        <v>86</v>
      </c>
      <c r="L164" s="47" t="s">
        <v>2397</v>
      </c>
      <c r="M164" s="48" t="s">
        <v>2332</v>
      </c>
      <c r="N164" s="49"/>
      <c r="O164" s="50" t="s">
        <v>3161</v>
      </c>
      <c r="P164" s="50"/>
      <c r="Q164" s="59"/>
      <c r="R164" s="13"/>
    </row>
    <row r="165" spans="1:18" ht="60" x14ac:dyDescent="0.25">
      <c r="A165" s="9" t="s">
        <v>21</v>
      </c>
      <c r="B165" s="28">
        <f>IF(ISBLANK(A165),0,INDEX(txtstylestab[],MATCH(A165,txtstylestab[style_Name],0),1))</f>
        <v>0</v>
      </c>
      <c r="C165" s="28">
        <f t="shared" si="8"/>
        <v>2</v>
      </c>
      <c r="D165" s="28">
        <f t="shared" si="9"/>
        <v>18</v>
      </c>
      <c r="E165" s="28">
        <f t="shared" si="10"/>
        <v>2</v>
      </c>
      <c r="F165" s="59" t="str">
        <f t="shared" si="11"/>
        <v/>
      </c>
      <c r="G165" s="42" t="s">
        <v>2019</v>
      </c>
      <c r="H165" s="43" t="s">
        <v>2020</v>
      </c>
      <c r="I165" s="44" t="s">
        <v>2021</v>
      </c>
      <c r="J165" s="45" t="s">
        <v>2022</v>
      </c>
      <c r="K165" s="46" t="s">
        <v>2023</v>
      </c>
      <c r="L165" s="47" t="s">
        <v>2915</v>
      </c>
      <c r="M165" s="48" t="s">
        <v>2916</v>
      </c>
      <c r="N165" s="49"/>
      <c r="O165" s="50" t="s">
        <v>3195</v>
      </c>
      <c r="P165" s="59"/>
      <c r="Q165" s="59"/>
      <c r="R165" s="13"/>
    </row>
    <row r="166" spans="1:18" ht="135" x14ac:dyDescent="0.25">
      <c r="A166" s="9" t="s">
        <v>14</v>
      </c>
      <c r="B166" s="28">
        <f>IF(ISBLANK(A166),0,INDEX(txtstylestab[],MATCH(A166,txtstylestab[style_Name],0),1))</f>
        <v>6</v>
      </c>
      <c r="C166" s="28">
        <f t="shared" si="8"/>
        <v>2</v>
      </c>
      <c r="D166" s="28">
        <f t="shared" si="9"/>
        <v>18</v>
      </c>
      <c r="E166" s="28">
        <f t="shared" si="10"/>
        <v>2</v>
      </c>
      <c r="F166" s="59" t="str">
        <f t="shared" si="11"/>
        <v/>
      </c>
      <c r="G166" s="42" t="s">
        <v>1091</v>
      </c>
      <c r="H166" s="43" t="s">
        <v>1092</v>
      </c>
      <c r="I166" s="44" t="s">
        <v>2300</v>
      </c>
      <c r="J166" s="45" t="s">
        <v>2024</v>
      </c>
      <c r="K166" s="46" t="s">
        <v>2025</v>
      </c>
      <c r="L166" s="47" t="s">
        <v>2917</v>
      </c>
      <c r="M166" s="48" t="s">
        <v>2918</v>
      </c>
      <c r="N166" s="49"/>
      <c r="O166" s="50" t="s">
        <v>3196</v>
      </c>
      <c r="P166" s="59"/>
      <c r="Q166" s="59"/>
      <c r="R166" s="13"/>
    </row>
    <row r="167" spans="1:18" ht="90" x14ac:dyDescent="0.25">
      <c r="A167" s="9" t="s">
        <v>14</v>
      </c>
      <c r="B167" s="28">
        <f>IF(ISBLANK(A167),0,INDEX(txtstylestab[],MATCH(A167,txtstylestab[style_Name],0),1))</f>
        <v>6</v>
      </c>
      <c r="C167" s="28">
        <f t="shared" si="8"/>
        <v>2</v>
      </c>
      <c r="D167" s="28">
        <f t="shared" si="9"/>
        <v>18</v>
      </c>
      <c r="E167" s="28">
        <f t="shared" si="10"/>
        <v>2</v>
      </c>
      <c r="F167" s="59" t="str">
        <f t="shared" si="11"/>
        <v/>
      </c>
      <c r="G167" s="42" t="s">
        <v>1093</v>
      </c>
      <c r="H167" s="43" t="s">
        <v>1094</v>
      </c>
      <c r="I167" s="44" t="s">
        <v>1095</v>
      </c>
      <c r="J167" s="45" t="s">
        <v>1096</v>
      </c>
      <c r="K167" s="46" t="s">
        <v>1097</v>
      </c>
      <c r="L167" s="47" t="s">
        <v>2919</v>
      </c>
      <c r="M167" s="48" t="s">
        <v>2920</v>
      </c>
      <c r="N167" s="49"/>
      <c r="O167" s="50" t="s">
        <v>3197</v>
      </c>
      <c r="P167" s="59"/>
      <c r="Q167" s="59"/>
      <c r="R167" s="13"/>
    </row>
    <row r="168" spans="1:18" ht="45" x14ac:dyDescent="0.25">
      <c r="A168" s="9" t="s">
        <v>21</v>
      </c>
      <c r="B168" s="28">
        <f>IF(ISBLANK(A168),0,INDEX(txtstylestab[],MATCH(A168,txtstylestab[style_Name],0),1))</f>
        <v>0</v>
      </c>
      <c r="C168" s="28">
        <f t="shared" si="8"/>
        <v>2</v>
      </c>
      <c r="D168" s="28">
        <f t="shared" si="9"/>
        <v>18</v>
      </c>
      <c r="E168" s="28">
        <f t="shared" si="10"/>
        <v>2</v>
      </c>
      <c r="F168" s="59" t="str">
        <f t="shared" si="11"/>
        <v/>
      </c>
      <c r="G168" s="42" t="s">
        <v>535</v>
      </c>
      <c r="H168" s="43" t="s">
        <v>536</v>
      </c>
      <c r="I168" s="44" t="s">
        <v>503</v>
      </c>
      <c r="J168" s="45" t="s">
        <v>504</v>
      </c>
      <c r="K168" s="46" t="s">
        <v>537</v>
      </c>
      <c r="L168" s="47" t="s">
        <v>2913</v>
      </c>
      <c r="M168" s="48" t="s">
        <v>2914</v>
      </c>
      <c r="N168" s="49"/>
      <c r="O168" s="50" t="s">
        <v>3198</v>
      </c>
      <c r="P168" s="59"/>
      <c r="Q168" s="59"/>
      <c r="R168" s="13"/>
    </row>
    <row r="169" spans="1:18" x14ac:dyDescent="0.25">
      <c r="A169" s="9" t="s">
        <v>21</v>
      </c>
      <c r="B169" s="28">
        <f>IF(ISBLANK(A169),0,INDEX(txtstylestab[],MATCH(A169,txtstylestab[style_Name],0),1))</f>
        <v>0</v>
      </c>
      <c r="C169" s="28">
        <f t="shared" si="8"/>
        <v>2</v>
      </c>
      <c r="D169" s="28">
        <f t="shared" si="9"/>
        <v>18</v>
      </c>
      <c r="E169" s="28">
        <f t="shared" si="10"/>
        <v>2</v>
      </c>
      <c r="F169" s="59" t="str">
        <f t="shared" si="11"/>
        <v/>
      </c>
      <c r="G169" s="42" t="s">
        <v>6</v>
      </c>
      <c r="H169" s="43" t="s">
        <v>26</v>
      </c>
      <c r="I169" s="44" t="s">
        <v>48</v>
      </c>
      <c r="J169" s="45" t="s">
        <v>54</v>
      </c>
      <c r="K169" s="46" t="s">
        <v>59</v>
      </c>
      <c r="L169" s="47" t="s">
        <v>2524</v>
      </c>
      <c r="M169" s="48" t="s">
        <v>2525</v>
      </c>
      <c r="N169" s="49"/>
      <c r="O169" s="50" t="s">
        <v>3168</v>
      </c>
      <c r="P169" s="50"/>
      <c r="Q169" s="59"/>
      <c r="R169" s="13"/>
    </row>
    <row r="170" spans="1:18" ht="18" thickBot="1" x14ac:dyDescent="0.35">
      <c r="A170" s="9" t="s">
        <v>11</v>
      </c>
      <c r="B170" s="28">
        <f>IF(ISBLANK(A170),0,INDEX(txtstylestab[],MATCH(A170,txtstylestab[style_Name],0),1))</f>
        <v>2</v>
      </c>
      <c r="C170" s="28">
        <f t="shared" si="8"/>
        <v>2</v>
      </c>
      <c r="D170" s="28">
        <f t="shared" si="9"/>
        <v>19</v>
      </c>
      <c r="E170" s="28">
        <f t="shared" si="10"/>
        <v>0</v>
      </c>
      <c r="F170" s="54" t="str">
        <f t="shared" si="11"/>
        <v>2.19.</v>
      </c>
      <c r="G170" s="54" t="s">
        <v>1098</v>
      </c>
      <c r="H170" s="54"/>
      <c r="I170" s="54"/>
      <c r="J170" s="54"/>
      <c r="K170" s="54"/>
      <c r="L170" s="54"/>
      <c r="M170" s="54"/>
      <c r="N170" s="54"/>
      <c r="O170" s="54"/>
      <c r="P170" s="54"/>
      <c r="Q170" s="54"/>
      <c r="R170" s="13"/>
    </row>
    <row r="171" spans="1:18" ht="15.75" thickTop="1" x14ac:dyDescent="0.25">
      <c r="A171" s="9" t="s">
        <v>21</v>
      </c>
      <c r="B171" s="28">
        <f>IF(ISBLANK(A171),0,INDEX(txtstylestab[],MATCH(A171,txtstylestab[style_Name],0),1))</f>
        <v>0</v>
      </c>
      <c r="C171" s="28">
        <f t="shared" si="8"/>
        <v>2</v>
      </c>
      <c r="D171" s="28">
        <f t="shared" si="9"/>
        <v>19</v>
      </c>
      <c r="E171" s="28">
        <f t="shared" si="10"/>
        <v>0</v>
      </c>
      <c r="F171" s="59" t="str">
        <f t="shared" si="11"/>
        <v/>
      </c>
      <c r="G171" s="42" t="s">
        <v>82</v>
      </c>
      <c r="H171" s="43" t="s">
        <v>83</v>
      </c>
      <c r="I171" s="44" t="s">
        <v>84</v>
      </c>
      <c r="J171" s="45" t="s">
        <v>1090</v>
      </c>
      <c r="K171" s="46" t="s">
        <v>86</v>
      </c>
      <c r="L171" s="47" t="s">
        <v>2397</v>
      </c>
      <c r="M171" s="48" t="s">
        <v>2332</v>
      </c>
      <c r="N171" s="49"/>
      <c r="O171" s="50" t="s">
        <v>3161</v>
      </c>
      <c r="P171" s="50"/>
      <c r="Q171" s="59"/>
      <c r="R171" s="13"/>
    </row>
    <row r="172" spans="1:18" ht="135" x14ac:dyDescent="0.25">
      <c r="A172" s="9" t="s">
        <v>21</v>
      </c>
      <c r="B172" s="28">
        <f>IF(ISBLANK(A172),0,INDEX(txtstylestab[],MATCH(A172,txtstylestab[style_Name],0),1))</f>
        <v>0</v>
      </c>
      <c r="C172" s="28">
        <f t="shared" si="8"/>
        <v>2</v>
      </c>
      <c r="D172" s="28">
        <f t="shared" si="9"/>
        <v>19</v>
      </c>
      <c r="E172" s="28">
        <f t="shared" si="10"/>
        <v>0</v>
      </c>
      <c r="F172" s="59" t="str">
        <f t="shared" si="11"/>
        <v/>
      </c>
      <c r="G172" s="42" t="s">
        <v>1099</v>
      </c>
      <c r="H172" s="43" t="s">
        <v>2149</v>
      </c>
      <c r="I172" s="44" t="s">
        <v>1748</v>
      </c>
      <c r="J172" s="45" t="s">
        <v>1100</v>
      </c>
      <c r="K172" s="46" t="s">
        <v>1749</v>
      </c>
      <c r="L172" s="47" t="s">
        <v>2921</v>
      </c>
      <c r="M172" s="48" t="s">
        <v>2922</v>
      </c>
      <c r="N172" s="49"/>
      <c r="O172" s="50" t="s">
        <v>3346</v>
      </c>
      <c r="P172" s="59"/>
      <c r="Q172" s="59"/>
      <c r="R172" s="13"/>
    </row>
    <row r="173" spans="1:18" ht="45" x14ac:dyDescent="0.25">
      <c r="A173" s="9" t="s">
        <v>21</v>
      </c>
      <c r="B173" s="28">
        <f>IF(ISBLANK(A173),0,INDEX(txtstylestab[],MATCH(A173,txtstylestab[style_Name],0),1))</f>
        <v>0</v>
      </c>
      <c r="C173" s="28">
        <f t="shared" si="8"/>
        <v>2</v>
      </c>
      <c r="D173" s="28">
        <f t="shared" si="9"/>
        <v>19</v>
      </c>
      <c r="E173" s="28">
        <f t="shared" si="10"/>
        <v>0</v>
      </c>
      <c r="F173" s="59" t="str">
        <f t="shared" si="11"/>
        <v/>
      </c>
      <c r="G173" s="42" t="s">
        <v>535</v>
      </c>
      <c r="H173" s="43" t="s">
        <v>536</v>
      </c>
      <c r="I173" s="44" t="s">
        <v>503</v>
      </c>
      <c r="J173" s="45" t="s">
        <v>504</v>
      </c>
      <c r="K173" s="46" t="s">
        <v>537</v>
      </c>
      <c r="L173" s="47" t="s">
        <v>2913</v>
      </c>
      <c r="M173" s="48" t="s">
        <v>2914</v>
      </c>
      <c r="N173" s="49"/>
      <c r="O173" s="50" t="s">
        <v>3178</v>
      </c>
      <c r="P173" s="59"/>
      <c r="Q173" s="59"/>
      <c r="R173" s="13"/>
    </row>
    <row r="174" spans="1:18" x14ac:dyDescent="0.25">
      <c r="A174" s="9" t="s">
        <v>21</v>
      </c>
      <c r="B174" s="28">
        <f>IF(ISBLANK(A174),0,INDEX(txtstylestab[],MATCH(A174,txtstylestab[style_Name],0),1))</f>
        <v>0</v>
      </c>
      <c r="C174" s="28">
        <f t="shared" si="8"/>
        <v>2</v>
      </c>
      <c r="D174" s="28">
        <f t="shared" si="9"/>
        <v>19</v>
      </c>
      <c r="E174" s="28">
        <f t="shared" si="10"/>
        <v>0</v>
      </c>
      <c r="F174" s="59" t="str">
        <f t="shared" si="11"/>
        <v/>
      </c>
      <c r="G174" s="42" t="s">
        <v>6</v>
      </c>
      <c r="H174" s="43" t="s">
        <v>26</v>
      </c>
      <c r="I174" s="44" t="s">
        <v>48</v>
      </c>
      <c r="J174" s="45" t="s">
        <v>54</v>
      </c>
      <c r="K174" s="46" t="s">
        <v>59</v>
      </c>
      <c r="L174" s="47" t="s">
        <v>2524</v>
      </c>
      <c r="M174" s="48" t="s">
        <v>2525</v>
      </c>
      <c r="N174" s="49"/>
      <c r="O174" s="50" t="s">
        <v>3168</v>
      </c>
      <c r="P174" s="50"/>
      <c r="Q174" s="59"/>
      <c r="R174" s="13"/>
    </row>
    <row r="175" spans="1:18" ht="18" thickBot="1" x14ac:dyDescent="0.35">
      <c r="A175" s="9" t="s">
        <v>11</v>
      </c>
      <c r="B175" s="28">
        <f>IF(ISBLANK(A175),0,INDEX(txtstylestab[],MATCH(A175,txtstylestab[style_Name],0),1))</f>
        <v>2</v>
      </c>
      <c r="C175" s="28">
        <f t="shared" si="8"/>
        <v>2</v>
      </c>
      <c r="D175" s="28">
        <f t="shared" si="9"/>
        <v>20</v>
      </c>
      <c r="E175" s="28">
        <f t="shared" si="10"/>
        <v>0</v>
      </c>
      <c r="F175" s="54" t="str">
        <f t="shared" si="11"/>
        <v>2.20.</v>
      </c>
      <c r="G175" s="54" t="s">
        <v>1101</v>
      </c>
      <c r="H175" s="54"/>
      <c r="I175" s="54"/>
      <c r="J175" s="54"/>
      <c r="K175" s="54"/>
      <c r="L175" s="54"/>
      <c r="M175" s="54"/>
      <c r="N175" s="54"/>
      <c r="O175" s="54"/>
      <c r="P175" s="54"/>
      <c r="Q175" s="54"/>
      <c r="R175" s="13"/>
    </row>
    <row r="176" spans="1:18" ht="15.75" thickTop="1" x14ac:dyDescent="0.25">
      <c r="A176" s="9" t="s">
        <v>21</v>
      </c>
      <c r="B176" s="28">
        <f>IF(ISBLANK(A176),0,INDEX(txtstylestab[],MATCH(A176,txtstylestab[style_Name],0),1))</f>
        <v>0</v>
      </c>
      <c r="C176" s="28">
        <f t="shared" si="8"/>
        <v>2</v>
      </c>
      <c r="D176" s="28">
        <f t="shared" si="9"/>
        <v>20</v>
      </c>
      <c r="E176" s="28">
        <f t="shared" si="10"/>
        <v>0</v>
      </c>
      <c r="F176" s="59" t="str">
        <f t="shared" si="11"/>
        <v/>
      </c>
      <c r="G176" s="42" t="s">
        <v>82</v>
      </c>
      <c r="H176" s="43" t="s">
        <v>862</v>
      </c>
      <c r="I176" s="44" t="s">
        <v>84</v>
      </c>
      <c r="J176" s="45" t="s">
        <v>85</v>
      </c>
      <c r="K176" s="46" t="s">
        <v>86</v>
      </c>
      <c r="L176" s="47" t="s">
        <v>2397</v>
      </c>
      <c r="M176" s="48" t="s">
        <v>2332</v>
      </c>
      <c r="N176" s="49"/>
      <c r="O176" s="50" t="s">
        <v>3161</v>
      </c>
      <c r="P176" s="50"/>
      <c r="Q176" s="59"/>
      <c r="R176" s="13"/>
    </row>
    <row r="177" spans="1:18" ht="45" x14ac:dyDescent="0.25">
      <c r="A177" s="9" t="s">
        <v>21</v>
      </c>
      <c r="B177" s="28">
        <f>IF(ISBLANK(A177),0,INDEX(txtstylestab[],MATCH(A177,txtstylestab[style_Name],0),1))</f>
        <v>0</v>
      </c>
      <c r="C177" s="28">
        <f t="shared" si="8"/>
        <v>2</v>
      </c>
      <c r="D177" s="28">
        <f t="shared" si="9"/>
        <v>20</v>
      </c>
      <c r="E177" s="28">
        <f t="shared" si="10"/>
        <v>0</v>
      </c>
      <c r="F177" s="59" t="str">
        <f t="shared" si="11"/>
        <v/>
      </c>
      <c r="G177" s="42" t="s">
        <v>2026</v>
      </c>
      <c r="H177" s="43" t="s">
        <v>2027</v>
      </c>
      <c r="I177" s="44" t="s">
        <v>2028</v>
      </c>
      <c r="J177" s="45" t="s">
        <v>2029</v>
      </c>
      <c r="K177" s="46" t="s">
        <v>2030</v>
      </c>
      <c r="L177" s="47" t="s">
        <v>2923</v>
      </c>
      <c r="M177" s="48" t="s">
        <v>2926</v>
      </c>
      <c r="N177" s="49"/>
      <c r="O177" s="50" t="s">
        <v>3191</v>
      </c>
      <c r="P177" s="59"/>
      <c r="Q177" s="59"/>
      <c r="R177" s="13"/>
    </row>
    <row r="178" spans="1:18" ht="30" x14ac:dyDescent="0.25">
      <c r="A178" s="9" t="s">
        <v>14</v>
      </c>
      <c r="B178" s="28">
        <f>IF(ISBLANK(A178),0,INDEX(txtstylestab[],MATCH(A178,txtstylestab[style_Name],0),1))</f>
        <v>6</v>
      </c>
      <c r="C178" s="28">
        <f t="shared" si="8"/>
        <v>2</v>
      </c>
      <c r="D178" s="28">
        <f t="shared" si="9"/>
        <v>20</v>
      </c>
      <c r="E178" s="28">
        <f t="shared" si="10"/>
        <v>0</v>
      </c>
      <c r="F178" s="59" t="str">
        <f t="shared" si="11"/>
        <v/>
      </c>
      <c r="G178" s="42" t="s">
        <v>1102</v>
      </c>
      <c r="H178" s="43" t="s">
        <v>1103</v>
      </c>
      <c r="I178" s="44" t="s">
        <v>1104</v>
      </c>
      <c r="J178" s="45" t="s">
        <v>1105</v>
      </c>
      <c r="K178" s="46" t="s">
        <v>1106</v>
      </c>
      <c r="L178" s="47" t="s">
        <v>2924</v>
      </c>
      <c r="M178" s="48" t="s">
        <v>2928</v>
      </c>
      <c r="N178" s="49"/>
      <c r="O178" s="50" t="s">
        <v>3193</v>
      </c>
      <c r="P178" s="59"/>
      <c r="Q178" s="59"/>
      <c r="R178" s="13"/>
    </row>
    <row r="179" spans="1:18" ht="45" x14ac:dyDescent="0.25">
      <c r="A179" s="9" t="s">
        <v>14</v>
      </c>
      <c r="B179" s="28">
        <f>IF(ISBLANK(A179),0,INDEX(txtstylestab[],MATCH(A179,txtstylestab[style_Name],0),1))</f>
        <v>6</v>
      </c>
      <c r="C179" s="28">
        <f t="shared" si="8"/>
        <v>2</v>
      </c>
      <c r="D179" s="28">
        <f t="shared" si="9"/>
        <v>20</v>
      </c>
      <c r="E179" s="28">
        <f t="shared" si="10"/>
        <v>0</v>
      </c>
      <c r="F179" s="59" t="str">
        <f t="shared" si="11"/>
        <v/>
      </c>
      <c r="G179" s="42" t="s">
        <v>1107</v>
      </c>
      <c r="H179" s="43" t="s">
        <v>1108</v>
      </c>
      <c r="I179" s="44" t="s">
        <v>1750</v>
      </c>
      <c r="J179" s="45" t="s">
        <v>1109</v>
      </c>
      <c r="K179" s="46" t="s">
        <v>1110</v>
      </c>
      <c r="L179" s="47" t="s">
        <v>2925</v>
      </c>
      <c r="M179" s="48" t="s">
        <v>2927</v>
      </c>
      <c r="N179" s="49"/>
      <c r="O179" s="50" t="s">
        <v>3192</v>
      </c>
      <c r="P179" s="59"/>
      <c r="Q179" s="59"/>
      <c r="R179" s="13"/>
    </row>
    <row r="180" spans="1:18" x14ac:dyDescent="0.25">
      <c r="A180" s="9" t="s">
        <v>21</v>
      </c>
      <c r="B180" s="28">
        <f>IF(ISBLANK(A180),0,INDEX(txtstylestab[],MATCH(A180,txtstylestab[style_Name],0),1))</f>
        <v>0</v>
      </c>
      <c r="C180" s="28">
        <f t="shared" si="8"/>
        <v>2</v>
      </c>
      <c r="D180" s="28">
        <f t="shared" si="9"/>
        <v>20</v>
      </c>
      <c r="E180" s="28">
        <f t="shared" si="10"/>
        <v>0</v>
      </c>
      <c r="F180" s="59" t="str">
        <f t="shared" si="11"/>
        <v/>
      </c>
      <c r="G180" s="42"/>
      <c r="H180" s="43"/>
      <c r="I180" s="44"/>
      <c r="J180" s="45"/>
      <c r="K180" s="46"/>
      <c r="L180" s="47"/>
      <c r="M180" s="48"/>
      <c r="N180" s="49"/>
      <c r="O180" s="50" t="s">
        <v>3194</v>
      </c>
      <c r="P180" s="59"/>
      <c r="Q180" s="59"/>
      <c r="R180" s="13"/>
    </row>
    <row r="181" spans="1:18" ht="45" x14ac:dyDescent="0.25">
      <c r="A181" s="9" t="s">
        <v>21</v>
      </c>
      <c r="B181" s="28">
        <f>IF(ISBLANK(A181),0,INDEX(txtstylestab[],MATCH(A181,txtstylestab[style_Name],0),1))</f>
        <v>0</v>
      </c>
      <c r="C181" s="28">
        <f t="shared" si="8"/>
        <v>2</v>
      </c>
      <c r="D181" s="28">
        <f t="shared" si="9"/>
        <v>20</v>
      </c>
      <c r="E181" s="28">
        <f t="shared" si="10"/>
        <v>0</v>
      </c>
      <c r="F181" s="59" t="str">
        <f t="shared" si="11"/>
        <v/>
      </c>
      <c r="G181" s="42" t="s">
        <v>535</v>
      </c>
      <c r="H181" s="43" t="s">
        <v>536</v>
      </c>
      <c r="I181" s="44" t="s">
        <v>503</v>
      </c>
      <c r="J181" s="45" t="s">
        <v>504</v>
      </c>
      <c r="K181" s="46" t="s">
        <v>537</v>
      </c>
      <c r="L181" s="47" t="s">
        <v>2913</v>
      </c>
      <c r="M181" s="48" t="s">
        <v>2914</v>
      </c>
      <c r="N181" s="49"/>
      <c r="O181" s="50" t="s">
        <v>3178</v>
      </c>
      <c r="P181" s="59"/>
      <c r="Q181" s="59"/>
      <c r="R181" s="13"/>
    </row>
    <row r="182" spans="1:18" x14ac:dyDescent="0.25">
      <c r="A182" s="9" t="s">
        <v>21</v>
      </c>
      <c r="B182" s="28">
        <f>IF(ISBLANK(A182),0,INDEX(txtstylestab[],MATCH(A182,txtstylestab[style_Name],0),1))</f>
        <v>0</v>
      </c>
      <c r="C182" s="28">
        <f t="shared" si="8"/>
        <v>2</v>
      </c>
      <c r="D182" s="28">
        <f t="shared" si="9"/>
        <v>20</v>
      </c>
      <c r="E182" s="28">
        <f t="shared" si="10"/>
        <v>0</v>
      </c>
      <c r="F182" s="59" t="str">
        <f t="shared" si="11"/>
        <v/>
      </c>
      <c r="G182" s="42" t="s">
        <v>6</v>
      </c>
      <c r="H182" s="43" t="s">
        <v>26</v>
      </c>
      <c r="I182" s="44" t="s">
        <v>48</v>
      </c>
      <c r="J182" s="45" t="s">
        <v>384</v>
      </c>
      <c r="K182" s="46" t="s">
        <v>59</v>
      </c>
      <c r="L182" s="47" t="s">
        <v>2524</v>
      </c>
      <c r="M182" s="48" t="s">
        <v>2525</v>
      </c>
      <c r="N182" s="49"/>
      <c r="O182" s="50" t="s">
        <v>3168</v>
      </c>
      <c r="P182" s="50"/>
      <c r="Q182" s="59"/>
      <c r="R182" s="13"/>
    </row>
    <row r="183" spans="1:18" ht="18" thickBot="1" x14ac:dyDescent="0.35">
      <c r="A183" s="9" t="s">
        <v>11</v>
      </c>
      <c r="B183" s="28">
        <f>IF(ISBLANK(A183),0,INDEX(txtstylestab[],MATCH(A183,txtstylestab[style_Name],0),1))</f>
        <v>2</v>
      </c>
      <c r="C183" s="28">
        <f t="shared" si="8"/>
        <v>2</v>
      </c>
      <c r="D183" s="28">
        <f t="shared" si="9"/>
        <v>21</v>
      </c>
      <c r="E183" s="28">
        <f t="shared" si="10"/>
        <v>0</v>
      </c>
      <c r="F183" s="54" t="str">
        <f t="shared" si="11"/>
        <v>2.21.</v>
      </c>
      <c r="G183" s="54" t="s">
        <v>1111</v>
      </c>
      <c r="H183" s="54"/>
      <c r="I183" s="54"/>
      <c r="J183" s="54"/>
      <c r="K183" s="54"/>
      <c r="L183" s="54"/>
      <c r="M183" s="54"/>
      <c r="N183" s="54"/>
      <c r="O183" s="54"/>
      <c r="P183" s="54"/>
      <c r="Q183" s="54"/>
      <c r="R183" s="13"/>
    </row>
    <row r="184" spans="1:18" ht="15.75" thickTop="1" x14ac:dyDescent="0.25">
      <c r="A184" s="9" t="s">
        <v>21</v>
      </c>
      <c r="B184" s="28">
        <f>IF(ISBLANK(A184),0,INDEX(txtstylestab[],MATCH(A184,txtstylestab[style_Name],0),1))</f>
        <v>0</v>
      </c>
      <c r="C184" s="28">
        <f t="shared" si="8"/>
        <v>2</v>
      </c>
      <c r="D184" s="28">
        <f t="shared" si="9"/>
        <v>21</v>
      </c>
      <c r="E184" s="28">
        <f t="shared" si="10"/>
        <v>0</v>
      </c>
      <c r="F184" s="59" t="str">
        <f t="shared" si="11"/>
        <v/>
      </c>
      <c r="G184" s="42" t="s">
        <v>82</v>
      </c>
      <c r="H184" s="43" t="s">
        <v>83</v>
      </c>
      <c r="I184" s="44" t="s">
        <v>84</v>
      </c>
      <c r="J184" s="45" t="s">
        <v>808</v>
      </c>
      <c r="K184" s="46" t="s">
        <v>86</v>
      </c>
      <c r="L184" s="47" t="s">
        <v>2397</v>
      </c>
      <c r="M184" s="48" t="s">
        <v>2332</v>
      </c>
      <c r="N184" s="49"/>
      <c r="O184" s="50" t="s">
        <v>3161</v>
      </c>
      <c r="P184" s="50"/>
      <c r="Q184" s="59"/>
      <c r="R184" s="13"/>
    </row>
    <row r="185" spans="1:18" ht="75" x14ac:dyDescent="0.25">
      <c r="A185" s="9" t="s">
        <v>21</v>
      </c>
      <c r="B185" s="28">
        <f>IF(ISBLANK(A185),0,INDEX(txtstylestab[],MATCH(A185,txtstylestab[style_Name],0),1))</f>
        <v>0</v>
      </c>
      <c r="C185" s="28">
        <f t="shared" si="8"/>
        <v>2</v>
      </c>
      <c r="D185" s="28">
        <f t="shared" si="9"/>
        <v>21</v>
      </c>
      <c r="E185" s="28">
        <f t="shared" si="10"/>
        <v>0</v>
      </c>
      <c r="F185" s="59" t="str">
        <f t="shared" si="11"/>
        <v/>
      </c>
      <c r="G185" s="42" t="s">
        <v>1112</v>
      </c>
      <c r="H185" s="43" t="s">
        <v>1113</v>
      </c>
      <c r="I185" s="44" t="s">
        <v>1114</v>
      </c>
      <c r="J185" s="45" t="s">
        <v>1115</v>
      </c>
      <c r="K185" s="46" t="s">
        <v>1116</v>
      </c>
      <c r="L185" s="47" t="s">
        <v>2929</v>
      </c>
      <c r="M185" s="48" t="s">
        <v>2930</v>
      </c>
      <c r="N185" s="49"/>
      <c r="O185" s="50" t="s">
        <v>3190</v>
      </c>
      <c r="P185" s="59"/>
      <c r="Q185" s="59"/>
      <c r="R185" s="13"/>
    </row>
    <row r="186" spans="1:18" x14ac:dyDescent="0.25">
      <c r="A186" s="9" t="s">
        <v>21</v>
      </c>
      <c r="B186" s="28">
        <f>IF(ISBLANK(A186),0,INDEX(txtstylestab[],MATCH(A186,txtstylestab[style_Name],0),1))</f>
        <v>0</v>
      </c>
      <c r="C186" s="28">
        <f t="shared" si="8"/>
        <v>2</v>
      </c>
      <c r="D186" s="28">
        <f t="shared" si="9"/>
        <v>21</v>
      </c>
      <c r="E186" s="28">
        <f t="shared" si="10"/>
        <v>0</v>
      </c>
      <c r="F186" s="59" t="str">
        <f t="shared" si="11"/>
        <v/>
      </c>
      <c r="G186" s="42" t="s">
        <v>6</v>
      </c>
      <c r="H186" s="43" t="s">
        <v>26</v>
      </c>
      <c r="I186" s="44" t="s">
        <v>48</v>
      </c>
      <c r="J186" s="45" t="s">
        <v>384</v>
      </c>
      <c r="K186" s="46" t="s">
        <v>59</v>
      </c>
      <c r="L186" s="47" t="s">
        <v>2524</v>
      </c>
      <c r="M186" s="48" t="s">
        <v>2525</v>
      </c>
      <c r="N186" s="49"/>
      <c r="O186" s="50" t="s">
        <v>3168</v>
      </c>
      <c r="P186" s="50"/>
      <c r="Q186" s="59"/>
      <c r="R186" s="13"/>
    </row>
    <row r="187" spans="1:18" ht="18" thickBot="1" x14ac:dyDescent="0.35">
      <c r="A187" s="9" t="s">
        <v>11</v>
      </c>
      <c r="B187" s="28">
        <f>IF(ISBLANK(A187),0,INDEX(txtstylestab[],MATCH(A187,txtstylestab[style_Name],0),1))</f>
        <v>2</v>
      </c>
      <c r="C187" s="28">
        <f t="shared" si="8"/>
        <v>2</v>
      </c>
      <c r="D187" s="28">
        <f t="shared" si="9"/>
        <v>22</v>
      </c>
      <c r="E187" s="28">
        <f t="shared" si="10"/>
        <v>0</v>
      </c>
      <c r="F187" s="54" t="str">
        <f t="shared" si="11"/>
        <v>2.22.</v>
      </c>
      <c r="G187" s="54" t="s">
        <v>1117</v>
      </c>
      <c r="H187" s="54"/>
      <c r="I187" s="54"/>
      <c r="J187" s="54"/>
      <c r="K187" s="54"/>
      <c r="L187" s="54"/>
      <c r="M187" s="54"/>
      <c r="N187" s="54"/>
      <c r="O187" s="54"/>
      <c r="P187" s="54"/>
      <c r="Q187" s="54"/>
      <c r="R187" s="13"/>
    </row>
    <row r="188" spans="1:18" ht="15.75" thickTop="1" x14ac:dyDescent="0.25">
      <c r="A188" s="9" t="s">
        <v>21</v>
      </c>
      <c r="B188" s="28">
        <f>IF(ISBLANK(A188),0,INDEX(txtstylestab[],MATCH(A188,txtstylestab[style_Name],0),1))</f>
        <v>0</v>
      </c>
      <c r="C188" s="28">
        <f t="shared" si="8"/>
        <v>2</v>
      </c>
      <c r="D188" s="28">
        <f t="shared" si="9"/>
        <v>22</v>
      </c>
      <c r="E188" s="28">
        <f t="shared" si="10"/>
        <v>0</v>
      </c>
      <c r="F188" s="59" t="str">
        <f t="shared" si="11"/>
        <v/>
      </c>
      <c r="G188" s="42" t="s">
        <v>82</v>
      </c>
      <c r="H188" s="43" t="s">
        <v>83</v>
      </c>
      <c r="I188" s="44" t="s">
        <v>84</v>
      </c>
      <c r="J188" s="45" t="s">
        <v>85</v>
      </c>
      <c r="K188" s="46" t="s">
        <v>86</v>
      </c>
      <c r="L188" s="47" t="s">
        <v>2397</v>
      </c>
      <c r="M188" s="48" t="s">
        <v>2332</v>
      </c>
      <c r="N188" s="49"/>
      <c r="O188" s="50" t="s">
        <v>3161</v>
      </c>
      <c r="P188" s="59"/>
      <c r="Q188" s="59"/>
      <c r="R188" s="13"/>
    </row>
    <row r="189" spans="1:18" ht="30" x14ac:dyDescent="0.25">
      <c r="A189" s="9" t="s">
        <v>21</v>
      </c>
      <c r="B189" s="28">
        <f>IF(ISBLANK(A189),0,INDEX(txtstylestab[],MATCH(A189,txtstylestab[style_Name],0),1))</f>
        <v>0</v>
      </c>
      <c r="C189" s="28">
        <f t="shared" si="8"/>
        <v>2</v>
      </c>
      <c r="D189" s="28">
        <f t="shared" si="9"/>
        <v>22</v>
      </c>
      <c r="E189" s="28">
        <f t="shared" si="10"/>
        <v>0</v>
      </c>
      <c r="F189" s="59" t="str">
        <f t="shared" si="11"/>
        <v/>
      </c>
      <c r="G189" s="42" t="s">
        <v>1118</v>
      </c>
      <c r="H189" s="43" t="s">
        <v>1119</v>
      </c>
      <c r="I189" s="44" t="s">
        <v>1120</v>
      </c>
      <c r="J189" s="45" t="s">
        <v>1121</v>
      </c>
      <c r="K189" s="46" t="s">
        <v>1122</v>
      </c>
      <c r="L189" s="47" t="s">
        <v>2931</v>
      </c>
      <c r="M189" s="48" t="s">
        <v>2932</v>
      </c>
      <c r="N189" s="49"/>
      <c r="O189" s="50" t="s">
        <v>3188</v>
      </c>
      <c r="P189" s="59"/>
      <c r="Q189" s="59"/>
      <c r="R189" s="13"/>
    </row>
    <row r="190" spans="1:18" ht="60" x14ac:dyDescent="0.25">
      <c r="A190" s="9" t="s">
        <v>21</v>
      </c>
      <c r="B190" s="28">
        <f>IF(ISBLANK(A190),0,INDEX(txtstylestab[],MATCH(A190,txtstylestab[style_Name],0),1))</f>
        <v>0</v>
      </c>
      <c r="C190" s="28">
        <f t="shared" si="8"/>
        <v>2</v>
      </c>
      <c r="D190" s="28">
        <f t="shared" si="9"/>
        <v>22</v>
      </c>
      <c r="E190" s="28">
        <f t="shared" si="10"/>
        <v>0</v>
      </c>
      <c r="F190" s="59" t="str">
        <f t="shared" si="11"/>
        <v/>
      </c>
      <c r="G190" s="42" t="s">
        <v>1123</v>
      </c>
      <c r="H190" s="43" t="s">
        <v>1124</v>
      </c>
      <c r="I190" s="44" t="s">
        <v>1125</v>
      </c>
      <c r="J190" s="45" t="s">
        <v>1126</v>
      </c>
      <c r="K190" s="46" t="s">
        <v>1127</v>
      </c>
      <c r="L190" s="47" t="s">
        <v>2931</v>
      </c>
      <c r="M190" s="48" t="s">
        <v>2933</v>
      </c>
      <c r="N190" s="49"/>
      <c r="O190" s="50" t="s">
        <v>3189</v>
      </c>
      <c r="P190" s="59"/>
      <c r="Q190" s="59"/>
      <c r="R190" s="13"/>
    </row>
    <row r="191" spans="1:18" ht="30" x14ac:dyDescent="0.25">
      <c r="A191" s="9" t="s">
        <v>21</v>
      </c>
      <c r="B191" s="28">
        <f>IF(ISBLANK(A191),0,INDEX(txtstylestab[],MATCH(A191,txtstylestab[style_Name],0),1))</f>
        <v>0</v>
      </c>
      <c r="C191" s="28">
        <f t="shared" si="8"/>
        <v>2</v>
      </c>
      <c r="D191" s="28">
        <f t="shared" si="9"/>
        <v>22</v>
      </c>
      <c r="E191" s="28">
        <f t="shared" si="10"/>
        <v>0</v>
      </c>
      <c r="F191" s="59" t="str">
        <f t="shared" si="11"/>
        <v/>
      </c>
      <c r="G191" s="42" t="s">
        <v>1128</v>
      </c>
      <c r="H191" s="43" t="s">
        <v>1129</v>
      </c>
      <c r="I191" s="44" t="s">
        <v>1130</v>
      </c>
      <c r="J191" s="45" t="s">
        <v>1131</v>
      </c>
      <c r="K191" s="46" t="s">
        <v>1132</v>
      </c>
      <c r="L191" s="47" t="s">
        <v>2934</v>
      </c>
      <c r="M191" s="48" t="s">
        <v>2935</v>
      </c>
      <c r="N191" s="49"/>
      <c r="O191" s="50"/>
      <c r="P191" s="59"/>
      <c r="Q191" s="59"/>
      <c r="R191" s="13"/>
    </row>
    <row r="192" spans="1:18" x14ac:dyDescent="0.25">
      <c r="A192" s="9" t="s">
        <v>21</v>
      </c>
      <c r="B192" s="28">
        <f>IF(ISBLANK(A192),0,INDEX(txtstylestab[],MATCH(A192,txtstylestab[style_Name],0),1))</f>
        <v>0</v>
      </c>
      <c r="C192" s="28">
        <f t="shared" si="8"/>
        <v>2</v>
      </c>
      <c r="D192" s="28">
        <f t="shared" si="9"/>
        <v>22</v>
      </c>
      <c r="E192" s="28">
        <f t="shared" si="10"/>
        <v>0</v>
      </c>
      <c r="F192" s="59" t="str">
        <f t="shared" si="11"/>
        <v/>
      </c>
      <c r="G192" s="42" t="s">
        <v>6</v>
      </c>
      <c r="H192" s="43" t="s">
        <v>26</v>
      </c>
      <c r="I192" s="44" t="s">
        <v>48</v>
      </c>
      <c r="J192" s="45" t="s">
        <v>384</v>
      </c>
      <c r="K192" s="46" t="s">
        <v>59</v>
      </c>
      <c r="L192" s="47" t="s">
        <v>2524</v>
      </c>
      <c r="M192" s="48" t="s">
        <v>2525</v>
      </c>
      <c r="N192" s="49"/>
      <c r="O192" s="50" t="s">
        <v>3168</v>
      </c>
      <c r="P192" s="59"/>
      <c r="Q192" s="59"/>
      <c r="R192" s="13"/>
    </row>
    <row r="193" spans="1:18" ht="18" thickBot="1" x14ac:dyDescent="0.35">
      <c r="A193" s="9" t="s">
        <v>11</v>
      </c>
      <c r="B193" s="28">
        <f>IF(ISBLANK(A193),0,INDEX(txtstylestab[],MATCH(A193,txtstylestab[style_Name],0),1))</f>
        <v>2</v>
      </c>
      <c r="C193" s="28">
        <f t="shared" si="8"/>
        <v>2</v>
      </c>
      <c r="D193" s="28">
        <f t="shared" si="9"/>
        <v>23</v>
      </c>
      <c r="E193" s="28">
        <f t="shared" si="10"/>
        <v>0</v>
      </c>
      <c r="F193" s="54" t="str">
        <f t="shared" si="11"/>
        <v>2.23.</v>
      </c>
      <c r="G193" s="54" t="s">
        <v>1133</v>
      </c>
      <c r="H193" s="54"/>
      <c r="I193" s="54"/>
      <c r="J193" s="54"/>
      <c r="K193" s="54"/>
      <c r="L193" s="54"/>
      <c r="M193" s="54"/>
      <c r="N193" s="54"/>
      <c r="O193" s="54"/>
      <c r="P193" s="54"/>
      <c r="Q193" s="54"/>
      <c r="R193" s="13"/>
    </row>
    <row r="194" spans="1:18" ht="15.75" thickTop="1" x14ac:dyDescent="0.25">
      <c r="A194" s="9" t="s">
        <v>21</v>
      </c>
      <c r="B194" s="28">
        <f>IF(ISBLANK(A194),0,INDEX(txtstylestab[],MATCH(A194,txtstylestab[style_Name],0),1))</f>
        <v>0</v>
      </c>
      <c r="C194" s="28">
        <f t="shared" si="8"/>
        <v>2</v>
      </c>
      <c r="D194" s="28">
        <f t="shared" si="9"/>
        <v>23</v>
      </c>
      <c r="E194" s="28">
        <f t="shared" si="10"/>
        <v>0</v>
      </c>
      <c r="F194" s="59" t="str">
        <f t="shared" si="11"/>
        <v/>
      </c>
      <c r="G194" s="42" t="s">
        <v>82</v>
      </c>
      <c r="H194" s="43" t="s">
        <v>862</v>
      </c>
      <c r="I194" s="44" t="s">
        <v>84</v>
      </c>
      <c r="J194" s="45" t="s">
        <v>85</v>
      </c>
      <c r="K194" s="46" t="s">
        <v>86</v>
      </c>
      <c r="L194" s="47" t="s">
        <v>2397</v>
      </c>
      <c r="M194" s="48" t="s">
        <v>2332</v>
      </c>
      <c r="N194" s="49"/>
      <c r="O194" s="50" t="s">
        <v>3161</v>
      </c>
      <c r="P194" s="59"/>
      <c r="Q194" s="59"/>
      <c r="R194" s="13"/>
    </row>
    <row r="195" spans="1:18" ht="75" x14ac:dyDescent="0.25">
      <c r="A195" s="9" t="s">
        <v>21</v>
      </c>
      <c r="B195" s="28">
        <f>IF(ISBLANK(A195),0,INDEX(txtstylestab[],MATCH(A195,txtstylestab[style_Name],0),1))</f>
        <v>0</v>
      </c>
      <c r="C195" s="28">
        <f t="shared" si="8"/>
        <v>2</v>
      </c>
      <c r="D195" s="28">
        <f t="shared" si="9"/>
        <v>23</v>
      </c>
      <c r="E195" s="28">
        <f t="shared" si="10"/>
        <v>0</v>
      </c>
      <c r="F195" s="59" t="str">
        <f t="shared" si="11"/>
        <v/>
      </c>
      <c r="G195" s="42" t="s">
        <v>1134</v>
      </c>
      <c r="H195" s="43" t="s">
        <v>1135</v>
      </c>
      <c r="I195" s="44" t="s">
        <v>1648</v>
      </c>
      <c r="J195" s="45" t="s">
        <v>1589</v>
      </c>
      <c r="K195" s="46" t="s">
        <v>1590</v>
      </c>
      <c r="L195" s="47" t="s">
        <v>2936</v>
      </c>
      <c r="M195" s="48" t="s">
        <v>2937</v>
      </c>
      <c r="N195" s="49"/>
      <c r="O195" s="50" t="s">
        <v>3181</v>
      </c>
      <c r="P195" s="59"/>
      <c r="Q195" s="59"/>
      <c r="R195" s="13"/>
    </row>
    <row r="196" spans="1:18" ht="105" x14ac:dyDescent="0.25">
      <c r="A196" s="9" t="s">
        <v>21</v>
      </c>
      <c r="B196" s="28">
        <f>IF(ISBLANK(A196),0,INDEX(txtstylestab[],MATCH(A196,txtstylestab[style_Name],0),1))</f>
        <v>0</v>
      </c>
      <c r="C196" s="28">
        <f t="shared" ref="C196:C246" si="12">IF(B196=1,C195+1,C195)</f>
        <v>2</v>
      </c>
      <c r="D196" s="28">
        <f t="shared" ref="D196:D246" si="13">IF(B196=1,0,IF(B196=2,D195+1,IF(AND(B196=3,D195=0),1,D195)))</f>
        <v>23</v>
      </c>
      <c r="E196" s="28">
        <f t="shared" ref="E196:E246" si="14">IF(OR(B196=1,B196=2),0,IF(B196=3,E195+1,E195))</f>
        <v>0</v>
      </c>
      <c r="F196" s="59" t="str">
        <f t="shared" ref="F196:F246" si="15">IF(OR(B196=1,B196=2,B196=3),TEXT(C196,"#")&amp;".","")&amp;IF(OR(B196=2,B196=3),TEXT(D196,"#")&amp;".","")&amp;IF(B196=3,TEXT(E196,"#")&amp;".","")</f>
        <v/>
      </c>
      <c r="G196" s="42" t="s">
        <v>1136</v>
      </c>
      <c r="H196" s="43" t="s">
        <v>1137</v>
      </c>
      <c r="I196" s="44" t="s">
        <v>1591</v>
      </c>
      <c r="J196" s="45" t="s">
        <v>1765</v>
      </c>
      <c r="K196" s="46" t="s">
        <v>1138</v>
      </c>
      <c r="L196" s="47" t="s">
        <v>2938</v>
      </c>
      <c r="M196" s="48" t="s">
        <v>2939</v>
      </c>
      <c r="N196" s="49"/>
      <c r="O196" s="50" t="s">
        <v>3182</v>
      </c>
      <c r="P196" s="59"/>
      <c r="Q196" s="59"/>
      <c r="R196" s="13"/>
    </row>
    <row r="197" spans="1:18" ht="75" x14ac:dyDescent="0.25">
      <c r="A197" s="9" t="s">
        <v>21</v>
      </c>
      <c r="B197" s="28">
        <f>IF(ISBLANK(A197),0,INDEX(txtstylestab[],MATCH(A197,txtstylestab[style_Name],0),1))</f>
        <v>0</v>
      </c>
      <c r="C197" s="28">
        <f t="shared" si="12"/>
        <v>2</v>
      </c>
      <c r="D197" s="28">
        <f t="shared" si="13"/>
        <v>23</v>
      </c>
      <c r="E197" s="28">
        <f t="shared" si="14"/>
        <v>0</v>
      </c>
      <c r="F197" s="59" t="str">
        <f t="shared" si="15"/>
        <v/>
      </c>
      <c r="G197" s="42" t="s">
        <v>1139</v>
      </c>
      <c r="H197" s="43" t="s">
        <v>1140</v>
      </c>
      <c r="I197" s="44" t="s">
        <v>1592</v>
      </c>
      <c r="J197" s="45" t="s">
        <v>1141</v>
      </c>
      <c r="K197" s="46" t="s">
        <v>1142</v>
      </c>
      <c r="L197" s="47" t="s">
        <v>2940</v>
      </c>
      <c r="M197" s="48" t="s">
        <v>2940</v>
      </c>
      <c r="N197" s="49"/>
      <c r="O197" s="50" t="s">
        <v>3183</v>
      </c>
      <c r="P197" s="59"/>
      <c r="Q197" s="59"/>
      <c r="R197" s="13"/>
    </row>
    <row r="198" spans="1:18" x14ac:dyDescent="0.25">
      <c r="A198" s="9" t="s">
        <v>22</v>
      </c>
      <c r="B198" s="28">
        <f>IF(ISBLANK(A198),0,INDEX(txtstylestab[],MATCH(A198,txtstylestab[style_Name],0),1))</f>
        <v>4</v>
      </c>
      <c r="C198" s="28">
        <f t="shared" si="12"/>
        <v>2</v>
      </c>
      <c r="D198" s="28">
        <f t="shared" si="13"/>
        <v>23</v>
      </c>
      <c r="E198" s="28">
        <f t="shared" si="14"/>
        <v>0</v>
      </c>
      <c r="F198" s="56" t="str">
        <f t="shared" si="15"/>
        <v/>
      </c>
      <c r="G198" s="53" t="s">
        <v>2031</v>
      </c>
      <c r="H198" s="53"/>
      <c r="I198" s="53"/>
      <c r="J198" s="53"/>
      <c r="K198" s="53"/>
      <c r="L198" s="53"/>
      <c r="M198" s="53"/>
      <c r="N198" s="53"/>
      <c r="O198" s="53"/>
      <c r="P198" s="53"/>
      <c r="Q198" s="53"/>
      <c r="R198" s="13"/>
    </row>
    <row r="199" spans="1:18" ht="75" x14ac:dyDescent="0.25">
      <c r="A199" s="9" t="s">
        <v>21</v>
      </c>
      <c r="B199" s="28">
        <f>IF(ISBLANK(A199),0,INDEX(txtstylestab[],MATCH(A199,txtstylestab[style_Name],0),1))</f>
        <v>0</v>
      </c>
      <c r="C199" s="28">
        <f t="shared" si="12"/>
        <v>2</v>
      </c>
      <c r="D199" s="28">
        <f t="shared" si="13"/>
        <v>23</v>
      </c>
      <c r="E199" s="28">
        <f t="shared" si="14"/>
        <v>0</v>
      </c>
      <c r="F199" s="59" t="str">
        <f t="shared" si="15"/>
        <v/>
      </c>
      <c r="G199" s="42" t="s">
        <v>1143</v>
      </c>
      <c r="H199" s="43" t="s">
        <v>1144</v>
      </c>
      <c r="I199" s="44" t="s">
        <v>1145</v>
      </c>
      <c r="J199" s="45" t="s">
        <v>1593</v>
      </c>
      <c r="K199" s="46" t="s">
        <v>1594</v>
      </c>
      <c r="L199" s="47" t="s">
        <v>2941</v>
      </c>
      <c r="M199" s="48" t="s">
        <v>2942</v>
      </c>
      <c r="N199" s="49"/>
      <c r="O199" s="50" t="s">
        <v>3184</v>
      </c>
      <c r="P199" s="59"/>
      <c r="Q199" s="59"/>
      <c r="R199" s="13"/>
    </row>
    <row r="200" spans="1:18" ht="90" x14ac:dyDescent="0.25">
      <c r="A200" s="9" t="s">
        <v>21</v>
      </c>
      <c r="B200" s="28">
        <f>IF(ISBLANK(A200),0,INDEX(txtstylestab[],MATCH(A200,txtstylestab[style_Name],0),1))</f>
        <v>0</v>
      </c>
      <c r="C200" s="28">
        <f t="shared" si="12"/>
        <v>2</v>
      </c>
      <c r="D200" s="28">
        <f t="shared" si="13"/>
        <v>23</v>
      </c>
      <c r="E200" s="28">
        <f t="shared" si="14"/>
        <v>0</v>
      </c>
      <c r="F200" s="59" t="str">
        <f t="shared" si="15"/>
        <v/>
      </c>
      <c r="G200" s="42" t="s">
        <v>1146</v>
      </c>
      <c r="H200" s="43" t="s">
        <v>1147</v>
      </c>
      <c r="I200" s="44" t="s">
        <v>1751</v>
      </c>
      <c r="J200" s="45" t="s">
        <v>1595</v>
      </c>
      <c r="K200" s="46" t="s">
        <v>1706</v>
      </c>
      <c r="L200" s="47" t="s">
        <v>2943</v>
      </c>
      <c r="M200" s="48" t="s">
        <v>2944</v>
      </c>
      <c r="N200" s="49"/>
      <c r="O200" s="50" t="s">
        <v>3185</v>
      </c>
      <c r="P200" s="59"/>
      <c r="Q200" s="59"/>
      <c r="R200" s="13"/>
    </row>
    <row r="201" spans="1:18" ht="60" x14ac:dyDescent="0.25">
      <c r="A201" s="9" t="s">
        <v>21</v>
      </c>
      <c r="B201" s="28">
        <f>IF(ISBLANK(A201),0,INDEX(txtstylestab[],MATCH(A201,txtstylestab[style_Name],0),1))</f>
        <v>0</v>
      </c>
      <c r="C201" s="28">
        <f t="shared" si="12"/>
        <v>2</v>
      </c>
      <c r="D201" s="28">
        <f t="shared" si="13"/>
        <v>23</v>
      </c>
      <c r="E201" s="28">
        <f t="shared" si="14"/>
        <v>0</v>
      </c>
      <c r="F201" s="59" t="str">
        <f t="shared" si="15"/>
        <v/>
      </c>
      <c r="G201" s="42" t="s">
        <v>1148</v>
      </c>
      <c r="H201" s="43" t="s">
        <v>1149</v>
      </c>
      <c r="I201" s="44" t="s">
        <v>1649</v>
      </c>
      <c r="J201" s="45" t="s">
        <v>1596</v>
      </c>
      <c r="K201" s="46" t="s">
        <v>1707</v>
      </c>
      <c r="L201" s="47" t="s">
        <v>2945</v>
      </c>
      <c r="M201" s="48" t="s">
        <v>2946</v>
      </c>
      <c r="N201" s="49"/>
      <c r="O201" s="50" t="s">
        <v>3186</v>
      </c>
      <c r="P201" s="59"/>
      <c r="Q201" s="59"/>
      <c r="R201" s="13"/>
    </row>
    <row r="202" spans="1:18" x14ac:dyDescent="0.25">
      <c r="A202" s="9" t="s">
        <v>22</v>
      </c>
      <c r="B202" s="28">
        <f>IF(ISBLANK(A202),0,INDEX(txtstylestab[],MATCH(A202,txtstylestab[style_Name],0),1))</f>
        <v>4</v>
      </c>
      <c r="C202" s="28">
        <f t="shared" si="12"/>
        <v>2</v>
      </c>
      <c r="D202" s="28">
        <f t="shared" si="13"/>
        <v>23</v>
      </c>
      <c r="E202" s="28">
        <f t="shared" si="14"/>
        <v>0</v>
      </c>
      <c r="F202" s="56" t="str">
        <f t="shared" si="15"/>
        <v/>
      </c>
      <c r="G202" s="53" t="s">
        <v>1150</v>
      </c>
      <c r="H202" s="53"/>
      <c r="I202" s="53"/>
      <c r="J202" s="53"/>
      <c r="K202" s="53"/>
      <c r="L202" s="53"/>
      <c r="M202" s="53"/>
      <c r="N202" s="53"/>
      <c r="O202" s="53"/>
      <c r="P202" s="53"/>
      <c r="Q202" s="53"/>
      <c r="R202" s="13"/>
    </row>
    <row r="203" spans="1:18" ht="75" x14ac:dyDescent="0.25">
      <c r="A203" s="9" t="s">
        <v>21</v>
      </c>
      <c r="B203" s="28">
        <f>IF(ISBLANK(A203),0,INDEX(txtstylestab[],MATCH(A203,txtstylestab[style_Name],0),1))</f>
        <v>0</v>
      </c>
      <c r="C203" s="28">
        <f t="shared" si="12"/>
        <v>2</v>
      </c>
      <c r="D203" s="28">
        <f t="shared" si="13"/>
        <v>23</v>
      </c>
      <c r="E203" s="28">
        <f t="shared" si="14"/>
        <v>0</v>
      </c>
      <c r="F203" s="59" t="str">
        <f t="shared" si="15"/>
        <v/>
      </c>
      <c r="G203" s="42" t="s">
        <v>1151</v>
      </c>
      <c r="H203" s="43" t="s">
        <v>1152</v>
      </c>
      <c r="I203" s="44" t="s">
        <v>1153</v>
      </c>
      <c r="J203" s="45" t="s">
        <v>1597</v>
      </c>
      <c r="K203" s="46" t="s">
        <v>1598</v>
      </c>
      <c r="L203" s="47" t="s">
        <v>2947</v>
      </c>
      <c r="M203" s="48" t="s">
        <v>2948</v>
      </c>
      <c r="N203" s="49"/>
      <c r="O203" s="50" t="s">
        <v>3187</v>
      </c>
      <c r="P203" s="59"/>
      <c r="Q203" s="59"/>
      <c r="R203" s="13"/>
    </row>
    <row r="204" spans="1:18" x14ac:dyDescent="0.25">
      <c r="A204" s="9" t="s">
        <v>21</v>
      </c>
      <c r="B204" s="28">
        <f>IF(ISBLANK(A204),0,INDEX(txtstylestab[],MATCH(A204,txtstylestab[style_Name],0),1))</f>
        <v>0</v>
      </c>
      <c r="C204" s="28">
        <f t="shared" si="12"/>
        <v>2</v>
      </c>
      <c r="D204" s="28">
        <f t="shared" si="13"/>
        <v>23</v>
      </c>
      <c r="E204" s="28">
        <f t="shared" si="14"/>
        <v>0</v>
      </c>
      <c r="F204" s="59" t="str">
        <f t="shared" si="15"/>
        <v/>
      </c>
      <c r="G204" s="42" t="s">
        <v>6</v>
      </c>
      <c r="H204" s="43" t="s">
        <v>26</v>
      </c>
      <c r="I204" s="44" t="s">
        <v>48</v>
      </c>
      <c r="J204" s="45" t="s">
        <v>54</v>
      </c>
      <c r="K204" s="46" t="s">
        <v>59</v>
      </c>
      <c r="L204" s="47" t="s">
        <v>2524</v>
      </c>
      <c r="M204" s="48" t="s">
        <v>2525</v>
      </c>
      <c r="N204" s="49"/>
      <c r="O204" s="50" t="s">
        <v>3168</v>
      </c>
      <c r="P204" s="50"/>
      <c r="Q204" s="59"/>
      <c r="R204" s="13"/>
    </row>
    <row r="205" spans="1:18" ht="18" thickBot="1" x14ac:dyDescent="0.35">
      <c r="A205" s="9" t="s">
        <v>11</v>
      </c>
      <c r="B205" s="28">
        <f>IF(ISBLANK(A205),0,INDEX(txtstylestab[],MATCH(A205,txtstylestab[style_Name],0),1))</f>
        <v>2</v>
      </c>
      <c r="C205" s="28">
        <f t="shared" si="12"/>
        <v>2</v>
      </c>
      <c r="D205" s="28">
        <f t="shared" si="13"/>
        <v>24</v>
      </c>
      <c r="E205" s="28">
        <f t="shared" si="14"/>
        <v>0</v>
      </c>
      <c r="F205" s="54" t="str">
        <f t="shared" si="15"/>
        <v>2.24.</v>
      </c>
      <c r="G205" s="54" t="s">
        <v>1154</v>
      </c>
      <c r="H205" s="54"/>
      <c r="I205" s="54"/>
      <c r="J205" s="54"/>
      <c r="K205" s="54"/>
      <c r="L205" s="54"/>
      <c r="M205" s="54"/>
      <c r="N205" s="54"/>
      <c r="O205" s="54"/>
      <c r="P205" s="54"/>
      <c r="Q205" s="54"/>
      <c r="R205" s="13"/>
    </row>
    <row r="206" spans="1:18" ht="15.75" thickTop="1" x14ac:dyDescent="0.25">
      <c r="A206" s="9" t="s">
        <v>21</v>
      </c>
      <c r="B206" s="28">
        <f>IF(ISBLANK(A206),0,INDEX(txtstylestab[],MATCH(A206,txtstylestab[style_Name],0),1))</f>
        <v>0</v>
      </c>
      <c r="C206" s="28">
        <f t="shared" si="12"/>
        <v>2</v>
      </c>
      <c r="D206" s="28">
        <f t="shared" si="13"/>
        <v>24</v>
      </c>
      <c r="E206" s="28">
        <f t="shared" si="14"/>
        <v>0</v>
      </c>
      <c r="F206" s="59" t="str">
        <f t="shared" si="15"/>
        <v/>
      </c>
      <c r="G206" s="42" t="s">
        <v>82</v>
      </c>
      <c r="H206" s="43" t="s">
        <v>862</v>
      </c>
      <c r="I206" s="44" t="s">
        <v>84</v>
      </c>
      <c r="J206" s="45" t="s">
        <v>85</v>
      </c>
      <c r="K206" s="46" t="s">
        <v>86</v>
      </c>
      <c r="L206" s="47" t="s">
        <v>2397</v>
      </c>
      <c r="M206" s="48" t="s">
        <v>2332</v>
      </c>
      <c r="N206" s="49"/>
      <c r="O206" s="50" t="s">
        <v>3161</v>
      </c>
      <c r="P206" s="59"/>
      <c r="Q206" s="59"/>
      <c r="R206" s="13"/>
    </row>
    <row r="207" spans="1:18" x14ac:dyDescent="0.25">
      <c r="A207" s="9" t="s">
        <v>22</v>
      </c>
      <c r="B207" s="28">
        <f>IF(ISBLANK(A207),0,INDEX(txtstylestab[],MATCH(A207,txtstylestab[style_Name],0),1))</f>
        <v>4</v>
      </c>
      <c r="C207" s="28">
        <f t="shared" si="12"/>
        <v>2</v>
      </c>
      <c r="D207" s="28">
        <f t="shared" si="13"/>
        <v>24</v>
      </c>
      <c r="E207" s="28">
        <f t="shared" si="14"/>
        <v>0</v>
      </c>
      <c r="F207" s="56" t="str">
        <f t="shared" si="15"/>
        <v/>
      </c>
      <c r="G207" s="53" t="s">
        <v>1155</v>
      </c>
      <c r="H207" s="53"/>
      <c r="I207" s="53"/>
      <c r="J207" s="53"/>
      <c r="K207" s="53"/>
      <c r="L207" s="53"/>
      <c r="M207" s="53"/>
      <c r="N207" s="53"/>
      <c r="O207" s="53"/>
      <c r="P207" s="53"/>
      <c r="Q207" s="53"/>
      <c r="R207" s="13"/>
    </row>
    <row r="208" spans="1:18" ht="90" x14ac:dyDescent="0.25">
      <c r="A208" s="9" t="s">
        <v>21</v>
      </c>
      <c r="B208" s="28">
        <f>IF(ISBLANK(A208),0,INDEX(txtstylestab[],MATCH(A208,txtstylestab[style_Name],0),1))</f>
        <v>0</v>
      </c>
      <c r="C208" s="28">
        <f t="shared" si="12"/>
        <v>2</v>
      </c>
      <c r="D208" s="28">
        <f t="shared" si="13"/>
        <v>24</v>
      </c>
      <c r="E208" s="28">
        <f t="shared" si="14"/>
        <v>0</v>
      </c>
      <c r="F208" s="59" t="str">
        <f t="shared" si="15"/>
        <v/>
      </c>
      <c r="G208" s="42" t="s">
        <v>1156</v>
      </c>
      <c r="H208" s="43" t="s">
        <v>2136</v>
      </c>
      <c r="I208" s="44" t="s">
        <v>1650</v>
      </c>
      <c r="J208" s="45" t="s">
        <v>1157</v>
      </c>
      <c r="K208" s="46" t="s">
        <v>1158</v>
      </c>
      <c r="L208" s="47" t="s">
        <v>2950</v>
      </c>
      <c r="M208" s="48" t="s">
        <v>2949</v>
      </c>
      <c r="N208" s="49"/>
      <c r="O208" s="50" t="s">
        <v>3179</v>
      </c>
      <c r="P208" s="59"/>
      <c r="Q208" s="59"/>
      <c r="R208" s="13"/>
    </row>
    <row r="209" spans="1:18" x14ac:dyDescent="0.25">
      <c r="A209" s="9" t="s">
        <v>21</v>
      </c>
      <c r="B209" s="28">
        <f>IF(ISBLANK(A209),0,INDEX(txtstylestab[],MATCH(A209,txtstylestab[style_Name],0),1))</f>
        <v>0</v>
      </c>
      <c r="C209" s="28">
        <f t="shared" si="12"/>
        <v>2</v>
      </c>
      <c r="D209" s="28">
        <f t="shared" si="13"/>
        <v>24</v>
      </c>
      <c r="E209" s="28">
        <f t="shared" si="14"/>
        <v>0</v>
      </c>
      <c r="F209" s="59" t="str">
        <f t="shared" si="15"/>
        <v/>
      </c>
      <c r="G209" s="42" t="s">
        <v>6</v>
      </c>
      <c r="H209" s="43" t="s">
        <v>26</v>
      </c>
      <c r="I209" s="44" t="s">
        <v>48</v>
      </c>
      <c r="J209" s="45" t="s">
        <v>54</v>
      </c>
      <c r="K209" s="46" t="s">
        <v>59</v>
      </c>
      <c r="L209" s="47" t="s">
        <v>2524</v>
      </c>
      <c r="M209" s="48" t="s">
        <v>2525</v>
      </c>
      <c r="N209" s="49"/>
      <c r="O209" s="50" t="s">
        <v>3168</v>
      </c>
      <c r="P209" s="59"/>
      <c r="Q209" s="59"/>
      <c r="R209" s="13"/>
    </row>
    <row r="210" spans="1:18" x14ac:dyDescent="0.25">
      <c r="A210" s="9" t="s">
        <v>22</v>
      </c>
      <c r="B210" s="28">
        <f>IF(ISBLANK(A210),0,INDEX(txtstylestab[],MATCH(A210,txtstylestab[style_Name],0),1))</f>
        <v>4</v>
      </c>
      <c r="C210" s="28">
        <f t="shared" si="12"/>
        <v>2</v>
      </c>
      <c r="D210" s="28">
        <f t="shared" si="13"/>
        <v>24</v>
      </c>
      <c r="E210" s="28">
        <f t="shared" si="14"/>
        <v>0</v>
      </c>
      <c r="F210" s="56" t="str">
        <f t="shared" si="15"/>
        <v/>
      </c>
      <c r="G210" s="53" t="s">
        <v>1159</v>
      </c>
      <c r="H210" s="53"/>
      <c r="I210" s="53"/>
      <c r="J210" s="53"/>
      <c r="K210" s="53"/>
      <c r="L210" s="53"/>
      <c r="M210" s="53"/>
      <c r="N210" s="53"/>
      <c r="O210" s="53"/>
      <c r="P210" s="53"/>
      <c r="Q210" s="53"/>
      <c r="R210" s="13"/>
    </row>
    <row r="211" spans="1:18" ht="90" x14ac:dyDescent="0.25">
      <c r="A211" s="9" t="s">
        <v>21</v>
      </c>
      <c r="B211" s="28">
        <f>IF(ISBLANK(A211),0,INDEX(txtstylestab[],MATCH(A211,txtstylestab[style_Name],0),1))</f>
        <v>0</v>
      </c>
      <c r="C211" s="28">
        <f t="shared" si="12"/>
        <v>2</v>
      </c>
      <c r="D211" s="28">
        <f t="shared" si="13"/>
        <v>24</v>
      </c>
      <c r="E211" s="28">
        <f t="shared" si="14"/>
        <v>0</v>
      </c>
      <c r="F211" s="59" t="str">
        <f t="shared" si="15"/>
        <v/>
      </c>
      <c r="G211" s="42" t="s">
        <v>1599</v>
      </c>
      <c r="H211" s="43" t="s">
        <v>2137</v>
      </c>
      <c r="I211" s="44" t="s">
        <v>1651</v>
      </c>
      <c r="J211" s="45" t="s">
        <v>1160</v>
      </c>
      <c r="K211" s="46" t="s">
        <v>1161</v>
      </c>
      <c r="L211" s="47" t="s">
        <v>2951</v>
      </c>
      <c r="M211" s="48" t="s">
        <v>2952</v>
      </c>
      <c r="N211" s="49"/>
      <c r="O211" s="50" t="s">
        <v>3180</v>
      </c>
      <c r="P211" s="59"/>
      <c r="Q211" s="59"/>
      <c r="R211" s="13"/>
    </row>
    <row r="212" spans="1:18" x14ac:dyDescent="0.25">
      <c r="A212" s="9" t="s">
        <v>21</v>
      </c>
      <c r="B212" s="28">
        <f>IF(ISBLANK(A212),0,INDEX(txtstylestab[],MATCH(A212,txtstylestab[style_Name],0),1))</f>
        <v>0</v>
      </c>
      <c r="C212" s="28">
        <f t="shared" si="12"/>
        <v>2</v>
      </c>
      <c r="D212" s="28">
        <f t="shared" si="13"/>
        <v>24</v>
      </c>
      <c r="E212" s="28">
        <f t="shared" si="14"/>
        <v>0</v>
      </c>
      <c r="F212" s="59" t="str">
        <f t="shared" si="15"/>
        <v/>
      </c>
      <c r="G212" s="42" t="s">
        <v>6</v>
      </c>
      <c r="H212" s="43" t="s">
        <v>26</v>
      </c>
      <c r="I212" s="44" t="s">
        <v>48</v>
      </c>
      <c r="J212" s="45" t="s">
        <v>54</v>
      </c>
      <c r="K212" s="46" t="s">
        <v>59</v>
      </c>
      <c r="L212" s="47" t="s">
        <v>2524</v>
      </c>
      <c r="M212" s="48" t="s">
        <v>2525</v>
      </c>
      <c r="N212" s="49"/>
      <c r="O212" s="50" t="s">
        <v>3168</v>
      </c>
      <c r="P212" s="50"/>
      <c r="Q212" s="59"/>
      <c r="R212" s="13"/>
    </row>
    <row r="213" spans="1:18" ht="18" thickBot="1" x14ac:dyDescent="0.35">
      <c r="A213" s="9" t="s">
        <v>11</v>
      </c>
      <c r="B213" s="28">
        <f>IF(ISBLANK(A213),0,INDEX(txtstylestab[],MATCH(A213,txtstylestab[style_Name],0),1))</f>
        <v>2</v>
      </c>
      <c r="C213" s="28">
        <f t="shared" si="12"/>
        <v>2</v>
      </c>
      <c r="D213" s="28">
        <f t="shared" si="13"/>
        <v>25</v>
      </c>
      <c r="E213" s="28">
        <f t="shared" si="14"/>
        <v>0</v>
      </c>
      <c r="F213" s="54" t="str">
        <f t="shared" si="15"/>
        <v>2.25.</v>
      </c>
      <c r="G213" s="54" t="s">
        <v>1162</v>
      </c>
      <c r="H213" s="54"/>
      <c r="I213" s="54"/>
      <c r="J213" s="54"/>
      <c r="K213" s="54"/>
      <c r="L213" s="54"/>
      <c r="M213" s="54"/>
      <c r="N213" s="54"/>
      <c r="O213" s="54"/>
      <c r="P213" s="54"/>
      <c r="Q213" s="54"/>
      <c r="R213" s="13"/>
    </row>
    <row r="214" spans="1:18" ht="15.75" thickTop="1" x14ac:dyDescent="0.25">
      <c r="A214" s="9" t="s">
        <v>21</v>
      </c>
      <c r="B214" s="28">
        <f>IF(ISBLANK(A214),0,INDEX(txtstylestab[],MATCH(A214,txtstylestab[style_Name],0),1))</f>
        <v>0</v>
      </c>
      <c r="C214" s="28">
        <f t="shared" si="12"/>
        <v>2</v>
      </c>
      <c r="D214" s="28">
        <f t="shared" si="13"/>
        <v>25</v>
      </c>
      <c r="E214" s="28">
        <f t="shared" si="14"/>
        <v>0</v>
      </c>
      <c r="F214" s="59" t="str">
        <f t="shared" si="15"/>
        <v/>
      </c>
      <c r="G214" s="42" t="s">
        <v>344</v>
      </c>
      <c r="H214" s="43" t="s">
        <v>862</v>
      </c>
      <c r="I214" s="44" t="s">
        <v>84</v>
      </c>
      <c r="J214" s="45" t="s">
        <v>1090</v>
      </c>
      <c r="K214" s="46" t="s">
        <v>86</v>
      </c>
      <c r="L214" s="47" t="s">
        <v>2397</v>
      </c>
      <c r="M214" s="48" t="s">
        <v>2332</v>
      </c>
      <c r="N214" s="49"/>
      <c r="O214" s="50" t="s">
        <v>3161</v>
      </c>
      <c r="P214" s="59"/>
      <c r="Q214" s="59"/>
      <c r="R214" s="13"/>
    </row>
    <row r="215" spans="1:18" ht="60" x14ac:dyDescent="0.25">
      <c r="A215" s="9" t="s">
        <v>21</v>
      </c>
      <c r="B215" s="28">
        <f>IF(ISBLANK(A215),0,INDEX(txtstylestab[],MATCH(A215,txtstylestab[style_Name],0),1))</f>
        <v>0</v>
      </c>
      <c r="C215" s="28">
        <f t="shared" si="12"/>
        <v>2</v>
      </c>
      <c r="D215" s="28">
        <f t="shared" si="13"/>
        <v>25</v>
      </c>
      <c r="E215" s="28">
        <f t="shared" si="14"/>
        <v>0</v>
      </c>
      <c r="F215" s="59" t="str">
        <f t="shared" si="15"/>
        <v/>
      </c>
      <c r="G215" s="42" t="s">
        <v>2032</v>
      </c>
      <c r="H215" s="43" t="s">
        <v>2033</v>
      </c>
      <c r="I215" s="44" t="s">
        <v>2034</v>
      </c>
      <c r="J215" s="45" t="s">
        <v>2035</v>
      </c>
      <c r="K215" s="46" t="s">
        <v>2036</v>
      </c>
      <c r="L215" s="47" t="s">
        <v>2991</v>
      </c>
      <c r="M215" s="48" t="s">
        <v>2958</v>
      </c>
      <c r="N215" s="49"/>
      <c r="O215" s="50" t="s">
        <v>3176</v>
      </c>
      <c r="P215" s="59"/>
      <c r="Q215" s="59"/>
      <c r="R215" s="13"/>
    </row>
    <row r="216" spans="1:18" ht="45" x14ac:dyDescent="0.25">
      <c r="A216" s="9" t="s">
        <v>21</v>
      </c>
      <c r="B216" s="28">
        <f>IF(ISBLANK(A216),0,INDEX(txtstylestab[],MATCH(A216,txtstylestab[style_Name],0),1))</f>
        <v>0</v>
      </c>
      <c r="C216" s="28">
        <f t="shared" si="12"/>
        <v>2</v>
      </c>
      <c r="D216" s="28">
        <f t="shared" si="13"/>
        <v>25</v>
      </c>
      <c r="E216" s="28">
        <f t="shared" si="14"/>
        <v>0</v>
      </c>
      <c r="F216" s="59" t="str">
        <f t="shared" si="15"/>
        <v/>
      </c>
      <c r="G216" s="42" t="s">
        <v>2048</v>
      </c>
      <c r="H216" s="43" t="s">
        <v>2049</v>
      </c>
      <c r="I216" s="44" t="s">
        <v>2041</v>
      </c>
      <c r="J216" s="45" t="s">
        <v>2043</v>
      </c>
      <c r="K216" s="46" t="s">
        <v>2045</v>
      </c>
      <c r="L216" s="47" t="s">
        <v>2808</v>
      </c>
      <c r="M216" s="48" t="s">
        <v>2959</v>
      </c>
      <c r="N216" s="49"/>
      <c r="O216" s="50" t="s">
        <v>3172</v>
      </c>
      <c r="P216" s="59"/>
      <c r="Q216" s="59"/>
      <c r="R216" s="13"/>
    </row>
    <row r="217" spans="1:18" ht="30" x14ac:dyDescent="0.25">
      <c r="A217" s="9" t="s">
        <v>21</v>
      </c>
      <c r="B217" s="28">
        <f>IF(ISBLANK(A217),0,INDEX(txtstylestab[],MATCH(A217,txtstylestab[style_Name],0),1))</f>
        <v>0</v>
      </c>
      <c r="C217" s="28">
        <f t="shared" si="12"/>
        <v>2</v>
      </c>
      <c r="D217" s="28">
        <f t="shared" si="13"/>
        <v>25</v>
      </c>
      <c r="E217" s="28">
        <f t="shared" si="14"/>
        <v>0</v>
      </c>
      <c r="F217" s="59" t="str">
        <f t="shared" si="15"/>
        <v/>
      </c>
      <c r="G217" s="42" t="s">
        <v>2038</v>
      </c>
      <c r="H217" s="43" t="s">
        <v>2040</v>
      </c>
      <c r="I217" s="44" t="s">
        <v>2042</v>
      </c>
      <c r="J217" s="45" t="s">
        <v>2044</v>
      </c>
      <c r="K217" s="46" t="s">
        <v>2046</v>
      </c>
      <c r="L217" s="47" t="s">
        <v>2953</v>
      </c>
      <c r="M217" s="48" t="s">
        <v>2960</v>
      </c>
      <c r="N217" s="49"/>
      <c r="O217" s="50" t="s">
        <v>3173</v>
      </c>
      <c r="P217" s="59"/>
      <c r="Q217" s="59"/>
      <c r="R217" s="13"/>
    </row>
    <row r="218" spans="1:18" ht="45" x14ac:dyDescent="0.25">
      <c r="A218" s="9" t="s">
        <v>21</v>
      </c>
      <c r="B218" s="28">
        <f>IF(ISBLANK(A218),0,INDEX(txtstylestab[],MATCH(A218,txtstylestab[style_Name],0),1))</f>
        <v>0</v>
      </c>
      <c r="C218" s="28">
        <f t="shared" si="12"/>
        <v>2</v>
      </c>
      <c r="D218" s="28">
        <f t="shared" si="13"/>
        <v>25</v>
      </c>
      <c r="E218" s="28">
        <f t="shared" si="14"/>
        <v>0</v>
      </c>
      <c r="F218" s="59" t="str">
        <f t="shared" si="15"/>
        <v/>
      </c>
      <c r="G218" s="42" t="s">
        <v>1165</v>
      </c>
      <c r="H218" s="43" t="s">
        <v>1166</v>
      </c>
      <c r="I218" s="44" t="s">
        <v>1167</v>
      </c>
      <c r="J218" s="45" t="s">
        <v>1168</v>
      </c>
      <c r="K218" s="46" t="s">
        <v>1169</v>
      </c>
      <c r="L218" s="47" t="s">
        <v>2954</v>
      </c>
      <c r="M218" s="48" t="s">
        <v>2955</v>
      </c>
      <c r="N218" s="49"/>
      <c r="O218" s="50" t="s">
        <v>3174</v>
      </c>
      <c r="P218" s="59"/>
      <c r="Q218" s="59"/>
      <c r="R218" s="13"/>
    </row>
    <row r="219" spans="1:18" ht="45" x14ac:dyDescent="0.25">
      <c r="A219" s="9" t="s">
        <v>21</v>
      </c>
      <c r="B219" s="28">
        <f>IF(ISBLANK(A219),0,INDEX(txtstylestab[],MATCH(A219,txtstylestab[style_Name],0),1))</f>
        <v>0</v>
      </c>
      <c r="C219" s="28">
        <f t="shared" si="12"/>
        <v>2</v>
      </c>
      <c r="D219" s="28">
        <f t="shared" si="13"/>
        <v>25</v>
      </c>
      <c r="E219" s="28">
        <f t="shared" si="14"/>
        <v>0</v>
      </c>
      <c r="F219" s="59" t="str">
        <f t="shared" si="15"/>
        <v/>
      </c>
      <c r="G219" s="42" t="s">
        <v>1170</v>
      </c>
      <c r="H219" s="43" t="s">
        <v>1171</v>
      </c>
      <c r="I219" s="44" t="s">
        <v>1172</v>
      </c>
      <c r="J219" s="45" t="s">
        <v>1708</v>
      </c>
      <c r="K219" s="46" t="s">
        <v>1173</v>
      </c>
      <c r="L219" s="47" t="s">
        <v>2962</v>
      </c>
      <c r="M219" s="48" t="s">
        <v>2961</v>
      </c>
      <c r="N219" s="49"/>
      <c r="O219" s="50" t="s">
        <v>3175</v>
      </c>
      <c r="P219" s="59"/>
      <c r="Q219" s="59"/>
      <c r="R219" s="13"/>
    </row>
    <row r="220" spans="1:18" ht="75" x14ac:dyDescent="0.25">
      <c r="A220" s="9" t="s">
        <v>21</v>
      </c>
      <c r="B220" s="28">
        <f>IF(ISBLANK(A220),0,INDEX(txtstylestab[],MATCH(A220,txtstylestab[style_Name],0),1))</f>
        <v>0</v>
      </c>
      <c r="C220" s="28">
        <f t="shared" si="12"/>
        <v>2</v>
      </c>
      <c r="D220" s="28">
        <f t="shared" si="13"/>
        <v>25</v>
      </c>
      <c r="E220" s="28">
        <f t="shared" si="14"/>
        <v>0</v>
      </c>
      <c r="F220" s="59" t="str">
        <f t="shared" si="15"/>
        <v/>
      </c>
      <c r="G220" s="42" t="s">
        <v>1174</v>
      </c>
      <c r="H220" s="43" t="s">
        <v>2047</v>
      </c>
      <c r="I220" s="44" t="s">
        <v>1175</v>
      </c>
      <c r="J220" s="45" t="s">
        <v>1176</v>
      </c>
      <c r="K220" s="46" t="s">
        <v>1730</v>
      </c>
      <c r="L220" s="47" t="s">
        <v>2956</v>
      </c>
      <c r="M220" s="48" t="s">
        <v>2957</v>
      </c>
      <c r="N220" s="49"/>
      <c r="O220" s="50" t="s">
        <v>3177</v>
      </c>
      <c r="P220" s="59"/>
      <c r="Q220" s="59"/>
      <c r="R220" s="13"/>
    </row>
    <row r="221" spans="1:18" ht="45" x14ac:dyDescent="0.25">
      <c r="A221" s="9" t="s">
        <v>21</v>
      </c>
      <c r="B221" s="28">
        <f>IF(ISBLANK(A221),0,INDEX(txtstylestab[],MATCH(A221,txtstylestab[style_Name],0),1))</f>
        <v>0</v>
      </c>
      <c r="C221" s="28">
        <f t="shared" si="12"/>
        <v>2</v>
      </c>
      <c r="D221" s="28">
        <f t="shared" si="13"/>
        <v>25</v>
      </c>
      <c r="E221" s="28">
        <f t="shared" si="14"/>
        <v>0</v>
      </c>
      <c r="F221" s="59" t="str">
        <f t="shared" si="15"/>
        <v/>
      </c>
      <c r="G221" s="42" t="s">
        <v>535</v>
      </c>
      <c r="H221" s="43" t="s">
        <v>536</v>
      </c>
      <c r="I221" s="44" t="s">
        <v>503</v>
      </c>
      <c r="J221" s="45" t="s">
        <v>504</v>
      </c>
      <c r="K221" s="46" t="s">
        <v>537</v>
      </c>
      <c r="L221" s="47" t="s">
        <v>2913</v>
      </c>
      <c r="M221" s="48" t="s">
        <v>2914</v>
      </c>
      <c r="N221" s="49"/>
      <c r="O221" s="50" t="s">
        <v>3178</v>
      </c>
      <c r="P221" s="59"/>
      <c r="Q221" s="59"/>
      <c r="R221" s="13"/>
    </row>
    <row r="222" spans="1:18" ht="30" x14ac:dyDescent="0.25">
      <c r="A222" s="9" t="s">
        <v>21</v>
      </c>
      <c r="B222" s="28">
        <f>IF(ISBLANK(A222),0,INDEX(txtstylestab[],MATCH(A222,txtstylestab[style_Name],0),1))</f>
        <v>0</v>
      </c>
      <c r="C222" s="28">
        <f t="shared" si="12"/>
        <v>2</v>
      </c>
      <c r="D222" s="28">
        <f t="shared" si="13"/>
        <v>25</v>
      </c>
      <c r="E222" s="28">
        <f t="shared" si="14"/>
        <v>0</v>
      </c>
      <c r="F222" s="59" t="str">
        <f t="shared" si="15"/>
        <v/>
      </c>
      <c r="G222" s="42" t="s">
        <v>561</v>
      </c>
      <c r="H222" s="43" t="s">
        <v>26</v>
      </c>
      <c r="I222" s="44" t="s">
        <v>48</v>
      </c>
      <c r="J222" s="45" t="s">
        <v>54</v>
      </c>
      <c r="K222" s="46" t="s">
        <v>59</v>
      </c>
      <c r="L222" s="47" t="s">
        <v>2524</v>
      </c>
      <c r="M222" s="48" t="s">
        <v>2525</v>
      </c>
      <c r="N222" s="49"/>
      <c r="O222" s="50" t="s">
        <v>3168</v>
      </c>
      <c r="P222" s="59"/>
      <c r="Q222" s="59"/>
      <c r="R222" s="13"/>
    </row>
    <row r="223" spans="1:18" ht="18" thickBot="1" x14ac:dyDescent="0.35">
      <c r="A223" s="9" t="s">
        <v>11</v>
      </c>
      <c r="B223" s="28">
        <f>IF(ISBLANK(A223),0,INDEX(txtstylestab[],MATCH(A223,txtstylestab[style_Name],0),1))</f>
        <v>2</v>
      </c>
      <c r="C223" s="28">
        <f t="shared" si="12"/>
        <v>2</v>
      </c>
      <c r="D223" s="28">
        <f t="shared" si="13"/>
        <v>26</v>
      </c>
      <c r="E223" s="28">
        <f t="shared" si="14"/>
        <v>0</v>
      </c>
      <c r="F223" s="54" t="str">
        <f t="shared" si="15"/>
        <v>2.26.</v>
      </c>
      <c r="G223" s="54" t="s">
        <v>1177</v>
      </c>
      <c r="H223" s="54"/>
      <c r="I223" s="54"/>
      <c r="J223" s="54"/>
      <c r="K223" s="54"/>
      <c r="L223" s="54"/>
      <c r="M223" s="54"/>
      <c r="N223" s="54"/>
      <c r="O223" s="54"/>
      <c r="P223" s="54"/>
      <c r="Q223" s="54"/>
      <c r="R223" s="13"/>
    </row>
    <row r="224" spans="1:18" ht="15.75" thickTop="1" x14ac:dyDescent="0.25">
      <c r="A224" s="9" t="s">
        <v>21</v>
      </c>
      <c r="B224" s="28">
        <f>IF(ISBLANK(A224),0,INDEX(txtstylestab[],MATCH(A224,txtstylestab[style_Name],0),1))</f>
        <v>0</v>
      </c>
      <c r="C224" s="28">
        <f t="shared" si="12"/>
        <v>2</v>
      </c>
      <c r="D224" s="28">
        <f t="shared" si="13"/>
        <v>26</v>
      </c>
      <c r="E224" s="28">
        <f t="shared" si="14"/>
        <v>0</v>
      </c>
      <c r="F224" s="59" t="str">
        <f t="shared" si="15"/>
        <v/>
      </c>
      <c r="G224" s="42" t="s">
        <v>82</v>
      </c>
      <c r="H224" s="43" t="s">
        <v>83</v>
      </c>
      <c r="I224" s="44" t="s">
        <v>84</v>
      </c>
      <c r="J224" s="45" t="s">
        <v>85</v>
      </c>
      <c r="K224" s="46" t="s">
        <v>86</v>
      </c>
      <c r="L224" s="47" t="s">
        <v>2397</v>
      </c>
      <c r="M224" s="48" t="s">
        <v>2332</v>
      </c>
      <c r="N224" s="49"/>
      <c r="O224" s="50" t="s">
        <v>3161</v>
      </c>
      <c r="P224" s="59"/>
      <c r="Q224" s="59"/>
      <c r="R224" s="13"/>
    </row>
    <row r="225" spans="1:18" ht="60" x14ac:dyDescent="0.25">
      <c r="A225" s="9" t="s">
        <v>21</v>
      </c>
      <c r="B225" s="28">
        <f>IF(ISBLANK(A225),0,INDEX(txtstylestab[],MATCH(A225,txtstylestab[style_Name],0),1))</f>
        <v>0</v>
      </c>
      <c r="C225" s="28">
        <f t="shared" si="12"/>
        <v>2</v>
      </c>
      <c r="D225" s="28">
        <f t="shared" si="13"/>
        <v>26</v>
      </c>
      <c r="E225" s="28">
        <f t="shared" si="14"/>
        <v>0</v>
      </c>
      <c r="F225" s="59" t="str">
        <f t="shared" si="15"/>
        <v/>
      </c>
      <c r="G225" s="42" t="s">
        <v>1178</v>
      </c>
      <c r="H225" s="43" t="s">
        <v>1179</v>
      </c>
      <c r="I225" s="44" t="s">
        <v>1180</v>
      </c>
      <c r="J225" s="45" t="s">
        <v>1181</v>
      </c>
      <c r="K225" s="46" t="s">
        <v>1182</v>
      </c>
      <c r="L225" s="47"/>
      <c r="M225" s="48"/>
      <c r="N225" s="49"/>
      <c r="O225" s="50" t="s">
        <v>3169</v>
      </c>
      <c r="P225" s="59"/>
      <c r="Q225" s="59"/>
      <c r="R225" s="13"/>
    </row>
    <row r="226" spans="1:18" ht="30" x14ac:dyDescent="0.25">
      <c r="A226" s="9" t="s">
        <v>21</v>
      </c>
      <c r="B226" s="28">
        <f>IF(ISBLANK(A226),0,INDEX(txtstylestab[],MATCH(A226,txtstylestab[style_Name],0),1))</f>
        <v>0</v>
      </c>
      <c r="C226" s="28">
        <f t="shared" si="12"/>
        <v>2</v>
      </c>
      <c r="D226" s="28">
        <f t="shared" si="13"/>
        <v>26</v>
      </c>
      <c r="E226" s="28">
        <f t="shared" si="14"/>
        <v>0</v>
      </c>
      <c r="F226" s="59" t="str">
        <f t="shared" si="15"/>
        <v/>
      </c>
      <c r="G226" s="42" t="s">
        <v>1183</v>
      </c>
      <c r="H226" s="43" t="s">
        <v>1184</v>
      </c>
      <c r="I226" s="44" t="s">
        <v>1185</v>
      </c>
      <c r="J226" s="45" t="s">
        <v>1186</v>
      </c>
      <c r="K226" s="46" t="s">
        <v>1187</v>
      </c>
      <c r="L226" s="47"/>
      <c r="M226" s="48"/>
      <c r="N226" s="49"/>
      <c r="O226" s="50" t="s">
        <v>3170</v>
      </c>
      <c r="P226" s="59"/>
      <c r="Q226" s="59"/>
      <c r="R226" s="13"/>
    </row>
    <row r="227" spans="1:18" ht="45" x14ac:dyDescent="0.25">
      <c r="A227" s="9" t="s">
        <v>21</v>
      </c>
      <c r="B227" s="28">
        <f>IF(ISBLANK(A227),0,INDEX(txtstylestab[],MATCH(A227,txtstylestab[style_Name],0),1))</f>
        <v>0</v>
      </c>
      <c r="C227" s="28">
        <f t="shared" si="12"/>
        <v>2</v>
      </c>
      <c r="D227" s="28">
        <f t="shared" si="13"/>
        <v>26</v>
      </c>
      <c r="E227" s="28">
        <f t="shared" si="14"/>
        <v>0</v>
      </c>
      <c r="F227" s="59" t="str">
        <f t="shared" si="15"/>
        <v/>
      </c>
      <c r="G227" s="42" t="s">
        <v>535</v>
      </c>
      <c r="H227" s="43" t="s">
        <v>536</v>
      </c>
      <c r="I227" s="44" t="s">
        <v>503</v>
      </c>
      <c r="J227" s="45" t="s">
        <v>504</v>
      </c>
      <c r="K227" s="46" t="s">
        <v>537</v>
      </c>
      <c r="L227" s="47"/>
      <c r="M227" s="48"/>
      <c r="N227" s="49"/>
      <c r="O227" s="50" t="s">
        <v>3171</v>
      </c>
      <c r="P227" s="59"/>
      <c r="Q227" s="59"/>
      <c r="R227" s="13"/>
    </row>
    <row r="228" spans="1:18" x14ac:dyDescent="0.25">
      <c r="A228" s="9" t="s">
        <v>21</v>
      </c>
      <c r="B228" s="28">
        <f>IF(ISBLANK(A228),0,INDEX(txtstylestab[],MATCH(A228,txtstylestab[style_Name],0),1))</f>
        <v>0</v>
      </c>
      <c r="C228" s="28">
        <f t="shared" si="12"/>
        <v>2</v>
      </c>
      <c r="D228" s="28">
        <f t="shared" si="13"/>
        <v>26</v>
      </c>
      <c r="E228" s="28">
        <f t="shared" si="14"/>
        <v>0</v>
      </c>
      <c r="F228" s="59" t="str">
        <f t="shared" si="15"/>
        <v/>
      </c>
      <c r="G228" s="42" t="s">
        <v>6</v>
      </c>
      <c r="H228" s="43" t="s">
        <v>26</v>
      </c>
      <c r="I228" s="44" t="s">
        <v>48</v>
      </c>
      <c r="J228" s="45" t="s">
        <v>384</v>
      </c>
      <c r="K228" s="46" t="s">
        <v>59</v>
      </c>
      <c r="L228" s="47" t="s">
        <v>2524</v>
      </c>
      <c r="M228" s="48" t="s">
        <v>2525</v>
      </c>
      <c r="N228" s="49"/>
      <c r="O228" s="50" t="s">
        <v>3168</v>
      </c>
      <c r="P228" s="59"/>
      <c r="Q228" s="59"/>
      <c r="R228" s="13"/>
    </row>
    <row r="229" spans="1:18" x14ac:dyDescent="0.25">
      <c r="A229" s="9" t="s">
        <v>13</v>
      </c>
      <c r="B229" s="28">
        <f>IF(ISBLANK(A229),0,INDEX(txtstylestab[],MATCH(A229,txtstylestab[style_Name],0),1))</f>
        <v>7</v>
      </c>
      <c r="C229" s="28">
        <f t="shared" si="12"/>
        <v>2</v>
      </c>
      <c r="D229" s="28">
        <f t="shared" si="13"/>
        <v>26</v>
      </c>
      <c r="E229" s="28">
        <f t="shared" si="14"/>
        <v>0</v>
      </c>
      <c r="F229" s="78" t="str">
        <f t="shared" si="15"/>
        <v/>
      </c>
      <c r="G229" s="78" t="s">
        <v>760</v>
      </c>
      <c r="H229" s="78"/>
      <c r="I229" s="78"/>
      <c r="J229" s="78"/>
      <c r="K229" s="78"/>
      <c r="L229" s="78"/>
      <c r="M229" s="78"/>
      <c r="N229" s="78"/>
      <c r="O229" s="78"/>
      <c r="P229" s="78"/>
      <c r="Q229" s="78"/>
      <c r="R229" s="13"/>
    </row>
    <row r="230" spans="1:18" ht="18" thickBot="1" x14ac:dyDescent="0.35">
      <c r="A230" s="9" t="s">
        <v>11</v>
      </c>
      <c r="B230" s="28">
        <f>IF(ISBLANK(A230),0,INDEX(txtstylestab[],MATCH(A230,txtstylestab[style_Name],0),1))</f>
        <v>2</v>
      </c>
      <c r="C230" s="28">
        <f t="shared" si="12"/>
        <v>2</v>
      </c>
      <c r="D230" s="28">
        <f t="shared" si="13"/>
        <v>27</v>
      </c>
      <c r="E230" s="28">
        <f t="shared" si="14"/>
        <v>0</v>
      </c>
      <c r="F230" s="54" t="str">
        <f t="shared" si="15"/>
        <v>2.27.</v>
      </c>
      <c r="G230" s="54" t="s">
        <v>1188</v>
      </c>
      <c r="H230" s="54"/>
      <c r="I230" s="54"/>
      <c r="J230" s="54"/>
      <c r="K230" s="54"/>
      <c r="L230" s="54"/>
      <c r="M230" s="54"/>
      <c r="N230" s="54"/>
      <c r="O230" s="54"/>
      <c r="P230" s="54"/>
      <c r="Q230" s="54"/>
      <c r="R230" s="13"/>
    </row>
    <row r="231" spans="1:18" ht="15.75" thickTop="1" x14ac:dyDescent="0.25">
      <c r="A231" s="9" t="s">
        <v>21</v>
      </c>
      <c r="B231" s="28">
        <f>IF(ISBLANK(A231),0,INDEX(txtstylestab[],MATCH(A231,txtstylestab[style_Name],0),1))</f>
        <v>0</v>
      </c>
      <c r="C231" s="28">
        <f t="shared" si="12"/>
        <v>2</v>
      </c>
      <c r="D231" s="28">
        <f t="shared" si="13"/>
        <v>27</v>
      </c>
      <c r="E231" s="28">
        <f t="shared" si="14"/>
        <v>0</v>
      </c>
      <c r="F231" s="59" t="str">
        <f t="shared" si="15"/>
        <v/>
      </c>
      <c r="G231" s="42" t="s">
        <v>82</v>
      </c>
      <c r="H231" s="43" t="s">
        <v>83</v>
      </c>
      <c r="I231" s="44" t="s">
        <v>84</v>
      </c>
      <c r="J231" s="45" t="s">
        <v>85</v>
      </c>
      <c r="K231" s="46" t="s">
        <v>86</v>
      </c>
      <c r="L231" s="47" t="s">
        <v>2397</v>
      </c>
      <c r="M231" s="48" t="s">
        <v>2332</v>
      </c>
      <c r="N231" s="49"/>
      <c r="O231" s="50" t="s">
        <v>3161</v>
      </c>
      <c r="P231" s="59"/>
      <c r="Q231" s="59"/>
      <c r="R231" s="13"/>
    </row>
    <row r="232" spans="1:18" ht="105" x14ac:dyDescent="0.25">
      <c r="A232" s="9" t="s">
        <v>21</v>
      </c>
      <c r="B232" s="28">
        <f>IF(ISBLANK(A232),0,INDEX(txtstylestab[],MATCH(A232,txtstylestab[style_Name],0),1))</f>
        <v>0</v>
      </c>
      <c r="C232" s="28">
        <f t="shared" si="12"/>
        <v>2</v>
      </c>
      <c r="D232" s="28">
        <f t="shared" si="13"/>
        <v>27</v>
      </c>
      <c r="E232" s="28">
        <f t="shared" si="14"/>
        <v>0</v>
      </c>
      <c r="F232" s="59" t="str">
        <f t="shared" si="15"/>
        <v/>
      </c>
      <c r="G232" s="42" t="s">
        <v>1189</v>
      </c>
      <c r="H232" s="43" t="s">
        <v>1190</v>
      </c>
      <c r="I232" s="44" t="s">
        <v>1652</v>
      </c>
      <c r="J232" s="45" t="s">
        <v>1191</v>
      </c>
      <c r="K232" s="46" t="s">
        <v>1192</v>
      </c>
      <c r="L232" s="47" t="s">
        <v>2963</v>
      </c>
      <c r="M232" s="48" t="s">
        <v>2964</v>
      </c>
      <c r="N232" s="49"/>
      <c r="O232" s="50" t="s">
        <v>3166</v>
      </c>
      <c r="P232" s="59"/>
      <c r="Q232" s="59"/>
      <c r="R232" s="13"/>
    </row>
    <row r="233" spans="1:18" ht="45" x14ac:dyDescent="0.25">
      <c r="A233" s="9" t="s">
        <v>21</v>
      </c>
      <c r="B233" s="28">
        <f>IF(ISBLANK(A233),0,INDEX(txtstylestab[],MATCH(A233,txtstylestab[style_Name],0),1))</f>
        <v>0</v>
      </c>
      <c r="C233" s="28">
        <f t="shared" si="12"/>
        <v>2</v>
      </c>
      <c r="D233" s="28">
        <f t="shared" si="13"/>
        <v>27</v>
      </c>
      <c r="E233" s="28">
        <f t="shared" si="14"/>
        <v>0</v>
      </c>
      <c r="F233" s="59" t="str">
        <f t="shared" si="15"/>
        <v/>
      </c>
      <c r="G233" s="42" t="s">
        <v>1193</v>
      </c>
      <c r="H233" s="43" t="s">
        <v>1194</v>
      </c>
      <c r="I233" s="44" t="s">
        <v>1195</v>
      </c>
      <c r="J233" s="45" t="s">
        <v>1196</v>
      </c>
      <c r="K233" s="46" t="s">
        <v>1197</v>
      </c>
      <c r="L233" s="47" t="s">
        <v>2965</v>
      </c>
      <c r="M233" s="48" t="s">
        <v>2966</v>
      </c>
      <c r="N233" s="49"/>
      <c r="O233" s="50" t="s">
        <v>3167</v>
      </c>
      <c r="P233" s="59"/>
      <c r="Q233" s="59"/>
      <c r="R233" s="13"/>
    </row>
    <row r="234" spans="1:18" x14ac:dyDescent="0.25">
      <c r="A234" s="9" t="s">
        <v>21</v>
      </c>
      <c r="B234" s="28">
        <f>IF(ISBLANK(A234),0,INDEX(txtstylestab[],MATCH(A234,txtstylestab[style_Name],0),1))</f>
        <v>0</v>
      </c>
      <c r="C234" s="28">
        <f t="shared" si="12"/>
        <v>2</v>
      </c>
      <c r="D234" s="28">
        <f t="shared" si="13"/>
        <v>27</v>
      </c>
      <c r="E234" s="28">
        <f t="shared" si="14"/>
        <v>0</v>
      </c>
      <c r="F234" s="59" t="str">
        <f t="shared" si="15"/>
        <v/>
      </c>
      <c r="G234" s="42" t="s">
        <v>6</v>
      </c>
      <c r="H234" s="43" t="s">
        <v>26</v>
      </c>
      <c r="I234" s="44" t="s">
        <v>48</v>
      </c>
      <c r="J234" s="45" t="s">
        <v>384</v>
      </c>
      <c r="K234" s="46" t="s">
        <v>59</v>
      </c>
      <c r="L234" s="47" t="s">
        <v>2524</v>
      </c>
      <c r="M234" s="48" t="s">
        <v>2525</v>
      </c>
      <c r="N234" s="49"/>
      <c r="O234" s="50" t="s">
        <v>3168</v>
      </c>
      <c r="P234" s="59"/>
      <c r="Q234" s="59"/>
      <c r="R234" s="13"/>
    </row>
    <row r="235" spans="1:18" ht="18" thickBot="1" x14ac:dyDescent="0.35">
      <c r="A235" s="9" t="s">
        <v>11</v>
      </c>
      <c r="B235" s="28">
        <f>IF(ISBLANK(A235),0,INDEX(txtstylestab[],MATCH(A235,txtstylestab[style_Name],0),1))</f>
        <v>2</v>
      </c>
      <c r="C235" s="28">
        <f t="shared" si="12"/>
        <v>2</v>
      </c>
      <c r="D235" s="28">
        <f t="shared" si="13"/>
        <v>28</v>
      </c>
      <c r="E235" s="28">
        <f t="shared" si="14"/>
        <v>0</v>
      </c>
      <c r="F235" s="54" t="str">
        <f t="shared" si="15"/>
        <v>2.28.</v>
      </c>
      <c r="G235" s="54" t="s">
        <v>1198</v>
      </c>
      <c r="H235" s="54"/>
      <c r="I235" s="54"/>
      <c r="J235" s="54"/>
      <c r="K235" s="54"/>
      <c r="L235" s="54"/>
      <c r="M235" s="54"/>
      <c r="N235" s="54"/>
      <c r="O235" s="54"/>
      <c r="P235" s="54"/>
      <c r="Q235" s="54"/>
      <c r="R235" s="13"/>
    </row>
    <row r="236" spans="1:18" ht="15.75" thickTop="1" x14ac:dyDescent="0.25">
      <c r="A236" s="9" t="s">
        <v>21</v>
      </c>
      <c r="B236" s="28">
        <f>IF(ISBLANK(A236),0,INDEX(txtstylestab[],MATCH(A236,txtstylestab[style_Name],0),1))</f>
        <v>0</v>
      </c>
      <c r="C236" s="28">
        <f t="shared" si="12"/>
        <v>2</v>
      </c>
      <c r="D236" s="28">
        <f t="shared" si="13"/>
        <v>28</v>
      </c>
      <c r="E236" s="28">
        <f t="shared" si="14"/>
        <v>0</v>
      </c>
      <c r="F236" s="59" t="str">
        <f t="shared" si="15"/>
        <v/>
      </c>
      <c r="G236" s="42" t="s">
        <v>82</v>
      </c>
      <c r="H236" s="43" t="s">
        <v>851</v>
      </c>
      <c r="I236" s="44" t="s">
        <v>84</v>
      </c>
      <c r="J236" s="45" t="s">
        <v>85</v>
      </c>
      <c r="K236" s="46" t="s">
        <v>86</v>
      </c>
      <c r="L236" s="47" t="s">
        <v>2397</v>
      </c>
      <c r="M236" s="48" t="s">
        <v>2332</v>
      </c>
      <c r="N236" s="49"/>
      <c r="O236" s="50" t="s">
        <v>3161</v>
      </c>
      <c r="P236" s="59"/>
      <c r="Q236" s="59"/>
      <c r="R236" s="13"/>
    </row>
    <row r="237" spans="1:18" ht="75" x14ac:dyDescent="0.25">
      <c r="A237" s="9" t="s">
        <v>21</v>
      </c>
      <c r="B237" s="28">
        <f>IF(ISBLANK(A237),0,INDEX(txtstylestab[],MATCH(A237,txtstylestab[style_Name],0),1))</f>
        <v>0</v>
      </c>
      <c r="C237" s="28">
        <f t="shared" si="12"/>
        <v>2</v>
      </c>
      <c r="D237" s="28">
        <f t="shared" si="13"/>
        <v>28</v>
      </c>
      <c r="E237" s="28">
        <f t="shared" si="14"/>
        <v>0</v>
      </c>
      <c r="F237" s="59" t="str">
        <f t="shared" si="15"/>
        <v/>
      </c>
      <c r="G237" s="42" t="s">
        <v>1199</v>
      </c>
      <c r="H237" s="43" t="s">
        <v>1200</v>
      </c>
      <c r="I237" s="44" t="s">
        <v>1654</v>
      </c>
      <c r="J237" s="45" t="s">
        <v>1201</v>
      </c>
      <c r="K237" s="46" t="s">
        <v>1202</v>
      </c>
      <c r="L237" s="47" t="s">
        <v>2967</v>
      </c>
      <c r="M237" s="48" t="s">
        <v>2968</v>
      </c>
      <c r="N237" s="49"/>
      <c r="O237" s="50" t="s">
        <v>3164</v>
      </c>
      <c r="P237" s="59"/>
      <c r="Q237" s="59"/>
      <c r="R237" s="13"/>
    </row>
    <row r="238" spans="1:18" ht="45" x14ac:dyDescent="0.25">
      <c r="A238" s="9" t="s">
        <v>21</v>
      </c>
      <c r="B238" s="28">
        <f>IF(ISBLANK(A238),0,INDEX(txtstylestab[],MATCH(A238,txtstylestab[style_Name],0),1))</f>
        <v>0</v>
      </c>
      <c r="C238" s="28">
        <f t="shared" si="12"/>
        <v>2</v>
      </c>
      <c r="D238" s="28">
        <f t="shared" si="13"/>
        <v>28</v>
      </c>
      <c r="E238" s="28">
        <f t="shared" si="14"/>
        <v>0</v>
      </c>
      <c r="F238" s="59" t="str">
        <f t="shared" si="15"/>
        <v/>
      </c>
      <c r="G238" s="42" t="s">
        <v>1203</v>
      </c>
      <c r="H238" s="43" t="s">
        <v>1204</v>
      </c>
      <c r="I238" s="44" t="s">
        <v>1653</v>
      </c>
      <c r="J238" s="45" t="s">
        <v>1205</v>
      </c>
      <c r="K238" s="46" t="s">
        <v>1206</v>
      </c>
      <c r="L238" s="47" t="s">
        <v>2969</v>
      </c>
      <c r="M238" s="48" t="s">
        <v>2970</v>
      </c>
      <c r="N238" s="49"/>
      <c r="O238" s="50" t="s">
        <v>3165</v>
      </c>
      <c r="P238" s="59"/>
      <c r="Q238" s="59"/>
      <c r="R238" s="13"/>
    </row>
    <row r="239" spans="1:18" x14ac:dyDescent="0.25">
      <c r="A239" s="9" t="s">
        <v>21</v>
      </c>
      <c r="B239" s="28">
        <f>IF(ISBLANK(A239),0,INDEX(txtstylestab[],MATCH(A239,txtstylestab[style_Name],0),1))</f>
        <v>0</v>
      </c>
      <c r="C239" s="28">
        <f t="shared" si="12"/>
        <v>2</v>
      </c>
      <c r="D239" s="28">
        <f t="shared" si="13"/>
        <v>28</v>
      </c>
      <c r="E239" s="28">
        <f t="shared" si="14"/>
        <v>0</v>
      </c>
      <c r="F239" s="59" t="str">
        <f t="shared" si="15"/>
        <v/>
      </c>
      <c r="G239" s="42" t="s">
        <v>6</v>
      </c>
      <c r="H239" s="43" t="s">
        <v>26</v>
      </c>
      <c r="I239" s="44" t="s">
        <v>48</v>
      </c>
      <c r="J239" s="45" t="s">
        <v>384</v>
      </c>
      <c r="K239" s="46" t="s">
        <v>59</v>
      </c>
      <c r="L239" s="47" t="s">
        <v>2524</v>
      </c>
      <c r="M239" s="48" t="s">
        <v>2525</v>
      </c>
      <c r="N239" s="49"/>
      <c r="O239" s="50" t="s">
        <v>3168</v>
      </c>
      <c r="P239" s="59"/>
      <c r="Q239" s="59"/>
      <c r="R239" s="13"/>
    </row>
    <row r="240" spans="1:18" ht="18" thickBot="1" x14ac:dyDescent="0.35">
      <c r="A240" s="9" t="s">
        <v>11</v>
      </c>
      <c r="B240" s="28">
        <f>IF(ISBLANK(A240),0,INDEX(txtstylestab[],MATCH(A240,txtstylestab[style_Name],0),1))</f>
        <v>2</v>
      </c>
      <c r="C240" s="28">
        <f t="shared" si="12"/>
        <v>2</v>
      </c>
      <c r="D240" s="28">
        <f t="shared" si="13"/>
        <v>29</v>
      </c>
      <c r="E240" s="28">
        <f t="shared" si="14"/>
        <v>0</v>
      </c>
      <c r="F240" s="89" t="str">
        <f t="shared" si="15"/>
        <v>2.29.</v>
      </c>
      <c r="G240" s="54" t="s">
        <v>3510</v>
      </c>
      <c r="H240" s="54"/>
      <c r="I240" s="54"/>
      <c r="J240" s="54"/>
      <c r="K240" s="54"/>
      <c r="L240" s="54"/>
      <c r="M240" s="54"/>
      <c r="N240" s="54"/>
      <c r="O240" s="54"/>
      <c r="P240" s="54"/>
      <c r="Q240" s="54"/>
      <c r="R240" s="13"/>
    </row>
    <row r="241" spans="1:18" ht="15.75" thickTop="1" x14ac:dyDescent="0.25">
      <c r="A241" s="9" t="s">
        <v>21</v>
      </c>
      <c r="B241" s="28">
        <f>IF(ISBLANK(A241),0,INDEX(txtstylestab[],MATCH(A241,txtstylestab[style_Name],0),1))</f>
        <v>0</v>
      </c>
      <c r="C241" s="28">
        <f t="shared" si="12"/>
        <v>2</v>
      </c>
      <c r="D241" s="28">
        <f t="shared" si="13"/>
        <v>29</v>
      </c>
      <c r="E241" s="28">
        <f t="shared" si="14"/>
        <v>0</v>
      </c>
      <c r="F241" s="59" t="str">
        <f t="shared" si="15"/>
        <v/>
      </c>
      <c r="G241" s="42" t="s">
        <v>82</v>
      </c>
      <c r="H241" s="43" t="s">
        <v>83</v>
      </c>
      <c r="I241" s="44" t="s">
        <v>84</v>
      </c>
      <c r="J241" s="45" t="s">
        <v>85</v>
      </c>
      <c r="K241" s="46" t="s">
        <v>3151</v>
      </c>
      <c r="L241" s="47" t="s">
        <v>3155</v>
      </c>
      <c r="M241" s="48" t="s">
        <v>3156</v>
      </c>
      <c r="N241" s="49"/>
      <c r="O241" s="50" t="s">
        <v>3161</v>
      </c>
      <c r="P241" s="59"/>
      <c r="Q241" s="59"/>
      <c r="R241" s="13"/>
    </row>
    <row r="242" spans="1:18" ht="120" x14ac:dyDescent="0.25">
      <c r="A242" s="9" t="s">
        <v>21</v>
      </c>
      <c r="B242" s="28">
        <f>IF(ISBLANK(A242),0,INDEX(txtstylestab[],MATCH(A242,txtstylestab[style_Name],0),1))</f>
        <v>0</v>
      </c>
      <c r="C242" s="28">
        <f t="shared" si="12"/>
        <v>2</v>
      </c>
      <c r="D242" s="28">
        <f t="shared" si="13"/>
        <v>29</v>
      </c>
      <c r="E242" s="28">
        <f t="shared" si="14"/>
        <v>0</v>
      </c>
      <c r="F242" t="str">
        <f t="shared" si="15"/>
        <v/>
      </c>
      <c r="G242" s="42" t="s">
        <v>3146</v>
      </c>
      <c r="H242" s="43" t="s">
        <v>3518</v>
      </c>
      <c r="I242" s="44" t="s">
        <v>3149</v>
      </c>
      <c r="J242" s="45" t="s">
        <v>3154</v>
      </c>
      <c r="K242" s="46" t="s">
        <v>3152</v>
      </c>
      <c r="L242" s="47" t="s">
        <v>3158</v>
      </c>
      <c r="M242" s="48" t="s">
        <v>3157</v>
      </c>
      <c r="N242" s="49"/>
      <c r="O242" s="50" t="s">
        <v>3162</v>
      </c>
      <c r="P242" s="59"/>
      <c r="Q242" s="59"/>
      <c r="R242" s="13"/>
    </row>
    <row r="243" spans="1:18" ht="30" x14ac:dyDescent="0.25">
      <c r="A243" s="9" t="s">
        <v>21</v>
      </c>
      <c r="B243" s="28">
        <f>IF(ISBLANK(A243),0,INDEX(txtstylestab[],MATCH(A243,txtstylestab[style_Name],0),1))</f>
        <v>0</v>
      </c>
      <c r="C243" s="28">
        <f t="shared" si="12"/>
        <v>2</v>
      </c>
      <c r="D243" s="28">
        <f t="shared" si="13"/>
        <v>29</v>
      </c>
      <c r="E243" s="28">
        <f t="shared" si="14"/>
        <v>0</v>
      </c>
      <c r="F243" s="59" t="str">
        <f t="shared" si="15"/>
        <v/>
      </c>
      <c r="G243" s="42" t="s">
        <v>3147</v>
      </c>
      <c r="H243" s="43" t="s">
        <v>3148</v>
      </c>
      <c r="I243" s="44" t="s">
        <v>3150</v>
      </c>
      <c r="J243" s="45" t="s">
        <v>54</v>
      </c>
      <c r="K243" s="46" t="s">
        <v>3153</v>
      </c>
      <c r="L243" s="47" t="s">
        <v>3159</v>
      </c>
      <c r="M243" s="48" t="s">
        <v>3160</v>
      </c>
      <c r="N243" s="49"/>
      <c r="O243" s="50" t="s">
        <v>3163</v>
      </c>
      <c r="P243" s="59"/>
      <c r="Q243" s="59"/>
      <c r="R243" s="13"/>
    </row>
    <row r="244" spans="1:18" x14ac:dyDescent="0.25">
      <c r="A244" s="9" t="s">
        <v>21</v>
      </c>
      <c r="B244" s="28">
        <f>IF(ISBLANK(A244),0,INDEX(txtstylestab[],MATCH(A244,txtstylestab[style_Name],0),1))</f>
        <v>0</v>
      </c>
      <c r="C244" s="28">
        <f t="shared" si="12"/>
        <v>2</v>
      </c>
      <c r="D244" s="28">
        <f t="shared" si="13"/>
        <v>29</v>
      </c>
      <c r="E244" s="28">
        <f t="shared" si="14"/>
        <v>0</v>
      </c>
      <c r="F244" t="str">
        <f t="shared" si="15"/>
        <v/>
      </c>
      <c r="G244" s="42"/>
      <c r="H244" s="43"/>
      <c r="I244" s="44"/>
      <c r="J244" s="45"/>
      <c r="K244" s="46"/>
      <c r="L244" s="47"/>
      <c r="M244" s="48"/>
      <c r="N244" s="49"/>
      <c r="O244" s="50"/>
      <c r="P244" s="90"/>
      <c r="Q244" s="48"/>
      <c r="R244" s="13"/>
    </row>
    <row r="245" spans="1:18" x14ac:dyDescent="0.25">
      <c r="A245" s="9" t="s">
        <v>21</v>
      </c>
      <c r="B245" s="28">
        <f>IF(ISBLANK(A245),0,INDEX(txtstylestab[],MATCH(A245,txtstylestab[style_Name],0),1))</f>
        <v>0</v>
      </c>
      <c r="C245" s="28">
        <f t="shared" si="12"/>
        <v>2</v>
      </c>
      <c r="D245" s="28">
        <f t="shared" si="13"/>
        <v>29</v>
      </c>
      <c r="E245" s="28">
        <f t="shared" si="14"/>
        <v>0</v>
      </c>
      <c r="F245" s="59" t="str">
        <f t="shared" si="15"/>
        <v/>
      </c>
      <c r="G245" s="42"/>
      <c r="H245" s="43"/>
      <c r="I245" s="44"/>
      <c r="J245" s="45"/>
      <c r="K245" s="46"/>
      <c r="L245" s="47"/>
      <c r="M245" s="47"/>
      <c r="N245" s="48"/>
      <c r="O245" s="48"/>
      <c r="P245" s="49"/>
      <c r="Q245" s="50"/>
      <c r="R245" s="13"/>
    </row>
    <row r="246" spans="1:18" x14ac:dyDescent="0.25">
      <c r="A246" s="9" t="s">
        <v>21</v>
      </c>
      <c r="B246" s="28">
        <f>IF(ISBLANK(A246),0,INDEX(txtstylestab[],MATCH(A246,txtstylestab[style_Name],0),1))</f>
        <v>0</v>
      </c>
      <c r="C246" s="28">
        <f t="shared" si="12"/>
        <v>2</v>
      </c>
      <c r="D246" s="28">
        <f t="shared" si="13"/>
        <v>29</v>
      </c>
      <c r="E246" s="28">
        <f t="shared" si="14"/>
        <v>0</v>
      </c>
      <c r="F246" s="30" t="str">
        <f t="shared" si="15"/>
        <v/>
      </c>
      <c r="G246" s="33"/>
      <c r="H246" s="34"/>
      <c r="I246" s="35"/>
      <c r="J246" s="36"/>
      <c r="K246" s="37"/>
      <c r="L246" s="38"/>
      <c r="M246" s="38"/>
      <c r="N246" s="39"/>
      <c r="O246" s="39"/>
      <c r="P246" s="40"/>
      <c r="Q246" s="41"/>
      <c r="R246" s="13"/>
    </row>
    <row r="247" spans="1:18" s="20" customFormat="1" x14ac:dyDescent="0.25">
      <c r="A247" s="9"/>
      <c r="B247" s="28"/>
      <c r="C247" s="28"/>
      <c r="D247" s="28"/>
      <c r="E247" s="28"/>
      <c r="F247" s="31"/>
      <c r="G247" s="21"/>
      <c r="H247" s="22"/>
      <c r="I247" s="23"/>
      <c r="J247" s="24"/>
      <c r="K247" s="25"/>
      <c r="L247" s="23"/>
      <c r="M247" s="23"/>
      <c r="N247" s="24"/>
      <c r="O247" s="24"/>
      <c r="P247" s="25"/>
      <c r="Q247" s="25"/>
    </row>
    <row r="248" spans="1:18" s="20" customFormat="1" x14ac:dyDescent="0.25">
      <c r="A248" s="9"/>
      <c r="B248" s="28"/>
      <c r="C248" s="28"/>
      <c r="D248" s="28"/>
      <c r="E248" s="28"/>
      <c r="F248" s="31"/>
      <c r="G248" s="21"/>
      <c r="H248" s="22"/>
      <c r="I248" s="23"/>
      <c r="J248" s="24"/>
      <c r="K248" s="25"/>
      <c r="L248" s="23"/>
      <c r="M248" s="23"/>
      <c r="N248" s="24"/>
      <c r="O248" s="24"/>
      <c r="P248" s="25"/>
      <c r="Q248" s="25"/>
    </row>
    <row r="249" spans="1:18" s="20" customFormat="1" x14ac:dyDescent="0.25">
      <c r="A249" s="9"/>
      <c r="B249" s="28"/>
      <c r="C249" s="28"/>
      <c r="D249" s="28"/>
      <c r="E249" s="28"/>
      <c r="F249" s="31"/>
      <c r="G249" s="21"/>
      <c r="H249" s="22"/>
      <c r="I249" s="23"/>
      <c r="J249" s="24"/>
      <c r="K249" s="25"/>
      <c r="L249" s="23"/>
      <c r="M249" s="23"/>
      <c r="N249" s="24"/>
      <c r="O249" s="24"/>
      <c r="P249" s="25"/>
      <c r="Q249" s="25"/>
    </row>
    <row r="250" spans="1:18" s="20" customFormat="1" x14ac:dyDescent="0.25">
      <c r="A250" s="9"/>
      <c r="B250" s="28"/>
      <c r="C250" s="28"/>
      <c r="D250" s="28"/>
      <c r="E250" s="28"/>
      <c r="F250" s="31"/>
      <c r="G250" s="21"/>
      <c r="H250" s="22"/>
      <c r="I250" s="23"/>
      <c r="J250" s="24"/>
      <c r="K250" s="25"/>
      <c r="L250" s="23"/>
      <c r="M250" s="23"/>
      <c r="N250" s="24"/>
      <c r="O250" s="24"/>
      <c r="P250" s="25"/>
      <c r="Q250" s="25"/>
    </row>
    <row r="251" spans="1:18" s="20" customFormat="1" x14ac:dyDescent="0.25">
      <c r="A251" s="9"/>
      <c r="B251" s="28"/>
      <c r="C251" s="28"/>
      <c r="D251" s="28"/>
      <c r="E251" s="28"/>
      <c r="F251" s="31"/>
      <c r="G251" s="21"/>
      <c r="H251" s="22"/>
      <c r="I251" s="23"/>
      <c r="J251" s="24"/>
      <c r="K251" s="25"/>
      <c r="L251" s="23"/>
      <c r="M251" s="23"/>
      <c r="N251" s="24"/>
      <c r="O251" s="24"/>
      <c r="P251" s="25"/>
      <c r="Q251" s="25"/>
    </row>
    <row r="252" spans="1:18" s="20" customFormat="1" x14ac:dyDescent="0.25">
      <c r="A252" s="9"/>
      <c r="B252" s="28"/>
      <c r="C252" s="28"/>
      <c r="D252" s="28"/>
      <c r="E252" s="28"/>
      <c r="F252" s="31"/>
      <c r="G252" s="21"/>
      <c r="H252" s="22"/>
      <c r="I252" s="23"/>
      <c r="J252" s="24"/>
      <c r="K252" s="25"/>
      <c r="L252" s="23"/>
      <c r="M252" s="23"/>
      <c r="N252" s="24"/>
      <c r="O252" s="24"/>
      <c r="P252" s="25"/>
      <c r="Q252" s="25"/>
    </row>
    <row r="253" spans="1:18" s="20" customFormat="1" x14ac:dyDescent="0.25">
      <c r="A253" s="9"/>
      <c r="B253" s="28"/>
      <c r="C253" s="28"/>
      <c r="D253" s="28"/>
      <c r="E253" s="28"/>
      <c r="F253" s="31"/>
      <c r="G253" s="21"/>
      <c r="H253" s="22"/>
      <c r="I253" s="23"/>
      <c r="J253" s="24"/>
      <c r="K253" s="25"/>
      <c r="L253" s="23"/>
      <c r="M253" s="23"/>
      <c r="N253" s="24"/>
      <c r="O253" s="24"/>
      <c r="P253" s="25"/>
      <c r="Q253" s="25"/>
    </row>
    <row r="254" spans="1:18" s="20" customFormat="1" x14ac:dyDescent="0.25">
      <c r="A254" s="9"/>
      <c r="B254" s="28"/>
      <c r="C254" s="28"/>
      <c r="D254" s="28"/>
      <c r="E254" s="28"/>
      <c r="F254" s="31"/>
      <c r="G254" s="21"/>
      <c r="H254" s="22"/>
      <c r="I254" s="23"/>
      <c r="J254" s="24"/>
      <c r="K254" s="25"/>
      <c r="L254" s="23"/>
      <c r="M254" s="23"/>
      <c r="N254" s="24"/>
      <c r="O254" s="24"/>
      <c r="P254" s="25"/>
      <c r="Q254" s="25"/>
    </row>
    <row r="255" spans="1:18" s="20" customFormat="1" x14ac:dyDescent="0.25">
      <c r="A255" s="9"/>
      <c r="B255" s="28"/>
      <c r="C255" s="28"/>
      <c r="D255" s="28"/>
      <c r="E255" s="28"/>
      <c r="F255" s="31"/>
      <c r="G255" s="21"/>
      <c r="H255" s="22"/>
      <c r="I255" s="23"/>
      <c r="J255" s="24"/>
      <c r="K255" s="25"/>
      <c r="L255" s="23"/>
      <c r="M255" s="23"/>
      <c r="N255" s="24"/>
      <c r="O255" s="24"/>
      <c r="P255" s="25"/>
      <c r="Q255" s="25"/>
    </row>
    <row r="256" spans="1:18"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7" s="20" customFormat="1" x14ac:dyDescent="0.25">
      <c r="A2145" s="9"/>
      <c r="B2145" s="28"/>
      <c r="C2145" s="28"/>
      <c r="D2145" s="28"/>
      <c r="E2145" s="28"/>
      <c r="F2145" s="31"/>
      <c r="G2145" s="21"/>
      <c r="H2145" s="22"/>
      <c r="I2145" s="23"/>
      <c r="J2145" s="24"/>
      <c r="K2145" s="25"/>
      <c r="L2145" s="23"/>
      <c r="M2145" s="23"/>
      <c r="N2145" s="24"/>
      <c r="O2145" s="24"/>
      <c r="P2145" s="25"/>
      <c r="Q2145" s="25"/>
    </row>
    <row r="2146" spans="1:17" s="20" customFormat="1" x14ac:dyDescent="0.25">
      <c r="A2146" s="9"/>
      <c r="B2146" s="28"/>
      <c r="C2146" s="28"/>
      <c r="D2146" s="28"/>
      <c r="E2146" s="28"/>
      <c r="F2146" s="31"/>
      <c r="G2146" s="21"/>
      <c r="H2146" s="22"/>
      <c r="I2146" s="23"/>
      <c r="J2146" s="24"/>
      <c r="K2146" s="25"/>
      <c r="L2146" s="23"/>
      <c r="M2146" s="23"/>
      <c r="N2146" s="24"/>
      <c r="O2146" s="24"/>
      <c r="P2146" s="25"/>
      <c r="Q2146" s="25"/>
    </row>
    <row r="2147" spans="1:17" s="20" customFormat="1" x14ac:dyDescent="0.25">
      <c r="A2147" s="9"/>
      <c r="B2147" s="28"/>
      <c r="C2147" s="28"/>
      <c r="D2147" s="28"/>
      <c r="E2147" s="28"/>
      <c r="F2147" s="31"/>
      <c r="G2147" s="21"/>
      <c r="H2147" s="22"/>
      <c r="I2147" s="23"/>
      <c r="J2147" s="24"/>
      <c r="K2147" s="25"/>
      <c r="L2147" s="23"/>
      <c r="M2147" s="23"/>
      <c r="N2147" s="24"/>
      <c r="O2147" s="24"/>
      <c r="P2147" s="25"/>
      <c r="Q2147" s="25"/>
    </row>
    <row r="2148" spans="1:17" s="20" customFormat="1" x14ac:dyDescent="0.25">
      <c r="A2148" s="9"/>
      <c r="B2148" s="28"/>
      <c r="C2148" s="28"/>
      <c r="D2148" s="28"/>
      <c r="E2148" s="28"/>
      <c r="F2148" s="31"/>
      <c r="G2148" s="21"/>
      <c r="H2148" s="22"/>
      <c r="I2148" s="23"/>
      <c r="J2148" s="24"/>
      <c r="K2148" s="25"/>
      <c r="L2148" s="23"/>
      <c r="M2148" s="23"/>
      <c r="N2148" s="24"/>
      <c r="O2148" s="24"/>
      <c r="P2148" s="25"/>
      <c r="Q2148" s="25"/>
    </row>
    <row r="2149" spans="1:17" s="20" customFormat="1" x14ac:dyDescent="0.25">
      <c r="A2149" s="9"/>
      <c r="B2149" s="28"/>
      <c r="C2149" s="28"/>
      <c r="D2149" s="28"/>
      <c r="E2149" s="28"/>
      <c r="F2149" s="31"/>
      <c r="G2149" s="21"/>
      <c r="H2149" s="22"/>
      <c r="I2149" s="23"/>
      <c r="J2149" s="24"/>
      <c r="K2149" s="25"/>
      <c r="L2149" s="23"/>
      <c r="M2149" s="23"/>
      <c r="N2149" s="24"/>
      <c r="O2149" s="24"/>
      <c r="P2149" s="25"/>
      <c r="Q2149" s="25"/>
    </row>
    <row r="2150" spans="1:17" s="20" customFormat="1" x14ac:dyDescent="0.25">
      <c r="A2150" s="9"/>
      <c r="B2150" s="28"/>
      <c r="C2150" s="28"/>
      <c r="D2150" s="28"/>
      <c r="E2150" s="28"/>
      <c r="F2150" s="31"/>
      <c r="G2150" s="21"/>
      <c r="H2150" s="22"/>
      <c r="I2150" s="23"/>
      <c r="J2150" s="24"/>
      <c r="K2150" s="25"/>
      <c r="L2150" s="23"/>
      <c r="M2150" s="23"/>
      <c r="N2150" s="24"/>
      <c r="O2150" s="24"/>
      <c r="P2150" s="25"/>
      <c r="Q2150" s="25"/>
    </row>
    <row r="2151" spans="1:17" s="20" customFormat="1" x14ac:dyDescent="0.25">
      <c r="A2151" s="9"/>
      <c r="B2151" s="28"/>
      <c r="C2151" s="28"/>
      <c r="D2151" s="28"/>
      <c r="E2151" s="28"/>
      <c r="F2151" s="31"/>
      <c r="G2151" s="21"/>
      <c r="H2151" s="22"/>
      <c r="I2151" s="23"/>
      <c r="J2151" s="24"/>
      <c r="K2151" s="25"/>
      <c r="L2151" s="23"/>
      <c r="M2151" s="23"/>
      <c r="N2151" s="24"/>
      <c r="O2151" s="24"/>
      <c r="P2151" s="25"/>
      <c r="Q2151" s="25"/>
    </row>
    <row r="2152" spans="1:17" s="20" customFormat="1" x14ac:dyDescent="0.25">
      <c r="A2152" s="9"/>
      <c r="B2152" s="28"/>
      <c r="C2152" s="28"/>
      <c r="D2152" s="28"/>
      <c r="E2152" s="28"/>
      <c r="F2152" s="31"/>
      <c r="G2152" s="21"/>
      <c r="H2152" s="22"/>
      <c r="I2152" s="23"/>
      <c r="J2152" s="24"/>
      <c r="K2152" s="25"/>
      <c r="L2152" s="23"/>
      <c r="M2152" s="23"/>
      <c r="N2152" s="24"/>
      <c r="O2152" s="24"/>
      <c r="P2152" s="25"/>
      <c r="Q2152" s="25"/>
    </row>
    <row r="2153" spans="1:17" s="20" customFormat="1" x14ac:dyDescent="0.25">
      <c r="A2153" s="9"/>
      <c r="B2153" s="28"/>
      <c r="C2153" s="28"/>
      <c r="D2153" s="28"/>
      <c r="E2153" s="28"/>
      <c r="F2153" s="31"/>
      <c r="G2153" s="21"/>
      <c r="H2153" s="22"/>
      <c r="I2153" s="23"/>
      <c r="J2153" s="24"/>
      <c r="K2153" s="25"/>
      <c r="L2153" s="23"/>
      <c r="M2153" s="23"/>
      <c r="N2153" s="24"/>
      <c r="O2153" s="24"/>
      <c r="P2153" s="25"/>
      <c r="Q2153" s="25"/>
    </row>
    <row r="2154" spans="1:17" s="20" customFormat="1" x14ac:dyDescent="0.25">
      <c r="A2154" s="9"/>
      <c r="B2154" s="28"/>
      <c r="C2154" s="28"/>
      <c r="D2154" s="28"/>
      <c r="E2154" s="28"/>
      <c r="F2154" s="31"/>
      <c r="G2154" s="21"/>
      <c r="H2154" s="22"/>
      <c r="I2154" s="23"/>
      <c r="J2154" s="24"/>
      <c r="K2154" s="25"/>
      <c r="L2154" s="23"/>
      <c r="M2154" s="23"/>
      <c r="N2154" s="24"/>
      <c r="O2154" s="24"/>
      <c r="P2154" s="25"/>
      <c r="Q2154" s="25"/>
    </row>
    <row r="2155" spans="1:17" s="20" customFormat="1" x14ac:dyDescent="0.25">
      <c r="A2155" s="9"/>
      <c r="B2155" s="28"/>
      <c r="C2155" s="28"/>
      <c r="D2155" s="28"/>
      <c r="E2155" s="28"/>
      <c r="F2155" s="31"/>
      <c r="G2155" s="21"/>
      <c r="H2155" s="22"/>
      <c r="I2155" s="23"/>
      <c r="J2155" s="24"/>
      <c r="K2155" s="25"/>
      <c r="L2155" s="23"/>
      <c r="M2155" s="23"/>
      <c r="N2155" s="24"/>
      <c r="O2155" s="24"/>
      <c r="P2155" s="25"/>
      <c r="Q2155" s="25"/>
    </row>
    <row r="2156" spans="1:17" s="20" customFormat="1" x14ac:dyDescent="0.25">
      <c r="A2156" s="9"/>
      <c r="B2156" s="28"/>
      <c r="C2156" s="28"/>
      <c r="D2156" s="28"/>
      <c r="E2156" s="28"/>
      <c r="F2156" s="31"/>
      <c r="G2156" s="21"/>
      <c r="H2156" s="22"/>
      <c r="I2156" s="23"/>
      <c r="J2156" s="24"/>
      <c r="K2156" s="25"/>
      <c r="L2156" s="23"/>
      <c r="M2156" s="23"/>
      <c r="N2156" s="24"/>
      <c r="O2156" s="24"/>
      <c r="P2156" s="25"/>
      <c r="Q2156" s="25"/>
    </row>
    <row r="2157" spans="1:17" s="20" customFormat="1" x14ac:dyDescent="0.25">
      <c r="A2157" s="9"/>
      <c r="B2157" s="28"/>
      <c r="C2157" s="28"/>
      <c r="D2157" s="28"/>
      <c r="E2157" s="28"/>
      <c r="F2157" s="31"/>
      <c r="G2157" s="21"/>
      <c r="H2157" s="22"/>
      <c r="I2157" s="23"/>
      <c r="J2157" s="24"/>
      <c r="K2157" s="25"/>
      <c r="L2157" s="23"/>
      <c r="M2157" s="23"/>
      <c r="N2157" s="24"/>
      <c r="O2157" s="24"/>
      <c r="P2157" s="25"/>
      <c r="Q2157" s="25"/>
    </row>
    <row r="2158" spans="1:17" s="20" customFormat="1" x14ac:dyDescent="0.25">
      <c r="A2158" s="9"/>
      <c r="B2158" s="28"/>
      <c r="C2158" s="28"/>
      <c r="D2158" s="28"/>
      <c r="E2158" s="28"/>
      <c r="F2158" s="31"/>
      <c r="G2158" s="21"/>
      <c r="H2158" s="22"/>
      <c r="I2158" s="23"/>
      <c r="J2158" s="24"/>
      <c r="K2158" s="25"/>
      <c r="L2158" s="23"/>
      <c r="M2158" s="23"/>
      <c r="N2158" s="24"/>
      <c r="O2158" s="24"/>
      <c r="P2158" s="25"/>
      <c r="Q2158" s="25"/>
    </row>
    <row r="2159" spans="1:17" s="20" customFormat="1" x14ac:dyDescent="0.25">
      <c r="A2159" s="9"/>
      <c r="B2159" s="28"/>
      <c r="C2159" s="28"/>
      <c r="D2159" s="28"/>
      <c r="E2159" s="28"/>
      <c r="F2159" s="31"/>
      <c r="G2159" s="21"/>
      <c r="H2159" s="22"/>
      <c r="I2159" s="23"/>
      <c r="J2159" s="24"/>
      <c r="K2159" s="25"/>
      <c r="L2159" s="23"/>
      <c r="M2159" s="23"/>
      <c r="N2159" s="24"/>
      <c r="O2159" s="24"/>
      <c r="P2159" s="25"/>
      <c r="Q2159" s="25"/>
    </row>
    <row r="2160" spans="1:17" s="20" customFormat="1" x14ac:dyDescent="0.25">
      <c r="A2160" s="9"/>
      <c r="B2160" s="28"/>
      <c r="C2160" s="28"/>
      <c r="D2160" s="28"/>
      <c r="E2160" s="28"/>
      <c r="F2160" s="31"/>
      <c r="G2160" s="21"/>
      <c r="H2160" s="22"/>
      <c r="I2160" s="23"/>
      <c r="J2160" s="24"/>
      <c r="K2160" s="25"/>
      <c r="L2160" s="23"/>
      <c r="M2160" s="23"/>
      <c r="N2160" s="24"/>
      <c r="O2160" s="24"/>
      <c r="P2160" s="25"/>
      <c r="Q2160" s="25"/>
    </row>
    <row r="2161" spans="1:17" s="20" customFormat="1" x14ac:dyDescent="0.25">
      <c r="A2161" s="9"/>
      <c r="B2161" s="28"/>
      <c r="C2161" s="28"/>
      <c r="D2161" s="28"/>
      <c r="E2161" s="28"/>
      <c r="F2161" s="31"/>
      <c r="G2161" s="21"/>
      <c r="H2161" s="22"/>
      <c r="I2161" s="23"/>
      <c r="J2161" s="24"/>
      <c r="K2161" s="25"/>
      <c r="L2161" s="23"/>
      <c r="M2161" s="23"/>
      <c r="N2161" s="24"/>
      <c r="O2161" s="24"/>
      <c r="P2161" s="25"/>
      <c r="Q2161" s="25"/>
    </row>
    <row r="2162" spans="1:17" s="20" customFormat="1" x14ac:dyDescent="0.25">
      <c r="A2162" s="9"/>
      <c r="B2162" s="28"/>
      <c r="C2162" s="28"/>
      <c r="D2162" s="28"/>
      <c r="E2162" s="28"/>
      <c r="F2162" s="31"/>
      <c r="G2162" s="21"/>
      <c r="H2162" s="22"/>
      <c r="I2162" s="23"/>
      <c r="J2162" s="24"/>
      <c r="K2162" s="25"/>
      <c r="L2162" s="23"/>
      <c r="M2162" s="23"/>
      <c r="N2162" s="24"/>
      <c r="O2162" s="24"/>
      <c r="P2162" s="25"/>
      <c r="Q2162" s="25"/>
    </row>
    <row r="2163" spans="1:17" s="20" customFormat="1" x14ac:dyDescent="0.25">
      <c r="A2163" s="9"/>
      <c r="B2163" s="28"/>
      <c r="C2163" s="28"/>
      <c r="D2163" s="28"/>
      <c r="E2163" s="28"/>
      <c r="F2163" s="31"/>
      <c r="G2163" s="21"/>
      <c r="H2163" s="22"/>
      <c r="I2163" s="23"/>
      <c r="J2163" s="24"/>
      <c r="K2163" s="25"/>
      <c r="L2163" s="23"/>
      <c r="M2163" s="23"/>
      <c r="N2163" s="24"/>
      <c r="O2163" s="24"/>
      <c r="P2163" s="25"/>
      <c r="Q2163" s="25"/>
    </row>
    <row r="2164" spans="1:17" s="20" customFormat="1" x14ac:dyDescent="0.25">
      <c r="A2164" s="9"/>
      <c r="B2164" s="28"/>
      <c r="C2164" s="28"/>
      <c r="D2164" s="28"/>
      <c r="E2164" s="28"/>
      <c r="F2164" s="31"/>
      <c r="G2164" s="21"/>
      <c r="H2164" s="22"/>
      <c r="I2164" s="23"/>
      <c r="J2164" s="24"/>
      <c r="K2164" s="25"/>
      <c r="L2164" s="23"/>
      <c r="M2164" s="23"/>
      <c r="N2164" s="24"/>
      <c r="O2164" s="24"/>
      <c r="P2164" s="25"/>
      <c r="Q2164" s="25"/>
    </row>
    <row r="2165" spans="1:17" s="20" customFormat="1" x14ac:dyDescent="0.25">
      <c r="A2165" s="9"/>
      <c r="B2165" s="28"/>
      <c r="C2165" s="28"/>
      <c r="D2165" s="28"/>
      <c r="E2165" s="28"/>
      <c r="F2165" s="31"/>
      <c r="G2165" s="21"/>
      <c r="H2165" s="22"/>
      <c r="I2165" s="23"/>
      <c r="J2165" s="24"/>
      <c r="K2165" s="25"/>
      <c r="L2165" s="23"/>
      <c r="M2165" s="23"/>
      <c r="N2165" s="24"/>
      <c r="O2165" s="24"/>
      <c r="P2165" s="25"/>
      <c r="Q2165" s="25"/>
    </row>
    <row r="2166" spans="1:17" s="20" customFormat="1" x14ac:dyDescent="0.25">
      <c r="A2166" s="9"/>
      <c r="B2166" s="28"/>
      <c r="C2166" s="28"/>
      <c r="D2166" s="28"/>
      <c r="E2166" s="28"/>
      <c r="F2166" s="31"/>
      <c r="G2166" s="21"/>
      <c r="H2166" s="22"/>
      <c r="I2166" s="23"/>
      <c r="J2166" s="24"/>
      <c r="K2166" s="25"/>
      <c r="L2166" s="23"/>
      <c r="M2166" s="23"/>
      <c r="N2166" s="24"/>
      <c r="O2166" s="24"/>
      <c r="P2166" s="25"/>
      <c r="Q2166" s="25"/>
    </row>
    <row r="2167" spans="1:17" s="20" customFormat="1" x14ac:dyDescent="0.25">
      <c r="A2167" s="9"/>
      <c r="B2167" s="28"/>
      <c r="C2167" s="28"/>
      <c r="D2167" s="28"/>
      <c r="E2167" s="28"/>
      <c r="F2167" s="31"/>
      <c r="G2167" s="21"/>
      <c r="H2167" s="22"/>
      <c r="I2167" s="23"/>
      <c r="J2167" s="24"/>
      <c r="K2167" s="25"/>
      <c r="L2167" s="23"/>
      <c r="M2167" s="23"/>
      <c r="N2167" s="24"/>
      <c r="O2167" s="24"/>
      <c r="P2167" s="25"/>
      <c r="Q2167" s="25"/>
    </row>
    <row r="2168" spans="1:17" s="20" customFormat="1" x14ac:dyDescent="0.25">
      <c r="A2168" s="9"/>
      <c r="B2168" s="28"/>
      <c r="C2168" s="28"/>
      <c r="D2168" s="28"/>
      <c r="E2168" s="28"/>
      <c r="F2168" s="31"/>
      <c r="G2168" s="21"/>
      <c r="H2168" s="22"/>
      <c r="I2168" s="23"/>
      <c r="J2168" s="24"/>
      <c r="K2168" s="25"/>
      <c r="L2168" s="23"/>
      <c r="M2168" s="23"/>
      <c r="N2168" s="24"/>
      <c r="O2168" s="24"/>
      <c r="P2168" s="25"/>
      <c r="Q2168" s="25"/>
    </row>
    <row r="2169" spans="1:17" s="20" customFormat="1" x14ac:dyDescent="0.25">
      <c r="A2169" s="9"/>
      <c r="B2169" s="28"/>
      <c r="C2169" s="28"/>
      <c r="D2169" s="28"/>
      <c r="E2169" s="28"/>
      <c r="F2169" s="31"/>
      <c r="G2169" s="21"/>
      <c r="H2169" s="22"/>
      <c r="I2169" s="23"/>
      <c r="J2169" s="24"/>
      <c r="K2169" s="25"/>
      <c r="L2169" s="23"/>
      <c r="M2169" s="23"/>
      <c r="N2169" s="24"/>
      <c r="O2169" s="24"/>
      <c r="P2169" s="25"/>
      <c r="Q2169" s="25"/>
    </row>
    <row r="2170" spans="1:17" s="20" customFormat="1" x14ac:dyDescent="0.25">
      <c r="A2170" s="9"/>
      <c r="B2170" s="28"/>
      <c r="C2170" s="28"/>
      <c r="D2170" s="28"/>
      <c r="E2170" s="28"/>
      <c r="F2170" s="31"/>
      <c r="G2170" s="21"/>
      <c r="H2170" s="22"/>
      <c r="I2170" s="23"/>
      <c r="J2170" s="24"/>
      <c r="K2170" s="25"/>
      <c r="L2170" s="23"/>
      <c r="M2170" s="23"/>
      <c r="N2170" s="24"/>
      <c r="O2170" s="24"/>
      <c r="P2170" s="25"/>
      <c r="Q2170" s="25"/>
    </row>
    <row r="2171" spans="1:17" s="20" customFormat="1" x14ac:dyDescent="0.25">
      <c r="A2171" s="9"/>
      <c r="B2171" s="28"/>
      <c r="C2171" s="28"/>
      <c r="D2171" s="28"/>
      <c r="E2171" s="28"/>
      <c r="F2171" s="31"/>
      <c r="G2171" s="21"/>
      <c r="H2171" s="22"/>
      <c r="I2171" s="23"/>
      <c r="J2171" s="24"/>
      <c r="K2171" s="25"/>
      <c r="L2171" s="23"/>
      <c r="M2171" s="23"/>
      <c r="N2171" s="24"/>
      <c r="O2171" s="24"/>
      <c r="P2171" s="25"/>
      <c r="Q2171" s="25"/>
    </row>
    <row r="2172" spans="1:17" s="20" customFormat="1" x14ac:dyDescent="0.25">
      <c r="A2172" s="9"/>
      <c r="B2172" s="28"/>
      <c r="C2172" s="28"/>
      <c r="D2172" s="28"/>
      <c r="E2172" s="28"/>
      <c r="F2172" s="31"/>
      <c r="G2172" s="21"/>
      <c r="H2172" s="22"/>
      <c r="I2172" s="23"/>
      <c r="J2172" s="24"/>
      <c r="K2172" s="25"/>
      <c r="L2172" s="23"/>
      <c r="M2172" s="23"/>
      <c r="N2172" s="24"/>
      <c r="O2172" s="24"/>
      <c r="P2172" s="25"/>
      <c r="Q2172" s="25"/>
    </row>
    <row r="2173" spans="1:17" s="20" customFormat="1" x14ac:dyDescent="0.25">
      <c r="A2173" s="9"/>
      <c r="B2173" s="28"/>
      <c r="C2173" s="28"/>
      <c r="D2173" s="28"/>
      <c r="E2173" s="28"/>
      <c r="F2173" s="31"/>
      <c r="G2173" s="21"/>
      <c r="H2173" s="22"/>
      <c r="I2173" s="23"/>
      <c r="J2173" s="24"/>
      <c r="K2173" s="25"/>
      <c r="L2173" s="23"/>
      <c r="M2173" s="23"/>
      <c r="N2173" s="24"/>
      <c r="O2173" s="24"/>
      <c r="P2173" s="25"/>
      <c r="Q2173" s="25"/>
    </row>
    <row r="2174" spans="1:17" s="20" customFormat="1" x14ac:dyDescent="0.25">
      <c r="A2174" s="9"/>
      <c r="B2174" s="28"/>
      <c r="C2174" s="28"/>
      <c r="D2174" s="28"/>
      <c r="E2174" s="28"/>
      <c r="F2174" s="31"/>
      <c r="G2174" s="21"/>
      <c r="H2174" s="22"/>
      <c r="I2174" s="23"/>
      <c r="J2174" s="24"/>
      <c r="K2174" s="25"/>
      <c r="L2174" s="23"/>
      <c r="M2174" s="23"/>
      <c r="N2174" s="24"/>
      <c r="O2174" s="24"/>
      <c r="P2174" s="25"/>
      <c r="Q2174" s="25"/>
    </row>
    <row r="2175" spans="1:17" s="20" customFormat="1" x14ac:dyDescent="0.25">
      <c r="A2175" s="9"/>
      <c r="B2175" s="28"/>
      <c r="C2175" s="28"/>
      <c r="D2175" s="28"/>
      <c r="E2175" s="28"/>
      <c r="F2175" s="31"/>
      <c r="G2175" s="21"/>
      <c r="H2175" s="22"/>
      <c r="I2175" s="23"/>
      <c r="J2175" s="24"/>
      <c r="K2175" s="25"/>
      <c r="L2175" s="23"/>
      <c r="M2175" s="23"/>
      <c r="N2175" s="24"/>
      <c r="O2175" s="24"/>
      <c r="P2175" s="25"/>
      <c r="Q2175" s="25"/>
    </row>
    <row r="2176" spans="1:17" s="20" customFormat="1" x14ac:dyDescent="0.25">
      <c r="A2176" s="9"/>
      <c r="B2176" s="28"/>
      <c r="C2176" s="28"/>
      <c r="D2176" s="28"/>
      <c r="E2176" s="28"/>
      <c r="F2176" s="31"/>
      <c r="G2176" s="21"/>
      <c r="H2176" s="22"/>
      <c r="I2176" s="23"/>
      <c r="J2176" s="24"/>
      <c r="K2176" s="25"/>
      <c r="L2176" s="23"/>
      <c r="M2176" s="23"/>
      <c r="N2176" s="24"/>
      <c r="O2176" s="24"/>
      <c r="P2176" s="25"/>
      <c r="Q2176" s="25"/>
    </row>
    <row r="2177" spans="1:17" s="20" customFormat="1" x14ac:dyDescent="0.25">
      <c r="A2177" s="9"/>
      <c r="B2177" s="28"/>
      <c r="C2177" s="28"/>
      <c r="D2177" s="28"/>
      <c r="E2177" s="28"/>
      <c r="F2177" s="31"/>
      <c r="G2177" s="21"/>
      <c r="H2177" s="22"/>
      <c r="I2177" s="23"/>
      <c r="J2177" s="24"/>
      <c r="K2177" s="25"/>
      <c r="L2177" s="23"/>
      <c r="M2177" s="23"/>
      <c r="N2177" s="24"/>
      <c r="O2177" s="24"/>
      <c r="P2177" s="25"/>
      <c r="Q2177" s="25"/>
    </row>
    <row r="2178" spans="1:17" s="20" customFormat="1" x14ac:dyDescent="0.25">
      <c r="A2178" s="9"/>
      <c r="B2178" s="28"/>
      <c r="C2178" s="28"/>
      <c r="D2178" s="28"/>
      <c r="E2178" s="28"/>
      <c r="F2178" s="31"/>
      <c r="G2178" s="21"/>
      <c r="H2178" s="22"/>
      <c r="I2178" s="23"/>
      <c r="J2178" s="24"/>
      <c r="K2178" s="25"/>
      <c r="L2178" s="23"/>
      <c r="M2178" s="23"/>
      <c r="N2178" s="24"/>
      <c r="O2178" s="24"/>
      <c r="P2178" s="25"/>
      <c r="Q2178" s="25"/>
    </row>
    <row r="2179" spans="1:17" s="20" customFormat="1" x14ac:dyDescent="0.25">
      <c r="A2179" s="9"/>
      <c r="B2179" s="28"/>
      <c r="C2179" s="28"/>
      <c r="D2179" s="28"/>
      <c r="E2179" s="28"/>
      <c r="F2179" s="31"/>
      <c r="G2179" s="21"/>
      <c r="H2179" s="22"/>
      <c r="I2179" s="23"/>
      <c r="J2179" s="24"/>
      <c r="K2179" s="25"/>
      <c r="L2179" s="23"/>
      <c r="M2179" s="23"/>
      <c r="N2179" s="24"/>
      <c r="O2179" s="24"/>
      <c r="P2179" s="25"/>
      <c r="Q2179" s="25"/>
    </row>
    <row r="2180" spans="1:17" s="20" customFormat="1" x14ac:dyDescent="0.25">
      <c r="A2180" s="9"/>
      <c r="B2180" s="28"/>
      <c r="C2180" s="28"/>
      <c r="D2180" s="28"/>
      <c r="E2180" s="28"/>
      <c r="F2180" s="31"/>
      <c r="G2180" s="21"/>
      <c r="H2180" s="22"/>
      <c r="I2180" s="23"/>
      <c r="J2180" s="24"/>
      <c r="K2180" s="25"/>
      <c r="L2180" s="23"/>
      <c r="M2180" s="23"/>
      <c r="N2180" s="24"/>
      <c r="O2180" s="24"/>
      <c r="P2180" s="25"/>
      <c r="Q2180" s="25"/>
    </row>
    <row r="2181" spans="1:17" s="20" customFormat="1" x14ac:dyDescent="0.25">
      <c r="A2181" s="9"/>
      <c r="B2181" s="28"/>
      <c r="C2181" s="28"/>
      <c r="D2181" s="28"/>
      <c r="E2181" s="28"/>
      <c r="F2181" s="31"/>
      <c r="G2181" s="21"/>
      <c r="H2181" s="22"/>
      <c r="I2181" s="23"/>
      <c r="J2181" s="24"/>
      <c r="K2181" s="25"/>
      <c r="L2181" s="23"/>
      <c r="M2181" s="23"/>
      <c r="N2181" s="24"/>
      <c r="O2181" s="24"/>
      <c r="P2181" s="25"/>
      <c r="Q2181" s="25"/>
    </row>
    <row r="2182" spans="1:17" s="20" customFormat="1" x14ac:dyDescent="0.25">
      <c r="A2182" s="9"/>
      <c r="B2182" s="28"/>
      <c r="C2182" s="28"/>
      <c r="D2182" s="28"/>
      <c r="E2182" s="28"/>
      <c r="F2182" s="31"/>
      <c r="G2182" s="21"/>
      <c r="H2182" s="22"/>
      <c r="I2182" s="23"/>
      <c r="J2182" s="24"/>
      <c r="K2182" s="25"/>
      <c r="L2182" s="23"/>
      <c r="M2182" s="23"/>
      <c r="N2182" s="24"/>
      <c r="O2182" s="24"/>
      <c r="P2182" s="25"/>
      <c r="Q2182" s="25"/>
    </row>
    <row r="2183" spans="1:17" s="20" customFormat="1" x14ac:dyDescent="0.25">
      <c r="A2183" s="9"/>
      <c r="B2183" s="28"/>
      <c r="C2183" s="28"/>
      <c r="D2183" s="28"/>
      <c r="E2183" s="28"/>
      <c r="F2183" s="31"/>
      <c r="G2183" s="21"/>
      <c r="H2183" s="22"/>
      <c r="I2183" s="23"/>
      <c r="J2183" s="24"/>
      <c r="K2183" s="25"/>
      <c r="L2183" s="23"/>
      <c r="M2183" s="23"/>
      <c r="N2183" s="24"/>
      <c r="O2183" s="24"/>
      <c r="P2183" s="25"/>
      <c r="Q2183" s="25"/>
    </row>
    <row r="2184" spans="1:17" s="20" customFormat="1" x14ac:dyDescent="0.25">
      <c r="A2184" s="9"/>
      <c r="B2184" s="28"/>
      <c r="C2184" s="28"/>
      <c r="D2184" s="28"/>
      <c r="E2184" s="28"/>
      <c r="F2184" s="31"/>
      <c r="G2184" s="21"/>
      <c r="H2184" s="22"/>
      <c r="I2184" s="23"/>
      <c r="J2184" s="24"/>
      <c r="K2184" s="25"/>
      <c r="L2184" s="23"/>
      <c r="M2184" s="23"/>
      <c r="N2184" s="24"/>
      <c r="O2184" s="24"/>
      <c r="P2184" s="25"/>
      <c r="Q2184" s="25"/>
    </row>
    <row r="2185" spans="1:17" s="20" customFormat="1" x14ac:dyDescent="0.25">
      <c r="A2185" s="9"/>
      <c r="B2185" s="28"/>
      <c r="C2185" s="28"/>
      <c r="D2185" s="28"/>
      <c r="E2185" s="28"/>
      <c r="F2185" s="31"/>
      <c r="G2185" s="21"/>
      <c r="H2185" s="22"/>
      <c r="I2185" s="23"/>
      <c r="J2185" s="24"/>
      <c r="K2185" s="25"/>
      <c r="L2185" s="23"/>
      <c r="M2185" s="23"/>
      <c r="N2185" s="24"/>
      <c r="O2185" s="24"/>
      <c r="P2185" s="25"/>
      <c r="Q2185" s="25"/>
    </row>
    <row r="2186" spans="1:17" s="20" customFormat="1" x14ac:dyDescent="0.25">
      <c r="A2186" s="9"/>
      <c r="B2186" s="28"/>
      <c r="C2186" s="28"/>
      <c r="D2186" s="28"/>
      <c r="E2186" s="28"/>
      <c r="F2186" s="31"/>
      <c r="G2186" s="21"/>
      <c r="H2186" s="22"/>
      <c r="I2186" s="23"/>
      <c r="J2186" s="24"/>
      <c r="K2186" s="25"/>
      <c r="L2186" s="23"/>
      <c r="M2186" s="23"/>
      <c r="N2186" s="24"/>
      <c r="O2186" s="24"/>
      <c r="P2186" s="25"/>
      <c r="Q2186" s="25"/>
    </row>
    <row r="2187" spans="1:17" s="20" customFormat="1" x14ac:dyDescent="0.25">
      <c r="A2187" s="9"/>
      <c r="B2187" s="28"/>
      <c r="C2187" s="28"/>
      <c r="D2187" s="28"/>
      <c r="E2187" s="28"/>
      <c r="F2187" s="31"/>
      <c r="G2187" s="21"/>
      <c r="H2187" s="22"/>
      <c r="I2187" s="23"/>
      <c r="J2187" s="24"/>
      <c r="K2187" s="25"/>
      <c r="L2187" s="23"/>
      <c r="M2187" s="23"/>
      <c r="N2187" s="24"/>
      <c r="O2187" s="24"/>
      <c r="P2187" s="25"/>
      <c r="Q2187" s="25"/>
    </row>
    <row r="2188" spans="1:17" s="20" customFormat="1" x14ac:dyDescent="0.25">
      <c r="A2188" s="9"/>
      <c r="B2188" s="28"/>
      <c r="C2188" s="28"/>
      <c r="D2188" s="28"/>
      <c r="E2188" s="28"/>
      <c r="F2188" s="31"/>
      <c r="G2188" s="21"/>
      <c r="H2188" s="22"/>
      <c r="I2188" s="23"/>
      <c r="J2188" s="24"/>
      <c r="K2188" s="25"/>
      <c r="L2188" s="23"/>
      <c r="M2188" s="23"/>
      <c r="N2188" s="24"/>
      <c r="O2188" s="24"/>
      <c r="P2188" s="25"/>
      <c r="Q2188" s="25"/>
    </row>
    <row r="2189" spans="1:17" s="20" customFormat="1" x14ac:dyDescent="0.25">
      <c r="A2189" s="9"/>
      <c r="B2189" s="28"/>
      <c r="C2189" s="28"/>
      <c r="D2189" s="28"/>
      <c r="E2189" s="28"/>
      <c r="F2189" s="31"/>
      <c r="G2189" s="21"/>
      <c r="H2189" s="22"/>
      <c r="I2189" s="23"/>
      <c r="J2189" s="24"/>
      <c r="K2189" s="25"/>
      <c r="L2189" s="23"/>
      <c r="M2189" s="23"/>
      <c r="N2189" s="24"/>
      <c r="O2189" s="24"/>
      <c r="P2189" s="25"/>
      <c r="Q2189" s="25"/>
    </row>
    <row r="2190" spans="1:17" s="20" customFormat="1" x14ac:dyDescent="0.25">
      <c r="A2190" s="9"/>
      <c r="B2190" s="28"/>
      <c r="C2190" s="28"/>
      <c r="D2190" s="28"/>
      <c r="E2190" s="28"/>
      <c r="F2190" s="31"/>
      <c r="G2190" s="21"/>
      <c r="H2190" s="22"/>
      <c r="I2190" s="23"/>
      <c r="J2190" s="24"/>
      <c r="K2190" s="25"/>
      <c r="L2190" s="23"/>
      <c r="M2190" s="23"/>
      <c r="N2190" s="24"/>
      <c r="O2190" s="24"/>
      <c r="P2190" s="25"/>
      <c r="Q2190" s="25"/>
    </row>
    <row r="2191" spans="1:17" s="20" customFormat="1" x14ac:dyDescent="0.25">
      <c r="A2191" s="9"/>
      <c r="B2191" s="28"/>
      <c r="C2191" s="28"/>
      <c r="D2191" s="28"/>
      <c r="E2191" s="28"/>
      <c r="F2191" s="31"/>
      <c r="G2191" s="21"/>
      <c r="H2191" s="22"/>
      <c r="I2191" s="23"/>
      <c r="J2191" s="24"/>
      <c r="K2191" s="25"/>
      <c r="L2191" s="23"/>
      <c r="M2191" s="23"/>
      <c r="N2191" s="24"/>
      <c r="O2191" s="24"/>
      <c r="P2191" s="25"/>
      <c r="Q2191" s="25"/>
    </row>
    <row r="2192" spans="1:17" s="20" customFormat="1" x14ac:dyDescent="0.25">
      <c r="A2192" s="9"/>
      <c r="B2192" s="28"/>
      <c r="C2192" s="28"/>
      <c r="D2192" s="28"/>
      <c r="E2192" s="28"/>
      <c r="F2192" s="31"/>
      <c r="G2192" s="21"/>
      <c r="H2192" s="22"/>
      <c r="I2192" s="23"/>
      <c r="J2192" s="24"/>
      <c r="K2192" s="25"/>
      <c r="L2192" s="23"/>
      <c r="M2192" s="23"/>
      <c r="N2192" s="24"/>
      <c r="O2192" s="24"/>
      <c r="P2192" s="25"/>
      <c r="Q2192" s="25"/>
    </row>
    <row r="2193" spans="1:17" s="20" customFormat="1" x14ac:dyDescent="0.25">
      <c r="A2193" s="9"/>
      <c r="B2193" s="28"/>
      <c r="C2193" s="28"/>
      <c r="D2193" s="28"/>
      <c r="E2193" s="28"/>
      <c r="F2193" s="31"/>
      <c r="G2193" s="21"/>
      <c r="H2193" s="22"/>
      <c r="I2193" s="23"/>
      <c r="J2193" s="24"/>
      <c r="K2193" s="25"/>
      <c r="L2193" s="23"/>
      <c r="M2193" s="23"/>
      <c r="N2193" s="24"/>
      <c r="O2193" s="24"/>
      <c r="P2193" s="25"/>
      <c r="Q2193" s="25"/>
    </row>
    <row r="2194" spans="1:17" s="20" customFormat="1" x14ac:dyDescent="0.25">
      <c r="A2194" s="9"/>
      <c r="B2194" s="28"/>
      <c r="C2194" s="28"/>
      <c r="D2194" s="28"/>
      <c r="E2194" s="28"/>
      <c r="F2194" s="31"/>
      <c r="G2194" s="21"/>
      <c r="H2194" s="22"/>
      <c r="I2194" s="23"/>
      <c r="J2194" s="24"/>
      <c r="K2194" s="25"/>
      <c r="L2194" s="23"/>
      <c r="M2194" s="23"/>
      <c r="N2194" s="24"/>
      <c r="O2194" s="24"/>
      <c r="P2194" s="25"/>
      <c r="Q2194" s="25"/>
    </row>
    <row r="2195" spans="1:17" s="20" customFormat="1" x14ac:dyDescent="0.25">
      <c r="A2195" s="9"/>
      <c r="B2195" s="28"/>
      <c r="C2195" s="28"/>
      <c r="D2195" s="28"/>
      <c r="E2195" s="28"/>
      <c r="F2195" s="31"/>
      <c r="G2195" s="21"/>
      <c r="H2195" s="22"/>
      <c r="I2195" s="23"/>
      <c r="J2195" s="24"/>
      <c r="K2195" s="25"/>
      <c r="L2195" s="23"/>
      <c r="M2195" s="23"/>
      <c r="N2195" s="24"/>
      <c r="O2195" s="24"/>
      <c r="P2195" s="25"/>
      <c r="Q2195" s="25"/>
    </row>
    <row r="2196" spans="1:17" s="20" customFormat="1" x14ac:dyDescent="0.25">
      <c r="A2196" s="9"/>
      <c r="B2196" s="28"/>
      <c r="C2196" s="28"/>
      <c r="D2196" s="28"/>
      <c r="E2196" s="28"/>
      <c r="F2196" s="31"/>
      <c r="G2196" s="21"/>
      <c r="H2196" s="22"/>
      <c r="I2196" s="23"/>
      <c r="J2196" s="24"/>
      <c r="K2196" s="25"/>
      <c r="L2196" s="23"/>
      <c r="M2196" s="23"/>
      <c r="N2196" s="24"/>
      <c r="O2196" s="24"/>
      <c r="P2196" s="25"/>
      <c r="Q2196" s="25"/>
    </row>
    <row r="2197" spans="1:17" s="20" customFormat="1" x14ac:dyDescent="0.25">
      <c r="A2197" s="9"/>
      <c r="B2197" s="28"/>
      <c r="C2197" s="28"/>
      <c r="D2197" s="28"/>
      <c r="E2197" s="28"/>
      <c r="F2197" s="31"/>
      <c r="G2197" s="21"/>
      <c r="H2197" s="22"/>
      <c r="I2197" s="23"/>
      <c r="J2197" s="24"/>
      <c r="K2197" s="25"/>
      <c r="L2197" s="23"/>
      <c r="M2197" s="23"/>
      <c r="N2197" s="24"/>
      <c r="O2197" s="24"/>
      <c r="P2197" s="25"/>
      <c r="Q2197" s="25"/>
    </row>
    <row r="2198" spans="1:17" s="20" customFormat="1" x14ac:dyDescent="0.25">
      <c r="A2198" s="9"/>
      <c r="B2198" s="28"/>
      <c r="C2198" s="28"/>
      <c r="D2198" s="28"/>
      <c r="E2198" s="28"/>
      <c r="F2198" s="31"/>
      <c r="G2198" s="21"/>
      <c r="H2198" s="22"/>
      <c r="I2198" s="23"/>
      <c r="J2198" s="24"/>
      <c r="K2198" s="25"/>
      <c r="L2198" s="23"/>
      <c r="M2198" s="23"/>
      <c r="N2198" s="24"/>
      <c r="O2198" s="24"/>
      <c r="P2198" s="25"/>
      <c r="Q2198" s="25"/>
    </row>
    <row r="2199" spans="1:17" s="20" customFormat="1" x14ac:dyDescent="0.25">
      <c r="A2199" s="9"/>
      <c r="B2199" s="28"/>
      <c r="C2199" s="28"/>
      <c r="D2199" s="28"/>
      <c r="E2199" s="28"/>
      <c r="F2199" s="31"/>
      <c r="G2199" s="21"/>
      <c r="H2199" s="22"/>
      <c r="I2199" s="23"/>
      <c r="J2199" s="24"/>
      <c r="K2199" s="25"/>
      <c r="L2199" s="23"/>
      <c r="M2199" s="23"/>
      <c r="N2199" s="24"/>
      <c r="O2199" s="24"/>
      <c r="P2199" s="25"/>
      <c r="Q2199" s="25"/>
    </row>
    <row r="2200" spans="1:17" s="20" customFormat="1" x14ac:dyDescent="0.25">
      <c r="A2200" s="9"/>
      <c r="B2200" s="28"/>
      <c r="C2200" s="28"/>
      <c r="D2200" s="28"/>
      <c r="E2200" s="28"/>
      <c r="F2200" s="31"/>
      <c r="G2200" s="21"/>
      <c r="H2200" s="22"/>
      <c r="I2200" s="23"/>
      <c r="J2200" s="24"/>
      <c r="K2200" s="25"/>
      <c r="L2200" s="23"/>
      <c r="M2200" s="23"/>
      <c r="N2200" s="24"/>
      <c r="O2200" s="24"/>
      <c r="P2200" s="25"/>
      <c r="Q2200" s="25"/>
    </row>
    <row r="2201" spans="1:17" s="20" customFormat="1" x14ac:dyDescent="0.25">
      <c r="A2201" s="9"/>
      <c r="B2201" s="28"/>
      <c r="C2201" s="28"/>
      <c r="D2201" s="28"/>
      <c r="E2201" s="28"/>
      <c r="F2201" s="31"/>
      <c r="G2201" s="21"/>
      <c r="H2201" s="22"/>
      <c r="I2201" s="23"/>
      <c r="J2201" s="24"/>
      <c r="K2201" s="25"/>
      <c r="L2201" s="23"/>
      <c r="M2201" s="23"/>
      <c r="N2201" s="24"/>
      <c r="O2201" s="24"/>
      <c r="P2201" s="25"/>
      <c r="Q2201" s="25"/>
    </row>
    <row r="2202" spans="1:17" s="20" customFormat="1" x14ac:dyDescent="0.25">
      <c r="A2202" s="9"/>
      <c r="B2202" s="28"/>
      <c r="C2202" s="28"/>
      <c r="D2202" s="28"/>
      <c r="E2202" s="28"/>
      <c r="F2202" s="31"/>
      <c r="G2202" s="21"/>
      <c r="H2202" s="22"/>
      <c r="I2202" s="23"/>
      <c r="J2202" s="24"/>
      <c r="K2202" s="25"/>
      <c r="L2202" s="23"/>
      <c r="M2202" s="23"/>
      <c r="N2202" s="24"/>
      <c r="O2202" s="24"/>
      <c r="P2202" s="25"/>
      <c r="Q2202" s="25"/>
    </row>
    <row r="2203" spans="1:17" s="20" customFormat="1" x14ac:dyDescent="0.25">
      <c r="A2203" s="9"/>
      <c r="B2203" s="28"/>
      <c r="C2203" s="28"/>
      <c r="D2203" s="28"/>
      <c r="E2203" s="28"/>
      <c r="F2203" s="31"/>
      <c r="G2203" s="21"/>
      <c r="H2203" s="22"/>
      <c r="I2203" s="23"/>
      <c r="J2203" s="24"/>
      <c r="K2203" s="25"/>
      <c r="L2203" s="23"/>
      <c r="M2203" s="23"/>
      <c r="N2203" s="24"/>
      <c r="O2203" s="24"/>
      <c r="P2203" s="25"/>
      <c r="Q2203" s="25"/>
    </row>
    <row r="2204" spans="1:17" s="20" customFormat="1" x14ac:dyDescent="0.25">
      <c r="A2204" s="9"/>
      <c r="B2204" s="28"/>
      <c r="C2204" s="28"/>
      <c r="D2204" s="28"/>
      <c r="E2204" s="28"/>
      <c r="F2204" s="31"/>
      <c r="G2204" s="21"/>
      <c r="H2204" s="22"/>
      <c r="I2204" s="23"/>
      <c r="J2204" s="24"/>
      <c r="K2204" s="25"/>
      <c r="L2204" s="23"/>
      <c r="M2204" s="23"/>
      <c r="N2204" s="24"/>
      <c r="O2204" s="24"/>
      <c r="P2204" s="25"/>
      <c r="Q2204" s="25"/>
    </row>
    <row r="2205" spans="1:17" s="20" customFormat="1" x14ac:dyDescent="0.25">
      <c r="A2205" s="9"/>
      <c r="B2205" s="28"/>
      <c r="C2205" s="28"/>
      <c r="D2205" s="28"/>
      <c r="E2205" s="28"/>
      <c r="F2205" s="31"/>
      <c r="G2205" s="21"/>
      <c r="H2205" s="22"/>
      <c r="I2205" s="23"/>
      <c r="J2205" s="24"/>
      <c r="K2205" s="25"/>
      <c r="L2205" s="23"/>
      <c r="M2205" s="23"/>
      <c r="N2205" s="24"/>
      <c r="O2205" s="24"/>
      <c r="P2205" s="25"/>
      <c r="Q2205" s="25"/>
    </row>
    <row r="2206" spans="1:17" s="20" customFormat="1" x14ac:dyDescent="0.25">
      <c r="A2206" s="9"/>
      <c r="B2206" s="28"/>
      <c r="C2206" s="28"/>
      <c r="D2206" s="28"/>
      <c r="E2206" s="28"/>
      <c r="F2206" s="31"/>
      <c r="G2206" s="21"/>
      <c r="H2206" s="22"/>
      <c r="I2206" s="23"/>
      <c r="J2206" s="24"/>
      <c r="K2206" s="25"/>
      <c r="L2206" s="23"/>
      <c r="M2206" s="23"/>
      <c r="N2206" s="24"/>
      <c r="O2206" s="24"/>
      <c r="P2206" s="25"/>
      <c r="Q2206" s="25"/>
    </row>
    <row r="2207" spans="1:17" s="20" customFormat="1" x14ac:dyDescent="0.25">
      <c r="A2207" s="9"/>
      <c r="B2207" s="28"/>
      <c r="C2207" s="28"/>
      <c r="D2207" s="28"/>
      <c r="E2207" s="28"/>
      <c r="F2207" s="31"/>
      <c r="G2207" s="21"/>
      <c r="H2207" s="22"/>
      <c r="I2207" s="23"/>
      <c r="J2207" s="24"/>
      <c r="K2207" s="25"/>
      <c r="L2207" s="23"/>
      <c r="M2207" s="23"/>
      <c r="N2207" s="24"/>
      <c r="O2207" s="24"/>
      <c r="P2207" s="25"/>
      <c r="Q2207" s="25"/>
    </row>
    <row r="2208" spans="1:17" s="20" customFormat="1" x14ac:dyDescent="0.25">
      <c r="A2208" s="9"/>
      <c r="B2208" s="28"/>
      <c r="C2208" s="28"/>
      <c r="D2208" s="28"/>
      <c r="E2208" s="28"/>
      <c r="F2208" s="31"/>
      <c r="G2208" s="21"/>
      <c r="H2208" s="22"/>
      <c r="I2208" s="23"/>
      <c r="J2208" s="24"/>
      <c r="K2208" s="25"/>
      <c r="L2208" s="23"/>
      <c r="M2208" s="23"/>
      <c r="N2208" s="24"/>
      <c r="O2208" s="24"/>
      <c r="P2208" s="25"/>
      <c r="Q2208" s="25"/>
    </row>
    <row r="2209" spans="1:17" s="20" customFormat="1" x14ac:dyDescent="0.25">
      <c r="A2209" s="9"/>
      <c r="B2209" s="28"/>
      <c r="C2209" s="28"/>
      <c r="D2209" s="28"/>
      <c r="E2209" s="28"/>
      <c r="F2209" s="31"/>
      <c r="G2209" s="21"/>
      <c r="H2209" s="22"/>
      <c r="I2209" s="23"/>
      <c r="J2209" s="24"/>
      <c r="K2209" s="25"/>
      <c r="L2209" s="23"/>
      <c r="M2209" s="23"/>
      <c r="N2209" s="24"/>
      <c r="O2209" s="24"/>
      <c r="P2209" s="25"/>
      <c r="Q2209" s="25"/>
    </row>
    <row r="2210" spans="1:17" s="20" customFormat="1" x14ac:dyDescent="0.25">
      <c r="A2210" s="9"/>
      <c r="B2210" s="28"/>
      <c r="C2210" s="28"/>
      <c r="D2210" s="28"/>
      <c r="E2210" s="28"/>
      <c r="F2210" s="31"/>
      <c r="G2210" s="21"/>
      <c r="H2210" s="22"/>
      <c r="I2210" s="23"/>
      <c r="J2210" s="24"/>
      <c r="K2210" s="25"/>
      <c r="L2210" s="23"/>
      <c r="M2210" s="23"/>
      <c r="N2210" s="24"/>
      <c r="O2210" s="24"/>
      <c r="P2210" s="25"/>
      <c r="Q2210" s="25"/>
    </row>
    <row r="2211" spans="1:17" s="20" customFormat="1" x14ac:dyDescent="0.25">
      <c r="A2211" s="9"/>
      <c r="B2211" s="28"/>
      <c r="C2211" s="28"/>
      <c r="D2211" s="28"/>
      <c r="E2211" s="28"/>
      <c r="F2211" s="31"/>
      <c r="G2211" s="21"/>
      <c r="H2211" s="22"/>
      <c r="I2211" s="23"/>
      <c r="J2211" s="24"/>
      <c r="K2211" s="25"/>
      <c r="L2211" s="23"/>
      <c r="M2211" s="23"/>
      <c r="N2211" s="24"/>
      <c r="O2211" s="24"/>
      <c r="P2211" s="25"/>
      <c r="Q2211" s="25"/>
    </row>
    <row r="2212" spans="1:17" s="20" customFormat="1" x14ac:dyDescent="0.25">
      <c r="A2212" s="9"/>
      <c r="B2212" s="28"/>
      <c r="C2212" s="28"/>
      <c r="D2212" s="28"/>
      <c r="E2212" s="28"/>
      <c r="F2212" s="31"/>
      <c r="G2212" s="21"/>
      <c r="H2212" s="22"/>
      <c r="I2212" s="23"/>
      <c r="J2212" s="24"/>
      <c r="K2212" s="25"/>
      <c r="L2212" s="23"/>
      <c r="M2212" s="23"/>
      <c r="N2212" s="24"/>
      <c r="O2212" s="24"/>
      <c r="P2212" s="25"/>
      <c r="Q2212" s="25"/>
    </row>
    <row r="2213" spans="1:17" s="20" customFormat="1" x14ac:dyDescent="0.25">
      <c r="A2213" s="9"/>
      <c r="B2213" s="28"/>
      <c r="C2213" s="28"/>
      <c r="D2213" s="28"/>
      <c r="E2213" s="28"/>
      <c r="F2213" s="31"/>
      <c r="G2213" s="21"/>
      <c r="H2213" s="22"/>
      <c r="I2213" s="23"/>
      <c r="J2213" s="24"/>
      <c r="K2213" s="25"/>
      <c r="L2213" s="23"/>
      <c r="M2213" s="23"/>
      <c r="N2213" s="24"/>
      <c r="O2213" s="24"/>
      <c r="P2213" s="25"/>
      <c r="Q2213" s="25"/>
    </row>
    <row r="2214" spans="1:17" s="20" customFormat="1" x14ac:dyDescent="0.25">
      <c r="A2214" s="9"/>
      <c r="B2214" s="28"/>
      <c r="C2214" s="28"/>
      <c r="D2214" s="28"/>
      <c r="E2214" s="28"/>
      <c r="F2214" s="31"/>
      <c r="G2214" s="21"/>
      <c r="H2214" s="22"/>
      <c r="I2214" s="23"/>
      <c r="J2214" s="24"/>
      <c r="K2214" s="25"/>
      <c r="L2214" s="23"/>
      <c r="M2214" s="23"/>
      <c r="N2214" s="24"/>
      <c r="O2214" s="24"/>
      <c r="P2214" s="25"/>
      <c r="Q2214" s="25"/>
    </row>
  </sheetData>
  <sheetProtection formatCells="0" insertRows="0" deleteRows="0"/>
  <conditionalFormatting sqref="G2:Q246">
    <cfRule type="expression" dxfId="42" priority="103">
      <formula>($B2=6)</formula>
    </cfRule>
  </conditionalFormatting>
  <dataValidations count="1">
    <dataValidation type="list" showInputMessage="1" showErrorMessage="1" sqref="A2:A246">
      <formula1>INDIRECT("txtstylestab[style_Name]")</formula1>
    </dataValidation>
  </dataValidation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R2158"/>
  <sheetViews>
    <sheetView zoomScale="90" zoomScaleNormal="90" workbookViewId="0">
      <pane ySplit="1" topLeftCell="A181" activePane="bottomLeft" state="frozen"/>
      <selection pane="bottomLeft" activeCell="G187" sqref="G187"/>
    </sheetView>
  </sheetViews>
  <sheetFormatPr defaultRowHeight="15" x14ac:dyDescent="0.25"/>
  <cols>
    <col min="1" max="1" width="13.28515625" style="26" customWidth="1"/>
    <col min="2" max="2" width="12.140625" style="32" hidden="1" customWidth="1"/>
    <col min="3" max="5" width="9.140625" style="32" hidden="1" customWidth="1"/>
    <col min="6" max="6" width="10.42578125" style="30" customWidth="1"/>
    <col min="7" max="7" width="33.7109375" style="15" customWidth="1"/>
    <col min="8" max="8" width="33.7109375" style="16" customWidth="1"/>
    <col min="9" max="9" width="33.7109375" style="17" customWidth="1"/>
    <col min="10" max="10" width="33.7109375" style="18" customWidth="1"/>
    <col min="11" max="11" width="33.7109375" style="19" customWidth="1"/>
    <col min="12" max="13" width="33.7109375" style="17" customWidth="1"/>
    <col min="14" max="15" width="33.7109375" style="18" customWidth="1"/>
    <col min="16" max="17" width="33.7109375" style="19" customWidth="1"/>
    <col min="18" max="18" width="2.85546875" style="14" customWidth="1"/>
    <col min="19" max="16384" width="9.140625" style="14"/>
  </cols>
  <sheetData>
    <row r="1" spans="1:18" s="8" customFormat="1" x14ac:dyDescent="0.25">
      <c r="A1" s="1" t="s">
        <v>16</v>
      </c>
      <c r="B1" s="27" t="s">
        <v>27</v>
      </c>
      <c r="C1" s="27" t="s">
        <v>28</v>
      </c>
      <c r="D1" s="27" t="s">
        <v>29</v>
      </c>
      <c r="E1" s="27" t="s">
        <v>30</v>
      </c>
      <c r="F1" s="27" t="s">
        <v>1</v>
      </c>
      <c r="G1" s="3" t="s">
        <v>64</v>
      </c>
      <c r="H1" s="4" t="s">
        <v>65</v>
      </c>
      <c r="I1" s="5" t="s">
        <v>66</v>
      </c>
      <c r="J1" s="6" t="s">
        <v>67</v>
      </c>
      <c r="K1" s="7" t="s">
        <v>68</v>
      </c>
      <c r="L1" s="5" t="s">
        <v>69</v>
      </c>
      <c r="M1" s="5" t="s">
        <v>2330</v>
      </c>
      <c r="N1" s="6" t="s">
        <v>70</v>
      </c>
      <c r="O1" s="6" t="s">
        <v>3497</v>
      </c>
      <c r="P1" s="7" t="s">
        <v>71</v>
      </c>
      <c r="Q1" s="7" t="s">
        <v>72</v>
      </c>
      <c r="R1" s="2" t="s">
        <v>0</v>
      </c>
    </row>
    <row r="2" spans="1:18" s="10" customFormat="1" ht="20.25" thickBot="1" x14ac:dyDescent="0.35">
      <c r="A2" s="9" t="s">
        <v>10</v>
      </c>
      <c r="B2" s="28">
        <f>IF(ISBLANK(A2),0,INDEX(txtstylestab[],MATCH(A2,txtstylestab[style_Name],0),1))</f>
        <v>1</v>
      </c>
      <c r="C2" s="28">
        <v>3</v>
      </c>
      <c r="D2" s="28">
        <v>0</v>
      </c>
      <c r="E2" s="28">
        <v>0</v>
      </c>
      <c r="F2" s="29" t="str">
        <f>IF(OR(B2=1,B2=2,B2=3),TEXT(C2,"#")&amp;".","")&amp;IF(OR(B2=2,B2=3),TEXT(D2,"#")&amp;".","")&amp;IF(B2=3,TEXT(E2,"#")&amp;".","")</f>
        <v>3.</v>
      </c>
      <c r="G2" s="11" t="s">
        <v>74</v>
      </c>
      <c r="H2" s="11"/>
      <c r="I2" s="11"/>
      <c r="J2" s="11"/>
      <c r="K2" s="11"/>
      <c r="L2" s="11"/>
      <c r="M2" s="11"/>
      <c r="N2" s="11"/>
      <c r="O2" s="11"/>
      <c r="P2" s="11"/>
      <c r="Q2" s="11"/>
      <c r="R2" s="12"/>
    </row>
    <row r="3" spans="1:18" ht="15.75" thickTop="1" x14ac:dyDescent="0.25">
      <c r="A3" s="9" t="s">
        <v>15</v>
      </c>
      <c r="B3" s="28">
        <f>IF(ISBLANK(A3),0,INDEX(txtstylestab[],MATCH(A3,txtstylestab[style_Name],0),1))</f>
        <v>8</v>
      </c>
      <c r="C3" s="28">
        <f>IF(B3=1,C2+1,C2)</f>
        <v>3</v>
      </c>
      <c r="D3" s="28">
        <f>IF(B3=1,0,IF(B3=2,D2+1,IF(AND(B3=3,D2=0),1,D2)))</f>
        <v>0</v>
      </c>
      <c r="E3" s="28">
        <f>IF(OR(B3=1,B3=2),0,IF(B3=3,E2+1,E2))</f>
        <v>0</v>
      </c>
      <c r="F3" s="60" t="str">
        <f>IF(OR(B3=1,B3=2,B3=3),TEXT(C3,"#")&amp;".","")&amp;IF(OR(B3=2,B3=3),TEXT(D3,"#")&amp;".","")&amp;IF(B3=3,TEXT(E3,"#")&amp;".","")</f>
        <v/>
      </c>
      <c r="G3" s="60" t="s">
        <v>2050</v>
      </c>
      <c r="H3" s="60"/>
      <c r="I3" s="60"/>
      <c r="J3" s="60"/>
      <c r="K3" s="60"/>
      <c r="L3" s="60"/>
      <c r="M3" s="60"/>
      <c r="N3" s="60"/>
      <c r="O3" s="60"/>
      <c r="P3" s="60"/>
      <c r="Q3" s="60"/>
      <c r="R3" s="13"/>
    </row>
    <row r="4" spans="1:18" x14ac:dyDescent="0.25">
      <c r="A4" s="9" t="s">
        <v>15</v>
      </c>
      <c r="B4" s="28">
        <f>IF(ISBLANK(A4),0,INDEX(txtstylestab[],MATCH(A4,txtstylestab[style_Name],0),1))</f>
        <v>8</v>
      </c>
      <c r="C4" s="28">
        <f t="shared" ref="C4:C67" si="0">IF(B4=1,C3+1,C3)</f>
        <v>3</v>
      </c>
      <c r="D4" s="28">
        <f t="shared" ref="D4:D67" si="1">IF(B4=1,0,IF(B4=2,D3+1,IF(AND(B4=3,D3=0),1,D3)))</f>
        <v>0</v>
      </c>
      <c r="E4" s="28">
        <f t="shared" ref="E4:E67" si="2">IF(OR(B4=1,B4=2),0,IF(B4=3,E3+1,E3))</f>
        <v>0</v>
      </c>
      <c r="F4" s="60" t="str">
        <f t="shared" ref="F4:F67" si="3">IF(OR(B4=1,B4=2,B4=3),TEXT(C4,"#")&amp;".","")&amp;IF(OR(B4=2,B4=3),TEXT(D4,"#")&amp;".","")&amp;IF(B4=3,TEXT(E4,"#")&amp;".","")</f>
        <v/>
      </c>
      <c r="G4" s="60" t="s">
        <v>1485</v>
      </c>
      <c r="H4" s="60"/>
      <c r="I4" s="60"/>
      <c r="J4" s="60"/>
      <c r="K4" s="60"/>
      <c r="L4" s="60"/>
      <c r="M4" s="60"/>
      <c r="N4" s="60"/>
      <c r="O4" s="60"/>
      <c r="P4" s="60"/>
      <c r="Q4" s="60"/>
      <c r="R4" s="13"/>
    </row>
    <row r="5" spans="1:18" x14ac:dyDescent="0.25">
      <c r="A5" s="9" t="s">
        <v>15</v>
      </c>
      <c r="B5" s="28">
        <f>IF(ISBLANK(A5),0,INDEX(txtstylestab[],MATCH(A5,txtstylestab[style_Name],0),1))</f>
        <v>8</v>
      </c>
      <c r="C5" s="28">
        <f t="shared" si="0"/>
        <v>3</v>
      </c>
      <c r="D5" s="28">
        <f t="shared" si="1"/>
        <v>0</v>
      </c>
      <c r="E5" s="28">
        <f t="shared" si="2"/>
        <v>0</v>
      </c>
      <c r="F5" s="60" t="str">
        <f t="shared" si="3"/>
        <v/>
      </c>
      <c r="G5" s="60" t="s">
        <v>1486</v>
      </c>
      <c r="H5" s="60"/>
      <c r="I5" s="60"/>
      <c r="J5" s="60"/>
      <c r="K5" s="60"/>
      <c r="L5" s="60"/>
      <c r="M5" s="60"/>
      <c r="N5" s="60"/>
      <c r="O5" s="60"/>
      <c r="P5" s="60"/>
      <c r="Q5" s="60"/>
      <c r="R5" s="13"/>
    </row>
    <row r="6" spans="1:18" x14ac:dyDescent="0.25">
      <c r="A6" s="9" t="s">
        <v>15</v>
      </c>
      <c r="B6" s="28">
        <f>IF(ISBLANK(A6),0,INDEX(txtstylestab[],MATCH(A6,txtstylestab[style_Name],0),1))</f>
        <v>8</v>
      </c>
      <c r="C6" s="28">
        <f t="shared" si="0"/>
        <v>3</v>
      </c>
      <c r="D6" s="28">
        <f t="shared" si="1"/>
        <v>0</v>
      </c>
      <c r="E6" s="28">
        <f t="shared" si="2"/>
        <v>0</v>
      </c>
      <c r="F6" s="60" t="str">
        <f t="shared" si="3"/>
        <v/>
      </c>
      <c r="G6" s="60" t="s">
        <v>1487</v>
      </c>
      <c r="H6" s="60"/>
      <c r="I6" s="60"/>
      <c r="J6" s="60"/>
      <c r="K6" s="60"/>
      <c r="L6" s="60"/>
      <c r="M6" s="60"/>
      <c r="N6" s="60"/>
      <c r="O6" s="60"/>
      <c r="P6" s="60"/>
      <c r="Q6" s="60"/>
      <c r="R6" s="13"/>
    </row>
    <row r="7" spans="1:18" ht="18" thickBot="1" x14ac:dyDescent="0.35">
      <c r="A7" s="9" t="s">
        <v>11</v>
      </c>
      <c r="B7" s="28">
        <f>IF(ISBLANK(A7),0,INDEX(txtstylestab[],MATCH(A7,txtstylestab[style_Name],0),1))</f>
        <v>2</v>
      </c>
      <c r="C7" s="28">
        <f t="shared" si="0"/>
        <v>3</v>
      </c>
      <c r="D7" s="28">
        <f t="shared" si="1"/>
        <v>1</v>
      </c>
      <c r="E7" s="28">
        <f t="shared" si="2"/>
        <v>0</v>
      </c>
      <c r="F7" s="54" t="str">
        <f t="shared" si="3"/>
        <v>3.1.</v>
      </c>
      <c r="G7" s="54" t="s">
        <v>1207</v>
      </c>
      <c r="H7" s="54"/>
      <c r="I7" s="54"/>
      <c r="J7" s="54"/>
      <c r="K7" s="54"/>
      <c r="L7" s="54"/>
      <c r="M7" s="54"/>
      <c r="N7" s="54"/>
      <c r="O7" s="54"/>
      <c r="P7" s="54"/>
      <c r="Q7" s="54"/>
      <c r="R7" s="13"/>
    </row>
    <row r="8" spans="1:18" ht="15.75" thickTop="1" x14ac:dyDescent="0.25">
      <c r="A8" s="9" t="s">
        <v>21</v>
      </c>
      <c r="B8" s="28">
        <f>IF(ISBLANK(A8),0,INDEX(txtstylestab[],MATCH(A8,txtstylestab[style_Name],0),1))</f>
        <v>0</v>
      </c>
      <c r="C8" s="28">
        <f t="shared" si="0"/>
        <v>3</v>
      </c>
      <c r="D8" s="28">
        <f t="shared" si="1"/>
        <v>1</v>
      </c>
      <c r="E8" s="28">
        <f t="shared" si="2"/>
        <v>0</v>
      </c>
      <c r="F8" s="59" t="str">
        <f t="shared" si="3"/>
        <v/>
      </c>
      <c r="G8" s="42" t="s">
        <v>82</v>
      </c>
      <c r="H8" s="43" t="s">
        <v>83</v>
      </c>
      <c r="I8" s="44" t="s">
        <v>84</v>
      </c>
      <c r="J8" s="45" t="s">
        <v>1208</v>
      </c>
      <c r="K8" s="46" t="s">
        <v>86</v>
      </c>
      <c r="L8" s="47" t="s">
        <v>2397</v>
      </c>
      <c r="M8" s="48" t="s">
        <v>2332</v>
      </c>
      <c r="N8" s="49"/>
      <c r="O8" s="49"/>
      <c r="P8" s="50"/>
      <c r="Q8" s="59"/>
      <c r="R8" s="13"/>
    </row>
    <row r="9" spans="1:18" ht="30" x14ac:dyDescent="0.25">
      <c r="A9" s="9" t="s">
        <v>21</v>
      </c>
      <c r="B9" s="28">
        <f>IF(ISBLANK(A9),0,INDEX(txtstylestab[],MATCH(A9,txtstylestab[style_Name],0),1))</f>
        <v>0</v>
      </c>
      <c r="C9" s="28">
        <f t="shared" si="0"/>
        <v>3</v>
      </c>
      <c r="D9" s="28">
        <f t="shared" si="1"/>
        <v>1</v>
      </c>
      <c r="E9" s="28">
        <f t="shared" si="2"/>
        <v>0</v>
      </c>
      <c r="F9" s="59" t="str">
        <f t="shared" si="3"/>
        <v/>
      </c>
      <c r="G9" s="42" t="s">
        <v>1209</v>
      </c>
      <c r="H9" s="43" t="s">
        <v>1210</v>
      </c>
      <c r="I9" s="44" t="s">
        <v>1211</v>
      </c>
      <c r="J9" s="45" t="s">
        <v>1212</v>
      </c>
      <c r="K9" s="46" t="s">
        <v>1213</v>
      </c>
      <c r="L9" s="47" t="s">
        <v>2992</v>
      </c>
      <c r="M9" s="48" t="s">
        <v>2971</v>
      </c>
      <c r="N9" s="49"/>
      <c r="O9" s="49"/>
      <c r="P9" s="50"/>
      <c r="Q9" s="59"/>
      <c r="R9" s="13"/>
    </row>
    <row r="10" spans="1:18" ht="45" x14ac:dyDescent="0.25">
      <c r="A10" s="9" t="s">
        <v>21</v>
      </c>
      <c r="B10" s="28">
        <f>IF(ISBLANK(A10),0,INDEX(txtstylestab[],MATCH(A10,txtstylestab[style_Name],0),1))</f>
        <v>0</v>
      </c>
      <c r="C10" s="28">
        <f t="shared" si="0"/>
        <v>3</v>
      </c>
      <c r="D10" s="28">
        <f t="shared" si="1"/>
        <v>1</v>
      </c>
      <c r="E10" s="28">
        <f t="shared" si="2"/>
        <v>0</v>
      </c>
      <c r="F10" s="59" t="str">
        <f t="shared" si="3"/>
        <v/>
      </c>
      <c r="G10" s="42" t="s">
        <v>1214</v>
      </c>
      <c r="H10" s="43" t="s">
        <v>1215</v>
      </c>
      <c r="I10" s="44" t="s">
        <v>1216</v>
      </c>
      <c r="J10" s="45" t="s">
        <v>1217</v>
      </c>
      <c r="K10" s="46" t="s">
        <v>1218</v>
      </c>
      <c r="L10" s="47" t="s">
        <v>2972</v>
      </c>
      <c r="M10" s="48" t="s">
        <v>2973</v>
      </c>
      <c r="N10" s="49"/>
      <c r="O10" s="49"/>
      <c r="P10" s="50"/>
      <c r="Q10" s="59"/>
      <c r="R10" s="13"/>
    </row>
    <row r="11" spans="1:18" ht="75" x14ac:dyDescent="0.25">
      <c r="A11" s="9" t="s">
        <v>21</v>
      </c>
      <c r="B11" s="28">
        <f>IF(ISBLANK(A11),0,INDEX(txtstylestab[],MATCH(A11,txtstylestab[style_Name],0),1))</f>
        <v>0</v>
      </c>
      <c r="C11" s="28">
        <f t="shared" si="0"/>
        <v>3</v>
      </c>
      <c r="D11" s="28">
        <f t="shared" si="1"/>
        <v>1</v>
      </c>
      <c r="E11" s="28">
        <f t="shared" si="2"/>
        <v>0</v>
      </c>
      <c r="F11" s="59" t="str">
        <f t="shared" si="3"/>
        <v/>
      </c>
      <c r="G11" s="42" t="s">
        <v>2051</v>
      </c>
      <c r="H11" s="43" t="s">
        <v>2052</v>
      </c>
      <c r="I11" s="44" t="s">
        <v>2053</v>
      </c>
      <c r="J11" s="45" t="s">
        <v>2054</v>
      </c>
      <c r="K11" s="46" t="s">
        <v>2055</v>
      </c>
      <c r="L11" s="47" t="s">
        <v>2993</v>
      </c>
      <c r="M11" s="48" t="s">
        <v>2994</v>
      </c>
      <c r="N11" s="49"/>
      <c r="O11" s="49"/>
      <c r="P11" s="50"/>
      <c r="Q11" s="59"/>
      <c r="R11" s="13"/>
    </row>
    <row r="12" spans="1:18" ht="30" x14ac:dyDescent="0.25">
      <c r="A12" s="9" t="s">
        <v>14</v>
      </c>
      <c r="B12" s="28">
        <f>IF(ISBLANK(A12),0,INDEX(txtstylestab[],MATCH(A12,txtstylestab[style_Name],0),1))</f>
        <v>6</v>
      </c>
      <c r="C12" s="28">
        <f t="shared" si="0"/>
        <v>3</v>
      </c>
      <c r="D12" s="28">
        <f t="shared" si="1"/>
        <v>1</v>
      </c>
      <c r="E12" s="28">
        <f t="shared" si="2"/>
        <v>0</v>
      </c>
      <c r="F12" s="59" t="str">
        <f t="shared" si="3"/>
        <v/>
      </c>
      <c r="G12" s="42" t="s">
        <v>2056</v>
      </c>
      <c r="H12" s="43" t="s">
        <v>2059</v>
      </c>
      <c r="I12" s="44" t="s">
        <v>2062</v>
      </c>
      <c r="J12" s="45" t="s">
        <v>2065</v>
      </c>
      <c r="K12" s="46" t="s">
        <v>2068</v>
      </c>
      <c r="L12" s="47" t="s">
        <v>2995</v>
      </c>
      <c r="M12" s="48" t="s">
        <v>2996</v>
      </c>
      <c r="N12" s="49"/>
      <c r="O12" s="49"/>
      <c r="P12" s="50"/>
      <c r="Q12" s="59"/>
      <c r="R12" s="13"/>
    </row>
    <row r="13" spans="1:18" ht="45" x14ac:dyDescent="0.25">
      <c r="A13" s="9" t="s">
        <v>14</v>
      </c>
      <c r="B13" s="28">
        <f>IF(ISBLANK(A13),0,INDEX(txtstylestab[],MATCH(A13,txtstylestab[style_Name],0),1))</f>
        <v>6</v>
      </c>
      <c r="C13" s="28">
        <f t="shared" si="0"/>
        <v>3</v>
      </c>
      <c r="D13" s="28">
        <f t="shared" si="1"/>
        <v>1</v>
      </c>
      <c r="E13" s="28">
        <f t="shared" si="2"/>
        <v>0</v>
      </c>
      <c r="F13" s="59" t="str">
        <f t="shared" si="3"/>
        <v/>
      </c>
      <c r="G13" s="42" t="s">
        <v>2057</v>
      </c>
      <c r="H13" s="43" t="s">
        <v>2060</v>
      </c>
      <c r="I13" s="44" t="s">
        <v>2063</v>
      </c>
      <c r="J13" s="45" t="s">
        <v>2066</v>
      </c>
      <c r="K13" s="46" t="s">
        <v>2069</v>
      </c>
      <c r="L13" s="47" t="s">
        <v>2974</v>
      </c>
      <c r="M13" s="48" t="s">
        <v>2975</v>
      </c>
      <c r="N13" s="49"/>
      <c r="O13" s="49"/>
      <c r="P13" s="50"/>
      <c r="Q13" s="59"/>
      <c r="R13" s="13"/>
    </row>
    <row r="14" spans="1:18" ht="30" x14ac:dyDescent="0.25">
      <c r="A14" s="9" t="s">
        <v>14</v>
      </c>
      <c r="B14" s="28">
        <f>IF(ISBLANK(A14),0,INDEX(txtstylestab[],MATCH(A14,txtstylestab[style_Name],0),1))</f>
        <v>6</v>
      </c>
      <c r="C14" s="28">
        <f t="shared" si="0"/>
        <v>3</v>
      </c>
      <c r="D14" s="28">
        <f t="shared" si="1"/>
        <v>1</v>
      </c>
      <c r="E14" s="28">
        <f t="shared" si="2"/>
        <v>0</v>
      </c>
      <c r="F14" s="59" t="str">
        <f t="shared" si="3"/>
        <v/>
      </c>
      <c r="G14" s="42" t="s">
        <v>2058</v>
      </c>
      <c r="H14" s="43" t="s">
        <v>2061</v>
      </c>
      <c r="I14" s="44" t="s">
        <v>2064</v>
      </c>
      <c r="J14" s="45" t="s">
        <v>2067</v>
      </c>
      <c r="K14" s="46" t="s">
        <v>2070</v>
      </c>
      <c r="L14" s="47" t="s">
        <v>2976</v>
      </c>
      <c r="M14" s="48" t="s">
        <v>2977</v>
      </c>
      <c r="N14" s="49"/>
      <c r="O14" s="49"/>
      <c r="P14" s="50"/>
      <c r="Q14" s="59"/>
      <c r="R14" s="13"/>
    </row>
    <row r="15" spans="1:18" ht="30" x14ac:dyDescent="0.25">
      <c r="A15" s="9" t="s">
        <v>14</v>
      </c>
      <c r="B15" s="28">
        <f>IF(ISBLANK(A15),0,INDEX(txtstylestab[],MATCH(A15,txtstylestab[style_Name],0),1))</f>
        <v>6</v>
      </c>
      <c r="C15" s="28">
        <f t="shared" si="0"/>
        <v>3</v>
      </c>
      <c r="D15" s="28">
        <f t="shared" si="1"/>
        <v>1</v>
      </c>
      <c r="E15" s="28">
        <f t="shared" si="2"/>
        <v>0</v>
      </c>
      <c r="F15" s="59" t="str">
        <f t="shared" si="3"/>
        <v/>
      </c>
      <c r="G15" s="42" t="s">
        <v>2071</v>
      </c>
      <c r="H15" s="43" t="s">
        <v>2072</v>
      </c>
      <c r="I15" s="44" t="s">
        <v>2073</v>
      </c>
      <c r="J15" s="45" t="s">
        <v>2074</v>
      </c>
      <c r="K15" s="46" t="s">
        <v>2075</v>
      </c>
      <c r="L15" s="47" t="s">
        <v>2997</v>
      </c>
      <c r="M15" s="48" t="s">
        <v>2978</v>
      </c>
      <c r="N15" s="49"/>
      <c r="O15" s="49"/>
      <c r="P15" s="50"/>
      <c r="Q15" s="59"/>
      <c r="R15" s="13"/>
    </row>
    <row r="16" spans="1:18" ht="45" x14ac:dyDescent="0.25">
      <c r="A16" s="9" t="s">
        <v>21</v>
      </c>
      <c r="B16" s="28">
        <f>IF(ISBLANK(A16),0,INDEX(txtstylestab[],MATCH(A16,txtstylestab[style_Name],0),1))</f>
        <v>0</v>
      </c>
      <c r="C16" s="28">
        <f t="shared" si="0"/>
        <v>3</v>
      </c>
      <c r="D16" s="28">
        <f t="shared" si="1"/>
        <v>1</v>
      </c>
      <c r="E16" s="28">
        <f t="shared" si="2"/>
        <v>0</v>
      </c>
      <c r="F16" s="59" t="str">
        <f t="shared" si="3"/>
        <v/>
      </c>
      <c r="G16" s="42" t="s">
        <v>2076</v>
      </c>
      <c r="H16" s="43" t="s">
        <v>2077</v>
      </c>
      <c r="I16" s="44" t="s">
        <v>2078</v>
      </c>
      <c r="J16" s="45" t="s">
        <v>2079</v>
      </c>
      <c r="K16" s="46" t="s">
        <v>2080</v>
      </c>
      <c r="L16" s="47" t="s">
        <v>2998</v>
      </c>
      <c r="M16" s="48" t="s">
        <v>2999</v>
      </c>
      <c r="N16" s="49"/>
      <c r="O16" s="49"/>
      <c r="P16" s="50"/>
      <c r="Q16" s="59"/>
      <c r="R16" s="13"/>
    </row>
    <row r="17" spans="1:18" ht="45" x14ac:dyDescent="0.25">
      <c r="A17" s="9" t="s">
        <v>14</v>
      </c>
      <c r="B17" s="28">
        <f>IF(ISBLANK(A17),0,INDEX(txtstylestab[],MATCH(A17,txtstylestab[style_Name],0),1))</f>
        <v>6</v>
      </c>
      <c r="C17" s="28">
        <f t="shared" si="0"/>
        <v>3</v>
      </c>
      <c r="D17" s="28">
        <f t="shared" si="1"/>
        <v>1</v>
      </c>
      <c r="E17" s="28">
        <f t="shared" si="2"/>
        <v>0</v>
      </c>
      <c r="F17" s="59" t="str">
        <f t="shared" si="3"/>
        <v/>
      </c>
      <c r="G17" s="42" t="s">
        <v>2081</v>
      </c>
      <c r="H17" s="43" t="s">
        <v>2082</v>
      </c>
      <c r="I17" s="44" t="s">
        <v>2083</v>
      </c>
      <c r="J17" s="45" t="s">
        <v>2084</v>
      </c>
      <c r="K17" s="46" t="s">
        <v>2085</v>
      </c>
      <c r="L17" s="47" t="s">
        <v>2979</v>
      </c>
      <c r="M17" s="48" t="s">
        <v>2980</v>
      </c>
      <c r="N17" s="49"/>
      <c r="O17" s="49"/>
      <c r="P17" s="50"/>
      <c r="Q17" s="59"/>
      <c r="R17" s="13"/>
    </row>
    <row r="18" spans="1:18" ht="45" x14ac:dyDescent="0.25">
      <c r="A18" s="9" t="s">
        <v>14</v>
      </c>
      <c r="B18" s="28">
        <f>IF(ISBLANK(A18),0,INDEX(txtstylestab[],MATCH(A18,txtstylestab[style_Name],0),1))</f>
        <v>6</v>
      </c>
      <c r="C18" s="28">
        <f t="shared" si="0"/>
        <v>3</v>
      </c>
      <c r="D18" s="28">
        <f t="shared" si="1"/>
        <v>1</v>
      </c>
      <c r="E18" s="28">
        <f t="shared" si="2"/>
        <v>0</v>
      </c>
      <c r="F18" s="59" t="str">
        <f t="shared" si="3"/>
        <v/>
      </c>
      <c r="G18" s="42" t="s">
        <v>1237</v>
      </c>
      <c r="H18" s="43" t="s">
        <v>1238</v>
      </c>
      <c r="I18" s="44" t="s">
        <v>1236</v>
      </c>
      <c r="J18" s="45" t="s">
        <v>1239</v>
      </c>
      <c r="K18" s="46" t="s">
        <v>1559</v>
      </c>
      <c r="L18" s="47" t="s">
        <v>2981</v>
      </c>
      <c r="M18" s="48" t="s">
        <v>2982</v>
      </c>
      <c r="N18" s="49"/>
      <c r="O18" s="49"/>
      <c r="P18" s="50"/>
      <c r="Q18" s="59"/>
      <c r="R18" s="13"/>
    </row>
    <row r="19" spans="1:18" ht="45" x14ac:dyDescent="0.25">
      <c r="A19" s="9" t="s">
        <v>21</v>
      </c>
      <c r="B19" s="28">
        <f>IF(ISBLANK(A19),0,INDEX(txtstylestab[],MATCH(A19,txtstylestab[style_Name],0),1))</f>
        <v>0</v>
      </c>
      <c r="C19" s="28">
        <f t="shared" si="0"/>
        <v>3</v>
      </c>
      <c r="D19" s="28">
        <f t="shared" si="1"/>
        <v>1</v>
      </c>
      <c r="E19" s="28">
        <f t="shared" si="2"/>
        <v>0</v>
      </c>
      <c r="F19" s="59" t="str">
        <f t="shared" si="3"/>
        <v/>
      </c>
      <c r="G19" s="42" t="s">
        <v>1222</v>
      </c>
      <c r="H19" s="43" t="s">
        <v>1223</v>
      </c>
      <c r="I19" s="44" t="s">
        <v>1224</v>
      </c>
      <c r="J19" s="45" t="s">
        <v>1225</v>
      </c>
      <c r="K19" s="46" t="s">
        <v>1560</v>
      </c>
      <c r="L19" s="47" t="s">
        <v>2983</v>
      </c>
      <c r="M19" s="48" t="s">
        <v>2984</v>
      </c>
      <c r="N19" s="49"/>
      <c r="O19" s="49"/>
      <c r="P19" s="50"/>
      <c r="Q19" s="59"/>
      <c r="R19" s="13"/>
    </row>
    <row r="20" spans="1:18" ht="30" x14ac:dyDescent="0.25">
      <c r="A20" s="9" t="s">
        <v>21</v>
      </c>
      <c r="B20" s="28">
        <f>IF(ISBLANK(A20),0,INDEX(txtstylestab[],MATCH(A20,txtstylestab[style_Name],0),1))</f>
        <v>0</v>
      </c>
      <c r="C20" s="28">
        <f t="shared" si="0"/>
        <v>3</v>
      </c>
      <c r="D20" s="28">
        <f t="shared" si="1"/>
        <v>1</v>
      </c>
      <c r="E20" s="28">
        <f t="shared" si="2"/>
        <v>0</v>
      </c>
      <c r="F20" s="59" t="str">
        <f t="shared" si="3"/>
        <v/>
      </c>
      <c r="G20" s="42" t="s">
        <v>1226</v>
      </c>
      <c r="H20" s="43" t="s">
        <v>1227</v>
      </c>
      <c r="I20" s="44" t="s">
        <v>1228</v>
      </c>
      <c r="J20" s="45" t="s">
        <v>1229</v>
      </c>
      <c r="K20" s="46" t="s">
        <v>1230</v>
      </c>
      <c r="L20" s="47" t="s">
        <v>2985</v>
      </c>
      <c r="M20" s="48" t="s">
        <v>2986</v>
      </c>
      <c r="N20" s="49"/>
      <c r="O20" s="49"/>
      <c r="P20" s="50"/>
      <c r="Q20" s="59"/>
      <c r="R20" s="13"/>
    </row>
    <row r="21" spans="1:18" ht="45" x14ac:dyDescent="0.25">
      <c r="A21" s="9" t="s">
        <v>21</v>
      </c>
      <c r="B21" s="28">
        <f>IF(ISBLANK(A21),0,INDEX(txtstylestab[],MATCH(A21,txtstylestab[style_Name],0),1))</f>
        <v>0</v>
      </c>
      <c r="C21" s="28">
        <f t="shared" si="0"/>
        <v>3</v>
      </c>
      <c r="D21" s="28">
        <f t="shared" si="1"/>
        <v>1</v>
      </c>
      <c r="E21" s="28">
        <f t="shared" si="2"/>
        <v>0</v>
      </c>
      <c r="F21" s="59" t="str">
        <f t="shared" si="3"/>
        <v/>
      </c>
      <c r="G21" s="42" t="s">
        <v>1231</v>
      </c>
      <c r="H21" s="43" t="s">
        <v>1232</v>
      </c>
      <c r="I21" s="44" t="s">
        <v>1655</v>
      </c>
      <c r="J21" s="45" t="s">
        <v>1561</v>
      </c>
      <c r="K21" s="46" t="s">
        <v>1562</v>
      </c>
      <c r="L21" s="47" t="s">
        <v>2987</v>
      </c>
      <c r="M21" s="48" t="s">
        <v>2988</v>
      </c>
      <c r="N21" s="49"/>
      <c r="O21" s="49"/>
      <c r="P21" s="50"/>
      <c r="Q21" s="59"/>
      <c r="R21" s="13"/>
    </row>
    <row r="22" spans="1:18" x14ac:dyDescent="0.25">
      <c r="A22" s="9" t="s">
        <v>21</v>
      </c>
      <c r="B22" s="28">
        <f>IF(ISBLANK(A22),0,INDEX(txtstylestab[],MATCH(A22,txtstylestab[style_Name],0),1))</f>
        <v>0</v>
      </c>
      <c r="C22" s="28">
        <f t="shared" si="0"/>
        <v>3</v>
      </c>
      <c r="D22" s="28">
        <f t="shared" si="1"/>
        <v>1</v>
      </c>
      <c r="E22" s="28">
        <f t="shared" si="2"/>
        <v>0</v>
      </c>
      <c r="F22" s="59" t="str">
        <f t="shared" si="3"/>
        <v/>
      </c>
      <c r="G22" s="42" t="s">
        <v>1233</v>
      </c>
      <c r="H22" s="43" t="s">
        <v>1234</v>
      </c>
      <c r="I22" s="44" t="s">
        <v>1656</v>
      </c>
      <c r="J22" s="45" t="s">
        <v>1563</v>
      </c>
      <c r="K22" s="46" t="s">
        <v>1235</v>
      </c>
      <c r="L22" s="47" t="s">
        <v>2989</v>
      </c>
      <c r="M22" s="48" t="s">
        <v>2990</v>
      </c>
      <c r="N22" s="49"/>
      <c r="O22" s="49"/>
      <c r="P22" s="50"/>
      <c r="Q22" s="59"/>
      <c r="R22" s="13"/>
    </row>
    <row r="23" spans="1:18" x14ac:dyDescent="0.25">
      <c r="A23" s="9" t="s">
        <v>15</v>
      </c>
      <c r="B23" s="28">
        <f>IF(ISBLANK(A23),0,INDEX(txtstylestab[],MATCH(A23,txtstylestab[style_Name],0),1))</f>
        <v>8</v>
      </c>
      <c r="C23" s="28">
        <f t="shared" si="0"/>
        <v>3</v>
      </c>
      <c r="D23" s="28">
        <f t="shared" si="1"/>
        <v>1</v>
      </c>
      <c r="E23" s="28">
        <f t="shared" si="2"/>
        <v>0</v>
      </c>
      <c r="F23" s="60" t="str">
        <f t="shared" si="3"/>
        <v/>
      </c>
      <c r="G23" s="60" t="s">
        <v>1483</v>
      </c>
      <c r="H23" s="60"/>
      <c r="I23" s="60"/>
      <c r="J23" s="60"/>
      <c r="K23" s="60"/>
      <c r="L23" s="60"/>
      <c r="M23" s="60"/>
      <c r="N23" s="60"/>
      <c r="O23" s="60"/>
      <c r="P23" s="60"/>
      <c r="Q23" s="60"/>
      <c r="R23" s="13"/>
    </row>
    <row r="24" spans="1:18" x14ac:dyDescent="0.25">
      <c r="A24" s="9" t="s">
        <v>15</v>
      </c>
      <c r="B24" s="28">
        <f>IF(ISBLANK(A24),0,INDEX(txtstylestab[],MATCH(A24,txtstylestab[style_Name],0),1))</f>
        <v>8</v>
      </c>
      <c r="C24" s="28">
        <f t="shared" si="0"/>
        <v>3</v>
      </c>
      <c r="D24" s="28">
        <f t="shared" si="1"/>
        <v>1</v>
      </c>
      <c r="E24" s="28">
        <f t="shared" si="2"/>
        <v>0</v>
      </c>
      <c r="F24" s="60" t="str">
        <f t="shared" si="3"/>
        <v/>
      </c>
      <c r="G24" s="60" t="s">
        <v>1484</v>
      </c>
      <c r="H24" s="60"/>
      <c r="I24" s="60"/>
      <c r="J24" s="60"/>
      <c r="K24" s="60"/>
      <c r="L24" s="60"/>
      <c r="M24" s="60"/>
      <c r="N24" s="60"/>
      <c r="O24" s="60"/>
      <c r="P24" s="60"/>
      <c r="Q24" s="60"/>
      <c r="R24" s="13"/>
    </row>
    <row r="25" spans="1:18" ht="18" thickBot="1" x14ac:dyDescent="0.35">
      <c r="A25" s="9" t="s">
        <v>11</v>
      </c>
      <c r="B25" s="28">
        <f>IF(ISBLANK(A25),0,INDEX(txtstylestab[],MATCH(A25,txtstylestab[style_Name],0),1))</f>
        <v>2</v>
      </c>
      <c r="C25" s="28">
        <f t="shared" si="0"/>
        <v>3</v>
      </c>
      <c r="D25" s="28">
        <f t="shared" si="1"/>
        <v>2</v>
      </c>
      <c r="E25" s="28">
        <f t="shared" si="2"/>
        <v>0</v>
      </c>
      <c r="F25" s="54" t="str">
        <f t="shared" si="3"/>
        <v>3.2.</v>
      </c>
      <c r="G25" s="54" t="s">
        <v>1240</v>
      </c>
      <c r="H25" s="54"/>
      <c r="I25" s="54"/>
      <c r="J25" s="54"/>
      <c r="K25" s="54"/>
      <c r="L25" s="54"/>
      <c r="M25" s="54"/>
      <c r="N25" s="54"/>
      <c r="O25" s="54"/>
      <c r="P25" s="54"/>
      <c r="Q25" s="54"/>
      <c r="R25" s="13"/>
    </row>
    <row r="26" spans="1:18" ht="15.75" thickTop="1" x14ac:dyDescent="0.25">
      <c r="A26" s="9" t="s">
        <v>22</v>
      </c>
      <c r="B26" s="28">
        <f>IF(ISBLANK(A26),0,INDEX(txtstylestab[],MATCH(A26,txtstylestab[style_Name],0),1))</f>
        <v>4</v>
      </c>
      <c r="C26" s="28">
        <f t="shared" si="0"/>
        <v>3</v>
      </c>
      <c r="D26" s="28">
        <f t="shared" si="1"/>
        <v>2</v>
      </c>
      <c r="E26" s="28">
        <f t="shared" si="2"/>
        <v>0</v>
      </c>
      <c r="F26" s="56" t="str">
        <f t="shared" si="3"/>
        <v/>
      </c>
      <c r="G26" s="67" t="s">
        <v>1241</v>
      </c>
      <c r="H26" s="67"/>
      <c r="I26" s="67"/>
      <c r="J26" s="67"/>
      <c r="K26" s="67"/>
      <c r="L26" s="67"/>
      <c r="M26" s="67"/>
      <c r="N26" s="67"/>
      <c r="O26" s="67"/>
      <c r="P26" s="67"/>
      <c r="Q26" s="67"/>
      <c r="R26" s="13"/>
    </row>
    <row r="27" spans="1:18" x14ac:dyDescent="0.25">
      <c r="A27" s="9" t="s">
        <v>21</v>
      </c>
      <c r="B27" s="28">
        <f>IF(ISBLANK(A27),0,INDEX(txtstylestab[],MATCH(A27,txtstylestab[style_Name],0),1))</f>
        <v>0</v>
      </c>
      <c r="C27" s="28">
        <f t="shared" si="0"/>
        <v>3</v>
      </c>
      <c r="D27" s="28">
        <f t="shared" si="1"/>
        <v>2</v>
      </c>
      <c r="E27" s="28">
        <f t="shared" si="2"/>
        <v>0</v>
      </c>
      <c r="F27" s="59" t="str">
        <f t="shared" si="3"/>
        <v/>
      </c>
      <c r="G27" s="42" t="s">
        <v>82</v>
      </c>
      <c r="H27" s="43" t="s">
        <v>83</v>
      </c>
      <c r="I27" s="44" t="s">
        <v>84</v>
      </c>
      <c r="J27" s="45" t="s">
        <v>1208</v>
      </c>
      <c r="K27" s="46" t="s">
        <v>86</v>
      </c>
      <c r="L27" s="47" t="s">
        <v>2397</v>
      </c>
      <c r="M27" s="48" t="s">
        <v>2332</v>
      </c>
      <c r="N27" s="49"/>
      <c r="O27" s="49"/>
      <c r="P27" s="50"/>
      <c r="Q27" s="59"/>
      <c r="R27" s="13"/>
    </row>
    <row r="28" spans="1:18" ht="45" x14ac:dyDescent="0.25">
      <c r="A28" s="9" t="s">
        <v>21</v>
      </c>
      <c r="B28" s="28">
        <f>IF(ISBLANK(A28),0,INDEX(txtstylestab[],MATCH(A28,txtstylestab[style_Name],0),1))</f>
        <v>0</v>
      </c>
      <c r="C28" s="28">
        <f t="shared" si="0"/>
        <v>3</v>
      </c>
      <c r="D28" s="28">
        <f t="shared" si="1"/>
        <v>2</v>
      </c>
      <c r="E28" s="28">
        <f t="shared" si="2"/>
        <v>0</v>
      </c>
      <c r="F28" s="59" t="str">
        <f t="shared" si="3"/>
        <v/>
      </c>
      <c r="G28" s="42" t="s">
        <v>2086</v>
      </c>
      <c r="H28" s="43" t="s">
        <v>2087</v>
      </c>
      <c r="I28" s="44" t="s">
        <v>2088</v>
      </c>
      <c r="J28" s="45" t="s">
        <v>2089</v>
      </c>
      <c r="K28" s="46" t="s">
        <v>2090</v>
      </c>
      <c r="L28" s="47" t="s">
        <v>3000</v>
      </c>
      <c r="M28" s="48" t="s">
        <v>3001</v>
      </c>
      <c r="N28" s="49"/>
      <c r="O28" s="49"/>
      <c r="P28" s="50"/>
      <c r="Q28" s="59"/>
      <c r="R28" s="13"/>
    </row>
    <row r="29" spans="1:18" x14ac:dyDescent="0.25">
      <c r="A29" s="9" t="s">
        <v>14</v>
      </c>
      <c r="B29" s="28">
        <f>IF(ISBLANK(A29),0,INDEX(txtstylestab[],MATCH(A29,txtstylestab[style_Name],0),1))</f>
        <v>6</v>
      </c>
      <c r="C29" s="28">
        <f t="shared" si="0"/>
        <v>3</v>
      </c>
      <c r="D29" s="28">
        <f t="shared" si="1"/>
        <v>2</v>
      </c>
      <c r="E29" s="28">
        <f t="shared" si="2"/>
        <v>0</v>
      </c>
      <c r="F29" s="59" t="str">
        <f t="shared" si="3"/>
        <v/>
      </c>
      <c r="G29" s="42" t="s">
        <v>2091</v>
      </c>
      <c r="H29" s="43" t="s">
        <v>2092</v>
      </c>
      <c r="I29" s="44" t="s">
        <v>2093</v>
      </c>
      <c r="J29" s="45" t="s">
        <v>2094</v>
      </c>
      <c r="K29" s="46" t="s">
        <v>2095</v>
      </c>
      <c r="L29" s="47" t="s">
        <v>3002</v>
      </c>
      <c r="M29" s="48" t="s">
        <v>3003</v>
      </c>
      <c r="N29" s="49"/>
      <c r="O29" s="49"/>
      <c r="P29" s="50"/>
      <c r="Q29" s="59"/>
      <c r="R29" s="13"/>
    </row>
    <row r="30" spans="1:18" x14ac:dyDescent="0.25">
      <c r="A30" s="9" t="s">
        <v>14</v>
      </c>
      <c r="B30" s="28">
        <f>IF(ISBLANK(A30),0,INDEX(txtstylestab[],MATCH(A30,txtstylestab[style_Name],0),1))</f>
        <v>6</v>
      </c>
      <c r="C30" s="28">
        <f t="shared" si="0"/>
        <v>3</v>
      </c>
      <c r="D30" s="28">
        <f t="shared" si="1"/>
        <v>2</v>
      </c>
      <c r="E30" s="28">
        <f t="shared" si="2"/>
        <v>0</v>
      </c>
      <c r="F30" s="59" t="str">
        <f t="shared" si="3"/>
        <v/>
      </c>
      <c r="G30" s="42" t="s">
        <v>2096</v>
      </c>
      <c r="H30" s="43" t="s">
        <v>2097</v>
      </c>
      <c r="I30" s="44" t="s">
        <v>2098</v>
      </c>
      <c r="J30" s="45" t="s">
        <v>2099</v>
      </c>
      <c r="K30" s="46" t="s">
        <v>2100</v>
      </c>
      <c r="L30" s="47" t="s">
        <v>3004</v>
      </c>
      <c r="M30" s="48" t="s">
        <v>3005</v>
      </c>
      <c r="N30" s="49"/>
      <c r="O30" s="49"/>
      <c r="P30" s="50"/>
      <c r="Q30" s="59"/>
      <c r="R30" s="13"/>
    </row>
    <row r="31" spans="1:18" ht="75" x14ac:dyDescent="0.25">
      <c r="A31" s="9" t="s">
        <v>21</v>
      </c>
      <c r="B31" s="28">
        <f>IF(ISBLANK(A31),0,INDEX(txtstylestab[],MATCH(A31,txtstylestab[style_Name],0),1))</f>
        <v>0</v>
      </c>
      <c r="C31" s="28">
        <f t="shared" si="0"/>
        <v>3</v>
      </c>
      <c r="D31" s="28">
        <f t="shared" si="1"/>
        <v>2</v>
      </c>
      <c r="E31" s="28">
        <f t="shared" si="2"/>
        <v>0</v>
      </c>
      <c r="F31" s="59" t="str">
        <f t="shared" si="3"/>
        <v/>
      </c>
      <c r="G31" s="42" t="s">
        <v>1242</v>
      </c>
      <c r="H31" s="43" t="s">
        <v>1243</v>
      </c>
      <c r="I31" s="44" t="s">
        <v>1657</v>
      </c>
      <c r="J31" s="45" t="s">
        <v>1244</v>
      </c>
      <c r="K31" s="46" t="s">
        <v>1245</v>
      </c>
      <c r="L31" s="47" t="s">
        <v>3006</v>
      </c>
      <c r="M31" s="48" t="s">
        <v>3007</v>
      </c>
      <c r="N31" s="49"/>
      <c r="O31" s="49"/>
      <c r="P31" s="50"/>
      <c r="Q31" s="59"/>
      <c r="R31" s="13"/>
    </row>
    <row r="32" spans="1:18" x14ac:dyDescent="0.25">
      <c r="A32" s="9" t="s">
        <v>15</v>
      </c>
      <c r="B32" s="28">
        <f>IF(ISBLANK(A32),0,INDEX(txtstylestab[],MATCH(A32,txtstylestab[style_Name],0),1))</f>
        <v>8</v>
      </c>
      <c r="C32" s="28">
        <f t="shared" si="0"/>
        <v>3</v>
      </c>
      <c r="D32" s="28">
        <f t="shared" si="1"/>
        <v>2</v>
      </c>
      <c r="E32" s="28">
        <f t="shared" si="2"/>
        <v>0</v>
      </c>
      <c r="F32" s="60" t="str">
        <f t="shared" si="3"/>
        <v/>
      </c>
      <c r="G32" s="60" t="s">
        <v>1246</v>
      </c>
      <c r="H32" s="60"/>
      <c r="I32" s="60"/>
      <c r="J32" s="60"/>
      <c r="K32" s="60"/>
      <c r="L32" s="60"/>
      <c r="M32" s="60"/>
      <c r="N32" s="60"/>
      <c r="O32" s="60"/>
      <c r="P32" s="60"/>
      <c r="Q32" s="60"/>
      <c r="R32" s="13"/>
    </row>
    <row r="33" spans="1:18" ht="30" x14ac:dyDescent="0.25">
      <c r="A33" s="9" t="s">
        <v>21</v>
      </c>
      <c r="B33" s="28">
        <f>IF(ISBLANK(A33),0,INDEX(txtstylestab[],MATCH(A33,txtstylestab[style_Name],0),1))</f>
        <v>0</v>
      </c>
      <c r="C33" s="28">
        <f t="shared" si="0"/>
        <v>3</v>
      </c>
      <c r="D33" s="28">
        <f t="shared" si="1"/>
        <v>2</v>
      </c>
      <c r="E33" s="28">
        <f t="shared" si="2"/>
        <v>0</v>
      </c>
      <c r="F33" s="59" t="str">
        <f t="shared" si="3"/>
        <v/>
      </c>
      <c r="G33" s="42" t="s">
        <v>1247</v>
      </c>
      <c r="H33" s="43" t="s">
        <v>1248</v>
      </c>
      <c r="I33" s="44" t="s">
        <v>1658</v>
      </c>
      <c r="J33" s="45" t="s">
        <v>1564</v>
      </c>
      <c r="K33" s="46" t="s">
        <v>1249</v>
      </c>
      <c r="L33" s="47" t="s">
        <v>3008</v>
      </c>
      <c r="M33" s="48" t="s">
        <v>3009</v>
      </c>
      <c r="N33" s="49"/>
      <c r="O33" s="49"/>
      <c r="P33" s="50"/>
      <c r="Q33" s="59"/>
      <c r="R33" s="13"/>
    </row>
    <row r="34" spans="1:18" ht="45" x14ac:dyDescent="0.25">
      <c r="A34" s="9" t="s">
        <v>21</v>
      </c>
      <c r="B34" s="28">
        <f>IF(ISBLANK(A34),0,INDEX(txtstylestab[],MATCH(A34,txtstylestab[style_Name],0),1))</f>
        <v>0</v>
      </c>
      <c r="C34" s="28">
        <f t="shared" si="0"/>
        <v>3</v>
      </c>
      <c r="D34" s="28">
        <f t="shared" si="1"/>
        <v>2</v>
      </c>
      <c r="E34" s="28">
        <f t="shared" si="2"/>
        <v>0</v>
      </c>
      <c r="F34" s="59" t="str">
        <f t="shared" si="3"/>
        <v/>
      </c>
      <c r="G34" s="42" t="s">
        <v>1250</v>
      </c>
      <c r="H34" s="43" t="s">
        <v>1251</v>
      </c>
      <c r="I34" s="44" t="s">
        <v>1659</v>
      </c>
      <c r="J34" s="45" t="s">
        <v>1252</v>
      </c>
      <c r="K34" s="46" t="s">
        <v>1253</v>
      </c>
      <c r="L34" s="47" t="s">
        <v>3010</v>
      </c>
      <c r="M34" s="48" t="s">
        <v>3011</v>
      </c>
      <c r="N34" s="49"/>
      <c r="O34" s="49"/>
      <c r="P34" s="50"/>
      <c r="Q34" s="59"/>
      <c r="R34" s="13"/>
    </row>
    <row r="35" spans="1:18" ht="30" x14ac:dyDescent="0.25">
      <c r="A35" s="9" t="s">
        <v>21</v>
      </c>
      <c r="B35" s="28">
        <f>IF(ISBLANK(A35),0,INDEX(txtstylestab[],MATCH(A35,txtstylestab[style_Name],0),1))</f>
        <v>0</v>
      </c>
      <c r="C35" s="28">
        <f t="shared" si="0"/>
        <v>3</v>
      </c>
      <c r="D35" s="28">
        <f t="shared" si="1"/>
        <v>2</v>
      </c>
      <c r="E35" s="28">
        <f t="shared" si="2"/>
        <v>0</v>
      </c>
      <c r="F35" s="59" t="str">
        <f t="shared" si="3"/>
        <v/>
      </c>
      <c r="G35" s="42" t="s">
        <v>1254</v>
      </c>
      <c r="H35" s="43" t="s">
        <v>1255</v>
      </c>
      <c r="I35" s="44" t="s">
        <v>1660</v>
      </c>
      <c r="J35" s="45" t="s">
        <v>1565</v>
      </c>
      <c r="K35" s="46" t="s">
        <v>1256</v>
      </c>
      <c r="L35" s="47" t="s">
        <v>3012</v>
      </c>
      <c r="M35" s="48" t="s">
        <v>3013</v>
      </c>
      <c r="N35" s="49"/>
      <c r="O35" s="49"/>
      <c r="P35" s="50"/>
      <c r="Q35" s="59"/>
      <c r="R35" s="13"/>
    </row>
    <row r="36" spans="1:18" ht="45" x14ac:dyDescent="0.25">
      <c r="A36" s="9" t="s">
        <v>21</v>
      </c>
      <c r="B36" s="28">
        <f>IF(ISBLANK(A36),0,INDEX(txtstylestab[],MATCH(A36,txtstylestab[style_Name],0),1))</f>
        <v>0</v>
      </c>
      <c r="C36" s="28">
        <f t="shared" si="0"/>
        <v>3</v>
      </c>
      <c r="D36" s="28">
        <f t="shared" si="1"/>
        <v>2</v>
      </c>
      <c r="E36" s="28">
        <f t="shared" si="2"/>
        <v>0</v>
      </c>
      <c r="F36" s="59" t="str">
        <f t="shared" si="3"/>
        <v/>
      </c>
      <c r="G36" s="42" t="s">
        <v>2321</v>
      </c>
      <c r="H36" s="43" t="s">
        <v>2322</v>
      </c>
      <c r="I36" s="44" t="s">
        <v>2323</v>
      </c>
      <c r="J36" s="45" t="s">
        <v>2324</v>
      </c>
      <c r="K36" s="46" t="s">
        <v>2325</v>
      </c>
      <c r="L36" s="47" t="s">
        <v>3021</v>
      </c>
      <c r="M36" s="48" t="s">
        <v>3022</v>
      </c>
      <c r="N36" s="49"/>
      <c r="O36" s="49"/>
      <c r="P36" s="50"/>
      <c r="Q36" s="59"/>
      <c r="R36" s="13"/>
    </row>
    <row r="37" spans="1:18" ht="105" x14ac:dyDescent="0.25">
      <c r="A37" s="9" t="s">
        <v>21</v>
      </c>
      <c r="B37" s="28">
        <f>IF(ISBLANK(A37),0,INDEX(txtstylestab[],MATCH(A37,txtstylestab[style_Name],0),1))</f>
        <v>0</v>
      </c>
      <c r="C37" s="28">
        <f t="shared" si="0"/>
        <v>3</v>
      </c>
      <c r="D37" s="28">
        <f t="shared" si="1"/>
        <v>2</v>
      </c>
      <c r="E37" s="28">
        <f t="shared" si="2"/>
        <v>0</v>
      </c>
      <c r="F37" s="59" t="str">
        <f t="shared" si="3"/>
        <v/>
      </c>
      <c r="G37" s="42" t="s">
        <v>1257</v>
      </c>
      <c r="H37" s="43" t="s">
        <v>1258</v>
      </c>
      <c r="I37" s="44" t="s">
        <v>2305</v>
      </c>
      <c r="J37" s="45" t="s">
        <v>1766</v>
      </c>
      <c r="K37" s="46" t="s">
        <v>1259</v>
      </c>
      <c r="L37" s="47" t="s">
        <v>3014</v>
      </c>
      <c r="M37" s="48" t="s">
        <v>3015</v>
      </c>
      <c r="N37" s="49"/>
      <c r="O37" s="49"/>
      <c r="P37" s="50"/>
      <c r="Q37" s="59"/>
      <c r="R37" s="13"/>
    </row>
    <row r="38" spans="1:18" ht="45" x14ac:dyDescent="0.25">
      <c r="A38" s="9" t="s">
        <v>21</v>
      </c>
      <c r="B38" s="28">
        <f>IF(ISBLANK(A38),0,INDEX(txtstylestab[],MATCH(A38,txtstylestab[style_Name],0),1))</f>
        <v>0</v>
      </c>
      <c r="C38" s="28">
        <f t="shared" si="0"/>
        <v>3</v>
      </c>
      <c r="D38" s="28">
        <f t="shared" si="1"/>
        <v>2</v>
      </c>
      <c r="E38" s="28">
        <f t="shared" si="2"/>
        <v>0</v>
      </c>
      <c r="F38" s="59" t="str">
        <f t="shared" si="3"/>
        <v/>
      </c>
      <c r="G38" s="42" t="s">
        <v>1260</v>
      </c>
      <c r="H38" s="43" t="s">
        <v>1261</v>
      </c>
      <c r="I38" s="44" t="s">
        <v>1661</v>
      </c>
      <c r="J38" s="45" t="s">
        <v>1566</v>
      </c>
      <c r="K38" s="46" t="s">
        <v>1262</v>
      </c>
      <c r="L38" s="47" t="s">
        <v>3023</v>
      </c>
      <c r="M38" s="48" t="s">
        <v>3016</v>
      </c>
      <c r="N38" s="49"/>
      <c r="O38" s="49"/>
      <c r="P38" s="50"/>
      <c r="Q38" s="59"/>
      <c r="R38" s="13"/>
    </row>
    <row r="39" spans="1:18" ht="30" x14ac:dyDescent="0.25">
      <c r="A39" s="9" t="s">
        <v>21</v>
      </c>
      <c r="B39" s="28">
        <f>IF(ISBLANK(A39),0,INDEX(txtstylestab[],MATCH(A39,txtstylestab[style_Name],0),1))</f>
        <v>0</v>
      </c>
      <c r="C39" s="28">
        <f t="shared" si="0"/>
        <v>3</v>
      </c>
      <c r="D39" s="28">
        <f t="shared" si="1"/>
        <v>2</v>
      </c>
      <c r="E39" s="28">
        <f t="shared" si="2"/>
        <v>0</v>
      </c>
      <c r="F39" s="59" t="str">
        <f t="shared" si="3"/>
        <v/>
      </c>
      <c r="G39" s="42" t="s">
        <v>1263</v>
      </c>
      <c r="H39" s="43" t="s">
        <v>1264</v>
      </c>
      <c r="I39" s="44" t="s">
        <v>1662</v>
      </c>
      <c r="J39" s="45" t="s">
        <v>1567</v>
      </c>
      <c r="K39" s="46" t="s">
        <v>1265</v>
      </c>
      <c r="L39" s="47" t="s">
        <v>3017</v>
      </c>
      <c r="M39" s="48" t="s">
        <v>3018</v>
      </c>
      <c r="N39" s="49"/>
      <c r="O39" s="49"/>
      <c r="P39" s="50"/>
      <c r="Q39" s="59"/>
      <c r="R39" s="13"/>
    </row>
    <row r="40" spans="1:18" ht="45" x14ac:dyDescent="0.25">
      <c r="A40" s="9" t="s">
        <v>21</v>
      </c>
      <c r="B40" s="28">
        <f>IF(ISBLANK(A40),0,INDEX(txtstylestab[],MATCH(A40,txtstylestab[style_Name],0),1))</f>
        <v>0</v>
      </c>
      <c r="C40" s="28">
        <f t="shared" si="0"/>
        <v>3</v>
      </c>
      <c r="D40" s="28">
        <f t="shared" si="1"/>
        <v>2</v>
      </c>
      <c r="E40" s="28">
        <f t="shared" si="2"/>
        <v>0</v>
      </c>
      <c r="F40" s="59" t="str">
        <f t="shared" si="3"/>
        <v/>
      </c>
      <c r="G40" s="42" t="s">
        <v>1266</v>
      </c>
      <c r="H40" s="43" t="s">
        <v>1267</v>
      </c>
      <c r="I40" s="44" t="s">
        <v>1663</v>
      </c>
      <c r="J40" s="45" t="s">
        <v>1268</v>
      </c>
      <c r="K40" s="46" t="s">
        <v>1269</v>
      </c>
      <c r="L40" s="47" t="s">
        <v>3019</v>
      </c>
      <c r="M40" s="48" t="s">
        <v>3020</v>
      </c>
      <c r="N40" s="49"/>
      <c r="O40" s="49"/>
      <c r="P40" s="50"/>
      <c r="Q40" s="59"/>
      <c r="R40" s="13"/>
    </row>
    <row r="41" spans="1:18" ht="18" thickBot="1" x14ac:dyDescent="0.35">
      <c r="A41" s="9" t="s">
        <v>11</v>
      </c>
      <c r="B41" s="28">
        <f>IF(ISBLANK(A41),0,INDEX(txtstylestab[],MATCH(A41,txtstylestab[style_Name],0),1))</f>
        <v>2</v>
      </c>
      <c r="C41" s="28">
        <f t="shared" si="0"/>
        <v>3</v>
      </c>
      <c r="D41" s="28">
        <f t="shared" si="1"/>
        <v>3</v>
      </c>
      <c r="E41" s="28">
        <f t="shared" si="2"/>
        <v>0</v>
      </c>
      <c r="F41" s="54" t="str">
        <f t="shared" si="3"/>
        <v>3.3.</v>
      </c>
      <c r="G41" s="54" t="s">
        <v>2101</v>
      </c>
      <c r="H41" s="54"/>
      <c r="I41" s="54"/>
      <c r="J41" s="54"/>
      <c r="K41" s="54"/>
      <c r="L41" s="54"/>
      <c r="M41" s="54"/>
      <c r="N41" s="54"/>
      <c r="O41" s="54"/>
      <c r="P41" s="54"/>
      <c r="Q41" s="54"/>
      <c r="R41" s="13"/>
    </row>
    <row r="42" spans="1:18" ht="15.75" thickTop="1" x14ac:dyDescent="0.25">
      <c r="A42" s="9" t="s">
        <v>22</v>
      </c>
      <c r="B42" s="28">
        <f>IF(ISBLANK(A42),0,INDEX(txtstylestab[],MATCH(A42,txtstylestab[style_Name],0),1))</f>
        <v>4</v>
      </c>
      <c r="C42" s="28">
        <f t="shared" si="0"/>
        <v>3</v>
      </c>
      <c r="D42" s="28">
        <f t="shared" si="1"/>
        <v>3</v>
      </c>
      <c r="E42" s="28">
        <f t="shared" si="2"/>
        <v>0</v>
      </c>
      <c r="F42" s="56" t="str">
        <f t="shared" si="3"/>
        <v/>
      </c>
      <c r="G42" s="53" t="s">
        <v>108</v>
      </c>
      <c r="H42" s="53"/>
      <c r="I42" s="53"/>
      <c r="J42" s="53"/>
      <c r="K42" s="53"/>
      <c r="L42" s="53"/>
      <c r="M42" s="53"/>
      <c r="N42" s="53"/>
      <c r="O42" s="53"/>
      <c r="P42" s="53"/>
      <c r="Q42" s="53"/>
      <c r="R42" s="13"/>
    </row>
    <row r="43" spans="1:18" ht="30" x14ac:dyDescent="0.25">
      <c r="A43" s="9" t="s">
        <v>21</v>
      </c>
      <c r="B43" s="28">
        <f>IF(ISBLANK(A43),0,INDEX(txtstylestab[],MATCH(A43,txtstylestab[style_Name],0),1))</f>
        <v>0</v>
      </c>
      <c r="C43" s="28">
        <f t="shared" si="0"/>
        <v>3</v>
      </c>
      <c r="D43" s="28">
        <f t="shared" si="1"/>
        <v>3</v>
      </c>
      <c r="E43" s="28">
        <f t="shared" si="2"/>
        <v>0</v>
      </c>
      <c r="F43" s="59" t="str">
        <f t="shared" si="3"/>
        <v/>
      </c>
      <c r="G43" s="42" t="s">
        <v>1270</v>
      </c>
      <c r="H43" s="43" t="s">
        <v>1271</v>
      </c>
      <c r="I43" s="44" t="s">
        <v>1305</v>
      </c>
      <c r="J43" s="45" t="s">
        <v>1273</v>
      </c>
      <c r="K43" s="46" t="s">
        <v>1274</v>
      </c>
      <c r="L43" s="47" t="s">
        <v>3024</v>
      </c>
      <c r="M43" s="48" t="s">
        <v>3025</v>
      </c>
      <c r="N43" s="49"/>
      <c r="O43" s="49"/>
      <c r="P43" s="50"/>
      <c r="Q43" s="59"/>
      <c r="R43" s="13"/>
    </row>
    <row r="44" spans="1:18" ht="45" x14ac:dyDescent="0.25">
      <c r="A44" s="9" t="s">
        <v>21</v>
      </c>
      <c r="B44" s="28">
        <f>IF(ISBLANK(A44),0,INDEX(txtstylestab[],MATCH(A44,txtstylestab[style_Name],0),1))</f>
        <v>0</v>
      </c>
      <c r="C44" s="28">
        <f t="shared" si="0"/>
        <v>3</v>
      </c>
      <c r="D44" s="28">
        <f t="shared" si="1"/>
        <v>3</v>
      </c>
      <c r="E44" s="28">
        <f t="shared" si="2"/>
        <v>0</v>
      </c>
      <c r="F44" s="59" t="str">
        <f t="shared" si="3"/>
        <v/>
      </c>
      <c r="G44" s="42" t="s">
        <v>1275</v>
      </c>
      <c r="H44" s="43" t="s">
        <v>1276</v>
      </c>
      <c r="I44" s="44" t="s">
        <v>1277</v>
      </c>
      <c r="J44" s="45" t="s">
        <v>1278</v>
      </c>
      <c r="K44" s="46" t="s">
        <v>1279</v>
      </c>
      <c r="L44" s="47" t="s">
        <v>3026</v>
      </c>
      <c r="M44" s="48" t="s">
        <v>3027</v>
      </c>
      <c r="N44" s="49"/>
      <c r="O44" s="49"/>
      <c r="P44" s="50"/>
      <c r="Q44" s="59"/>
      <c r="R44" s="13"/>
    </row>
    <row r="45" spans="1:18" x14ac:dyDescent="0.25">
      <c r="A45" s="9" t="s">
        <v>21</v>
      </c>
      <c r="B45" s="28">
        <f>IF(ISBLANK(A45),0,INDEX(txtstylestab[],MATCH(A45,txtstylestab[style_Name],0),1))</f>
        <v>0</v>
      </c>
      <c r="C45" s="28">
        <f t="shared" si="0"/>
        <v>3</v>
      </c>
      <c r="D45" s="28">
        <f t="shared" si="1"/>
        <v>3</v>
      </c>
      <c r="E45" s="28">
        <f t="shared" si="2"/>
        <v>0</v>
      </c>
      <c r="F45" s="59" t="str">
        <f t="shared" si="3"/>
        <v/>
      </c>
      <c r="G45" s="42" t="s">
        <v>119</v>
      </c>
      <c r="H45" s="43" t="s">
        <v>1280</v>
      </c>
      <c r="I45" s="44" t="s">
        <v>185</v>
      </c>
      <c r="J45" s="45" t="s">
        <v>1281</v>
      </c>
      <c r="K45" s="46" t="s">
        <v>1282</v>
      </c>
      <c r="L45" s="47" t="s">
        <v>3028</v>
      </c>
      <c r="M45" s="48" t="s">
        <v>3029</v>
      </c>
      <c r="N45" s="49"/>
      <c r="O45" s="49"/>
      <c r="P45" s="50"/>
      <c r="Q45" s="59"/>
      <c r="R45" s="13"/>
    </row>
    <row r="46" spans="1:18" ht="30" x14ac:dyDescent="0.25">
      <c r="A46" s="9" t="s">
        <v>21</v>
      </c>
      <c r="B46" s="28">
        <f>IF(ISBLANK(A46),0,INDEX(txtstylestab[],MATCH(A46,txtstylestab[style_Name],0),1))</f>
        <v>0</v>
      </c>
      <c r="C46" s="28">
        <f t="shared" si="0"/>
        <v>3</v>
      </c>
      <c r="D46" s="28">
        <f t="shared" si="1"/>
        <v>3</v>
      </c>
      <c r="E46" s="28">
        <f t="shared" si="2"/>
        <v>0</v>
      </c>
      <c r="F46" s="59" t="str">
        <f t="shared" si="3"/>
        <v/>
      </c>
      <c r="G46" s="42" t="s">
        <v>124</v>
      </c>
      <c r="H46" s="43" t="s">
        <v>196</v>
      </c>
      <c r="I46" s="44" t="s">
        <v>1283</v>
      </c>
      <c r="J46" s="45" t="s">
        <v>1284</v>
      </c>
      <c r="K46" s="46" t="s">
        <v>128</v>
      </c>
      <c r="L46" s="47" t="s">
        <v>2406</v>
      </c>
      <c r="M46" s="48" t="s">
        <v>2407</v>
      </c>
      <c r="N46" s="49"/>
      <c r="O46" s="49"/>
      <c r="P46" s="50"/>
      <c r="Q46" s="59"/>
      <c r="R46" s="13"/>
    </row>
    <row r="47" spans="1:18" ht="45" x14ac:dyDescent="0.25">
      <c r="A47" s="9" t="s">
        <v>21</v>
      </c>
      <c r="B47" s="28">
        <f>IF(ISBLANK(A47),0,INDEX(txtstylestab[],MATCH(A47,txtstylestab[style_Name],0),1))</f>
        <v>0</v>
      </c>
      <c r="C47" s="28">
        <f t="shared" si="0"/>
        <v>3</v>
      </c>
      <c r="D47" s="28">
        <f t="shared" si="1"/>
        <v>3</v>
      </c>
      <c r="E47" s="28">
        <f t="shared" si="2"/>
        <v>0</v>
      </c>
      <c r="F47" s="59" t="str">
        <f t="shared" si="3"/>
        <v/>
      </c>
      <c r="G47" s="42" t="s">
        <v>1285</v>
      </c>
      <c r="H47" s="43" t="s">
        <v>2150</v>
      </c>
      <c r="I47" s="44" t="s">
        <v>1752</v>
      </c>
      <c r="J47" s="45" t="s">
        <v>2271</v>
      </c>
      <c r="K47" s="46" t="s">
        <v>1286</v>
      </c>
      <c r="L47" s="47" t="s">
        <v>3030</v>
      </c>
      <c r="M47" s="48" t="s">
        <v>3031</v>
      </c>
      <c r="N47" s="49"/>
      <c r="O47" s="49"/>
      <c r="P47" s="50"/>
      <c r="Q47" s="59"/>
      <c r="R47" s="13"/>
    </row>
    <row r="48" spans="1:18" ht="75" x14ac:dyDescent="0.25">
      <c r="A48" s="9" t="s">
        <v>21</v>
      </c>
      <c r="B48" s="28">
        <f>IF(ISBLANK(A48),0,INDEX(txtstylestab[],MATCH(A48,txtstylestab[style_Name],0),1))</f>
        <v>0</v>
      </c>
      <c r="C48" s="28">
        <f t="shared" si="0"/>
        <v>3</v>
      </c>
      <c r="D48" s="28">
        <f t="shared" si="1"/>
        <v>3</v>
      </c>
      <c r="E48" s="28">
        <f t="shared" si="2"/>
        <v>0</v>
      </c>
      <c r="F48" s="59" t="str">
        <f t="shared" si="3"/>
        <v/>
      </c>
      <c r="G48" s="42" t="s">
        <v>1287</v>
      </c>
      <c r="H48" s="43" t="s">
        <v>1288</v>
      </c>
      <c r="I48" s="44" t="s">
        <v>1289</v>
      </c>
      <c r="J48" s="45" t="s">
        <v>1290</v>
      </c>
      <c r="K48" s="46" t="s">
        <v>1291</v>
      </c>
      <c r="L48" s="47" t="s">
        <v>3032</v>
      </c>
      <c r="M48" s="48" t="s">
        <v>3033</v>
      </c>
      <c r="N48" s="49"/>
      <c r="O48" s="49"/>
      <c r="P48" s="50"/>
      <c r="Q48" s="59"/>
      <c r="R48" s="13"/>
    </row>
    <row r="49" spans="1:18" x14ac:dyDescent="0.25">
      <c r="A49" s="9" t="s">
        <v>23</v>
      </c>
      <c r="B49" s="28">
        <f>IF(ISBLANK(A49),0,INDEX(txtstylestab[],MATCH(A49,txtstylestab[style_Name],0),1))</f>
        <v>5</v>
      </c>
      <c r="C49" s="28">
        <f t="shared" si="0"/>
        <v>3</v>
      </c>
      <c r="D49" s="28">
        <f t="shared" si="1"/>
        <v>3</v>
      </c>
      <c r="E49" s="28">
        <f t="shared" si="2"/>
        <v>0</v>
      </c>
      <c r="F49" s="56" t="str">
        <f t="shared" si="3"/>
        <v/>
      </c>
      <c r="G49" s="58" t="s">
        <v>1292</v>
      </c>
      <c r="H49" s="58"/>
      <c r="I49" s="58"/>
      <c r="J49" s="58"/>
      <c r="K49" s="58"/>
      <c r="L49" s="58"/>
      <c r="M49" s="58"/>
      <c r="N49" s="58"/>
      <c r="O49" s="58"/>
      <c r="P49" s="58"/>
      <c r="Q49" s="58"/>
      <c r="R49" s="13"/>
    </row>
    <row r="50" spans="1:18" ht="45" x14ac:dyDescent="0.25">
      <c r="A50" s="9" t="s">
        <v>21</v>
      </c>
      <c r="B50" s="28">
        <f>IF(ISBLANK(A50),0,INDEX(txtstylestab[],MATCH(A50,txtstylestab[style_Name],0),1))</f>
        <v>0</v>
      </c>
      <c r="C50" s="28">
        <f t="shared" si="0"/>
        <v>3</v>
      </c>
      <c r="D50" s="28">
        <f t="shared" si="1"/>
        <v>3</v>
      </c>
      <c r="E50" s="28">
        <f t="shared" si="2"/>
        <v>0</v>
      </c>
      <c r="F50" s="59" t="str">
        <f t="shared" si="3"/>
        <v/>
      </c>
      <c r="G50" s="42" t="s">
        <v>1293</v>
      </c>
      <c r="H50" s="43" t="s">
        <v>1294</v>
      </c>
      <c r="I50" s="44" t="s">
        <v>1664</v>
      </c>
      <c r="J50" s="45" t="s">
        <v>1295</v>
      </c>
      <c r="K50" s="46" t="s">
        <v>1296</v>
      </c>
      <c r="L50" s="47" t="s">
        <v>3034</v>
      </c>
      <c r="M50" s="48" t="s">
        <v>3035</v>
      </c>
      <c r="N50" s="49"/>
      <c r="O50" s="49"/>
      <c r="P50" s="50"/>
      <c r="Q50" s="59"/>
      <c r="R50" s="13"/>
    </row>
    <row r="51" spans="1:18" ht="75" x14ac:dyDescent="0.25">
      <c r="A51" s="9" t="s">
        <v>21</v>
      </c>
      <c r="B51" s="28">
        <f>IF(ISBLANK(A51),0,INDEX(txtstylestab[],MATCH(A51,txtstylestab[style_Name],0),1))</f>
        <v>0</v>
      </c>
      <c r="C51" s="28">
        <f t="shared" si="0"/>
        <v>3</v>
      </c>
      <c r="D51" s="28">
        <f t="shared" si="1"/>
        <v>3</v>
      </c>
      <c r="E51" s="28">
        <f t="shared" si="2"/>
        <v>0</v>
      </c>
      <c r="F51" s="59" t="str">
        <f t="shared" si="3"/>
        <v/>
      </c>
      <c r="G51" s="42" t="s">
        <v>1297</v>
      </c>
      <c r="H51" s="43" t="s">
        <v>1298</v>
      </c>
      <c r="I51" s="44" t="s">
        <v>1670</v>
      </c>
      <c r="J51" s="45" t="s">
        <v>1568</v>
      </c>
      <c r="K51" s="46" t="s">
        <v>1299</v>
      </c>
      <c r="L51" s="47" t="s">
        <v>3036</v>
      </c>
      <c r="M51" s="48" t="s">
        <v>3037</v>
      </c>
      <c r="N51" s="49"/>
      <c r="O51" s="49"/>
      <c r="P51" s="50"/>
      <c r="Q51" s="59"/>
      <c r="R51" s="13"/>
    </row>
    <row r="52" spans="1:18" x14ac:dyDescent="0.25">
      <c r="A52" s="9" t="s">
        <v>23</v>
      </c>
      <c r="B52" s="28">
        <f>IF(ISBLANK(A52),0,INDEX(txtstylestab[],MATCH(A52,txtstylestab[style_Name],0),1))</f>
        <v>5</v>
      </c>
      <c r="C52" s="28">
        <f t="shared" si="0"/>
        <v>3</v>
      </c>
      <c r="D52" s="28">
        <f t="shared" si="1"/>
        <v>3</v>
      </c>
      <c r="E52" s="28">
        <f t="shared" si="2"/>
        <v>0</v>
      </c>
      <c r="F52" s="56" t="str">
        <f t="shared" si="3"/>
        <v/>
      </c>
      <c r="G52" s="58" t="s">
        <v>1300</v>
      </c>
      <c r="H52" s="58"/>
      <c r="I52" s="58"/>
      <c r="J52" s="58"/>
      <c r="K52" s="58"/>
      <c r="L52" s="58"/>
      <c r="M52" s="58"/>
      <c r="N52" s="58"/>
      <c r="O52" s="58"/>
      <c r="P52" s="58"/>
      <c r="Q52" s="58"/>
      <c r="R52" s="13"/>
    </row>
    <row r="53" spans="1:18" ht="60" x14ac:dyDescent="0.25">
      <c r="A53" s="9" t="s">
        <v>21</v>
      </c>
      <c r="B53" s="28">
        <f>IF(ISBLANK(A53),0,INDEX(txtstylestab[],MATCH(A53,txtstylestab[style_Name],0),1))</f>
        <v>0</v>
      </c>
      <c r="C53" s="28">
        <f t="shared" si="0"/>
        <v>3</v>
      </c>
      <c r="D53" s="28">
        <f t="shared" si="1"/>
        <v>3</v>
      </c>
      <c r="E53" s="28">
        <f t="shared" si="2"/>
        <v>0</v>
      </c>
      <c r="F53" s="59" t="str">
        <f t="shared" si="3"/>
        <v/>
      </c>
      <c r="G53" s="42" t="s">
        <v>1301</v>
      </c>
      <c r="H53" s="43" t="s">
        <v>1302</v>
      </c>
      <c r="I53" s="44" t="s">
        <v>1665</v>
      </c>
      <c r="J53" s="45" t="s">
        <v>1586</v>
      </c>
      <c r="K53" s="46" t="s">
        <v>1303</v>
      </c>
      <c r="L53" s="47" t="s">
        <v>3038</v>
      </c>
      <c r="M53" s="48" t="s">
        <v>3039</v>
      </c>
      <c r="N53" s="49"/>
      <c r="O53" s="49"/>
      <c r="P53" s="50"/>
      <c r="Q53" s="59"/>
      <c r="R53" s="13"/>
    </row>
    <row r="54" spans="1:18" x14ac:dyDescent="0.25">
      <c r="A54" s="9" t="s">
        <v>22</v>
      </c>
      <c r="B54" s="28">
        <f>IF(ISBLANK(A54),0,INDEX(txtstylestab[],MATCH(A54,txtstylestab[style_Name],0),1))</f>
        <v>4</v>
      </c>
      <c r="C54" s="28">
        <f t="shared" si="0"/>
        <v>3</v>
      </c>
      <c r="D54" s="28">
        <f t="shared" si="1"/>
        <v>3</v>
      </c>
      <c r="E54" s="28">
        <f t="shared" si="2"/>
        <v>0</v>
      </c>
      <c r="F54" s="56" t="str">
        <f t="shared" si="3"/>
        <v/>
      </c>
      <c r="G54" s="53" t="s">
        <v>1304</v>
      </c>
      <c r="H54" s="53"/>
      <c r="I54" s="53"/>
      <c r="J54" s="53"/>
      <c r="K54" s="53"/>
      <c r="L54" s="53"/>
      <c r="M54" s="53"/>
      <c r="N54" s="53"/>
      <c r="O54" s="53"/>
      <c r="P54" s="53"/>
      <c r="Q54" s="53"/>
      <c r="R54" s="13"/>
    </row>
    <row r="55" spans="1:18" ht="30" x14ac:dyDescent="0.25">
      <c r="A55" s="9" t="s">
        <v>21</v>
      </c>
      <c r="B55" s="28">
        <f>IF(ISBLANK(A55),0,INDEX(txtstylestab[],MATCH(A55,txtstylestab[style_Name],0),1))</f>
        <v>0</v>
      </c>
      <c r="C55" s="28">
        <f t="shared" si="0"/>
        <v>3</v>
      </c>
      <c r="D55" s="28">
        <f t="shared" si="1"/>
        <v>3</v>
      </c>
      <c r="E55" s="28">
        <f t="shared" si="2"/>
        <v>0</v>
      </c>
      <c r="F55" s="59" t="str">
        <f t="shared" si="3"/>
        <v/>
      </c>
      <c r="G55" s="42" t="s">
        <v>1270</v>
      </c>
      <c r="H55" s="43" t="s">
        <v>1271</v>
      </c>
      <c r="I55" s="44" t="s">
        <v>1305</v>
      </c>
      <c r="J55" s="45" t="s">
        <v>1273</v>
      </c>
      <c r="K55" s="46" t="s">
        <v>1306</v>
      </c>
      <c r="L55" s="47" t="s">
        <v>3024</v>
      </c>
      <c r="M55" s="48" t="s">
        <v>3025</v>
      </c>
      <c r="N55" s="49"/>
      <c r="O55" s="49"/>
      <c r="P55" s="50"/>
      <c r="Q55" s="59"/>
      <c r="R55" s="13"/>
    </row>
    <row r="56" spans="1:18" ht="45" x14ac:dyDescent="0.25">
      <c r="A56" s="9" t="s">
        <v>21</v>
      </c>
      <c r="B56" s="28">
        <f>IF(ISBLANK(A56),0,INDEX(txtstylestab[],MATCH(A56,txtstylestab[style_Name],0),1))</f>
        <v>0</v>
      </c>
      <c r="C56" s="28">
        <f t="shared" si="0"/>
        <v>3</v>
      </c>
      <c r="D56" s="28">
        <f t="shared" si="1"/>
        <v>3</v>
      </c>
      <c r="E56" s="28">
        <f t="shared" si="2"/>
        <v>0</v>
      </c>
      <c r="F56" s="59" t="str">
        <f t="shared" si="3"/>
        <v/>
      </c>
      <c r="G56" s="42" t="s">
        <v>1307</v>
      </c>
      <c r="H56" s="43" t="s">
        <v>1276</v>
      </c>
      <c r="I56" s="44" t="s">
        <v>1308</v>
      </c>
      <c r="J56" s="45" t="s">
        <v>1278</v>
      </c>
      <c r="K56" s="46" t="s">
        <v>1309</v>
      </c>
      <c r="L56" s="47" t="s">
        <v>3026</v>
      </c>
      <c r="M56" s="48" t="s">
        <v>3027</v>
      </c>
      <c r="N56" s="49"/>
      <c r="O56" s="49"/>
      <c r="P56" s="50"/>
      <c r="Q56" s="59"/>
      <c r="R56" s="13"/>
    </row>
    <row r="57" spans="1:18" ht="30" x14ac:dyDescent="0.25">
      <c r="A57" s="9" t="s">
        <v>21</v>
      </c>
      <c r="B57" s="28">
        <f>IF(ISBLANK(A57),0,INDEX(txtstylestab[],MATCH(A57,txtstylestab[style_Name],0),1))</f>
        <v>0</v>
      </c>
      <c r="C57" s="28">
        <f t="shared" si="0"/>
        <v>3</v>
      </c>
      <c r="D57" s="28">
        <f t="shared" si="1"/>
        <v>3</v>
      </c>
      <c r="E57" s="28">
        <f t="shared" si="2"/>
        <v>0</v>
      </c>
      <c r="F57" s="59" t="str">
        <f t="shared" si="3"/>
        <v/>
      </c>
      <c r="G57" s="42" t="s">
        <v>155</v>
      </c>
      <c r="H57" s="43" t="s">
        <v>156</v>
      </c>
      <c r="I57" s="44" t="s">
        <v>1310</v>
      </c>
      <c r="J57" s="45" t="s">
        <v>1311</v>
      </c>
      <c r="K57" s="46" t="s">
        <v>1312</v>
      </c>
      <c r="L57" s="47" t="s">
        <v>3028</v>
      </c>
      <c r="M57" s="48" t="s">
        <v>3029</v>
      </c>
      <c r="N57" s="49"/>
      <c r="O57" s="49"/>
      <c r="P57" s="50"/>
      <c r="Q57" s="59"/>
      <c r="R57" s="13"/>
    </row>
    <row r="58" spans="1:18" ht="30" x14ac:dyDescent="0.25">
      <c r="A58" s="9" t="s">
        <v>21</v>
      </c>
      <c r="B58" s="28">
        <f>IF(ISBLANK(A58),0,INDEX(txtstylestab[],MATCH(A58,txtstylestab[style_Name],0),1))</f>
        <v>0</v>
      </c>
      <c r="C58" s="28">
        <f t="shared" si="0"/>
        <v>3</v>
      </c>
      <c r="D58" s="28">
        <f t="shared" si="1"/>
        <v>3</v>
      </c>
      <c r="E58" s="28">
        <f t="shared" si="2"/>
        <v>0</v>
      </c>
      <c r="F58" s="59" t="str">
        <f t="shared" si="3"/>
        <v/>
      </c>
      <c r="G58" s="42" t="s">
        <v>1313</v>
      </c>
      <c r="H58" s="43" t="s">
        <v>1314</v>
      </c>
      <c r="I58" s="44" t="s">
        <v>1315</v>
      </c>
      <c r="J58" s="45" t="s">
        <v>1316</v>
      </c>
      <c r="K58" s="46" t="s">
        <v>1317</v>
      </c>
      <c r="L58" s="47" t="s">
        <v>3040</v>
      </c>
      <c r="M58" s="48" t="s">
        <v>3041</v>
      </c>
      <c r="N58" s="49"/>
      <c r="O58" s="49"/>
      <c r="P58" s="50"/>
      <c r="Q58" s="59"/>
      <c r="R58" s="13"/>
    </row>
    <row r="59" spans="1:18" ht="30" x14ac:dyDescent="0.25">
      <c r="A59" s="9" t="s">
        <v>21</v>
      </c>
      <c r="B59" s="28">
        <f>IF(ISBLANK(A59),0,INDEX(txtstylestab[],MATCH(A59,txtstylestab[style_Name],0),1))</f>
        <v>0</v>
      </c>
      <c r="C59" s="28">
        <f t="shared" si="0"/>
        <v>3</v>
      </c>
      <c r="D59" s="28">
        <f t="shared" si="1"/>
        <v>3</v>
      </c>
      <c r="E59" s="28">
        <f t="shared" si="2"/>
        <v>0</v>
      </c>
      <c r="F59" s="59" t="str">
        <f t="shared" si="3"/>
        <v/>
      </c>
      <c r="G59" s="42" t="s">
        <v>177</v>
      </c>
      <c r="H59" s="43" t="s">
        <v>196</v>
      </c>
      <c r="I59" s="44" t="s">
        <v>1318</v>
      </c>
      <c r="J59" s="45" t="s">
        <v>1284</v>
      </c>
      <c r="K59" s="46" t="s">
        <v>198</v>
      </c>
      <c r="L59" s="47" t="s">
        <v>2406</v>
      </c>
      <c r="M59" s="48" t="s">
        <v>2407</v>
      </c>
      <c r="N59" s="49"/>
      <c r="O59" s="49"/>
      <c r="P59" s="50"/>
      <c r="Q59" s="59"/>
      <c r="R59" s="13"/>
    </row>
    <row r="60" spans="1:18" ht="45" x14ac:dyDescent="0.25">
      <c r="A60" s="9" t="s">
        <v>21</v>
      </c>
      <c r="B60" s="28">
        <f>IF(ISBLANK(A60),0,INDEX(txtstylestab[],MATCH(A60,txtstylestab[style_Name],0),1))</f>
        <v>0</v>
      </c>
      <c r="C60" s="28">
        <f t="shared" si="0"/>
        <v>3</v>
      </c>
      <c r="D60" s="28">
        <f t="shared" si="1"/>
        <v>3</v>
      </c>
      <c r="E60" s="28">
        <f t="shared" si="2"/>
        <v>0</v>
      </c>
      <c r="F60" s="59" t="str">
        <f t="shared" si="3"/>
        <v/>
      </c>
      <c r="G60" s="42" t="s">
        <v>1285</v>
      </c>
      <c r="H60" s="43" t="s">
        <v>2150</v>
      </c>
      <c r="I60" s="44" t="s">
        <v>1753</v>
      </c>
      <c r="J60" s="45" t="s">
        <v>1569</v>
      </c>
      <c r="K60" s="46" t="s">
        <v>1286</v>
      </c>
      <c r="L60" s="47" t="s">
        <v>3030</v>
      </c>
      <c r="M60" s="48" t="s">
        <v>3031</v>
      </c>
      <c r="N60" s="49"/>
      <c r="O60" s="49"/>
      <c r="P60" s="50"/>
      <c r="Q60" s="59"/>
      <c r="R60" s="13"/>
    </row>
    <row r="61" spans="1:18" ht="60" x14ac:dyDescent="0.25">
      <c r="A61" s="9" t="s">
        <v>21</v>
      </c>
      <c r="B61" s="28">
        <f>IF(ISBLANK(A61),0,INDEX(txtstylestab[],MATCH(A61,txtstylestab[style_Name],0),1))</f>
        <v>0</v>
      </c>
      <c r="C61" s="28">
        <f t="shared" si="0"/>
        <v>3</v>
      </c>
      <c r="D61" s="28">
        <f t="shared" si="1"/>
        <v>3</v>
      </c>
      <c r="E61" s="28">
        <f t="shared" si="2"/>
        <v>0</v>
      </c>
      <c r="F61" s="59" t="str">
        <f t="shared" si="3"/>
        <v/>
      </c>
      <c r="G61" s="42" t="s">
        <v>1319</v>
      </c>
      <c r="H61" s="43" t="s">
        <v>1288</v>
      </c>
      <c r="I61" s="44" t="s">
        <v>1666</v>
      </c>
      <c r="J61" s="45" t="s">
        <v>1320</v>
      </c>
      <c r="K61" s="46" t="s">
        <v>1321</v>
      </c>
      <c r="L61" s="47" t="s">
        <v>3032</v>
      </c>
      <c r="M61" s="48" t="s">
        <v>3033</v>
      </c>
      <c r="N61" s="49"/>
      <c r="O61" s="49"/>
      <c r="P61" s="50"/>
      <c r="Q61" s="59"/>
      <c r="R61" s="13"/>
    </row>
    <row r="62" spans="1:18" x14ac:dyDescent="0.25">
      <c r="A62" s="9" t="s">
        <v>23</v>
      </c>
      <c r="B62" s="28">
        <f>IF(ISBLANK(A62),0,INDEX(txtstylestab[],MATCH(A62,txtstylestab[style_Name],0),1))</f>
        <v>5</v>
      </c>
      <c r="C62" s="28">
        <f t="shared" si="0"/>
        <v>3</v>
      </c>
      <c r="D62" s="28">
        <f t="shared" si="1"/>
        <v>3</v>
      </c>
      <c r="E62" s="28">
        <f t="shared" si="2"/>
        <v>0</v>
      </c>
      <c r="F62" s="56" t="str">
        <f t="shared" si="3"/>
        <v/>
      </c>
      <c r="G62" s="58" t="s">
        <v>1322</v>
      </c>
      <c r="H62" s="58"/>
      <c r="I62" s="58"/>
      <c r="J62" s="58"/>
      <c r="K62" s="58"/>
      <c r="L62" s="58"/>
      <c r="M62" s="58"/>
      <c r="N62" s="58"/>
      <c r="O62" s="58"/>
      <c r="P62" s="58"/>
      <c r="Q62" s="58"/>
      <c r="R62" s="13"/>
    </row>
    <row r="63" spans="1:18" ht="45" x14ac:dyDescent="0.25">
      <c r="A63" s="9" t="s">
        <v>21</v>
      </c>
      <c r="B63" s="28">
        <f>IF(ISBLANK(A63),0,INDEX(txtstylestab[],MATCH(A63,txtstylestab[style_Name],0),1))</f>
        <v>0</v>
      </c>
      <c r="C63" s="28">
        <f t="shared" si="0"/>
        <v>3</v>
      </c>
      <c r="D63" s="28">
        <f t="shared" si="1"/>
        <v>3</v>
      </c>
      <c r="E63" s="28">
        <f t="shared" si="2"/>
        <v>0</v>
      </c>
      <c r="F63" s="59" t="str">
        <f t="shared" si="3"/>
        <v/>
      </c>
      <c r="G63" s="42" t="s">
        <v>1293</v>
      </c>
      <c r="H63" s="43" t="s">
        <v>1294</v>
      </c>
      <c r="I63" s="44" t="s">
        <v>1667</v>
      </c>
      <c r="J63" s="45" t="s">
        <v>1295</v>
      </c>
      <c r="K63" s="46" t="s">
        <v>1296</v>
      </c>
      <c r="L63" s="47" t="s">
        <v>3034</v>
      </c>
      <c r="M63" s="48" t="s">
        <v>3035</v>
      </c>
      <c r="N63" s="49"/>
      <c r="O63" s="49"/>
      <c r="P63" s="50"/>
      <c r="Q63" s="59"/>
      <c r="R63" s="13"/>
    </row>
    <row r="64" spans="1:18" ht="75" x14ac:dyDescent="0.25">
      <c r="A64" s="9" t="s">
        <v>21</v>
      </c>
      <c r="B64" s="28">
        <f>IF(ISBLANK(A64),0,INDEX(txtstylestab[],MATCH(A64,txtstylestab[style_Name],0),1))</f>
        <v>0</v>
      </c>
      <c r="C64" s="28">
        <f t="shared" si="0"/>
        <v>3</v>
      </c>
      <c r="D64" s="28">
        <f t="shared" si="1"/>
        <v>3</v>
      </c>
      <c r="E64" s="28">
        <f t="shared" si="2"/>
        <v>0</v>
      </c>
      <c r="F64" s="59" t="str">
        <f t="shared" si="3"/>
        <v/>
      </c>
      <c r="G64" s="42" t="s">
        <v>1297</v>
      </c>
      <c r="H64" s="43" t="s">
        <v>1323</v>
      </c>
      <c r="I64" s="44" t="s">
        <v>1668</v>
      </c>
      <c r="J64" s="45" t="s">
        <v>1570</v>
      </c>
      <c r="K64" s="46" t="s">
        <v>1299</v>
      </c>
      <c r="L64" s="47" t="s">
        <v>3036</v>
      </c>
      <c r="M64" s="48" t="s">
        <v>3037</v>
      </c>
      <c r="N64" s="49"/>
      <c r="O64" s="49"/>
      <c r="P64" s="50"/>
      <c r="Q64" s="59"/>
      <c r="R64" s="13"/>
    </row>
    <row r="65" spans="1:18" ht="135" x14ac:dyDescent="0.25">
      <c r="A65" s="9" t="s">
        <v>21</v>
      </c>
      <c r="B65" s="28">
        <f>IF(ISBLANK(A65),0,INDEX(txtstylestab[],MATCH(A65,txtstylestab[style_Name],0),1))</f>
        <v>0</v>
      </c>
      <c r="C65" s="28">
        <f t="shared" si="0"/>
        <v>3</v>
      </c>
      <c r="D65" s="28">
        <f t="shared" si="1"/>
        <v>3</v>
      </c>
      <c r="E65" s="28">
        <f t="shared" si="2"/>
        <v>0</v>
      </c>
      <c r="F65" s="59" t="str">
        <f t="shared" si="3"/>
        <v/>
      </c>
      <c r="G65" s="42" t="s">
        <v>1324</v>
      </c>
      <c r="H65" s="43" t="s">
        <v>2272</v>
      </c>
      <c r="I65" s="44" t="s">
        <v>1754</v>
      </c>
      <c r="J65" s="45" t="s">
        <v>1325</v>
      </c>
      <c r="K65" s="46" t="s">
        <v>1326</v>
      </c>
      <c r="L65" s="47" t="s">
        <v>3042</v>
      </c>
      <c r="M65" s="48" t="s">
        <v>3043</v>
      </c>
      <c r="N65" s="49"/>
      <c r="O65" s="49"/>
      <c r="P65" s="50"/>
      <c r="Q65" s="59"/>
      <c r="R65" s="13"/>
    </row>
    <row r="66" spans="1:18" x14ac:dyDescent="0.25">
      <c r="A66" s="9" t="s">
        <v>23</v>
      </c>
      <c r="B66" s="28">
        <f>IF(ISBLANK(A66),0,INDEX(txtstylestab[],MATCH(A66,txtstylestab[style_Name],0),1))</f>
        <v>5</v>
      </c>
      <c r="C66" s="28">
        <f t="shared" si="0"/>
        <v>3</v>
      </c>
      <c r="D66" s="28">
        <f t="shared" si="1"/>
        <v>3</v>
      </c>
      <c r="E66" s="28">
        <f t="shared" si="2"/>
        <v>0</v>
      </c>
      <c r="F66" s="56" t="str">
        <f t="shared" si="3"/>
        <v/>
      </c>
      <c r="G66" s="58" t="s">
        <v>1327</v>
      </c>
      <c r="H66" s="58"/>
      <c r="I66" s="58"/>
      <c r="J66" s="58"/>
      <c r="K66" s="58"/>
      <c r="L66" s="58"/>
      <c r="M66" s="58"/>
      <c r="N66" s="58"/>
      <c r="O66" s="58"/>
      <c r="P66" s="58"/>
      <c r="Q66" s="58"/>
      <c r="R66" s="13"/>
    </row>
    <row r="67" spans="1:18" ht="60" x14ac:dyDescent="0.25">
      <c r="A67" s="9" t="s">
        <v>21</v>
      </c>
      <c r="B67" s="28">
        <f>IF(ISBLANK(A67),0,INDEX(txtstylestab[],MATCH(A67,txtstylestab[style_Name],0),1))</f>
        <v>0</v>
      </c>
      <c r="C67" s="28">
        <f t="shared" si="0"/>
        <v>3</v>
      </c>
      <c r="D67" s="28">
        <f t="shared" si="1"/>
        <v>3</v>
      </c>
      <c r="E67" s="28">
        <f t="shared" si="2"/>
        <v>0</v>
      </c>
      <c r="F67" s="59" t="str">
        <f t="shared" si="3"/>
        <v/>
      </c>
      <c r="G67" s="42" t="s">
        <v>1328</v>
      </c>
      <c r="H67" s="43" t="s">
        <v>1329</v>
      </c>
      <c r="I67" s="44" t="s">
        <v>1669</v>
      </c>
      <c r="J67" s="45" t="s">
        <v>1330</v>
      </c>
      <c r="K67" s="46" t="s">
        <v>1331</v>
      </c>
      <c r="L67" s="47" t="s">
        <v>3044</v>
      </c>
      <c r="M67" s="48" t="s">
        <v>3045</v>
      </c>
      <c r="N67" s="49"/>
      <c r="O67" s="49"/>
      <c r="P67" s="50"/>
      <c r="Q67" s="59"/>
      <c r="R67" s="13"/>
    </row>
    <row r="68" spans="1:18" ht="75" x14ac:dyDescent="0.25">
      <c r="A68" s="9" t="s">
        <v>21</v>
      </c>
      <c r="B68" s="28">
        <f>IF(ISBLANK(A68),0,INDEX(txtstylestab[],MATCH(A68,txtstylestab[style_Name],0),1))</f>
        <v>0</v>
      </c>
      <c r="C68" s="28">
        <f t="shared" ref="C68:C131" si="4">IF(B68=1,C67+1,C67)</f>
        <v>3</v>
      </c>
      <c r="D68" s="28">
        <f t="shared" ref="D68:D131" si="5">IF(B68=1,0,IF(B68=2,D67+1,IF(AND(B68=3,D67=0),1,D67)))</f>
        <v>3</v>
      </c>
      <c r="E68" s="28">
        <f t="shared" ref="E68:E131" si="6">IF(OR(B68=1,B68=2),0,IF(B68=3,E67+1,E67))</f>
        <v>0</v>
      </c>
      <c r="F68" s="59" t="str">
        <f t="shared" ref="F68:F131" si="7">IF(OR(B68=1,B68=2,B68=3),TEXT(C68,"#")&amp;".","")&amp;IF(OR(B68=2,B68=3),TEXT(D68,"#")&amp;".","")&amp;IF(B68=3,TEXT(E68,"#")&amp;".","")</f>
        <v/>
      </c>
      <c r="G68" s="42" t="s">
        <v>1297</v>
      </c>
      <c r="H68" s="43" t="s">
        <v>1323</v>
      </c>
      <c r="I68" s="44" t="s">
        <v>1670</v>
      </c>
      <c r="J68" s="45" t="s">
        <v>1571</v>
      </c>
      <c r="K68" s="46" t="s">
        <v>1299</v>
      </c>
      <c r="L68" s="47" t="s">
        <v>3046</v>
      </c>
      <c r="M68" s="48" t="s">
        <v>3037</v>
      </c>
      <c r="N68" s="49"/>
      <c r="O68" s="49"/>
      <c r="P68" s="50"/>
      <c r="Q68" s="59"/>
      <c r="R68" s="13"/>
    </row>
    <row r="69" spans="1:18" ht="105" x14ac:dyDescent="0.25">
      <c r="A69" s="9" t="s">
        <v>21</v>
      </c>
      <c r="B69" s="28">
        <f>IF(ISBLANK(A69),0,INDEX(txtstylestab[],MATCH(A69,txtstylestab[style_Name],0),1))</f>
        <v>0</v>
      </c>
      <c r="C69" s="28">
        <f t="shared" si="4"/>
        <v>3</v>
      </c>
      <c r="D69" s="28">
        <f t="shared" si="5"/>
        <v>3</v>
      </c>
      <c r="E69" s="28">
        <f t="shared" si="6"/>
        <v>0</v>
      </c>
      <c r="F69" s="59" t="str">
        <f t="shared" si="7"/>
        <v/>
      </c>
      <c r="G69" s="42" t="s">
        <v>1332</v>
      </c>
      <c r="H69" s="43" t="s">
        <v>2273</v>
      </c>
      <c r="I69" s="44" t="s">
        <v>1755</v>
      </c>
      <c r="J69" s="45" t="s">
        <v>1333</v>
      </c>
      <c r="K69" s="46" t="s">
        <v>1334</v>
      </c>
      <c r="L69" s="47" t="s">
        <v>3036</v>
      </c>
      <c r="M69" s="48" t="s">
        <v>3047</v>
      </c>
      <c r="N69" s="49"/>
      <c r="O69" s="49"/>
      <c r="P69" s="50"/>
      <c r="Q69" s="59"/>
      <c r="R69" s="13"/>
    </row>
    <row r="70" spans="1:18" x14ac:dyDescent="0.25">
      <c r="A70" s="9" t="s">
        <v>23</v>
      </c>
      <c r="B70" s="28">
        <f>IF(ISBLANK(A70),0,INDEX(txtstylestab[],MATCH(A70,txtstylestab[style_Name],0),1))</f>
        <v>5</v>
      </c>
      <c r="C70" s="28">
        <f t="shared" si="4"/>
        <v>3</v>
      </c>
      <c r="D70" s="28">
        <f t="shared" si="5"/>
        <v>3</v>
      </c>
      <c r="E70" s="28">
        <f t="shared" si="6"/>
        <v>0</v>
      </c>
      <c r="F70" s="56" t="str">
        <f t="shared" si="7"/>
        <v/>
      </c>
      <c r="G70" s="58" t="s">
        <v>1335</v>
      </c>
      <c r="H70" s="58"/>
      <c r="I70" s="58"/>
      <c r="J70" s="58"/>
      <c r="K70" s="58"/>
      <c r="L70" s="58"/>
      <c r="M70" s="58"/>
      <c r="N70" s="58"/>
      <c r="O70" s="58"/>
      <c r="P70" s="58"/>
      <c r="Q70" s="58"/>
      <c r="R70" s="13"/>
    </row>
    <row r="71" spans="1:18" ht="60" x14ac:dyDescent="0.25">
      <c r="A71" s="9" t="s">
        <v>21</v>
      </c>
      <c r="B71" s="28">
        <f>IF(ISBLANK(A71),0,INDEX(txtstylestab[],MATCH(A71,txtstylestab[style_Name],0),1))</f>
        <v>0</v>
      </c>
      <c r="C71" s="28">
        <f t="shared" si="4"/>
        <v>3</v>
      </c>
      <c r="D71" s="28">
        <f t="shared" si="5"/>
        <v>3</v>
      </c>
      <c r="E71" s="28">
        <f t="shared" si="6"/>
        <v>0</v>
      </c>
      <c r="F71" s="59" t="str">
        <f t="shared" si="7"/>
        <v/>
      </c>
      <c r="G71" s="42" t="s">
        <v>1301</v>
      </c>
      <c r="H71" s="43" t="s">
        <v>1302</v>
      </c>
      <c r="I71" s="44" t="s">
        <v>1671</v>
      </c>
      <c r="J71" s="45" t="s">
        <v>1336</v>
      </c>
      <c r="K71" s="46" t="s">
        <v>1303</v>
      </c>
      <c r="L71" s="47" t="s">
        <v>3048</v>
      </c>
      <c r="M71" s="48" t="s">
        <v>3049</v>
      </c>
      <c r="N71" s="49"/>
      <c r="O71" s="49"/>
      <c r="P71" s="50"/>
      <c r="Q71" s="59"/>
      <c r="R71" s="13"/>
    </row>
    <row r="72" spans="1:18" ht="90" x14ac:dyDescent="0.25">
      <c r="A72" s="9" t="s">
        <v>21</v>
      </c>
      <c r="B72" s="28">
        <f>IF(ISBLANK(A72),0,INDEX(txtstylestab[],MATCH(A72,txtstylestab[style_Name],0),1))</f>
        <v>0</v>
      </c>
      <c r="C72" s="28">
        <f t="shared" si="4"/>
        <v>3</v>
      </c>
      <c r="D72" s="28">
        <f t="shared" si="5"/>
        <v>3</v>
      </c>
      <c r="E72" s="28">
        <f t="shared" si="6"/>
        <v>0</v>
      </c>
      <c r="F72" s="59" t="str">
        <f t="shared" si="7"/>
        <v/>
      </c>
      <c r="G72" s="42" t="s">
        <v>1337</v>
      </c>
      <c r="H72" s="43" t="s">
        <v>2126</v>
      </c>
      <c r="I72" s="44" t="s">
        <v>1756</v>
      </c>
      <c r="J72" s="45" t="s">
        <v>1338</v>
      </c>
      <c r="K72" s="46" t="s">
        <v>1339</v>
      </c>
      <c r="L72" s="47" t="s">
        <v>3050</v>
      </c>
      <c r="M72" s="48" t="s">
        <v>3051</v>
      </c>
      <c r="N72" s="49"/>
      <c r="O72" s="49"/>
      <c r="P72" s="50"/>
      <c r="Q72" s="59"/>
      <c r="R72" s="13"/>
    </row>
    <row r="73" spans="1:18" x14ac:dyDescent="0.25">
      <c r="A73" s="9" t="s">
        <v>22</v>
      </c>
      <c r="B73" s="28">
        <f>IF(ISBLANK(A73),0,INDEX(txtstylestab[],MATCH(A73,txtstylestab[style_Name],0),1))</f>
        <v>4</v>
      </c>
      <c r="C73" s="28">
        <f t="shared" si="4"/>
        <v>3</v>
      </c>
      <c r="D73" s="28">
        <f t="shared" si="5"/>
        <v>3</v>
      </c>
      <c r="E73" s="28">
        <f t="shared" si="6"/>
        <v>0</v>
      </c>
      <c r="F73" s="56" t="str">
        <f t="shared" si="7"/>
        <v/>
      </c>
      <c r="G73" s="53" t="s">
        <v>1340</v>
      </c>
      <c r="H73" s="53"/>
      <c r="I73" s="53"/>
      <c r="J73" s="53"/>
      <c r="K73" s="53"/>
      <c r="L73" s="53"/>
      <c r="M73" s="53"/>
      <c r="N73" s="53"/>
      <c r="O73" s="53"/>
      <c r="P73" s="53"/>
      <c r="Q73" s="53"/>
      <c r="R73" s="13"/>
    </row>
    <row r="74" spans="1:18" ht="30" x14ac:dyDescent="0.25">
      <c r="A74" s="9" t="s">
        <v>21</v>
      </c>
      <c r="B74" s="28">
        <f>IF(ISBLANK(A74),0,INDEX(txtstylestab[],MATCH(A74,txtstylestab[style_Name],0),1))</f>
        <v>0</v>
      </c>
      <c r="C74" s="28">
        <f t="shared" si="4"/>
        <v>3</v>
      </c>
      <c r="D74" s="28">
        <f t="shared" si="5"/>
        <v>3</v>
      </c>
      <c r="E74" s="28">
        <f t="shared" si="6"/>
        <v>0</v>
      </c>
      <c r="F74" s="59" t="str">
        <f t="shared" si="7"/>
        <v/>
      </c>
      <c r="G74" s="42" t="s">
        <v>1270</v>
      </c>
      <c r="H74" s="43" t="s">
        <v>1271</v>
      </c>
      <c r="I74" s="44" t="s">
        <v>1272</v>
      </c>
      <c r="J74" s="45" t="s">
        <v>1273</v>
      </c>
      <c r="K74" s="46" t="s">
        <v>1274</v>
      </c>
      <c r="L74" s="47" t="s">
        <v>3024</v>
      </c>
      <c r="M74" s="48" t="s">
        <v>3025</v>
      </c>
      <c r="N74" s="49"/>
      <c r="O74" s="49"/>
      <c r="P74" s="50"/>
      <c r="Q74" s="59"/>
      <c r="R74" s="13"/>
    </row>
    <row r="75" spans="1:18" ht="45" x14ac:dyDescent="0.25">
      <c r="A75" s="9" t="s">
        <v>21</v>
      </c>
      <c r="B75" s="28">
        <f>IF(ISBLANK(A75),0,INDEX(txtstylestab[],MATCH(A75,txtstylestab[style_Name],0),1))</f>
        <v>0</v>
      </c>
      <c r="C75" s="28">
        <f t="shared" si="4"/>
        <v>3</v>
      </c>
      <c r="D75" s="28">
        <f t="shared" si="5"/>
        <v>3</v>
      </c>
      <c r="E75" s="28">
        <f t="shared" si="6"/>
        <v>0</v>
      </c>
      <c r="F75" s="59" t="str">
        <f t="shared" si="7"/>
        <v/>
      </c>
      <c r="G75" s="42" t="s">
        <v>1307</v>
      </c>
      <c r="H75" s="43" t="s">
        <v>1276</v>
      </c>
      <c r="I75" s="44" t="s">
        <v>1308</v>
      </c>
      <c r="J75" s="45" t="s">
        <v>1341</v>
      </c>
      <c r="K75" s="46" t="s">
        <v>1309</v>
      </c>
      <c r="L75" s="47" t="s">
        <v>3026</v>
      </c>
      <c r="M75" s="48" t="s">
        <v>3027</v>
      </c>
      <c r="N75" s="49"/>
      <c r="O75" s="49"/>
      <c r="P75" s="50"/>
      <c r="Q75" s="59"/>
      <c r="R75" s="13"/>
    </row>
    <row r="76" spans="1:18" ht="30" x14ac:dyDescent="0.25">
      <c r="A76" s="9" t="s">
        <v>21</v>
      </c>
      <c r="B76" s="28">
        <f>IF(ISBLANK(A76),0,INDEX(txtstylestab[],MATCH(A76,txtstylestab[style_Name],0),1))</f>
        <v>0</v>
      </c>
      <c r="C76" s="28">
        <f t="shared" si="4"/>
        <v>3</v>
      </c>
      <c r="D76" s="28">
        <f t="shared" si="5"/>
        <v>3</v>
      </c>
      <c r="E76" s="28">
        <f t="shared" si="6"/>
        <v>0</v>
      </c>
      <c r="F76" s="59" t="str">
        <f t="shared" si="7"/>
        <v/>
      </c>
      <c r="G76" s="42" t="s">
        <v>183</v>
      </c>
      <c r="H76" s="43" t="s">
        <v>184</v>
      </c>
      <c r="I76" s="44" t="s">
        <v>1310</v>
      </c>
      <c r="J76" s="45" t="s">
        <v>1311</v>
      </c>
      <c r="K76" s="46" t="s">
        <v>1342</v>
      </c>
      <c r="L76" s="47" t="s">
        <v>2404</v>
      </c>
      <c r="M76" s="48" t="s">
        <v>2418</v>
      </c>
      <c r="N76" s="49"/>
      <c r="O76" s="49"/>
      <c r="P76" s="50"/>
      <c r="Q76" s="59"/>
      <c r="R76" s="13"/>
    </row>
    <row r="77" spans="1:18" x14ac:dyDescent="0.25">
      <c r="A77" s="9" t="s">
        <v>21</v>
      </c>
      <c r="B77" s="28">
        <f>IF(ISBLANK(A77),0,INDEX(txtstylestab[],MATCH(A77,txtstylestab[style_Name],0),1))</f>
        <v>0</v>
      </c>
      <c r="C77" s="28">
        <f t="shared" si="4"/>
        <v>3</v>
      </c>
      <c r="D77" s="28">
        <f t="shared" si="5"/>
        <v>3</v>
      </c>
      <c r="E77" s="28">
        <f t="shared" si="6"/>
        <v>0</v>
      </c>
      <c r="F77" s="59" t="str">
        <f t="shared" si="7"/>
        <v/>
      </c>
      <c r="G77" s="42" t="s">
        <v>186</v>
      </c>
      <c r="H77" s="43" t="s">
        <v>187</v>
      </c>
      <c r="I77" s="44" t="s">
        <v>1343</v>
      </c>
      <c r="J77" s="45" t="s">
        <v>1344</v>
      </c>
      <c r="K77" s="46" t="s">
        <v>1345</v>
      </c>
      <c r="L77" s="47" t="s">
        <v>2436</v>
      </c>
      <c r="M77" s="48" t="s">
        <v>2437</v>
      </c>
      <c r="N77" s="49"/>
      <c r="O77" s="49"/>
      <c r="P77" s="50"/>
      <c r="Q77" s="59"/>
      <c r="R77" s="13"/>
    </row>
    <row r="78" spans="1:18" x14ac:dyDescent="0.25">
      <c r="A78" s="9" t="s">
        <v>21</v>
      </c>
      <c r="B78" s="28">
        <f>IF(ISBLANK(A78),0,INDEX(txtstylestab[],MATCH(A78,txtstylestab[style_Name],0),1))</f>
        <v>0</v>
      </c>
      <c r="C78" s="28">
        <f t="shared" si="4"/>
        <v>3</v>
      </c>
      <c r="D78" s="28">
        <f t="shared" si="5"/>
        <v>3</v>
      </c>
      <c r="E78" s="28">
        <f t="shared" si="6"/>
        <v>0</v>
      </c>
      <c r="F78" s="59" t="str">
        <f t="shared" si="7"/>
        <v/>
      </c>
      <c r="G78" s="42" t="s">
        <v>191</v>
      </c>
      <c r="H78" s="43" t="s">
        <v>192</v>
      </c>
      <c r="I78" s="44" t="s">
        <v>1346</v>
      </c>
      <c r="J78" s="45" t="s">
        <v>1347</v>
      </c>
      <c r="K78" s="46" t="s">
        <v>1348</v>
      </c>
      <c r="L78" s="47" t="s">
        <v>2440</v>
      </c>
      <c r="M78" s="48" t="s">
        <v>2420</v>
      </c>
      <c r="N78" s="49"/>
      <c r="O78" s="49"/>
      <c r="P78" s="50"/>
      <c r="Q78" s="59"/>
      <c r="R78" s="13"/>
    </row>
    <row r="79" spans="1:18" ht="30" x14ac:dyDescent="0.25">
      <c r="A79" s="9" t="s">
        <v>21</v>
      </c>
      <c r="B79" s="28">
        <f>IF(ISBLANK(A79),0,INDEX(txtstylestab[],MATCH(A79,txtstylestab[style_Name],0),1))</f>
        <v>0</v>
      </c>
      <c r="C79" s="28">
        <f t="shared" si="4"/>
        <v>3</v>
      </c>
      <c r="D79" s="28">
        <f t="shared" si="5"/>
        <v>3</v>
      </c>
      <c r="E79" s="28">
        <f t="shared" si="6"/>
        <v>0</v>
      </c>
      <c r="F79" s="59" t="str">
        <f t="shared" si="7"/>
        <v/>
      </c>
      <c r="G79" s="42" t="s">
        <v>177</v>
      </c>
      <c r="H79" s="43" t="s">
        <v>196</v>
      </c>
      <c r="I79" s="44" t="s">
        <v>1318</v>
      </c>
      <c r="J79" s="45" t="s">
        <v>1284</v>
      </c>
      <c r="K79" s="46" t="s">
        <v>198</v>
      </c>
      <c r="L79" s="47" t="s">
        <v>2421</v>
      </c>
      <c r="M79" s="48" t="s">
        <v>2422</v>
      </c>
      <c r="N79" s="49"/>
      <c r="O79" s="49"/>
      <c r="P79" s="50"/>
      <c r="Q79" s="59"/>
      <c r="R79" s="13"/>
    </row>
    <row r="80" spans="1:18" ht="45" x14ac:dyDescent="0.25">
      <c r="A80" s="9" t="s">
        <v>21</v>
      </c>
      <c r="B80" s="28">
        <f>IF(ISBLANK(A80),0,INDEX(txtstylestab[],MATCH(A80,txtstylestab[style_Name],0),1))</f>
        <v>0</v>
      </c>
      <c r="C80" s="28">
        <f t="shared" si="4"/>
        <v>3</v>
      </c>
      <c r="D80" s="28">
        <f t="shared" si="5"/>
        <v>3</v>
      </c>
      <c r="E80" s="28">
        <f t="shared" si="6"/>
        <v>0</v>
      </c>
      <c r="F80" s="59" t="str">
        <f t="shared" si="7"/>
        <v/>
      </c>
      <c r="G80" s="42" t="s">
        <v>1285</v>
      </c>
      <c r="H80" s="43" t="s">
        <v>2150</v>
      </c>
      <c r="I80" s="44" t="s">
        <v>1757</v>
      </c>
      <c r="J80" s="45" t="s">
        <v>1569</v>
      </c>
      <c r="K80" s="46" t="s">
        <v>1349</v>
      </c>
      <c r="L80" s="47" t="s">
        <v>3052</v>
      </c>
      <c r="M80" s="48" t="s">
        <v>3053</v>
      </c>
      <c r="N80" s="49"/>
      <c r="O80" s="49"/>
      <c r="P80" s="50"/>
      <c r="Q80" s="59"/>
      <c r="R80" s="13"/>
    </row>
    <row r="81" spans="1:18" ht="75" x14ac:dyDescent="0.25">
      <c r="A81" s="9" t="s">
        <v>21</v>
      </c>
      <c r="B81" s="28">
        <f>IF(ISBLANK(A81),0,INDEX(txtstylestab[],MATCH(A81,txtstylestab[style_Name],0),1))</f>
        <v>0</v>
      </c>
      <c r="C81" s="28">
        <f t="shared" si="4"/>
        <v>3</v>
      </c>
      <c r="D81" s="28">
        <f t="shared" si="5"/>
        <v>3</v>
      </c>
      <c r="E81" s="28">
        <f t="shared" si="6"/>
        <v>0</v>
      </c>
      <c r="F81" s="59" t="str">
        <f t="shared" si="7"/>
        <v/>
      </c>
      <c r="G81" s="42" t="s">
        <v>1319</v>
      </c>
      <c r="H81" s="43" t="s">
        <v>1288</v>
      </c>
      <c r="I81" s="44" t="s">
        <v>1672</v>
      </c>
      <c r="J81" s="45" t="s">
        <v>1320</v>
      </c>
      <c r="K81" s="46" t="s">
        <v>1321</v>
      </c>
      <c r="L81" s="47" t="s">
        <v>3054</v>
      </c>
      <c r="M81" s="48" t="s">
        <v>3055</v>
      </c>
      <c r="N81" s="49"/>
      <c r="O81" s="49"/>
      <c r="P81" s="50"/>
      <c r="Q81" s="59"/>
      <c r="R81" s="13"/>
    </row>
    <row r="82" spans="1:18" x14ac:dyDescent="0.25">
      <c r="A82" s="9" t="s">
        <v>23</v>
      </c>
      <c r="B82" s="28">
        <f>IF(ISBLANK(A82),0,INDEX(txtstylestab[],MATCH(A82,txtstylestab[style_Name],0),1))</f>
        <v>5</v>
      </c>
      <c r="C82" s="28">
        <f t="shared" si="4"/>
        <v>3</v>
      </c>
      <c r="D82" s="28">
        <f t="shared" si="5"/>
        <v>3</v>
      </c>
      <c r="E82" s="28">
        <f t="shared" si="6"/>
        <v>0</v>
      </c>
      <c r="F82" s="56" t="str">
        <f t="shared" si="7"/>
        <v/>
      </c>
      <c r="G82" s="58" t="s">
        <v>1350</v>
      </c>
      <c r="H82" s="58"/>
      <c r="I82" s="58"/>
      <c r="J82" s="58"/>
      <c r="K82" s="58"/>
      <c r="L82" s="58"/>
      <c r="M82" s="58"/>
      <c r="N82" s="58"/>
      <c r="O82" s="58"/>
      <c r="P82" s="58"/>
      <c r="Q82" s="58"/>
      <c r="R82" s="13"/>
    </row>
    <row r="83" spans="1:18" ht="45" x14ac:dyDescent="0.25">
      <c r="A83" s="9" t="s">
        <v>21</v>
      </c>
      <c r="B83" s="28">
        <f>IF(ISBLANK(A83),0,INDEX(txtstylestab[],MATCH(A83,txtstylestab[style_Name],0),1))</f>
        <v>0</v>
      </c>
      <c r="C83" s="28">
        <f t="shared" si="4"/>
        <v>3</v>
      </c>
      <c r="D83" s="28">
        <f t="shared" si="5"/>
        <v>3</v>
      </c>
      <c r="E83" s="28">
        <f t="shared" si="6"/>
        <v>0</v>
      </c>
      <c r="F83" s="59" t="str">
        <f t="shared" si="7"/>
        <v/>
      </c>
      <c r="G83" s="42" t="s">
        <v>1293</v>
      </c>
      <c r="H83" s="43" t="s">
        <v>1294</v>
      </c>
      <c r="I83" s="44" t="s">
        <v>1667</v>
      </c>
      <c r="J83" s="45" t="s">
        <v>1295</v>
      </c>
      <c r="K83" s="46" t="s">
        <v>1296</v>
      </c>
      <c r="L83" s="47" t="s">
        <v>3034</v>
      </c>
      <c r="M83" s="48" t="s">
        <v>3035</v>
      </c>
      <c r="N83" s="49"/>
      <c r="O83" s="49"/>
      <c r="P83" s="50"/>
      <c r="Q83" s="59"/>
      <c r="R83" s="13"/>
    </row>
    <row r="84" spans="1:18" ht="75" x14ac:dyDescent="0.25">
      <c r="A84" s="9" t="s">
        <v>21</v>
      </c>
      <c r="B84" s="28">
        <f>IF(ISBLANK(A84),0,INDEX(txtstylestab[],MATCH(A84,txtstylestab[style_Name],0),1))</f>
        <v>0</v>
      </c>
      <c r="C84" s="28">
        <f t="shared" si="4"/>
        <v>3</v>
      </c>
      <c r="D84" s="28">
        <f t="shared" si="5"/>
        <v>3</v>
      </c>
      <c r="E84" s="28">
        <f t="shared" si="6"/>
        <v>0</v>
      </c>
      <c r="F84" s="59" t="str">
        <f t="shared" si="7"/>
        <v/>
      </c>
      <c r="G84" s="42" t="s">
        <v>1297</v>
      </c>
      <c r="H84" s="43" t="s">
        <v>1351</v>
      </c>
      <c r="I84" s="44" t="s">
        <v>1668</v>
      </c>
      <c r="J84" s="45" t="s">
        <v>1572</v>
      </c>
      <c r="K84" s="46" t="s">
        <v>1299</v>
      </c>
      <c r="L84" s="47" t="s">
        <v>3046</v>
      </c>
      <c r="M84" s="48" t="s">
        <v>3037</v>
      </c>
      <c r="N84" s="49"/>
      <c r="O84" s="49"/>
      <c r="P84" s="50"/>
      <c r="Q84" s="59"/>
      <c r="R84" s="13"/>
    </row>
    <row r="85" spans="1:18" x14ac:dyDescent="0.25">
      <c r="A85" s="9" t="s">
        <v>23</v>
      </c>
      <c r="B85" s="28">
        <f>IF(ISBLANK(A85),0,INDEX(txtstylestab[],MATCH(A85,txtstylestab[style_Name],0),1))</f>
        <v>5</v>
      </c>
      <c r="C85" s="28">
        <f t="shared" si="4"/>
        <v>3</v>
      </c>
      <c r="D85" s="28">
        <f t="shared" si="5"/>
        <v>3</v>
      </c>
      <c r="E85" s="28">
        <f t="shared" si="6"/>
        <v>0</v>
      </c>
      <c r="F85" s="56" t="str">
        <f t="shared" si="7"/>
        <v/>
      </c>
      <c r="G85" s="58" t="s">
        <v>1352</v>
      </c>
      <c r="H85" s="58"/>
      <c r="I85" s="58"/>
      <c r="J85" s="58"/>
      <c r="K85" s="58"/>
      <c r="L85" s="58"/>
      <c r="M85" s="58"/>
      <c r="N85" s="58"/>
      <c r="O85" s="58"/>
      <c r="P85" s="58"/>
      <c r="Q85" s="58"/>
      <c r="R85" s="13"/>
    </row>
    <row r="86" spans="1:18" ht="60" x14ac:dyDescent="0.25">
      <c r="A86" s="9" t="s">
        <v>21</v>
      </c>
      <c r="B86" s="28">
        <f>IF(ISBLANK(A86),0,INDEX(txtstylestab[],MATCH(A86,txtstylestab[style_Name],0),1))</f>
        <v>0</v>
      </c>
      <c r="C86" s="28">
        <f t="shared" si="4"/>
        <v>3</v>
      </c>
      <c r="D86" s="28">
        <f t="shared" si="5"/>
        <v>3</v>
      </c>
      <c r="E86" s="28">
        <f t="shared" si="6"/>
        <v>0</v>
      </c>
      <c r="F86" s="59" t="str">
        <f t="shared" si="7"/>
        <v/>
      </c>
      <c r="G86" s="42" t="s">
        <v>1353</v>
      </c>
      <c r="H86" s="43" t="s">
        <v>1302</v>
      </c>
      <c r="I86" s="44" t="s">
        <v>1673</v>
      </c>
      <c r="J86" s="45" t="s">
        <v>1354</v>
      </c>
      <c r="K86" s="46" t="s">
        <v>1303</v>
      </c>
      <c r="L86" s="47" t="s">
        <v>3048</v>
      </c>
      <c r="M86" s="48" t="s">
        <v>3049</v>
      </c>
      <c r="N86" s="49"/>
      <c r="O86" s="49"/>
      <c r="P86" s="50"/>
      <c r="Q86" s="59"/>
      <c r="R86" s="13"/>
    </row>
    <row r="87" spans="1:18" x14ac:dyDescent="0.25">
      <c r="A87" s="9" t="s">
        <v>23</v>
      </c>
      <c r="B87" s="28">
        <f>IF(ISBLANK(A87),0,INDEX(txtstylestab[],MATCH(A87,txtstylestab[style_Name],0),1))</f>
        <v>5</v>
      </c>
      <c r="C87" s="28">
        <f t="shared" si="4"/>
        <v>3</v>
      </c>
      <c r="D87" s="28">
        <f t="shared" si="5"/>
        <v>3</v>
      </c>
      <c r="E87" s="28">
        <f t="shared" si="6"/>
        <v>0</v>
      </c>
      <c r="F87" s="56" t="str">
        <f t="shared" si="7"/>
        <v/>
      </c>
      <c r="G87" s="58" t="s">
        <v>1355</v>
      </c>
      <c r="H87" s="58"/>
      <c r="I87" s="58"/>
      <c r="J87" s="58"/>
      <c r="K87" s="58"/>
      <c r="L87" s="58"/>
      <c r="M87" s="58"/>
      <c r="N87" s="58"/>
      <c r="O87" s="58"/>
      <c r="P87" s="58"/>
      <c r="Q87" s="58"/>
      <c r="R87" s="13"/>
    </row>
    <row r="88" spans="1:18" ht="90" x14ac:dyDescent="0.25">
      <c r="A88" s="9" t="s">
        <v>21</v>
      </c>
      <c r="B88" s="28">
        <f>IF(ISBLANK(A88),0,INDEX(txtstylestab[],MATCH(A88,txtstylestab[style_Name],0),1))</f>
        <v>0</v>
      </c>
      <c r="C88" s="28">
        <f t="shared" si="4"/>
        <v>3</v>
      </c>
      <c r="D88" s="28">
        <f t="shared" si="5"/>
        <v>3</v>
      </c>
      <c r="E88" s="28">
        <f t="shared" si="6"/>
        <v>0</v>
      </c>
      <c r="F88" s="59" t="str">
        <f t="shared" si="7"/>
        <v/>
      </c>
      <c r="G88" s="42" t="s">
        <v>1356</v>
      </c>
      <c r="H88" s="43" t="s">
        <v>1357</v>
      </c>
      <c r="I88" s="44" t="s">
        <v>1674</v>
      </c>
      <c r="J88" s="45" t="s">
        <v>1358</v>
      </c>
      <c r="K88" s="46" t="s">
        <v>1359</v>
      </c>
      <c r="L88" s="47" t="s">
        <v>3056</v>
      </c>
      <c r="M88" s="48" t="s">
        <v>3057</v>
      </c>
      <c r="N88" s="49"/>
      <c r="O88" s="49"/>
      <c r="P88" s="50"/>
      <c r="Q88" s="59"/>
      <c r="R88" s="13"/>
    </row>
    <row r="89" spans="1:18" x14ac:dyDescent="0.25">
      <c r="A89" s="9" t="s">
        <v>23</v>
      </c>
      <c r="B89" s="28">
        <f>IF(ISBLANK(A89),0,INDEX(txtstylestab[],MATCH(A89,txtstylestab[style_Name],0),1))</f>
        <v>5</v>
      </c>
      <c r="C89" s="28">
        <f t="shared" si="4"/>
        <v>3</v>
      </c>
      <c r="D89" s="28">
        <f t="shared" si="5"/>
        <v>3</v>
      </c>
      <c r="E89" s="28">
        <f t="shared" si="6"/>
        <v>0</v>
      </c>
      <c r="F89" s="56" t="str">
        <f t="shared" si="7"/>
        <v/>
      </c>
      <c r="G89" s="58" t="s">
        <v>1360</v>
      </c>
      <c r="H89" s="58"/>
      <c r="I89" s="58"/>
      <c r="J89" s="58"/>
      <c r="K89" s="58"/>
      <c r="L89" s="58"/>
      <c r="M89" s="58"/>
      <c r="N89" s="58"/>
      <c r="O89" s="58"/>
      <c r="P89" s="58"/>
      <c r="Q89" s="58"/>
      <c r="R89" s="13"/>
    </row>
    <row r="90" spans="1:18" ht="90" x14ac:dyDescent="0.25">
      <c r="A90" s="9" t="s">
        <v>21</v>
      </c>
      <c r="B90" s="28">
        <f>IF(ISBLANK(A90),0,INDEX(txtstylestab[],MATCH(A90,txtstylestab[style_Name],0),1))</f>
        <v>0</v>
      </c>
      <c r="C90" s="28">
        <f t="shared" si="4"/>
        <v>3</v>
      </c>
      <c r="D90" s="28">
        <f t="shared" si="5"/>
        <v>3</v>
      </c>
      <c r="E90" s="28">
        <f t="shared" si="6"/>
        <v>0</v>
      </c>
      <c r="F90" s="59" t="str">
        <f t="shared" si="7"/>
        <v/>
      </c>
      <c r="G90" s="42" t="s">
        <v>1361</v>
      </c>
      <c r="H90" s="43" t="s">
        <v>1362</v>
      </c>
      <c r="I90" s="44" t="s">
        <v>1675</v>
      </c>
      <c r="J90" s="45" t="s">
        <v>1573</v>
      </c>
      <c r="K90" s="46" t="s">
        <v>1363</v>
      </c>
      <c r="L90" s="47" t="s">
        <v>3058</v>
      </c>
      <c r="M90" s="48" t="s">
        <v>3059</v>
      </c>
      <c r="N90" s="49"/>
      <c r="O90" s="49"/>
      <c r="P90" s="50"/>
      <c r="Q90" s="59"/>
      <c r="R90" s="13"/>
    </row>
    <row r="91" spans="1:18" x14ac:dyDescent="0.25">
      <c r="A91" s="9" t="s">
        <v>22</v>
      </c>
      <c r="B91" s="28">
        <f>IF(ISBLANK(A91),0,INDEX(txtstylestab[],MATCH(A91,txtstylestab[style_Name],0),1))</f>
        <v>4</v>
      </c>
      <c r="C91" s="28">
        <f t="shared" si="4"/>
        <v>3</v>
      </c>
      <c r="D91" s="28">
        <f t="shared" si="5"/>
        <v>3</v>
      </c>
      <c r="E91" s="28">
        <f t="shared" si="6"/>
        <v>0</v>
      </c>
      <c r="F91" s="56" t="str">
        <f t="shared" si="7"/>
        <v/>
      </c>
      <c r="G91" s="53" t="s">
        <v>1789</v>
      </c>
      <c r="H91" s="53"/>
      <c r="I91" s="53"/>
      <c r="J91" s="53"/>
      <c r="K91" s="53"/>
      <c r="L91" s="53"/>
      <c r="M91" s="53"/>
      <c r="N91" s="53"/>
      <c r="O91" s="53"/>
      <c r="P91" s="53"/>
      <c r="Q91" s="53"/>
      <c r="R91" s="13"/>
    </row>
    <row r="92" spans="1:18" ht="30" x14ac:dyDescent="0.25">
      <c r="A92" s="9" t="s">
        <v>21</v>
      </c>
      <c r="B92" s="28">
        <f>IF(ISBLANK(A92),0,INDEX(txtstylestab[],MATCH(A92,txtstylestab[style_Name],0),1))</f>
        <v>0</v>
      </c>
      <c r="C92" s="28">
        <f t="shared" si="4"/>
        <v>3</v>
      </c>
      <c r="D92" s="28">
        <f t="shared" si="5"/>
        <v>3</v>
      </c>
      <c r="E92" s="28">
        <f t="shared" si="6"/>
        <v>0</v>
      </c>
      <c r="F92" s="59" t="str">
        <f t="shared" si="7"/>
        <v/>
      </c>
      <c r="G92" s="42" t="s">
        <v>1270</v>
      </c>
      <c r="H92" s="43" t="s">
        <v>1271</v>
      </c>
      <c r="I92" s="44" t="s">
        <v>1305</v>
      </c>
      <c r="J92" s="45" t="s">
        <v>1273</v>
      </c>
      <c r="K92" s="46" t="s">
        <v>1274</v>
      </c>
      <c r="L92" s="47" t="s">
        <v>3024</v>
      </c>
      <c r="M92" s="48" t="s">
        <v>3025</v>
      </c>
      <c r="N92" s="49"/>
      <c r="O92" s="49"/>
      <c r="P92" s="50"/>
      <c r="Q92" s="59"/>
      <c r="R92" s="13"/>
    </row>
    <row r="93" spans="1:18" ht="45" x14ac:dyDescent="0.25">
      <c r="A93" s="9" t="s">
        <v>21</v>
      </c>
      <c r="B93" s="28">
        <f>IF(ISBLANK(A93),0,INDEX(txtstylestab[],MATCH(A93,txtstylestab[style_Name],0),1))</f>
        <v>0</v>
      </c>
      <c r="C93" s="28">
        <f t="shared" si="4"/>
        <v>3</v>
      </c>
      <c r="D93" s="28">
        <f t="shared" si="5"/>
        <v>3</v>
      </c>
      <c r="E93" s="28">
        <f t="shared" si="6"/>
        <v>0</v>
      </c>
      <c r="F93" s="59" t="str">
        <f t="shared" si="7"/>
        <v/>
      </c>
      <c r="G93" s="42" t="s">
        <v>1307</v>
      </c>
      <c r="H93" s="43" t="s">
        <v>1276</v>
      </c>
      <c r="I93" s="44" t="s">
        <v>1364</v>
      </c>
      <c r="J93" s="45" t="s">
        <v>1365</v>
      </c>
      <c r="K93" s="46" t="s">
        <v>1279</v>
      </c>
      <c r="L93" s="47" t="s">
        <v>3026</v>
      </c>
      <c r="M93" s="48" t="s">
        <v>3027</v>
      </c>
      <c r="N93" s="49"/>
      <c r="O93" s="49"/>
      <c r="P93" s="50"/>
      <c r="Q93" s="59"/>
      <c r="R93" s="13"/>
    </row>
    <row r="94" spans="1:18" ht="30" x14ac:dyDescent="0.25">
      <c r="A94" s="9" t="s">
        <v>21</v>
      </c>
      <c r="B94" s="28">
        <f>IF(ISBLANK(A94),0,INDEX(txtstylestab[],MATCH(A94,txtstylestab[style_Name],0),1))</f>
        <v>0</v>
      </c>
      <c r="C94" s="28">
        <f t="shared" si="4"/>
        <v>3</v>
      </c>
      <c r="D94" s="28">
        <f t="shared" si="5"/>
        <v>3</v>
      </c>
      <c r="E94" s="28">
        <f t="shared" si="6"/>
        <v>0</v>
      </c>
      <c r="F94" s="59" t="str">
        <f t="shared" si="7"/>
        <v/>
      </c>
      <c r="G94" s="42" t="s">
        <v>1366</v>
      </c>
      <c r="H94" s="43" t="s">
        <v>235</v>
      </c>
      <c r="I94" s="44" t="s">
        <v>1367</v>
      </c>
      <c r="J94" s="45" t="s">
        <v>1368</v>
      </c>
      <c r="K94" s="46" t="s">
        <v>1369</v>
      </c>
      <c r="L94" s="47" t="s">
        <v>2448</v>
      </c>
      <c r="M94" s="48" t="s">
        <v>2449</v>
      </c>
      <c r="N94" s="49"/>
      <c r="O94" s="49"/>
      <c r="P94" s="50"/>
      <c r="Q94" s="59"/>
      <c r="R94" s="13"/>
    </row>
    <row r="95" spans="1:18" x14ac:dyDescent="0.25">
      <c r="A95" s="9" t="s">
        <v>21</v>
      </c>
      <c r="B95" s="28">
        <f>IF(ISBLANK(A95),0,INDEX(txtstylestab[],MATCH(A95,txtstylestab[style_Name],0),1))</f>
        <v>0</v>
      </c>
      <c r="C95" s="28">
        <f t="shared" si="4"/>
        <v>3</v>
      </c>
      <c r="D95" s="28">
        <f t="shared" si="5"/>
        <v>3</v>
      </c>
      <c r="E95" s="28">
        <f t="shared" si="6"/>
        <v>0</v>
      </c>
      <c r="F95" s="59" t="str">
        <f t="shared" si="7"/>
        <v/>
      </c>
      <c r="G95" s="42" t="s">
        <v>1574</v>
      </c>
      <c r="H95" s="43" t="s">
        <v>1370</v>
      </c>
      <c r="I95" s="44" t="s">
        <v>1371</v>
      </c>
      <c r="J95" s="45" t="s">
        <v>1372</v>
      </c>
      <c r="K95" s="46" t="s">
        <v>1373</v>
      </c>
      <c r="L95" s="47" t="s">
        <v>2450</v>
      </c>
      <c r="M95" s="48" t="s">
        <v>2451</v>
      </c>
      <c r="N95" s="49"/>
      <c r="O95" s="49"/>
      <c r="P95" s="50"/>
      <c r="Q95" s="59"/>
      <c r="R95" s="13"/>
    </row>
    <row r="96" spans="1:18" ht="30" x14ac:dyDescent="0.25">
      <c r="A96" s="9" t="s">
        <v>21</v>
      </c>
      <c r="B96" s="28">
        <f>IF(ISBLANK(A96),0,INDEX(txtstylestab[],MATCH(A96,txtstylestab[style_Name],0),1))</f>
        <v>0</v>
      </c>
      <c r="C96" s="28">
        <f t="shared" si="4"/>
        <v>3</v>
      </c>
      <c r="D96" s="28">
        <f t="shared" si="5"/>
        <v>3</v>
      </c>
      <c r="E96" s="28">
        <f t="shared" si="6"/>
        <v>0</v>
      </c>
      <c r="F96" s="59" t="str">
        <f t="shared" si="7"/>
        <v/>
      </c>
      <c r="G96" s="42" t="s">
        <v>1374</v>
      </c>
      <c r="H96" s="43" t="s">
        <v>244</v>
      </c>
      <c r="I96" s="44" t="s">
        <v>245</v>
      </c>
      <c r="J96" s="45" t="s">
        <v>1375</v>
      </c>
      <c r="K96" s="46" t="s">
        <v>247</v>
      </c>
      <c r="L96" s="47" t="s">
        <v>2452</v>
      </c>
      <c r="M96" s="48" t="s">
        <v>2453</v>
      </c>
      <c r="N96" s="49"/>
      <c r="O96" s="49"/>
      <c r="P96" s="50"/>
      <c r="Q96" s="59"/>
      <c r="R96" s="13"/>
    </row>
    <row r="97" spans="1:18" ht="45" x14ac:dyDescent="0.25">
      <c r="A97" s="9" t="s">
        <v>21</v>
      </c>
      <c r="B97" s="28">
        <f>IF(ISBLANK(A97),0,INDEX(txtstylestab[],MATCH(A97,txtstylestab[style_Name],0),1))</f>
        <v>0</v>
      </c>
      <c r="C97" s="28">
        <f t="shared" si="4"/>
        <v>3</v>
      </c>
      <c r="D97" s="28">
        <f t="shared" si="5"/>
        <v>3</v>
      </c>
      <c r="E97" s="28">
        <f t="shared" si="6"/>
        <v>0</v>
      </c>
      <c r="F97" s="59" t="str">
        <f t="shared" si="7"/>
        <v/>
      </c>
      <c r="G97" s="42" t="s">
        <v>1285</v>
      </c>
      <c r="H97" s="43" t="s">
        <v>2150</v>
      </c>
      <c r="I97" s="44" t="s">
        <v>1752</v>
      </c>
      <c r="J97" s="45" t="s">
        <v>1376</v>
      </c>
      <c r="K97" s="46" t="s">
        <v>1349</v>
      </c>
      <c r="L97" s="47" t="s">
        <v>3052</v>
      </c>
      <c r="M97" s="48" t="s">
        <v>3053</v>
      </c>
      <c r="N97" s="49"/>
      <c r="O97" s="49"/>
      <c r="P97" s="50"/>
      <c r="Q97" s="59"/>
      <c r="R97" s="13"/>
    </row>
    <row r="98" spans="1:18" ht="75" x14ac:dyDescent="0.25">
      <c r="A98" s="9" t="s">
        <v>21</v>
      </c>
      <c r="B98" s="28">
        <f>IF(ISBLANK(A98),0,INDEX(txtstylestab[],MATCH(A98,txtstylestab[style_Name],0),1))</f>
        <v>0</v>
      </c>
      <c r="C98" s="28">
        <f t="shared" si="4"/>
        <v>3</v>
      </c>
      <c r="D98" s="28">
        <f t="shared" si="5"/>
        <v>3</v>
      </c>
      <c r="E98" s="28">
        <f t="shared" si="6"/>
        <v>0</v>
      </c>
      <c r="F98" s="59" t="str">
        <f t="shared" si="7"/>
        <v/>
      </c>
      <c r="G98" s="42" t="s">
        <v>1377</v>
      </c>
      <c r="H98" s="43" t="s">
        <v>1288</v>
      </c>
      <c r="I98" s="44" t="s">
        <v>1378</v>
      </c>
      <c r="J98" s="45" t="s">
        <v>1320</v>
      </c>
      <c r="K98" s="46" t="s">
        <v>1321</v>
      </c>
      <c r="L98" s="47" t="s">
        <v>3054</v>
      </c>
      <c r="M98" s="48" t="s">
        <v>3055</v>
      </c>
      <c r="N98" s="49"/>
      <c r="O98" s="49"/>
      <c r="P98" s="50"/>
      <c r="Q98" s="59"/>
      <c r="R98" s="13"/>
    </row>
    <row r="99" spans="1:18" x14ac:dyDescent="0.25">
      <c r="A99" s="9" t="s">
        <v>23</v>
      </c>
      <c r="B99" s="28">
        <f>IF(ISBLANK(A99),0,INDEX(txtstylestab[],MATCH(A99,txtstylestab[style_Name],0),1))</f>
        <v>5</v>
      </c>
      <c r="C99" s="28">
        <f t="shared" si="4"/>
        <v>3</v>
      </c>
      <c r="D99" s="28">
        <f t="shared" si="5"/>
        <v>3</v>
      </c>
      <c r="E99" s="28">
        <f t="shared" si="6"/>
        <v>0</v>
      </c>
      <c r="F99" s="56" t="str">
        <f t="shared" si="7"/>
        <v/>
      </c>
      <c r="G99" s="58" t="s">
        <v>1292</v>
      </c>
      <c r="H99" s="58"/>
      <c r="I99" s="58"/>
      <c r="J99" s="58"/>
      <c r="K99" s="58"/>
      <c r="L99" s="58"/>
      <c r="M99" s="58"/>
      <c r="N99" s="58"/>
      <c r="O99" s="58"/>
      <c r="P99" s="58"/>
      <c r="Q99" s="58"/>
      <c r="R99" s="13"/>
    </row>
    <row r="100" spans="1:18" ht="45" x14ac:dyDescent="0.25">
      <c r="A100" s="9" t="s">
        <v>21</v>
      </c>
      <c r="B100" s="28">
        <f>IF(ISBLANK(A100),0,INDEX(txtstylestab[],MATCH(A100,txtstylestab[style_Name],0),1))</f>
        <v>0</v>
      </c>
      <c r="C100" s="28">
        <f t="shared" si="4"/>
        <v>3</v>
      </c>
      <c r="D100" s="28">
        <f t="shared" si="5"/>
        <v>3</v>
      </c>
      <c r="E100" s="28">
        <f t="shared" si="6"/>
        <v>0</v>
      </c>
      <c r="F100" s="59" t="str">
        <f t="shared" si="7"/>
        <v/>
      </c>
      <c r="G100" s="42" t="s">
        <v>1293</v>
      </c>
      <c r="H100" s="43" t="s">
        <v>1294</v>
      </c>
      <c r="I100" s="44" t="s">
        <v>1667</v>
      </c>
      <c r="J100" s="45" t="s">
        <v>1295</v>
      </c>
      <c r="K100" s="46" t="s">
        <v>1296</v>
      </c>
      <c r="L100" s="47" t="s">
        <v>3034</v>
      </c>
      <c r="M100" s="48" t="s">
        <v>3035</v>
      </c>
      <c r="N100" s="49"/>
      <c r="O100" s="49"/>
      <c r="P100" s="50"/>
      <c r="Q100" s="59"/>
      <c r="R100" s="13"/>
    </row>
    <row r="101" spans="1:18" ht="75" x14ac:dyDescent="0.25">
      <c r="A101" s="9" t="s">
        <v>21</v>
      </c>
      <c r="B101" s="28">
        <f>IF(ISBLANK(A101),0,INDEX(txtstylestab[],MATCH(A101,txtstylestab[style_Name],0),1))</f>
        <v>0</v>
      </c>
      <c r="C101" s="28">
        <f t="shared" si="4"/>
        <v>3</v>
      </c>
      <c r="D101" s="28">
        <f t="shared" si="5"/>
        <v>3</v>
      </c>
      <c r="E101" s="28">
        <f t="shared" si="6"/>
        <v>0</v>
      </c>
      <c r="F101" s="59" t="str">
        <f t="shared" si="7"/>
        <v/>
      </c>
      <c r="G101" s="42" t="s">
        <v>1297</v>
      </c>
      <c r="H101" s="43" t="s">
        <v>1351</v>
      </c>
      <c r="I101" s="44" t="s">
        <v>1668</v>
      </c>
      <c r="J101" s="45" t="s">
        <v>1379</v>
      </c>
      <c r="K101" s="46" t="s">
        <v>1299</v>
      </c>
      <c r="L101" s="47" t="s">
        <v>3046</v>
      </c>
      <c r="M101" s="48" t="s">
        <v>3037</v>
      </c>
      <c r="N101" s="49"/>
      <c r="O101" s="49"/>
      <c r="P101" s="50"/>
      <c r="Q101" s="59"/>
      <c r="R101" s="13"/>
    </row>
    <row r="102" spans="1:18" x14ac:dyDescent="0.25">
      <c r="A102" s="9" t="s">
        <v>23</v>
      </c>
      <c r="B102" s="28">
        <f>IF(ISBLANK(A102),0,INDEX(txtstylestab[],MATCH(A102,txtstylestab[style_Name],0),1))</f>
        <v>5</v>
      </c>
      <c r="C102" s="28">
        <f t="shared" si="4"/>
        <v>3</v>
      </c>
      <c r="D102" s="28">
        <f t="shared" si="5"/>
        <v>3</v>
      </c>
      <c r="E102" s="28">
        <f t="shared" si="6"/>
        <v>0</v>
      </c>
      <c r="F102" s="56" t="str">
        <f t="shared" si="7"/>
        <v/>
      </c>
      <c r="G102" s="58" t="s">
        <v>1300</v>
      </c>
      <c r="H102" s="58"/>
      <c r="I102" s="58"/>
      <c r="J102" s="58"/>
      <c r="K102" s="58"/>
      <c r="L102" s="58"/>
      <c r="M102" s="58"/>
      <c r="N102" s="58"/>
      <c r="O102" s="58"/>
      <c r="P102" s="58"/>
      <c r="Q102" s="58"/>
      <c r="R102" s="13"/>
    </row>
    <row r="103" spans="1:18" ht="90" x14ac:dyDescent="0.25">
      <c r="A103" s="9" t="s">
        <v>21</v>
      </c>
      <c r="B103" s="28">
        <f>IF(ISBLANK(A103),0,INDEX(txtstylestab[],MATCH(A103,txtstylestab[style_Name],0),1))</f>
        <v>0</v>
      </c>
      <c r="C103" s="28">
        <f t="shared" si="4"/>
        <v>3</v>
      </c>
      <c r="D103" s="28">
        <f t="shared" si="5"/>
        <v>3</v>
      </c>
      <c r="E103" s="28">
        <f t="shared" si="6"/>
        <v>0</v>
      </c>
      <c r="F103" s="59" t="str">
        <f t="shared" si="7"/>
        <v/>
      </c>
      <c r="G103" s="42" t="s">
        <v>1380</v>
      </c>
      <c r="H103" s="43" t="s">
        <v>1381</v>
      </c>
      <c r="I103" s="44" t="s">
        <v>1676</v>
      </c>
      <c r="J103" s="45" t="s">
        <v>1382</v>
      </c>
      <c r="K103" s="46" t="s">
        <v>1383</v>
      </c>
      <c r="L103" s="47" t="s">
        <v>3060</v>
      </c>
      <c r="M103" s="48" t="s">
        <v>3061</v>
      </c>
      <c r="N103" s="49"/>
      <c r="O103" s="49"/>
      <c r="P103" s="50"/>
      <c r="Q103" s="59"/>
      <c r="R103" s="13"/>
    </row>
    <row r="104" spans="1:18" ht="18" thickBot="1" x14ac:dyDescent="0.35">
      <c r="A104" s="9" t="s">
        <v>11</v>
      </c>
      <c r="B104" s="28">
        <f>IF(ISBLANK(A104),0,INDEX(txtstylestab[],MATCH(A104,txtstylestab[style_Name],0),1))</f>
        <v>2</v>
      </c>
      <c r="C104" s="28">
        <f t="shared" si="4"/>
        <v>3</v>
      </c>
      <c r="D104" s="28">
        <f t="shared" si="5"/>
        <v>4</v>
      </c>
      <c r="E104" s="28">
        <f t="shared" si="6"/>
        <v>0</v>
      </c>
      <c r="F104" s="54" t="str">
        <f t="shared" si="7"/>
        <v>3.4.</v>
      </c>
      <c r="G104" s="54" t="s">
        <v>1384</v>
      </c>
      <c r="H104" s="54"/>
      <c r="I104" s="54"/>
      <c r="J104" s="54"/>
      <c r="K104" s="54"/>
      <c r="L104" s="54"/>
      <c r="M104" s="54"/>
      <c r="N104" s="54"/>
      <c r="O104" s="54"/>
      <c r="P104" s="54"/>
      <c r="Q104" s="54"/>
      <c r="R104" s="13"/>
    </row>
    <row r="105" spans="1:18" ht="45.75" thickTop="1" x14ac:dyDescent="0.25">
      <c r="A105" s="9" t="s">
        <v>21</v>
      </c>
      <c r="B105" s="28">
        <f>IF(ISBLANK(A105),0,INDEX(txtstylestab[],MATCH(A105,txtstylestab[style_Name],0),1))</f>
        <v>0</v>
      </c>
      <c r="C105" s="28">
        <f t="shared" si="4"/>
        <v>3</v>
      </c>
      <c r="D105" s="28">
        <f t="shared" si="5"/>
        <v>4</v>
      </c>
      <c r="E105" s="28">
        <f t="shared" si="6"/>
        <v>0</v>
      </c>
      <c r="F105" s="59" t="str">
        <f t="shared" si="7"/>
        <v/>
      </c>
      <c r="G105" s="42" t="s">
        <v>297</v>
      </c>
      <c r="H105" s="43" t="s">
        <v>1385</v>
      </c>
      <c r="I105" s="44" t="s">
        <v>1677</v>
      </c>
      <c r="J105" s="45" t="s">
        <v>1386</v>
      </c>
      <c r="K105" s="46" t="s">
        <v>1387</v>
      </c>
      <c r="L105" s="47" t="s">
        <v>2472</v>
      </c>
      <c r="M105" s="48" t="s">
        <v>2473</v>
      </c>
      <c r="N105" s="49"/>
      <c r="O105" s="49"/>
      <c r="P105" s="50"/>
      <c r="Q105" s="59"/>
      <c r="R105" s="13"/>
    </row>
    <row r="106" spans="1:18" ht="75" x14ac:dyDescent="0.25">
      <c r="A106" s="9" t="s">
        <v>21</v>
      </c>
      <c r="B106" s="28">
        <f>IF(ISBLANK(A106),0,INDEX(txtstylestab[],MATCH(A106,txtstylestab[style_Name],0),1))</f>
        <v>0</v>
      </c>
      <c r="C106" s="28">
        <f t="shared" si="4"/>
        <v>3</v>
      </c>
      <c r="D106" s="28">
        <f t="shared" si="5"/>
        <v>4</v>
      </c>
      <c r="E106" s="28">
        <f t="shared" si="6"/>
        <v>0</v>
      </c>
      <c r="F106" s="59" t="str">
        <f t="shared" si="7"/>
        <v/>
      </c>
      <c r="G106" s="42" t="s">
        <v>1388</v>
      </c>
      <c r="H106" s="43" t="s">
        <v>1389</v>
      </c>
      <c r="I106" s="44" t="s">
        <v>1678</v>
      </c>
      <c r="J106" s="45" t="s">
        <v>1390</v>
      </c>
      <c r="K106" s="46" t="s">
        <v>1391</v>
      </c>
      <c r="L106" s="47" t="s">
        <v>3062</v>
      </c>
      <c r="M106" s="48" t="s">
        <v>3063</v>
      </c>
      <c r="N106" s="49"/>
      <c r="O106" s="49"/>
      <c r="P106" s="50"/>
      <c r="Q106" s="59"/>
      <c r="R106" s="13"/>
    </row>
    <row r="107" spans="1:18" ht="60" x14ac:dyDescent="0.25">
      <c r="A107" s="9" t="s">
        <v>21</v>
      </c>
      <c r="B107" s="28">
        <f>IF(ISBLANK(A107),0,INDEX(txtstylestab[],MATCH(A107,txtstylestab[style_Name],0),1))</f>
        <v>0</v>
      </c>
      <c r="C107" s="28">
        <f t="shared" si="4"/>
        <v>3</v>
      </c>
      <c r="D107" s="28">
        <f t="shared" si="5"/>
        <v>4</v>
      </c>
      <c r="E107" s="28">
        <f t="shared" si="6"/>
        <v>0</v>
      </c>
      <c r="F107" s="59" t="str">
        <f t="shared" si="7"/>
        <v/>
      </c>
      <c r="G107" s="42" t="s">
        <v>1392</v>
      </c>
      <c r="H107" s="43" t="s">
        <v>1393</v>
      </c>
      <c r="I107" s="44" t="s">
        <v>1679</v>
      </c>
      <c r="J107" s="45" t="s">
        <v>1394</v>
      </c>
      <c r="K107" s="46" t="s">
        <v>1395</v>
      </c>
      <c r="L107" s="47" t="s">
        <v>3064</v>
      </c>
      <c r="M107" s="48" t="s">
        <v>3065</v>
      </c>
      <c r="N107" s="49"/>
      <c r="O107" s="49"/>
      <c r="P107" s="50"/>
      <c r="Q107" s="59"/>
      <c r="R107" s="13"/>
    </row>
    <row r="108" spans="1:18" ht="60" x14ac:dyDescent="0.25">
      <c r="A108" s="9" t="s">
        <v>21</v>
      </c>
      <c r="B108" s="28">
        <f>IF(ISBLANK(A108),0,INDEX(txtstylestab[],MATCH(A108,txtstylestab[style_Name],0),1))</f>
        <v>0</v>
      </c>
      <c r="C108" s="28">
        <f t="shared" si="4"/>
        <v>3</v>
      </c>
      <c r="D108" s="28">
        <f t="shared" si="5"/>
        <v>4</v>
      </c>
      <c r="E108" s="28">
        <f t="shared" si="6"/>
        <v>0</v>
      </c>
      <c r="F108" s="59" t="str">
        <f t="shared" si="7"/>
        <v/>
      </c>
      <c r="G108" s="42" t="s">
        <v>1396</v>
      </c>
      <c r="H108" s="43" t="s">
        <v>1397</v>
      </c>
      <c r="I108" s="44" t="s">
        <v>1758</v>
      </c>
      <c r="J108" s="45" t="s">
        <v>1575</v>
      </c>
      <c r="K108" s="46" t="s">
        <v>1398</v>
      </c>
      <c r="L108" s="47" t="s">
        <v>3066</v>
      </c>
      <c r="M108" s="48" t="s">
        <v>3067</v>
      </c>
      <c r="N108" s="49"/>
      <c r="O108" s="49"/>
      <c r="P108" s="50"/>
      <c r="Q108" s="59"/>
      <c r="R108" s="13"/>
    </row>
    <row r="109" spans="1:18" ht="60" x14ac:dyDescent="0.25">
      <c r="A109" s="9" t="s">
        <v>21</v>
      </c>
      <c r="B109" s="28">
        <f>IF(ISBLANK(A109),0,INDEX(txtstylestab[],MATCH(A109,txtstylestab[style_Name],0),1))</f>
        <v>0</v>
      </c>
      <c r="C109" s="28">
        <f t="shared" si="4"/>
        <v>3</v>
      </c>
      <c r="D109" s="28">
        <f t="shared" si="5"/>
        <v>4</v>
      </c>
      <c r="E109" s="28">
        <f t="shared" si="6"/>
        <v>0</v>
      </c>
      <c r="F109" s="59" t="str">
        <f t="shared" si="7"/>
        <v/>
      </c>
      <c r="G109" s="42" t="s">
        <v>1399</v>
      </c>
      <c r="H109" s="43" t="s">
        <v>1400</v>
      </c>
      <c r="I109" s="44" t="s">
        <v>1401</v>
      </c>
      <c r="J109" s="45" t="s">
        <v>1402</v>
      </c>
      <c r="K109" s="46" t="s">
        <v>1403</v>
      </c>
      <c r="L109" s="47" t="s">
        <v>3068</v>
      </c>
      <c r="M109" s="48" t="s">
        <v>3069</v>
      </c>
      <c r="N109" s="49"/>
      <c r="O109" s="49"/>
      <c r="P109" s="50"/>
      <c r="Q109" s="59"/>
      <c r="R109" s="13"/>
    </row>
    <row r="110" spans="1:18" x14ac:dyDescent="0.25">
      <c r="A110" s="9" t="s">
        <v>22</v>
      </c>
      <c r="B110" s="28">
        <f>IF(ISBLANK(A110),0,INDEX(txtstylestab[],MATCH(A110,txtstylestab[style_Name],0),1))</f>
        <v>4</v>
      </c>
      <c r="C110" s="28">
        <f t="shared" si="4"/>
        <v>3</v>
      </c>
      <c r="D110" s="28">
        <f t="shared" si="5"/>
        <v>4</v>
      </c>
      <c r="E110" s="28">
        <f t="shared" si="6"/>
        <v>0</v>
      </c>
      <c r="F110" s="56" t="str">
        <f t="shared" si="7"/>
        <v/>
      </c>
      <c r="G110" s="53" t="s">
        <v>1404</v>
      </c>
      <c r="H110" s="53"/>
      <c r="I110" s="53"/>
      <c r="J110" s="53"/>
      <c r="K110" s="53"/>
      <c r="L110" s="53"/>
      <c r="M110" s="53"/>
      <c r="N110" s="53"/>
      <c r="O110" s="53"/>
      <c r="P110" s="53"/>
      <c r="Q110" s="53"/>
      <c r="R110" s="13"/>
    </row>
    <row r="111" spans="1:18" ht="75" x14ac:dyDescent="0.25">
      <c r="A111" s="9" t="s">
        <v>21</v>
      </c>
      <c r="B111" s="28">
        <f>IF(ISBLANK(A111),0,INDEX(txtstylestab[],MATCH(A111,txtstylestab[style_Name],0),1))</f>
        <v>0</v>
      </c>
      <c r="C111" s="28">
        <f t="shared" si="4"/>
        <v>3</v>
      </c>
      <c r="D111" s="28">
        <f t="shared" si="5"/>
        <v>4</v>
      </c>
      <c r="E111" s="28">
        <f t="shared" si="6"/>
        <v>0</v>
      </c>
      <c r="F111" s="59" t="str">
        <f t="shared" si="7"/>
        <v/>
      </c>
      <c r="G111" s="42" t="s">
        <v>1405</v>
      </c>
      <c r="H111" s="43" t="s">
        <v>1406</v>
      </c>
      <c r="I111" s="44" t="s">
        <v>1680</v>
      </c>
      <c r="J111" s="45" t="s">
        <v>1407</v>
      </c>
      <c r="K111" s="46" t="s">
        <v>1408</v>
      </c>
      <c r="L111" s="47" t="s">
        <v>3070</v>
      </c>
      <c r="M111" s="48" t="s">
        <v>3071</v>
      </c>
      <c r="N111" s="49"/>
      <c r="O111" s="49"/>
      <c r="P111" s="50"/>
      <c r="Q111" s="59"/>
      <c r="R111" s="13"/>
    </row>
    <row r="112" spans="1:18" ht="60" x14ac:dyDescent="0.25">
      <c r="A112" s="9" t="s">
        <v>21</v>
      </c>
      <c r="B112" s="28">
        <f>IF(ISBLANK(A112),0,INDEX(txtstylestab[],MATCH(A112,txtstylestab[style_Name],0),1))</f>
        <v>0</v>
      </c>
      <c r="C112" s="28">
        <f t="shared" si="4"/>
        <v>3</v>
      </c>
      <c r="D112" s="28">
        <f t="shared" si="5"/>
        <v>4</v>
      </c>
      <c r="E112" s="28">
        <f t="shared" si="6"/>
        <v>0</v>
      </c>
      <c r="F112" s="59" t="str">
        <f t="shared" si="7"/>
        <v/>
      </c>
      <c r="G112" s="42" t="s">
        <v>1399</v>
      </c>
      <c r="H112" s="43" t="s">
        <v>1400</v>
      </c>
      <c r="I112" s="44" t="s">
        <v>1401</v>
      </c>
      <c r="J112" s="45" t="s">
        <v>1402</v>
      </c>
      <c r="K112" s="46" t="s">
        <v>1403</v>
      </c>
      <c r="L112" s="47" t="s">
        <v>3068</v>
      </c>
      <c r="M112" s="48" t="s">
        <v>3069</v>
      </c>
      <c r="N112" s="49"/>
      <c r="O112" s="49"/>
      <c r="P112" s="50"/>
      <c r="Q112" s="59"/>
      <c r="R112" s="13"/>
    </row>
    <row r="113" spans="1:18" ht="18" thickBot="1" x14ac:dyDescent="0.35">
      <c r="A113" s="9" t="s">
        <v>11</v>
      </c>
      <c r="B113" s="28">
        <f>IF(ISBLANK(A113),0,INDEX(txtstylestab[],MATCH(A113,txtstylestab[style_Name],0),1))</f>
        <v>2</v>
      </c>
      <c r="C113" s="28">
        <f t="shared" si="4"/>
        <v>3</v>
      </c>
      <c r="D113" s="28">
        <f t="shared" si="5"/>
        <v>5</v>
      </c>
      <c r="E113" s="28">
        <f t="shared" si="6"/>
        <v>0</v>
      </c>
      <c r="F113" s="54" t="str">
        <f t="shared" si="7"/>
        <v>3.5.</v>
      </c>
      <c r="G113" s="54" t="s">
        <v>1409</v>
      </c>
      <c r="H113" s="54"/>
      <c r="I113" s="54"/>
      <c r="J113" s="54"/>
      <c r="K113" s="54"/>
      <c r="L113" s="54"/>
      <c r="M113" s="54"/>
      <c r="N113" s="54"/>
      <c r="O113" s="54"/>
      <c r="P113" s="54"/>
      <c r="Q113" s="54"/>
      <c r="R113" s="13"/>
    </row>
    <row r="114" spans="1:18" ht="60.75" thickTop="1" x14ac:dyDescent="0.25">
      <c r="A114" s="9" t="s">
        <v>21</v>
      </c>
      <c r="B114" s="28">
        <f>IF(ISBLANK(A114),0,INDEX(txtstylestab[],MATCH(A114,txtstylestab[style_Name],0),1))</f>
        <v>0</v>
      </c>
      <c r="C114" s="28">
        <f t="shared" si="4"/>
        <v>3</v>
      </c>
      <c r="D114" s="28">
        <f t="shared" si="5"/>
        <v>5</v>
      </c>
      <c r="E114" s="28">
        <f t="shared" si="6"/>
        <v>0</v>
      </c>
      <c r="F114" s="59" t="str">
        <f t="shared" si="7"/>
        <v/>
      </c>
      <c r="G114" s="42" t="s">
        <v>1410</v>
      </c>
      <c r="H114" s="43" t="s">
        <v>1411</v>
      </c>
      <c r="I114" s="44" t="s">
        <v>1759</v>
      </c>
      <c r="J114" s="45" t="s">
        <v>1412</v>
      </c>
      <c r="K114" s="46" t="s">
        <v>1413</v>
      </c>
      <c r="L114" s="47" t="s">
        <v>3072</v>
      </c>
      <c r="M114" s="48" t="s">
        <v>3073</v>
      </c>
      <c r="N114" s="49"/>
      <c r="O114" s="49"/>
      <c r="P114" s="50"/>
      <c r="Q114" s="59"/>
      <c r="R114" s="13"/>
    </row>
    <row r="115" spans="1:18" ht="75" x14ac:dyDescent="0.25">
      <c r="A115" s="9" t="s">
        <v>21</v>
      </c>
      <c r="B115" s="28">
        <f>IF(ISBLANK(A115),0,INDEX(txtstylestab[],MATCH(A115,txtstylestab[style_Name],0),1))</f>
        <v>0</v>
      </c>
      <c r="C115" s="28">
        <f t="shared" si="4"/>
        <v>3</v>
      </c>
      <c r="D115" s="28">
        <f t="shared" si="5"/>
        <v>5</v>
      </c>
      <c r="E115" s="28">
        <f t="shared" si="6"/>
        <v>0</v>
      </c>
      <c r="F115" s="59" t="str">
        <f t="shared" si="7"/>
        <v/>
      </c>
      <c r="G115" s="42" t="s">
        <v>1414</v>
      </c>
      <c r="H115" s="43" t="s">
        <v>2127</v>
      </c>
      <c r="I115" s="44" t="s">
        <v>1681</v>
      </c>
      <c r="J115" s="45" t="s">
        <v>1415</v>
      </c>
      <c r="K115" s="46" t="s">
        <v>1416</v>
      </c>
      <c r="L115" s="47" t="s">
        <v>3074</v>
      </c>
      <c r="M115" s="48" t="s">
        <v>3075</v>
      </c>
      <c r="N115" s="49"/>
      <c r="O115" s="49"/>
      <c r="P115" s="50"/>
      <c r="Q115" s="59"/>
      <c r="R115" s="13"/>
    </row>
    <row r="116" spans="1:18" x14ac:dyDescent="0.25">
      <c r="A116" s="9" t="s">
        <v>21</v>
      </c>
      <c r="B116" s="28">
        <f>IF(ISBLANK(A116),0,INDEX(txtstylestab[],MATCH(A116,txtstylestab[style_Name],0),1))</f>
        <v>0</v>
      </c>
      <c r="C116" s="28">
        <f t="shared" si="4"/>
        <v>3</v>
      </c>
      <c r="D116" s="28">
        <f t="shared" si="5"/>
        <v>5</v>
      </c>
      <c r="E116" s="28">
        <f t="shared" si="6"/>
        <v>0</v>
      </c>
      <c r="F116" s="59" t="str">
        <f t="shared" si="7"/>
        <v/>
      </c>
      <c r="G116" s="42" t="s">
        <v>1417</v>
      </c>
      <c r="H116" s="43" t="s">
        <v>1418</v>
      </c>
      <c r="I116" s="44" t="s">
        <v>1419</v>
      </c>
      <c r="J116" s="45" t="s">
        <v>1420</v>
      </c>
      <c r="K116" s="46" t="s">
        <v>1421</v>
      </c>
      <c r="L116" s="47" t="s">
        <v>3076</v>
      </c>
      <c r="M116" s="48" t="s">
        <v>3077</v>
      </c>
      <c r="N116" s="49"/>
      <c r="O116" s="49"/>
      <c r="P116" s="50"/>
      <c r="Q116" s="59"/>
      <c r="R116" s="13"/>
    </row>
    <row r="117" spans="1:18" ht="45" x14ac:dyDescent="0.25">
      <c r="A117" s="9" t="s">
        <v>21</v>
      </c>
      <c r="B117" s="28">
        <f>IF(ISBLANK(A117),0,INDEX(txtstylestab[],MATCH(A117,txtstylestab[style_Name],0),1))</f>
        <v>0</v>
      </c>
      <c r="C117" s="28">
        <f t="shared" si="4"/>
        <v>3</v>
      </c>
      <c r="D117" s="28">
        <f t="shared" si="5"/>
        <v>5</v>
      </c>
      <c r="E117" s="28">
        <f t="shared" si="6"/>
        <v>0</v>
      </c>
      <c r="F117" s="59" t="str">
        <f t="shared" si="7"/>
        <v/>
      </c>
      <c r="G117" s="42" t="s">
        <v>1422</v>
      </c>
      <c r="H117" s="43" t="s">
        <v>1423</v>
      </c>
      <c r="I117" s="44" t="s">
        <v>1682</v>
      </c>
      <c r="J117" s="45" t="s">
        <v>1576</v>
      </c>
      <c r="K117" s="46" t="s">
        <v>1424</v>
      </c>
      <c r="L117" s="47" t="s">
        <v>3078</v>
      </c>
      <c r="M117" s="48" t="s">
        <v>3079</v>
      </c>
      <c r="N117" s="49"/>
      <c r="O117" s="49"/>
      <c r="P117" s="50"/>
      <c r="Q117" s="59"/>
      <c r="R117" s="13"/>
    </row>
    <row r="118" spans="1:18" ht="30" x14ac:dyDescent="0.25">
      <c r="A118" s="9" t="s">
        <v>21</v>
      </c>
      <c r="B118" s="28">
        <f>IF(ISBLANK(A118),0,INDEX(txtstylestab[],MATCH(A118,txtstylestab[style_Name],0),1))</f>
        <v>0</v>
      </c>
      <c r="C118" s="28">
        <f t="shared" si="4"/>
        <v>3</v>
      </c>
      <c r="D118" s="28">
        <f t="shared" si="5"/>
        <v>5</v>
      </c>
      <c r="E118" s="28">
        <f t="shared" si="6"/>
        <v>0</v>
      </c>
      <c r="F118" s="59" t="str">
        <f t="shared" si="7"/>
        <v/>
      </c>
      <c r="G118" s="42" t="s">
        <v>1425</v>
      </c>
      <c r="H118" s="43" t="s">
        <v>1426</v>
      </c>
      <c r="I118" s="44" t="s">
        <v>1683</v>
      </c>
      <c r="J118" s="45" t="s">
        <v>1427</v>
      </c>
      <c r="K118" s="46" t="s">
        <v>1428</v>
      </c>
      <c r="L118" s="47" t="s">
        <v>3080</v>
      </c>
      <c r="M118" s="48" t="s">
        <v>3081</v>
      </c>
      <c r="N118" s="49"/>
      <c r="O118" s="49"/>
      <c r="P118" s="50"/>
      <c r="Q118" s="59"/>
      <c r="R118" s="13"/>
    </row>
    <row r="119" spans="1:18" ht="60" x14ac:dyDescent="0.25">
      <c r="A119" s="9" t="s">
        <v>21</v>
      </c>
      <c r="B119" s="28">
        <f>IF(ISBLANK(A119),0,INDEX(txtstylestab[],MATCH(A119,txtstylestab[style_Name],0),1))</f>
        <v>0</v>
      </c>
      <c r="C119" s="28">
        <f t="shared" si="4"/>
        <v>3</v>
      </c>
      <c r="D119" s="28">
        <f t="shared" si="5"/>
        <v>5</v>
      </c>
      <c r="E119" s="28">
        <f t="shared" si="6"/>
        <v>0</v>
      </c>
      <c r="F119" s="59" t="str">
        <f t="shared" si="7"/>
        <v/>
      </c>
      <c r="G119" s="42" t="s">
        <v>1429</v>
      </c>
      <c r="H119" s="43" t="s">
        <v>1430</v>
      </c>
      <c r="I119" s="44" t="s">
        <v>1684</v>
      </c>
      <c r="J119" s="45" t="s">
        <v>1431</v>
      </c>
      <c r="K119" s="46" t="s">
        <v>1432</v>
      </c>
      <c r="L119" s="47" t="s">
        <v>3082</v>
      </c>
      <c r="M119" s="48" t="s">
        <v>3083</v>
      </c>
      <c r="N119" s="49"/>
      <c r="O119" s="49"/>
      <c r="P119" s="50"/>
      <c r="Q119" s="59"/>
      <c r="R119" s="13"/>
    </row>
    <row r="120" spans="1:18" ht="60" x14ac:dyDescent="0.25">
      <c r="A120" s="9" t="s">
        <v>21</v>
      </c>
      <c r="B120" s="28">
        <f>IF(ISBLANK(A120),0,INDEX(txtstylestab[],MATCH(A120,txtstylestab[style_Name],0),1))</f>
        <v>0</v>
      </c>
      <c r="C120" s="28">
        <f t="shared" si="4"/>
        <v>3</v>
      </c>
      <c r="D120" s="28">
        <f t="shared" si="5"/>
        <v>5</v>
      </c>
      <c r="E120" s="28">
        <f t="shared" si="6"/>
        <v>0</v>
      </c>
      <c r="F120" s="59" t="str">
        <f t="shared" si="7"/>
        <v/>
      </c>
      <c r="G120" s="42" t="s">
        <v>1433</v>
      </c>
      <c r="H120" s="43" t="s">
        <v>1434</v>
      </c>
      <c r="I120" s="44" t="s">
        <v>1685</v>
      </c>
      <c r="J120" s="45" t="s">
        <v>1577</v>
      </c>
      <c r="K120" s="46" t="s">
        <v>1435</v>
      </c>
      <c r="L120" s="47" t="s">
        <v>3084</v>
      </c>
      <c r="M120" s="48" t="s">
        <v>3085</v>
      </c>
      <c r="N120" s="49"/>
      <c r="O120" s="49"/>
      <c r="P120" s="50"/>
      <c r="Q120" s="59"/>
      <c r="R120" s="13"/>
    </row>
    <row r="121" spans="1:18" ht="60" x14ac:dyDescent="0.25">
      <c r="A121" s="9" t="s">
        <v>21</v>
      </c>
      <c r="B121" s="28">
        <f>IF(ISBLANK(A121),0,INDEX(txtstylestab[],MATCH(A121,txtstylestab[style_Name],0),1))</f>
        <v>0</v>
      </c>
      <c r="C121" s="28">
        <f t="shared" si="4"/>
        <v>3</v>
      </c>
      <c r="D121" s="28">
        <f t="shared" si="5"/>
        <v>5</v>
      </c>
      <c r="E121" s="28">
        <f t="shared" si="6"/>
        <v>0</v>
      </c>
      <c r="F121" s="59" t="str">
        <f t="shared" si="7"/>
        <v/>
      </c>
      <c r="G121" s="42" t="s">
        <v>1436</v>
      </c>
      <c r="H121" s="43" t="s">
        <v>1437</v>
      </c>
      <c r="I121" s="44" t="s">
        <v>1686</v>
      </c>
      <c r="J121" s="45" t="s">
        <v>1438</v>
      </c>
      <c r="K121" s="46" t="s">
        <v>1439</v>
      </c>
      <c r="L121" s="47" t="s">
        <v>3086</v>
      </c>
      <c r="M121" s="48" t="s">
        <v>3087</v>
      </c>
      <c r="N121" s="49"/>
      <c r="O121" s="49"/>
      <c r="P121" s="50"/>
      <c r="Q121" s="59"/>
      <c r="R121" s="13"/>
    </row>
    <row r="122" spans="1:18" ht="60" x14ac:dyDescent="0.25">
      <c r="A122" s="9" t="s">
        <v>21</v>
      </c>
      <c r="B122" s="28">
        <f>IF(ISBLANK(A122),0,INDEX(txtstylestab[],MATCH(A122,txtstylestab[style_Name],0),1))</f>
        <v>0</v>
      </c>
      <c r="C122" s="28">
        <f t="shared" si="4"/>
        <v>3</v>
      </c>
      <c r="D122" s="28">
        <f t="shared" si="5"/>
        <v>5</v>
      </c>
      <c r="E122" s="28">
        <f t="shared" si="6"/>
        <v>0</v>
      </c>
      <c r="F122" s="59" t="str">
        <f t="shared" si="7"/>
        <v/>
      </c>
      <c r="G122" s="42" t="s">
        <v>1440</v>
      </c>
      <c r="H122" s="43" t="s">
        <v>1441</v>
      </c>
      <c r="I122" s="44" t="s">
        <v>1687</v>
      </c>
      <c r="J122" s="45" t="s">
        <v>1578</v>
      </c>
      <c r="K122" s="46" t="s">
        <v>1442</v>
      </c>
      <c r="L122" s="47" t="s">
        <v>3088</v>
      </c>
      <c r="M122" s="48" t="s">
        <v>3089</v>
      </c>
      <c r="N122" s="49"/>
      <c r="O122" s="49"/>
      <c r="P122" s="50"/>
      <c r="Q122" s="59"/>
      <c r="R122" s="13"/>
    </row>
    <row r="123" spans="1:18" ht="60" x14ac:dyDescent="0.25">
      <c r="A123" s="9" t="s">
        <v>21</v>
      </c>
      <c r="B123" s="28">
        <f>IF(ISBLANK(A123),0,INDEX(txtstylestab[],MATCH(A123,txtstylestab[style_Name],0),1))</f>
        <v>0</v>
      </c>
      <c r="C123" s="28">
        <f t="shared" si="4"/>
        <v>3</v>
      </c>
      <c r="D123" s="28">
        <f t="shared" si="5"/>
        <v>5</v>
      </c>
      <c r="E123" s="28">
        <f t="shared" si="6"/>
        <v>0</v>
      </c>
      <c r="F123" s="59" t="str">
        <f t="shared" si="7"/>
        <v/>
      </c>
      <c r="G123" s="42" t="s">
        <v>1443</v>
      </c>
      <c r="H123" s="43" t="s">
        <v>1444</v>
      </c>
      <c r="I123" s="44" t="s">
        <v>1688</v>
      </c>
      <c r="J123" s="45" t="s">
        <v>1445</v>
      </c>
      <c r="K123" s="46" t="s">
        <v>1446</v>
      </c>
      <c r="L123" s="47" t="s">
        <v>3090</v>
      </c>
      <c r="M123" s="48" t="s">
        <v>3091</v>
      </c>
      <c r="N123" s="49"/>
      <c r="O123" s="49"/>
      <c r="P123" s="50"/>
      <c r="Q123" s="59"/>
      <c r="R123" s="13"/>
    </row>
    <row r="124" spans="1:18" ht="18" thickBot="1" x14ac:dyDescent="0.35">
      <c r="A124" s="9" t="s">
        <v>11</v>
      </c>
      <c r="B124" s="28">
        <f>IF(ISBLANK(A124),0,INDEX(txtstylestab[],MATCH(A124,txtstylestab[style_Name],0),1))</f>
        <v>2</v>
      </c>
      <c r="C124" s="28">
        <f t="shared" si="4"/>
        <v>3</v>
      </c>
      <c r="D124" s="28">
        <f t="shared" si="5"/>
        <v>6</v>
      </c>
      <c r="E124" s="28">
        <f t="shared" si="6"/>
        <v>0</v>
      </c>
      <c r="F124" s="54" t="str">
        <f t="shared" si="7"/>
        <v>3.6.</v>
      </c>
      <c r="G124" s="54" t="s">
        <v>1447</v>
      </c>
      <c r="H124" s="54"/>
      <c r="I124" s="54"/>
      <c r="J124" s="54"/>
      <c r="K124" s="54"/>
      <c r="L124" s="54"/>
      <c r="M124" s="54"/>
      <c r="N124" s="54"/>
      <c r="O124" s="54"/>
      <c r="P124" s="54"/>
      <c r="Q124" s="54"/>
      <c r="R124" s="13"/>
    </row>
    <row r="125" spans="1:18" ht="15.75" thickTop="1" x14ac:dyDescent="0.25">
      <c r="A125" s="9" t="s">
        <v>22</v>
      </c>
      <c r="B125" s="28">
        <f>IF(ISBLANK(A125),0,INDEX(txtstylestab[],MATCH(A125,txtstylestab[style_Name],0),1))</f>
        <v>4</v>
      </c>
      <c r="C125" s="28">
        <f t="shared" si="4"/>
        <v>3</v>
      </c>
      <c r="D125" s="28">
        <f t="shared" si="5"/>
        <v>6</v>
      </c>
      <c r="E125" s="28">
        <f t="shared" si="6"/>
        <v>0</v>
      </c>
      <c r="F125" s="56" t="str">
        <f t="shared" si="7"/>
        <v/>
      </c>
      <c r="G125" s="53" t="s">
        <v>1448</v>
      </c>
      <c r="H125" s="53"/>
      <c r="I125" s="53"/>
      <c r="J125" s="53"/>
      <c r="K125" s="53"/>
      <c r="L125" s="53"/>
      <c r="M125" s="53"/>
      <c r="N125" s="53"/>
      <c r="O125" s="53"/>
      <c r="P125" s="53"/>
      <c r="Q125" s="53"/>
      <c r="R125" s="13"/>
    </row>
    <row r="126" spans="1:18" x14ac:dyDescent="0.25">
      <c r="A126" s="9" t="s">
        <v>23</v>
      </c>
      <c r="B126" s="28">
        <f>IF(ISBLANK(A126),0,INDEX(txtstylestab[],MATCH(A126,txtstylestab[style_Name],0),1))</f>
        <v>5</v>
      </c>
      <c r="C126" s="28">
        <f t="shared" si="4"/>
        <v>3</v>
      </c>
      <c r="D126" s="28">
        <f t="shared" si="5"/>
        <v>6</v>
      </c>
      <c r="E126" s="28">
        <f t="shared" si="6"/>
        <v>0</v>
      </c>
      <c r="F126" s="56" t="str">
        <f t="shared" si="7"/>
        <v/>
      </c>
      <c r="G126" s="58" t="s">
        <v>1449</v>
      </c>
      <c r="H126" s="58"/>
      <c r="I126" s="58"/>
      <c r="J126" s="58"/>
      <c r="K126" s="58"/>
      <c r="L126" s="58"/>
      <c r="M126" s="58"/>
      <c r="N126" s="58"/>
      <c r="O126" s="58"/>
      <c r="P126" s="58"/>
      <c r="Q126" s="58"/>
      <c r="R126" s="13"/>
    </row>
    <row r="127" spans="1:18" ht="75" x14ac:dyDescent="0.25">
      <c r="A127" s="9" t="s">
        <v>21</v>
      </c>
      <c r="B127" s="28">
        <f>IF(ISBLANK(A127),0,INDEX(txtstylestab[],MATCH(A127,txtstylestab[style_Name],0),1))</f>
        <v>0</v>
      </c>
      <c r="C127" s="28">
        <f t="shared" si="4"/>
        <v>3</v>
      </c>
      <c r="D127" s="28">
        <f t="shared" si="5"/>
        <v>6</v>
      </c>
      <c r="E127" s="28">
        <f t="shared" si="6"/>
        <v>0</v>
      </c>
      <c r="F127" s="59" t="str">
        <f t="shared" si="7"/>
        <v/>
      </c>
      <c r="G127" s="42" t="s">
        <v>1450</v>
      </c>
      <c r="H127" s="43" t="s">
        <v>1451</v>
      </c>
      <c r="I127" s="44" t="s">
        <v>1689</v>
      </c>
      <c r="J127" s="45" t="s">
        <v>1452</v>
      </c>
      <c r="K127" s="46" t="s">
        <v>1453</v>
      </c>
      <c r="L127" s="47" t="s">
        <v>3092</v>
      </c>
      <c r="M127" s="48" t="s">
        <v>3093</v>
      </c>
      <c r="N127" s="49"/>
      <c r="O127" s="49"/>
      <c r="P127" s="50"/>
      <c r="Q127" s="59"/>
      <c r="R127" s="13"/>
    </row>
    <row r="128" spans="1:18" x14ac:dyDescent="0.25">
      <c r="A128" s="9" t="s">
        <v>22</v>
      </c>
      <c r="B128" s="28">
        <f>IF(ISBLANK(A128),0,INDEX(txtstylestab[],MATCH(A128,txtstylestab[style_Name],0),1))</f>
        <v>4</v>
      </c>
      <c r="C128" s="28">
        <f t="shared" si="4"/>
        <v>3</v>
      </c>
      <c r="D128" s="28">
        <f t="shared" si="5"/>
        <v>6</v>
      </c>
      <c r="E128" s="28">
        <f t="shared" si="6"/>
        <v>0</v>
      </c>
      <c r="F128" s="56" t="str">
        <f t="shared" si="7"/>
        <v/>
      </c>
      <c r="G128" s="53" t="s">
        <v>1454</v>
      </c>
      <c r="H128" s="53"/>
      <c r="I128" s="53"/>
      <c r="J128" s="53"/>
      <c r="K128" s="53"/>
      <c r="L128" s="53"/>
      <c r="M128" s="53"/>
      <c r="N128" s="53"/>
      <c r="O128" s="53"/>
      <c r="P128" s="53"/>
      <c r="Q128" s="53"/>
      <c r="R128" s="13"/>
    </row>
    <row r="129" spans="1:18" x14ac:dyDescent="0.25">
      <c r="A129" s="9" t="s">
        <v>23</v>
      </c>
      <c r="B129" s="28">
        <f>IF(ISBLANK(A129),0,INDEX(txtstylestab[],MATCH(A129,txtstylestab[style_Name],0),1))</f>
        <v>5</v>
      </c>
      <c r="C129" s="28">
        <f t="shared" si="4"/>
        <v>3</v>
      </c>
      <c r="D129" s="28">
        <f t="shared" si="5"/>
        <v>6</v>
      </c>
      <c r="E129" s="28">
        <f t="shared" si="6"/>
        <v>0</v>
      </c>
      <c r="F129" s="56" t="str">
        <f t="shared" si="7"/>
        <v/>
      </c>
      <c r="G129" s="58" t="s">
        <v>1455</v>
      </c>
      <c r="H129" s="58"/>
      <c r="I129" s="58"/>
      <c r="J129" s="58"/>
      <c r="K129" s="58"/>
      <c r="L129" s="58"/>
      <c r="M129" s="58"/>
      <c r="N129" s="58"/>
      <c r="O129" s="58"/>
      <c r="P129" s="58"/>
      <c r="Q129" s="58"/>
      <c r="R129" s="13"/>
    </row>
    <row r="130" spans="1:18" ht="75" x14ac:dyDescent="0.25">
      <c r="A130" s="9" t="s">
        <v>21</v>
      </c>
      <c r="B130" s="28">
        <f>IF(ISBLANK(A130),0,INDEX(txtstylestab[],MATCH(A130,txtstylestab[style_Name],0),1))</f>
        <v>0</v>
      </c>
      <c r="C130" s="28">
        <f t="shared" si="4"/>
        <v>3</v>
      </c>
      <c r="D130" s="28">
        <f t="shared" si="5"/>
        <v>6</v>
      </c>
      <c r="E130" s="28">
        <f t="shared" si="6"/>
        <v>0</v>
      </c>
      <c r="F130" s="59" t="str">
        <f t="shared" si="7"/>
        <v/>
      </c>
      <c r="G130" s="42" t="s">
        <v>1450</v>
      </c>
      <c r="H130" s="43" t="s">
        <v>1451</v>
      </c>
      <c r="I130" s="44" t="s">
        <v>1690</v>
      </c>
      <c r="J130" s="45" t="s">
        <v>1452</v>
      </c>
      <c r="K130" s="46" t="s">
        <v>1453</v>
      </c>
      <c r="L130" s="47" t="s">
        <v>3092</v>
      </c>
      <c r="M130" s="48" t="s">
        <v>3093</v>
      </c>
      <c r="N130" s="49"/>
      <c r="O130" s="49"/>
      <c r="P130" s="50"/>
      <c r="Q130" s="59"/>
      <c r="R130" s="13"/>
    </row>
    <row r="131" spans="1:18" x14ac:dyDescent="0.25">
      <c r="A131" s="9" t="s">
        <v>23</v>
      </c>
      <c r="B131" s="28">
        <f>IF(ISBLANK(A131),0,INDEX(txtstylestab[],MATCH(A131,txtstylestab[style_Name],0),1))</f>
        <v>5</v>
      </c>
      <c r="C131" s="28">
        <f t="shared" si="4"/>
        <v>3</v>
      </c>
      <c r="D131" s="28">
        <f t="shared" si="5"/>
        <v>6</v>
      </c>
      <c r="E131" s="28">
        <f t="shared" si="6"/>
        <v>0</v>
      </c>
      <c r="F131" s="56" t="str">
        <f t="shared" si="7"/>
        <v/>
      </c>
      <c r="G131" s="58" t="s">
        <v>1456</v>
      </c>
      <c r="H131" s="58"/>
      <c r="I131" s="58"/>
      <c r="J131" s="58"/>
      <c r="K131" s="58"/>
      <c r="L131" s="58"/>
      <c r="M131" s="58"/>
      <c r="N131" s="58"/>
      <c r="O131" s="58"/>
      <c r="P131" s="58"/>
      <c r="Q131" s="58"/>
      <c r="R131" s="13"/>
    </row>
    <row r="132" spans="1:18" ht="90" x14ac:dyDescent="0.25">
      <c r="A132" s="9" t="s">
        <v>21</v>
      </c>
      <c r="B132" s="28">
        <f>IF(ISBLANK(A132),0,INDEX(txtstylestab[],MATCH(A132,txtstylestab[style_Name],0),1))</f>
        <v>0</v>
      </c>
      <c r="C132" s="28">
        <f t="shared" ref="C132:C190" si="8">IF(B132=1,C131+1,C131)</f>
        <v>3</v>
      </c>
      <c r="D132" s="28">
        <f t="shared" ref="D132:D190" si="9">IF(B132=1,0,IF(B132=2,D131+1,IF(AND(B132=3,D131=0),1,D131)))</f>
        <v>6</v>
      </c>
      <c r="E132" s="28">
        <f t="shared" ref="E132:E190" si="10">IF(OR(B132=1,B132=2),0,IF(B132=3,E131+1,E131))</f>
        <v>0</v>
      </c>
      <c r="F132" s="59" t="str">
        <f t="shared" ref="F132:F190" si="11">IF(OR(B132=1,B132=2,B132=3),TEXT(C132,"#")&amp;".","")&amp;IF(OR(B132=2,B132=3),TEXT(D132,"#")&amp;".","")&amp;IF(B132=3,TEXT(E132,"#")&amp;".","")</f>
        <v/>
      </c>
      <c r="G132" s="42" t="s">
        <v>1457</v>
      </c>
      <c r="H132" s="43" t="s">
        <v>1458</v>
      </c>
      <c r="I132" s="44" t="s">
        <v>1691</v>
      </c>
      <c r="J132" s="45" t="s">
        <v>1579</v>
      </c>
      <c r="K132" s="46" t="s">
        <v>1459</v>
      </c>
      <c r="L132" s="47" t="s">
        <v>3094</v>
      </c>
      <c r="M132" s="48" t="s">
        <v>3095</v>
      </c>
      <c r="N132" s="49"/>
      <c r="O132" s="49"/>
      <c r="P132" s="50"/>
      <c r="Q132" s="59"/>
      <c r="R132" s="13"/>
    </row>
    <row r="133" spans="1:18" x14ac:dyDescent="0.25">
      <c r="A133" s="9" t="s">
        <v>23</v>
      </c>
      <c r="B133" s="28">
        <f>IF(ISBLANK(A133),0,INDEX(txtstylestab[],MATCH(A133,txtstylestab[style_Name],0),1))</f>
        <v>5</v>
      </c>
      <c r="C133" s="28">
        <f t="shared" si="8"/>
        <v>3</v>
      </c>
      <c r="D133" s="28">
        <f t="shared" si="9"/>
        <v>6</v>
      </c>
      <c r="E133" s="28">
        <f t="shared" si="10"/>
        <v>0</v>
      </c>
      <c r="F133" s="56" t="str">
        <f t="shared" si="11"/>
        <v/>
      </c>
      <c r="G133" s="58" t="s">
        <v>1789</v>
      </c>
      <c r="H133" s="58"/>
      <c r="I133" s="58"/>
      <c r="J133" s="58"/>
      <c r="K133" s="58"/>
      <c r="L133" s="58"/>
      <c r="M133" s="58"/>
      <c r="N133" s="58"/>
      <c r="O133" s="58"/>
      <c r="P133" s="58"/>
      <c r="Q133" s="58"/>
      <c r="R133" s="13"/>
    </row>
    <row r="134" spans="1:18" ht="75" x14ac:dyDescent="0.25">
      <c r="A134" s="9" t="s">
        <v>21</v>
      </c>
      <c r="B134" s="28">
        <f>IF(ISBLANK(A134),0,INDEX(txtstylestab[],MATCH(A134,txtstylestab[style_Name],0),1))</f>
        <v>0</v>
      </c>
      <c r="C134" s="28">
        <f t="shared" si="8"/>
        <v>3</v>
      </c>
      <c r="D134" s="28">
        <f t="shared" si="9"/>
        <v>6</v>
      </c>
      <c r="E134" s="28">
        <f t="shared" si="10"/>
        <v>0</v>
      </c>
      <c r="F134" s="59" t="str">
        <f t="shared" si="11"/>
        <v/>
      </c>
      <c r="G134" s="42" t="s">
        <v>1460</v>
      </c>
      <c r="H134" s="43" t="s">
        <v>1461</v>
      </c>
      <c r="I134" s="44" t="s">
        <v>1692</v>
      </c>
      <c r="J134" s="45" t="s">
        <v>1580</v>
      </c>
      <c r="K134" s="46" t="s">
        <v>1462</v>
      </c>
      <c r="L134" s="47" t="s">
        <v>3094</v>
      </c>
      <c r="M134" s="48" t="s">
        <v>3095</v>
      </c>
      <c r="N134" s="49"/>
      <c r="O134" s="49"/>
      <c r="P134" s="50"/>
      <c r="Q134" s="59"/>
      <c r="R134" s="13"/>
    </row>
    <row r="135" spans="1:18" ht="18" thickBot="1" x14ac:dyDescent="0.35">
      <c r="A135" s="9" t="s">
        <v>11</v>
      </c>
      <c r="B135" s="28">
        <f>IF(ISBLANK(A135),0,INDEX(txtstylestab[],MATCH(A135,txtstylestab[style_Name],0),1))</f>
        <v>2</v>
      </c>
      <c r="C135" s="28">
        <f t="shared" si="8"/>
        <v>3</v>
      </c>
      <c r="D135" s="28">
        <f t="shared" si="9"/>
        <v>7</v>
      </c>
      <c r="E135" s="28">
        <f t="shared" si="10"/>
        <v>0</v>
      </c>
      <c r="F135" s="54" t="str">
        <f t="shared" si="11"/>
        <v>3.7.</v>
      </c>
      <c r="G135" s="54" t="s">
        <v>1463</v>
      </c>
      <c r="H135" s="54"/>
      <c r="I135" s="54"/>
      <c r="J135" s="54"/>
      <c r="K135" s="54"/>
      <c r="L135" s="54"/>
      <c r="M135" s="54"/>
      <c r="N135" s="54"/>
      <c r="O135" s="54"/>
      <c r="P135" s="54"/>
      <c r="Q135" s="54"/>
      <c r="R135" s="13"/>
    </row>
    <row r="136" spans="1:18" ht="105.75" thickTop="1" x14ac:dyDescent="0.25">
      <c r="A136" s="9" t="s">
        <v>21</v>
      </c>
      <c r="B136" s="28">
        <f>IF(ISBLANK(A136),0,INDEX(txtstylestab[],MATCH(A136,txtstylestab[style_Name],0),1))</f>
        <v>0</v>
      </c>
      <c r="C136" s="28">
        <f t="shared" si="8"/>
        <v>3</v>
      </c>
      <c r="D136" s="28">
        <f t="shared" si="9"/>
        <v>7</v>
      </c>
      <c r="E136" s="28">
        <f t="shared" si="10"/>
        <v>0</v>
      </c>
      <c r="F136" s="59" t="str">
        <f t="shared" si="11"/>
        <v/>
      </c>
      <c r="G136" s="42" t="s">
        <v>1464</v>
      </c>
      <c r="H136" s="43" t="s">
        <v>1465</v>
      </c>
      <c r="I136" s="44" t="s">
        <v>1693</v>
      </c>
      <c r="J136" s="45" t="s">
        <v>1581</v>
      </c>
      <c r="K136" s="46" t="s">
        <v>1466</v>
      </c>
      <c r="L136" s="47" t="s">
        <v>3096</v>
      </c>
      <c r="M136" s="48" t="s">
        <v>3097</v>
      </c>
      <c r="N136" s="49"/>
      <c r="O136" s="49"/>
      <c r="P136" s="50"/>
      <c r="Q136" s="59"/>
      <c r="R136" s="13"/>
    </row>
    <row r="137" spans="1:18" ht="18" thickBot="1" x14ac:dyDescent="0.35">
      <c r="A137" s="9" t="s">
        <v>11</v>
      </c>
      <c r="B137" s="28">
        <f>IF(ISBLANK(A137),0,INDEX(txtstylestab[],MATCH(A137,txtstylestab[style_Name],0),1))</f>
        <v>2</v>
      </c>
      <c r="C137" s="28">
        <f t="shared" si="8"/>
        <v>3</v>
      </c>
      <c r="D137" s="28">
        <f t="shared" si="9"/>
        <v>8</v>
      </c>
      <c r="E137" s="28">
        <f t="shared" si="10"/>
        <v>0</v>
      </c>
      <c r="F137" s="54" t="str">
        <f t="shared" si="11"/>
        <v>3.8.</v>
      </c>
      <c r="G137" s="54" t="s">
        <v>2123</v>
      </c>
      <c r="H137" s="54"/>
      <c r="I137" s="54"/>
      <c r="J137" s="54"/>
      <c r="K137" s="54"/>
      <c r="L137" s="54"/>
      <c r="M137" s="54"/>
      <c r="N137" s="54"/>
      <c r="O137" s="54"/>
      <c r="P137" s="54"/>
      <c r="Q137" s="54"/>
      <c r="R137" s="13"/>
    </row>
    <row r="138" spans="1:18" ht="45.75" thickTop="1" x14ac:dyDescent="0.25">
      <c r="A138" s="9" t="s">
        <v>21</v>
      </c>
      <c r="B138" s="28">
        <f>IF(ISBLANK(A138),0,INDEX(txtstylestab[],MATCH(A138,txtstylestab[style_Name],0),1))</f>
        <v>0</v>
      </c>
      <c r="C138" s="28">
        <f t="shared" si="8"/>
        <v>3</v>
      </c>
      <c r="D138" s="28">
        <f t="shared" si="9"/>
        <v>8</v>
      </c>
      <c r="E138" s="28">
        <f t="shared" si="10"/>
        <v>0</v>
      </c>
      <c r="F138" s="59" t="str">
        <f t="shared" si="11"/>
        <v/>
      </c>
      <c r="G138" s="42" t="s">
        <v>1467</v>
      </c>
      <c r="H138" s="43" t="s">
        <v>1468</v>
      </c>
      <c r="I138" s="44" t="s">
        <v>1694</v>
      </c>
      <c r="J138" s="45" t="s">
        <v>1469</v>
      </c>
      <c r="K138" s="46" t="s">
        <v>1470</v>
      </c>
      <c r="L138" s="47" t="s">
        <v>3098</v>
      </c>
      <c r="M138" s="48" t="s">
        <v>3101</v>
      </c>
      <c r="N138" s="49"/>
      <c r="O138" s="49"/>
      <c r="P138" s="50"/>
      <c r="Q138" s="59"/>
      <c r="R138" s="13"/>
    </row>
    <row r="139" spans="1:18" ht="60" x14ac:dyDescent="0.25">
      <c r="A139" s="9" t="s">
        <v>21</v>
      </c>
      <c r="B139" s="28">
        <f>IF(ISBLANK(A139),0,INDEX(txtstylestab[],MATCH(A139,txtstylestab[style_Name],0),1))</f>
        <v>0</v>
      </c>
      <c r="C139" s="28">
        <f t="shared" si="8"/>
        <v>3</v>
      </c>
      <c r="D139" s="28">
        <f t="shared" si="9"/>
        <v>8</v>
      </c>
      <c r="E139" s="28">
        <f t="shared" si="10"/>
        <v>0</v>
      </c>
      <c r="F139" s="59" t="str">
        <f t="shared" si="11"/>
        <v/>
      </c>
      <c r="G139" s="42" t="s">
        <v>1471</v>
      </c>
      <c r="H139" s="43" t="s">
        <v>1472</v>
      </c>
      <c r="I139" s="44" t="s">
        <v>1695</v>
      </c>
      <c r="J139" s="45" t="s">
        <v>1473</v>
      </c>
      <c r="K139" s="46" t="s">
        <v>1474</v>
      </c>
      <c r="L139" s="47" t="s">
        <v>3099</v>
      </c>
      <c r="M139" s="48" t="s">
        <v>3100</v>
      </c>
      <c r="N139" s="49"/>
      <c r="O139" s="49"/>
      <c r="P139" s="50"/>
      <c r="Q139" s="59"/>
      <c r="R139" s="13"/>
    </row>
    <row r="140" spans="1:18" x14ac:dyDescent="0.25">
      <c r="A140" s="9" t="s">
        <v>15</v>
      </c>
      <c r="B140" s="28">
        <f>IF(ISBLANK(A140),0,INDEX(txtstylestab[],MATCH(A140,txtstylestab[style_Name],0),1))</f>
        <v>8</v>
      </c>
      <c r="C140" s="28">
        <f t="shared" si="8"/>
        <v>3</v>
      </c>
      <c r="D140" s="28">
        <f t="shared" si="9"/>
        <v>8</v>
      </c>
      <c r="E140" s="28">
        <f t="shared" si="10"/>
        <v>0</v>
      </c>
      <c r="F140" s="60" t="str">
        <f t="shared" si="11"/>
        <v/>
      </c>
      <c r="G140" s="60" t="s">
        <v>1475</v>
      </c>
      <c r="H140" s="60"/>
      <c r="I140" s="60"/>
      <c r="J140" s="60"/>
      <c r="K140" s="60"/>
      <c r="L140" s="60"/>
      <c r="M140" s="60"/>
      <c r="N140" s="60"/>
      <c r="O140" s="60"/>
      <c r="P140" s="60"/>
      <c r="Q140" s="60"/>
      <c r="R140" s="13"/>
    </row>
    <row r="141" spans="1:18" x14ac:dyDescent="0.25">
      <c r="A141" s="9" t="s">
        <v>15</v>
      </c>
      <c r="B141" s="28">
        <f>IF(ISBLANK(A141),0,INDEX(txtstylestab[],MATCH(A141,txtstylestab[style_Name],0),1))</f>
        <v>8</v>
      </c>
      <c r="C141" s="28">
        <f t="shared" si="8"/>
        <v>3</v>
      </c>
      <c r="D141" s="28">
        <f t="shared" si="9"/>
        <v>8</v>
      </c>
      <c r="E141" s="28">
        <f t="shared" si="10"/>
        <v>0</v>
      </c>
      <c r="F141" s="60" t="str">
        <f t="shared" si="11"/>
        <v/>
      </c>
      <c r="G141" s="60" t="s">
        <v>1476</v>
      </c>
      <c r="H141" s="60"/>
      <c r="I141" s="60"/>
      <c r="J141" s="60"/>
      <c r="K141" s="60"/>
      <c r="L141" s="60"/>
      <c r="M141" s="60"/>
      <c r="N141" s="60"/>
      <c r="O141" s="60"/>
      <c r="P141" s="60"/>
      <c r="Q141" s="60"/>
      <c r="R141" s="13"/>
    </row>
    <row r="142" spans="1:18" x14ac:dyDescent="0.25">
      <c r="A142" s="9" t="s">
        <v>15</v>
      </c>
      <c r="B142" s="28">
        <f>IF(ISBLANK(A142),0,INDEX(txtstylestab[],MATCH(A142,txtstylestab[style_Name],0),1))</f>
        <v>8</v>
      </c>
      <c r="C142" s="28">
        <f t="shared" si="8"/>
        <v>3</v>
      </c>
      <c r="D142" s="28">
        <f t="shared" si="9"/>
        <v>8</v>
      </c>
      <c r="E142" s="28">
        <f t="shared" si="10"/>
        <v>0</v>
      </c>
      <c r="F142" s="60" t="str">
        <f t="shared" si="11"/>
        <v/>
      </c>
      <c r="G142" s="60" t="s">
        <v>1477</v>
      </c>
      <c r="H142" s="60"/>
      <c r="I142" s="60"/>
      <c r="J142" s="60"/>
      <c r="K142" s="60"/>
      <c r="L142" s="60"/>
      <c r="M142" s="60"/>
      <c r="N142" s="60"/>
      <c r="O142" s="60"/>
      <c r="P142" s="60"/>
      <c r="Q142" s="60"/>
      <c r="R142" s="13"/>
    </row>
    <row r="143" spans="1:18" x14ac:dyDescent="0.25">
      <c r="A143" s="9" t="s">
        <v>15</v>
      </c>
      <c r="B143" s="28">
        <f>IF(ISBLANK(A143),0,INDEX(txtstylestab[],MATCH(A143,txtstylestab[style_Name],0),1))</f>
        <v>8</v>
      </c>
      <c r="C143" s="28">
        <f t="shared" si="8"/>
        <v>3</v>
      </c>
      <c r="D143" s="28">
        <f t="shared" si="9"/>
        <v>8</v>
      </c>
      <c r="E143" s="28">
        <f t="shared" si="10"/>
        <v>0</v>
      </c>
      <c r="F143" s="60" t="str">
        <f t="shared" si="11"/>
        <v/>
      </c>
      <c r="G143" s="60" t="s">
        <v>1478</v>
      </c>
      <c r="H143" s="60"/>
      <c r="I143" s="60"/>
      <c r="J143" s="60"/>
      <c r="K143" s="60"/>
      <c r="L143" s="60"/>
      <c r="M143" s="60"/>
      <c r="N143" s="60"/>
      <c r="O143" s="60"/>
      <c r="P143" s="60"/>
      <c r="Q143" s="60"/>
      <c r="R143" s="13"/>
    </row>
    <row r="144" spans="1:18" x14ac:dyDescent="0.25">
      <c r="A144" s="9" t="s">
        <v>15</v>
      </c>
      <c r="B144" s="28">
        <f>IF(ISBLANK(A144),0,INDEX(txtstylestab[],MATCH(A144,txtstylestab[style_Name],0),1))</f>
        <v>8</v>
      </c>
      <c r="C144" s="28">
        <f t="shared" si="8"/>
        <v>3</v>
      </c>
      <c r="D144" s="28">
        <f t="shared" si="9"/>
        <v>8</v>
      </c>
      <c r="E144" s="28">
        <f t="shared" si="10"/>
        <v>0</v>
      </c>
      <c r="F144" s="60" t="str">
        <f t="shared" si="11"/>
        <v/>
      </c>
      <c r="G144" s="60" t="s">
        <v>1479</v>
      </c>
      <c r="H144" s="60"/>
      <c r="I144" s="60"/>
      <c r="J144" s="60"/>
      <c r="K144" s="60"/>
      <c r="L144" s="60"/>
      <c r="M144" s="60"/>
      <c r="N144" s="60"/>
      <c r="O144" s="60"/>
      <c r="P144" s="60"/>
      <c r="Q144" s="60"/>
      <c r="R144" s="13"/>
    </row>
    <row r="145" spans="1:18" x14ac:dyDescent="0.25">
      <c r="A145" s="9" t="s">
        <v>15</v>
      </c>
      <c r="B145" s="28">
        <f>IF(ISBLANK(A145),0,INDEX(txtstylestab[],MATCH(A145,txtstylestab[style_Name],0),1))</f>
        <v>8</v>
      </c>
      <c r="C145" s="28">
        <f t="shared" si="8"/>
        <v>3</v>
      </c>
      <c r="D145" s="28">
        <f t="shared" si="9"/>
        <v>8</v>
      </c>
      <c r="E145" s="28">
        <f t="shared" si="10"/>
        <v>0</v>
      </c>
      <c r="F145" s="60" t="str">
        <f t="shared" si="11"/>
        <v/>
      </c>
      <c r="G145" s="60" t="s">
        <v>2102</v>
      </c>
      <c r="H145" s="60"/>
      <c r="I145" s="60"/>
      <c r="J145" s="60"/>
      <c r="K145" s="60"/>
      <c r="L145" s="60"/>
      <c r="M145" s="60"/>
      <c r="N145" s="60"/>
      <c r="O145" s="60"/>
      <c r="P145" s="60"/>
      <c r="Q145" s="60"/>
      <c r="R145" s="13"/>
    </row>
    <row r="146" spans="1:18" x14ac:dyDescent="0.25">
      <c r="A146" s="9" t="s">
        <v>15</v>
      </c>
      <c r="B146" s="28">
        <f>IF(ISBLANK(A146),0,INDEX(txtstylestab[],MATCH(A146,txtstylestab[style_Name],0),1))</f>
        <v>8</v>
      </c>
      <c r="C146" s="28">
        <f t="shared" si="8"/>
        <v>3</v>
      </c>
      <c r="D146" s="28">
        <f t="shared" si="9"/>
        <v>8</v>
      </c>
      <c r="E146" s="28">
        <f t="shared" si="10"/>
        <v>0</v>
      </c>
      <c r="F146" s="60" t="str">
        <f t="shared" si="11"/>
        <v/>
      </c>
      <c r="G146" s="60" t="s">
        <v>1480</v>
      </c>
      <c r="H146" s="60"/>
      <c r="I146" s="60"/>
      <c r="J146" s="60"/>
      <c r="K146" s="60"/>
      <c r="L146" s="60"/>
      <c r="M146" s="60"/>
      <c r="N146" s="60"/>
      <c r="O146" s="60"/>
      <c r="P146" s="60"/>
      <c r="Q146" s="60"/>
      <c r="R146" s="13"/>
    </row>
    <row r="147" spans="1:18" x14ac:dyDescent="0.25">
      <c r="A147" s="9" t="s">
        <v>15</v>
      </c>
      <c r="B147" s="28">
        <f>IF(ISBLANK(A147),0,INDEX(txtstylestab[],MATCH(A147,txtstylestab[style_Name],0),1))</f>
        <v>8</v>
      </c>
      <c r="C147" s="28">
        <f t="shared" si="8"/>
        <v>3</v>
      </c>
      <c r="D147" s="28">
        <f t="shared" si="9"/>
        <v>8</v>
      </c>
      <c r="E147" s="28">
        <f t="shared" si="10"/>
        <v>0</v>
      </c>
      <c r="F147" s="60" t="str">
        <f t="shared" si="11"/>
        <v/>
      </c>
      <c r="G147" s="60" t="s">
        <v>1481</v>
      </c>
      <c r="H147" s="60"/>
      <c r="I147" s="60"/>
      <c r="J147" s="60"/>
      <c r="K147" s="60"/>
      <c r="L147" s="60"/>
      <c r="M147" s="60"/>
      <c r="N147" s="60"/>
      <c r="O147" s="60"/>
      <c r="P147" s="60"/>
      <c r="Q147" s="60"/>
      <c r="R147" s="13"/>
    </row>
    <row r="148" spans="1:18" x14ac:dyDescent="0.25">
      <c r="A148" s="9" t="s">
        <v>15</v>
      </c>
      <c r="B148" s="28">
        <f>IF(ISBLANK(A148),0,INDEX(txtstylestab[],MATCH(A148,txtstylestab[style_Name],0),1))</f>
        <v>8</v>
      </c>
      <c r="C148" s="28">
        <f t="shared" si="8"/>
        <v>3</v>
      </c>
      <c r="D148" s="28">
        <f t="shared" si="9"/>
        <v>8</v>
      </c>
      <c r="E148" s="28">
        <f t="shared" si="10"/>
        <v>0</v>
      </c>
      <c r="F148" s="60" t="str">
        <f t="shared" si="11"/>
        <v/>
      </c>
      <c r="G148" s="60" t="s">
        <v>1482</v>
      </c>
      <c r="H148" s="60"/>
      <c r="I148" s="60"/>
      <c r="J148" s="60"/>
      <c r="K148" s="60"/>
      <c r="L148" s="60"/>
      <c r="M148" s="60"/>
      <c r="N148" s="60"/>
      <c r="O148" s="60"/>
      <c r="P148" s="60"/>
      <c r="Q148" s="60"/>
      <c r="R148" s="13"/>
    </row>
    <row r="149" spans="1:18" ht="18" thickBot="1" x14ac:dyDescent="0.35">
      <c r="A149" s="9" t="s">
        <v>11</v>
      </c>
      <c r="B149" s="28">
        <f>IF(ISBLANK(A149),0,INDEX(txtstylestab[],MATCH(A149,txtstylestab[style_Name],0),1))</f>
        <v>2</v>
      </c>
      <c r="C149" s="28">
        <f t="shared" si="8"/>
        <v>3</v>
      </c>
      <c r="D149" s="28">
        <f t="shared" si="9"/>
        <v>9</v>
      </c>
      <c r="E149" s="28">
        <f t="shared" si="10"/>
        <v>0</v>
      </c>
      <c r="F149" s="54" t="str">
        <f t="shared" si="11"/>
        <v>3.9.</v>
      </c>
      <c r="G149" s="54" t="s">
        <v>1488</v>
      </c>
      <c r="H149" s="54"/>
      <c r="I149" s="54"/>
      <c r="J149" s="54"/>
      <c r="K149" s="54"/>
      <c r="L149" s="54"/>
      <c r="M149" s="54"/>
      <c r="N149" s="54"/>
      <c r="O149" s="54"/>
      <c r="P149" s="54"/>
      <c r="Q149" s="54"/>
      <c r="R149" s="13"/>
    </row>
    <row r="150" spans="1:18" ht="15.75" thickTop="1" x14ac:dyDescent="0.25">
      <c r="A150" s="9" t="s">
        <v>22</v>
      </c>
      <c r="B150" s="28">
        <f>IF(ISBLANK(A150),0,INDEX(txtstylestab[],MATCH(A150,txtstylestab[style_Name],0),1))</f>
        <v>4</v>
      </c>
      <c r="C150" s="28">
        <f t="shared" si="8"/>
        <v>3</v>
      </c>
      <c r="D150" s="28">
        <f t="shared" si="9"/>
        <v>9</v>
      </c>
      <c r="E150" s="28">
        <f t="shared" si="10"/>
        <v>0</v>
      </c>
      <c r="F150" s="56" t="str">
        <f t="shared" si="11"/>
        <v/>
      </c>
      <c r="G150" s="53" t="s">
        <v>1521</v>
      </c>
      <c r="H150" s="53"/>
      <c r="I150" s="53"/>
      <c r="J150" s="53"/>
      <c r="K150" s="53"/>
      <c r="L150" s="53"/>
      <c r="M150" s="53"/>
      <c r="N150" s="53"/>
      <c r="O150" s="53"/>
      <c r="P150" s="53"/>
      <c r="Q150" s="53"/>
      <c r="R150" s="13"/>
    </row>
    <row r="151" spans="1:18" x14ac:dyDescent="0.25">
      <c r="A151" s="9" t="s">
        <v>21</v>
      </c>
      <c r="B151" s="28">
        <f>IF(ISBLANK(A151),0,INDEX(txtstylestab[],MATCH(A151,txtstylestab[style_Name],0),1))</f>
        <v>0</v>
      </c>
      <c r="C151" s="28">
        <f t="shared" si="8"/>
        <v>3</v>
      </c>
      <c r="D151" s="28">
        <f t="shared" si="9"/>
        <v>9</v>
      </c>
      <c r="E151" s="28">
        <f t="shared" si="10"/>
        <v>0</v>
      </c>
      <c r="F151" s="59" t="str">
        <f t="shared" si="11"/>
        <v/>
      </c>
      <c r="G151" s="42" t="s">
        <v>82</v>
      </c>
      <c r="H151" s="43" t="s">
        <v>83</v>
      </c>
      <c r="I151" s="44" t="s">
        <v>84</v>
      </c>
      <c r="J151" s="45" t="s">
        <v>1208</v>
      </c>
      <c r="K151" s="46" t="s">
        <v>86</v>
      </c>
      <c r="L151" s="47" t="s">
        <v>2397</v>
      </c>
      <c r="M151" s="48" t="s">
        <v>2332</v>
      </c>
      <c r="N151" s="49"/>
      <c r="O151" s="49"/>
      <c r="P151" s="50"/>
      <c r="Q151" s="59"/>
      <c r="R151" s="13"/>
    </row>
    <row r="152" spans="1:18" ht="60" x14ac:dyDescent="0.25">
      <c r="A152" s="9" t="s">
        <v>21</v>
      </c>
      <c r="B152" s="28">
        <f>IF(ISBLANK(A152),0,INDEX(txtstylestab[],MATCH(A152,txtstylestab[style_Name],0),1))</f>
        <v>0</v>
      </c>
      <c r="C152" s="28">
        <f t="shared" si="8"/>
        <v>3</v>
      </c>
      <c r="D152" s="28">
        <f t="shared" si="9"/>
        <v>9</v>
      </c>
      <c r="E152" s="28">
        <f t="shared" si="10"/>
        <v>0</v>
      </c>
      <c r="F152" s="59" t="str">
        <f t="shared" si="11"/>
        <v/>
      </c>
      <c r="G152" s="42" t="s">
        <v>1489</v>
      </c>
      <c r="H152" s="43" t="s">
        <v>1490</v>
      </c>
      <c r="I152" s="44" t="s">
        <v>1760</v>
      </c>
      <c r="J152" s="45" t="s">
        <v>1491</v>
      </c>
      <c r="K152" s="46" t="s">
        <v>1492</v>
      </c>
      <c r="L152" s="47" t="s">
        <v>3102</v>
      </c>
      <c r="M152" s="48" t="s">
        <v>3103</v>
      </c>
      <c r="N152" s="49"/>
      <c r="O152" s="49"/>
      <c r="P152" s="50"/>
      <c r="Q152" s="59"/>
      <c r="R152" s="13"/>
    </row>
    <row r="153" spans="1:18" ht="60" x14ac:dyDescent="0.25">
      <c r="A153" s="9" t="s">
        <v>21</v>
      </c>
      <c r="B153" s="28">
        <f>IF(ISBLANK(A153),0,INDEX(txtstylestab[],MATCH(A153,txtstylestab[style_Name],0),1))</f>
        <v>0</v>
      </c>
      <c r="C153" s="28">
        <f t="shared" si="8"/>
        <v>3</v>
      </c>
      <c r="D153" s="28">
        <f t="shared" si="9"/>
        <v>9</v>
      </c>
      <c r="E153" s="28">
        <f t="shared" si="10"/>
        <v>0</v>
      </c>
      <c r="F153" s="59" t="str">
        <f t="shared" si="11"/>
        <v/>
      </c>
      <c r="G153" s="42" t="s">
        <v>1493</v>
      </c>
      <c r="H153" s="43" t="s">
        <v>1494</v>
      </c>
      <c r="I153" s="44" t="s">
        <v>1761</v>
      </c>
      <c r="J153" s="45" t="s">
        <v>1495</v>
      </c>
      <c r="K153" s="46" t="s">
        <v>1496</v>
      </c>
      <c r="L153" s="47" t="s">
        <v>3104</v>
      </c>
      <c r="M153" s="48" t="s">
        <v>3105</v>
      </c>
      <c r="N153" s="49"/>
      <c r="O153" s="49"/>
      <c r="P153" s="50"/>
      <c r="Q153" s="59"/>
      <c r="R153" s="13"/>
    </row>
    <row r="154" spans="1:18" ht="30" x14ac:dyDescent="0.25">
      <c r="A154" s="9" t="s">
        <v>21</v>
      </c>
      <c r="B154" s="28">
        <f>IF(ISBLANK(A154),0,INDEX(txtstylestab[],MATCH(A154,txtstylestab[style_Name],0),1))</f>
        <v>0</v>
      </c>
      <c r="C154" s="28">
        <f t="shared" si="8"/>
        <v>3</v>
      </c>
      <c r="D154" s="28">
        <f t="shared" si="9"/>
        <v>9</v>
      </c>
      <c r="E154" s="28">
        <f t="shared" si="10"/>
        <v>0</v>
      </c>
      <c r="F154" s="59" t="str">
        <f t="shared" si="11"/>
        <v/>
      </c>
      <c r="G154" s="42" t="s">
        <v>1497</v>
      </c>
      <c r="H154" s="43" t="s">
        <v>1498</v>
      </c>
      <c r="I154" s="44" t="s">
        <v>1762</v>
      </c>
      <c r="J154" s="45" t="s">
        <v>1499</v>
      </c>
      <c r="K154" s="46" t="s">
        <v>1500</v>
      </c>
      <c r="L154" s="47" t="s">
        <v>3106</v>
      </c>
      <c r="M154" s="48" t="s">
        <v>3107</v>
      </c>
      <c r="N154" s="49"/>
      <c r="O154" s="49"/>
      <c r="P154" s="50"/>
      <c r="Q154" s="59"/>
      <c r="R154" s="13"/>
    </row>
    <row r="155" spans="1:18" ht="45" x14ac:dyDescent="0.25">
      <c r="A155" s="9" t="s">
        <v>21</v>
      </c>
      <c r="B155" s="28">
        <f>IF(ISBLANK(A155),0,INDEX(txtstylestab[],MATCH(A155,txtstylestab[style_Name],0),1))</f>
        <v>0</v>
      </c>
      <c r="C155" s="28">
        <f t="shared" si="8"/>
        <v>3</v>
      </c>
      <c r="D155" s="28">
        <f t="shared" si="9"/>
        <v>9</v>
      </c>
      <c r="E155" s="28">
        <f t="shared" si="10"/>
        <v>0</v>
      </c>
      <c r="F155" s="59" t="str">
        <f t="shared" si="11"/>
        <v/>
      </c>
      <c r="G155" s="42" t="s">
        <v>1501</v>
      </c>
      <c r="H155" s="43" t="s">
        <v>1502</v>
      </c>
      <c r="I155" s="44" t="s">
        <v>1696</v>
      </c>
      <c r="J155" s="45" t="s">
        <v>1503</v>
      </c>
      <c r="K155" s="46" t="s">
        <v>1504</v>
      </c>
      <c r="L155" s="47" t="s">
        <v>3108</v>
      </c>
      <c r="M155" s="48" t="s">
        <v>3109</v>
      </c>
      <c r="N155" s="49"/>
      <c r="O155" s="49"/>
      <c r="P155" s="50"/>
      <c r="Q155" s="59"/>
      <c r="R155" s="13"/>
    </row>
    <row r="156" spans="1:18" ht="75" x14ac:dyDescent="0.25">
      <c r="A156" s="9" t="s">
        <v>21</v>
      </c>
      <c r="B156" s="28">
        <f>IF(ISBLANK(A156),0,INDEX(txtstylestab[],MATCH(A156,txtstylestab[style_Name],0),1))</f>
        <v>0</v>
      </c>
      <c r="C156" s="28">
        <f t="shared" si="8"/>
        <v>3</v>
      </c>
      <c r="D156" s="28">
        <f t="shared" si="9"/>
        <v>9</v>
      </c>
      <c r="E156" s="28">
        <f t="shared" si="10"/>
        <v>0</v>
      </c>
      <c r="F156" s="59" t="str">
        <f t="shared" si="11"/>
        <v/>
      </c>
      <c r="G156" s="42" t="s">
        <v>1505</v>
      </c>
      <c r="H156" s="43" t="s">
        <v>2326</v>
      </c>
      <c r="I156" s="44" t="s">
        <v>1697</v>
      </c>
      <c r="J156" s="45" t="s">
        <v>1506</v>
      </c>
      <c r="K156" s="46" t="s">
        <v>1507</v>
      </c>
      <c r="L156" s="47" t="s">
        <v>3110</v>
      </c>
      <c r="M156" s="48" t="s">
        <v>3111</v>
      </c>
      <c r="N156" s="49"/>
      <c r="O156" s="49"/>
      <c r="P156" s="50"/>
      <c r="Q156" s="59"/>
      <c r="R156" s="13"/>
    </row>
    <row r="157" spans="1:18" x14ac:dyDescent="0.25">
      <c r="A157" s="9" t="s">
        <v>22</v>
      </c>
      <c r="B157" s="28">
        <f>IF(ISBLANK(A157),0,INDEX(txtstylestab[],MATCH(A157,txtstylestab[style_Name],0),1))</f>
        <v>4</v>
      </c>
      <c r="C157" s="28">
        <f t="shared" si="8"/>
        <v>3</v>
      </c>
      <c r="D157" s="28">
        <f t="shared" si="9"/>
        <v>9</v>
      </c>
      <c r="E157" s="28">
        <f t="shared" si="10"/>
        <v>0</v>
      </c>
      <c r="F157" s="56" t="str">
        <f t="shared" si="11"/>
        <v/>
      </c>
      <c r="G157" s="53" t="s">
        <v>1522</v>
      </c>
      <c r="H157" s="53"/>
      <c r="I157" s="53"/>
      <c r="J157" s="53"/>
      <c r="K157" s="53"/>
      <c r="L157" s="53"/>
      <c r="M157" s="53"/>
      <c r="N157" s="53"/>
      <c r="O157" s="53"/>
      <c r="P157" s="53"/>
      <c r="Q157" s="53"/>
      <c r="R157" s="13"/>
    </row>
    <row r="158" spans="1:18" x14ac:dyDescent="0.25">
      <c r="A158" s="9" t="s">
        <v>21</v>
      </c>
      <c r="B158" s="28">
        <f>IF(ISBLANK(A158),0,INDEX(txtstylestab[],MATCH(A158,txtstylestab[style_Name],0),1))</f>
        <v>0</v>
      </c>
      <c r="C158" s="28">
        <f t="shared" si="8"/>
        <v>3</v>
      </c>
      <c r="D158" s="28">
        <f t="shared" si="9"/>
        <v>9</v>
      </c>
      <c r="E158" s="28">
        <f t="shared" si="10"/>
        <v>0</v>
      </c>
      <c r="F158" s="59" t="str">
        <f t="shared" si="11"/>
        <v/>
      </c>
      <c r="G158" s="42" t="s">
        <v>82</v>
      </c>
      <c r="H158" s="43" t="s">
        <v>83</v>
      </c>
      <c r="I158" s="44" t="s">
        <v>84</v>
      </c>
      <c r="J158" s="45" t="s">
        <v>1208</v>
      </c>
      <c r="K158" s="46" t="s">
        <v>86</v>
      </c>
      <c r="L158" s="47" t="s">
        <v>2397</v>
      </c>
      <c r="M158" s="48" t="s">
        <v>2332</v>
      </c>
      <c r="N158" s="48"/>
      <c r="O158" s="48"/>
      <c r="P158" s="49"/>
      <c r="Q158" s="50"/>
      <c r="R158" s="13"/>
    </row>
    <row r="159" spans="1:18" ht="105" x14ac:dyDescent="0.25">
      <c r="A159" s="9" t="s">
        <v>21</v>
      </c>
      <c r="B159" s="28">
        <f>IF(ISBLANK(A159),0,INDEX(txtstylestab[],MATCH(A159,txtstylestab[style_Name],0),1))</f>
        <v>0</v>
      </c>
      <c r="C159" s="28">
        <f t="shared" si="8"/>
        <v>3</v>
      </c>
      <c r="D159" s="28">
        <f t="shared" si="9"/>
        <v>9</v>
      </c>
      <c r="E159" s="28">
        <f t="shared" si="10"/>
        <v>0</v>
      </c>
      <c r="F159" s="59" t="str">
        <f t="shared" si="11"/>
        <v/>
      </c>
      <c r="G159" s="42" t="s">
        <v>2103</v>
      </c>
      <c r="H159" s="43" t="s">
        <v>2104</v>
      </c>
      <c r="I159" s="44" t="s">
        <v>2105</v>
      </c>
      <c r="J159" s="45" t="s">
        <v>2106</v>
      </c>
      <c r="K159" s="46" t="s">
        <v>2107</v>
      </c>
      <c r="L159" s="47" t="s">
        <v>3112</v>
      </c>
      <c r="M159" s="48" t="s">
        <v>3124</v>
      </c>
      <c r="N159" s="49"/>
      <c r="O159" s="49"/>
      <c r="P159" s="50"/>
      <c r="Q159" s="59"/>
      <c r="R159" s="13"/>
    </row>
    <row r="160" spans="1:18" ht="30" x14ac:dyDescent="0.25">
      <c r="A160" s="9" t="s">
        <v>14</v>
      </c>
      <c r="B160" s="28">
        <f>IF(ISBLANK(A160),0,INDEX(txtstylestab[],MATCH(A160,txtstylestab[style_Name],0),1))</f>
        <v>6</v>
      </c>
      <c r="C160" s="28">
        <f t="shared" si="8"/>
        <v>3</v>
      </c>
      <c r="D160" s="28">
        <f t="shared" si="9"/>
        <v>9</v>
      </c>
      <c r="E160" s="28">
        <f t="shared" si="10"/>
        <v>0</v>
      </c>
      <c r="F160" s="59" t="str">
        <f t="shared" si="11"/>
        <v/>
      </c>
      <c r="G160" s="42" t="s">
        <v>2108</v>
      </c>
      <c r="H160" s="43" t="s">
        <v>2112</v>
      </c>
      <c r="I160" s="44" t="s">
        <v>2109</v>
      </c>
      <c r="J160" s="45" t="s">
        <v>2110</v>
      </c>
      <c r="K160" s="46" t="s">
        <v>2111</v>
      </c>
      <c r="L160" s="47" t="s">
        <v>3113</v>
      </c>
      <c r="M160" s="48" t="s">
        <v>3114</v>
      </c>
      <c r="N160" s="49"/>
      <c r="O160" s="49"/>
      <c r="P160" s="50"/>
      <c r="Q160" s="59"/>
      <c r="R160" s="13"/>
    </row>
    <row r="161" spans="1:18" ht="30" x14ac:dyDescent="0.25">
      <c r="A161" s="9" t="s">
        <v>14</v>
      </c>
      <c r="B161" s="28">
        <f>IF(ISBLANK(A161),0,INDEX(txtstylestab[],MATCH(A161,txtstylestab[style_Name],0),1))</f>
        <v>6</v>
      </c>
      <c r="C161" s="28">
        <f t="shared" si="8"/>
        <v>3</v>
      </c>
      <c r="D161" s="28">
        <f t="shared" si="9"/>
        <v>9</v>
      </c>
      <c r="E161" s="28">
        <f t="shared" si="10"/>
        <v>0</v>
      </c>
      <c r="F161" s="59" t="str">
        <f t="shared" si="11"/>
        <v/>
      </c>
      <c r="G161" s="42" t="s">
        <v>1512</v>
      </c>
      <c r="H161" s="43" t="s">
        <v>1513</v>
      </c>
      <c r="I161" s="44" t="s">
        <v>1514</v>
      </c>
      <c r="J161" s="45" t="s">
        <v>1515</v>
      </c>
      <c r="K161" s="46" t="s">
        <v>1516</v>
      </c>
      <c r="L161" s="47" t="s">
        <v>3115</v>
      </c>
      <c r="M161" s="48" t="s">
        <v>3116</v>
      </c>
      <c r="N161" s="49"/>
      <c r="O161" s="49"/>
      <c r="P161" s="50"/>
      <c r="Q161" s="59"/>
      <c r="R161" s="13"/>
    </row>
    <row r="162" spans="1:18" ht="45" x14ac:dyDescent="0.25">
      <c r="A162" s="9" t="s">
        <v>21</v>
      </c>
      <c r="B162" s="28">
        <f>IF(ISBLANK(A162),0,INDEX(txtstylestab[],MATCH(A162,txtstylestab[style_Name],0),1))</f>
        <v>0</v>
      </c>
      <c r="C162" s="28">
        <f t="shared" si="8"/>
        <v>3</v>
      </c>
      <c r="D162" s="28">
        <f t="shared" si="9"/>
        <v>9</v>
      </c>
      <c r="E162" s="28">
        <f t="shared" si="10"/>
        <v>0</v>
      </c>
      <c r="F162" s="59" t="str">
        <f t="shared" si="11"/>
        <v/>
      </c>
      <c r="G162" s="42" t="s">
        <v>1508</v>
      </c>
      <c r="H162" s="43" t="s">
        <v>1509</v>
      </c>
      <c r="I162" s="44" t="s">
        <v>1698</v>
      </c>
      <c r="J162" s="45" t="s">
        <v>1510</v>
      </c>
      <c r="K162" s="46" t="s">
        <v>1511</v>
      </c>
      <c r="L162" s="47"/>
      <c r="M162" s="47"/>
      <c r="N162" s="48"/>
      <c r="O162" s="48"/>
      <c r="P162" s="49"/>
      <c r="Q162" s="50"/>
      <c r="R162" s="13"/>
    </row>
    <row r="163" spans="1:18" ht="30" x14ac:dyDescent="0.25">
      <c r="A163" s="9" t="s">
        <v>21</v>
      </c>
      <c r="B163" s="28">
        <f>IF(ISBLANK(A163),0,INDEX(txtstylestab[],MATCH(A163,txtstylestab[style_Name],0),1))</f>
        <v>0</v>
      </c>
      <c r="C163" s="28">
        <f t="shared" si="8"/>
        <v>3</v>
      </c>
      <c r="D163" s="28">
        <f t="shared" si="9"/>
        <v>9</v>
      </c>
      <c r="E163" s="28">
        <f t="shared" si="10"/>
        <v>0</v>
      </c>
      <c r="F163" s="59" t="str">
        <f t="shared" si="11"/>
        <v/>
      </c>
      <c r="G163" s="42" t="s">
        <v>1219</v>
      </c>
      <c r="H163" s="43" t="s">
        <v>1220</v>
      </c>
      <c r="I163" s="44" t="s">
        <v>1221</v>
      </c>
      <c r="J163" s="45" t="s">
        <v>1517</v>
      </c>
      <c r="K163" s="46" t="s">
        <v>1518</v>
      </c>
      <c r="L163" s="47"/>
      <c r="M163" s="47"/>
      <c r="N163" s="48"/>
      <c r="O163" s="48"/>
      <c r="P163" s="49"/>
      <c r="Q163" s="50"/>
      <c r="R163" s="13"/>
    </row>
    <row r="164" spans="1:18" x14ac:dyDescent="0.25">
      <c r="A164" s="9" t="s">
        <v>15</v>
      </c>
      <c r="B164" s="28">
        <f>IF(ISBLANK(A164),0,INDEX(txtstylestab[],MATCH(A164,txtstylestab[style_Name],0),1))</f>
        <v>8</v>
      </c>
      <c r="C164" s="28">
        <f t="shared" si="8"/>
        <v>3</v>
      </c>
      <c r="D164" s="28">
        <f t="shared" si="9"/>
        <v>9</v>
      </c>
      <c r="E164" s="28">
        <f t="shared" si="10"/>
        <v>0</v>
      </c>
      <c r="F164" s="60" t="str">
        <f t="shared" si="11"/>
        <v/>
      </c>
      <c r="G164" s="60" t="s">
        <v>1519</v>
      </c>
      <c r="H164" s="60"/>
      <c r="I164" s="60"/>
      <c r="J164" s="60"/>
      <c r="K164" s="60"/>
      <c r="L164" s="60"/>
      <c r="M164" s="60"/>
      <c r="N164" s="60"/>
      <c r="O164" s="60"/>
      <c r="P164" s="60"/>
      <c r="Q164" s="60"/>
      <c r="R164" s="13"/>
    </row>
    <row r="165" spans="1:18" x14ac:dyDescent="0.25">
      <c r="A165" s="9" t="s">
        <v>22</v>
      </c>
      <c r="B165" s="28">
        <f>IF(ISBLANK(A165),0,INDEX(txtstylestab[],MATCH(A165,txtstylestab[style_Name],0),1))</f>
        <v>4</v>
      </c>
      <c r="C165" s="28">
        <f t="shared" si="8"/>
        <v>3</v>
      </c>
      <c r="D165" s="28">
        <f t="shared" si="9"/>
        <v>9</v>
      </c>
      <c r="E165" s="28">
        <f t="shared" si="10"/>
        <v>0</v>
      </c>
      <c r="F165" s="56" t="str">
        <f t="shared" si="11"/>
        <v/>
      </c>
      <c r="G165" s="53" t="s">
        <v>1520</v>
      </c>
      <c r="H165" s="53"/>
      <c r="I165" s="53"/>
      <c r="J165" s="53"/>
      <c r="K165" s="53"/>
      <c r="L165" s="53"/>
      <c r="M165" s="53"/>
      <c r="N165" s="53"/>
      <c r="O165" s="53"/>
      <c r="P165" s="53"/>
      <c r="Q165" s="53"/>
      <c r="R165" s="13"/>
    </row>
    <row r="166" spans="1:18" x14ac:dyDescent="0.25">
      <c r="A166" s="9" t="s">
        <v>23</v>
      </c>
      <c r="B166" s="28">
        <f>IF(ISBLANK(A166),0,INDEX(txtstylestab[],MATCH(A166,txtstylestab[style_Name],0),1))</f>
        <v>5</v>
      </c>
      <c r="C166" s="28">
        <f t="shared" si="8"/>
        <v>3</v>
      </c>
      <c r="D166" s="28">
        <f t="shared" si="9"/>
        <v>9</v>
      </c>
      <c r="E166" s="28">
        <f t="shared" si="10"/>
        <v>0</v>
      </c>
      <c r="F166" s="56" t="str">
        <f t="shared" si="11"/>
        <v/>
      </c>
      <c r="G166" s="58" t="s">
        <v>1733</v>
      </c>
      <c r="H166" s="58"/>
      <c r="I166" s="58"/>
      <c r="J166" s="58"/>
      <c r="K166" s="58"/>
      <c r="L166" s="58"/>
      <c r="M166" s="58"/>
      <c r="N166" s="58"/>
      <c r="O166" s="58"/>
      <c r="P166" s="58"/>
      <c r="Q166" s="58"/>
      <c r="R166" s="13"/>
    </row>
    <row r="167" spans="1:18" x14ac:dyDescent="0.25">
      <c r="A167" s="9" t="s">
        <v>21</v>
      </c>
      <c r="B167" s="28">
        <f>IF(ISBLANK(A167),0,INDEX(txtstylestab[],MATCH(A167,txtstylestab[style_Name],0),1))</f>
        <v>0</v>
      </c>
      <c r="C167" s="28">
        <f t="shared" si="8"/>
        <v>3</v>
      </c>
      <c r="D167" s="28">
        <f t="shared" si="9"/>
        <v>9</v>
      </c>
      <c r="E167" s="28">
        <f t="shared" si="10"/>
        <v>0</v>
      </c>
      <c r="F167" s="59" t="str">
        <f t="shared" si="11"/>
        <v/>
      </c>
      <c r="G167" s="42" t="s">
        <v>82</v>
      </c>
      <c r="H167" s="43" t="s">
        <v>83</v>
      </c>
      <c r="I167" s="44" t="s">
        <v>84</v>
      </c>
      <c r="J167" s="45" t="s">
        <v>1523</v>
      </c>
      <c r="K167" s="46" t="s">
        <v>86</v>
      </c>
      <c r="L167" s="47" t="s">
        <v>2397</v>
      </c>
      <c r="M167" s="48" t="s">
        <v>2332</v>
      </c>
      <c r="N167" s="49"/>
      <c r="O167" s="49"/>
      <c r="P167" s="50"/>
      <c r="Q167" s="59"/>
      <c r="R167" s="13"/>
    </row>
    <row r="168" spans="1:18" ht="45" x14ac:dyDescent="0.25">
      <c r="A168" s="9" t="s">
        <v>21</v>
      </c>
      <c r="B168" s="28">
        <f>IF(ISBLANK(A168),0,INDEX(txtstylestab[],MATCH(A168,txtstylestab[style_Name],0),1))</f>
        <v>0</v>
      </c>
      <c r="C168" s="28">
        <f t="shared" si="8"/>
        <v>3</v>
      </c>
      <c r="D168" s="28">
        <f t="shared" si="9"/>
        <v>9</v>
      </c>
      <c r="E168" s="28">
        <f t="shared" si="10"/>
        <v>0</v>
      </c>
      <c r="F168" s="59" t="str">
        <f t="shared" si="11"/>
        <v/>
      </c>
      <c r="G168" s="42" t="s">
        <v>1734</v>
      </c>
      <c r="H168" s="43" t="s">
        <v>1735</v>
      </c>
      <c r="I168" s="44" t="s">
        <v>1736</v>
      </c>
      <c r="J168" s="45" t="s">
        <v>1737</v>
      </c>
      <c r="K168" s="46" t="s">
        <v>1738</v>
      </c>
      <c r="L168" s="47" t="s">
        <v>3125</v>
      </c>
      <c r="M168" s="48" t="s">
        <v>3126</v>
      </c>
      <c r="N168" s="49"/>
      <c r="O168" s="49"/>
      <c r="P168" s="50"/>
      <c r="Q168" s="59"/>
      <c r="R168" s="13"/>
    </row>
    <row r="169" spans="1:18" ht="90" x14ac:dyDescent="0.25">
      <c r="A169" s="9" t="s">
        <v>21</v>
      </c>
      <c r="B169" s="28">
        <f>IF(ISBLANK(A169),0,INDEX(txtstylestab[],MATCH(A169,txtstylestab[style_Name],0),1))</f>
        <v>0</v>
      </c>
      <c r="C169" s="28">
        <f t="shared" si="8"/>
        <v>3</v>
      </c>
      <c r="D169" s="28">
        <f t="shared" si="9"/>
        <v>9</v>
      </c>
      <c r="E169" s="28">
        <f t="shared" si="10"/>
        <v>0</v>
      </c>
      <c r="F169" s="59" t="str">
        <f t="shared" si="11"/>
        <v/>
      </c>
      <c r="G169" s="42" t="s">
        <v>2113</v>
      </c>
      <c r="H169" s="43" t="s">
        <v>2151</v>
      </c>
      <c r="I169" s="44" t="s">
        <v>2306</v>
      </c>
      <c r="J169" s="45" t="s">
        <v>2114</v>
      </c>
      <c r="K169" s="46" t="s">
        <v>2115</v>
      </c>
      <c r="L169" s="47" t="s">
        <v>3117</v>
      </c>
      <c r="M169" s="48" t="s">
        <v>3127</v>
      </c>
      <c r="N169" s="49"/>
      <c r="O169" s="49"/>
      <c r="P169" s="50"/>
      <c r="Q169" s="59"/>
      <c r="R169" s="13"/>
    </row>
    <row r="170" spans="1:18" ht="45" x14ac:dyDescent="0.25">
      <c r="A170" s="9" t="s">
        <v>14</v>
      </c>
      <c r="B170" s="28">
        <f>IF(ISBLANK(A170),0,INDEX(txtstylestab[],MATCH(A170,txtstylestab[style_Name],0),1))</f>
        <v>6</v>
      </c>
      <c r="C170" s="28">
        <f t="shared" si="8"/>
        <v>3</v>
      </c>
      <c r="D170" s="28">
        <f t="shared" si="9"/>
        <v>9</v>
      </c>
      <c r="E170" s="28">
        <f t="shared" si="10"/>
        <v>0</v>
      </c>
      <c r="F170" s="59" t="str">
        <f t="shared" si="11"/>
        <v/>
      </c>
      <c r="G170" s="42" t="s">
        <v>2116</v>
      </c>
      <c r="H170" s="43" t="s">
        <v>2117</v>
      </c>
      <c r="I170" s="44" t="s">
        <v>2118</v>
      </c>
      <c r="J170" s="45" t="s">
        <v>2119</v>
      </c>
      <c r="K170" s="46" t="s">
        <v>2120</v>
      </c>
      <c r="L170" s="47" t="s">
        <v>3118</v>
      </c>
      <c r="M170" s="48" t="s">
        <v>3119</v>
      </c>
      <c r="N170" s="49"/>
      <c r="O170" s="49"/>
      <c r="P170" s="50"/>
      <c r="Q170" s="59"/>
      <c r="R170" s="13"/>
    </row>
    <row r="171" spans="1:18" ht="45" x14ac:dyDescent="0.25">
      <c r="A171" s="9" t="s">
        <v>14</v>
      </c>
      <c r="B171" s="28">
        <f>IF(ISBLANK(A171),0,INDEX(txtstylestab[],MATCH(A171,txtstylestab[style_Name],0),1))</f>
        <v>6</v>
      </c>
      <c r="C171" s="28">
        <f t="shared" si="8"/>
        <v>3</v>
      </c>
      <c r="D171" s="28">
        <f t="shared" si="9"/>
        <v>9</v>
      </c>
      <c r="E171" s="28">
        <f t="shared" si="10"/>
        <v>0</v>
      </c>
      <c r="F171" s="59" t="str">
        <f t="shared" si="11"/>
        <v/>
      </c>
      <c r="G171" s="42" t="s">
        <v>1529</v>
      </c>
      <c r="H171" s="43" t="s">
        <v>1530</v>
      </c>
      <c r="I171" s="44" t="s">
        <v>1699</v>
      </c>
      <c r="J171" s="45" t="s">
        <v>1531</v>
      </c>
      <c r="K171" s="46" t="s">
        <v>1532</v>
      </c>
      <c r="L171" s="47" t="s">
        <v>3120</v>
      </c>
      <c r="M171" s="48" t="s">
        <v>3121</v>
      </c>
      <c r="N171" s="49"/>
      <c r="O171" s="49"/>
      <c r="P171" s="50"/>
      <c r="Q171" s="59"/>
      <c r="R171" s="13"/>
    </row>
    <row r="172" spans="1:18" ht="45" x14ac:dyDescent="0.25">
      <c r="A172" s="9" t="s">
        <v>21</v>
      </c>
      <c r="B172" s="28">
        <f>IF(ISBLANK(A172),0,INDEX(txtstylestab[],MATCH(A172,txtstylestab[style_Name],0),1))</f>
        <v>0</v>
      </c>
      <c r="C172" s="28">
        <f t="shared" si="8"/>
        <v>3</v>
      </c>
      <c r="D172" s="28">
        <f t="shared" si="9"/>
        <v>9</v>
      </c>
      <c r="E172" s="28">
        <f t="shared" si="10"/>
        <v>0</v>
      </c>
      <c r="F172" s="59" t="str">
        <f t="shared" si="11"/>
        <v/>
      </c>
      <c r="G172" s="42" t="s">
        <v>1524</v>
      </c>
      <c r="H172" s="43" t="s">
        <v>1525</v>
      </c>
      <c r="I172" s="44" t="s">
        <v>1526</v>
      </c>
      <c r="J172" s="45" t="s">
        <v>1527</v>
      </c>
      <c r="K172" s="46" t="s">
        <v>1528</v>
      </c>
      <c r="L172" s="47" t="s">
        <v>3122</v>
      </c>
      <c r="M172" s="48" t="s">
        <v>3123</v>
      </c>
      <c r="N172" s="49"/>
      <c r="O172" s="49"/>
      <c r="P172" s="50"/>
      <c r="Q172" s="59"/>
      <c r="R172" s="13"/>
    </row>
    <row r="173" spans="1:18" ht="18" thickBot="1" x14ac:dyDescent="0.35">
      <c r="A173" s="9" t="s">
        <v>11</v>
      </c>
      <c r="B173" s="28">
        <f>IF(ISBLANK(A173),0,INDEX(txtstylestab[],MATCH(A173,txtstylestab[style_Name],0),1))</f>
        <v>2</v>
      </c>
      <c r="C173" s="28">
        <f t="shared" si="8"/>
        <v>3</v>
      </c>
      <c r="D173" s="28">
        <f t="shared" si="9"/>
        <v>10</v>
      </c>
      <c r="E173" s="28">
        <f t="shared" si="10"/>
        <v>0</v>
      </c>
      <c r="F173" s="54" t="str">
        <f t="shared" si="11"/>
        <v>3.10.</v>
      </c>
      <c r="G173" s="54" t="s">
        <v>1533</v>
      </c>
      <c r="H173" s="54"/>
      <c r="I173" s="54"/>
      <c r="J173" s="54"/>
      <c r="K173" s="54"/>
      <c r="L173" s="54"/>
      <c r="M173" s="54"/>
      <c r="N173" s="54"/>
      <c r="O173" s="54"/>
      <c r="P173" s="54"/>
      <c r="Q173" s="54"/>
      <c r="R173" s="13"/>
    </row>
    <row r="174" spans="1:18" ht="15.75" thickTop="1" x14ac:dyDescent="0.25">
      <c r="A174" s="9" t="s">
        <v>21</v>
      </c>
      <c r="B174" s="28">
        <f>IF(ISBLANK(A174),0,INDEX(txtstylestab[],MATCH(A174,txtstylestab[style_Name],0),1))</f>
        <v>0</v>
      </c>
      <c r="C174" s="28">
        <f t="shared" si="8"/>
        <v>3</v>
      </c>
      <c r="D174" s="28">
        <f t="shared" si="9"/>
        <v>10</v>
      </c>
      <c r="E174" s="28">
        <f t="shared" si="10"/>
        <v>0</v>
      </c>
      <c r="F174" s="59" t="str">
        <f t="shared" si="11"/>
        <v/>
      </c>
      <c r="G174" s="42" t="s">
        <v>82</v>
      </c>
      <c r="H174" s="43" t="s">
        <v>83</v>
      </c>
      <c r="I174" s="44" t="s">
        <v>84</v>
      </c>
      <c r="J174" s="45" t="s">
        <v>1208</v>
      </c>
      <c r="K174" s="46" t="s">
        <v>86</v>
      </c>
      <c r="L174" s="47" t="s">
        <v>2397</v>
      </c>
      <c r="M174" s="48" t="s">
        <v>2332</v>
      </c>
      <c r="N174" s="49"/>
      <c r="O174" s="49"/>
      <c r="P174" s="50"/>
      <c r="Q174" s="59"/>
      <c r="R174" s="13"/>
    </row>
    <row r="175" spans="1:18" ht="45" x14ac:dyDescent="0.25">
      <c r="A175" s="9" t="s">
        <v>21</v>
      </c>
      <c r="B175" s="28">
        <f>IF(ISBLANK(A175),0,INDEX(txtstylestab[],MATCH(A175,txtstylestab[style_Name],0),1))</f>
        <v>0</v>
      </c>
      <c r="C175" s="28">
        <f t="shared" si="8"/>
        <v>3</v>
      </c>
      <c r="D175" s="28">
        <f t="shared" si="9"/>
        <v>10</v>
      </c>
      <c r="E175" s="28">
        <f t="shared" si="10"/>
        <v>0</v>
      </c>
      <c r="F175" s="59" t="str">
        <f t="shared" si="11"/>
        <v/>
      </c>
      <c r="G175" s="42" t="s">
        <v>1542</v>
      </c>
      <c r="H175" s="43" t="s">
        <v>1543</v>
      </c>
      <c r="I175" s="44" t="s">
        <v>1544</v>
      </c>
      <c r="J175" s="45" t="s">
        <v>1545</v>
      </c>
      <c r="K175" s="46" t="s">
        <v>1546</v>
      </c>
      <c r="L175" s="47" t="s">
        <v>3128</v>
      </c>
      <c r="M175" s="48" t="s">
        <v>3135</v>
      </c>
      <c r="N175" s="49"/>
      <c r="O175" s="49"/>
      <c r="P175" s="50"/>
      <c r="Q175" s="59"/>
      <c r="R175" s="13"/>
    </row>
    <row r="176" spans="1:18" ht="60" x14ac:dyDescent="0.25">
      <c r="A176" s="9" t="s">
        <v>21</v>
      </c>
      <c r="B176" s="28">
        <f>IF(ISBLANK(A176),0,INDEX(txtstylestab[],MATCH(A176,txtstylestab[style_Name],0),1))</f>
        <v>0</v>
      </c>
      <c r="C176" s="28">
        <f t="shared" si="8"/>
        <v>3</v>
      </c>
      <c r="D176" s="28">
        <f t="shared" si="9"/>
        <v>10</v>
      </c>
      <c r="E176" s="28">
        <f t="shared" si="10"/>
        <v>0</v>
      </c>
      <c r="F176" s="59" t="str">
        <f t="shared" si="11"/>
        <v/>
      </c>
      <c r="G176" s="42" t="s">
        <v>1534</v>
      </c>
      <c r="H176" s="43" t="s">
        <v>1535</v>
      </c>
      <c r="I176" s="44" t="s">
        <v>1700</v>
      </c>
      <c r="J176" s="45" t="s">
        <v>1582</v>
      </c>
      <c r="K176" s="46" t="s">
        <v>1536</v>
      </c>
      <c r="L176" s="47" t="s">
        <v>3129</v>
      </c>
      <c r="M176" s="48" t="s">
        <v>3130</v>
      </c>
      <c r="N176" s="49"/>
      <c r="O176" s="49"/>
      <c r="P176" s="50"/>
      <c r="Q176" s="59"/>
      <c r="R176" s="13"/>
    </row>
    <row r="177" spans="1:18" x14ac:dyDescent="0.25">
      <c r="A177" s="9" t="s">
        <v>21</v>
      </c>
      <c r="B177" s="28">
        <f>IF(ISBLANK(A177),0,INDEX(txtstylestab[],MATCH(A177,txtstylestab[style_Name],0),1))</f>
        <v>0</v>
      </c>
      <c r="C177" s="28">
        <f t="shared" si="8"/>
        <v>3</v>
      </c>
      <c r="D177" s="28">
        <f t="shared" si="9"/>
        <v>10</v>
      </c>
      <c r="E177" s="28">
        <f t="shared" si="10"/>
        <v>0</v>
      </c>
      <c r="F177" s="59" t="str">
        <f t="shared" si="11"/>
        <v/>
      </c>
      <c r="G177" s="42" t="s">
        <v>1233</v>
      </c>
      <c r="H177" s="43" t="s">
        <v>1537</v>
      </c>
      <c r="I177" s="44" t="s">
        <v>1701</v>
      </c>
      <c r="J177" s="45" t="s">
        <v>1563</v>
      </c>
      <c r="K177" s="46" t="s">
        <v>1538</v>
      </c>
      <c r="L177" s="47" t="s">
        <v>3131</v>
      </c>
      <c r="M177" s="48" t="s">
        <v>3132</v>
      </c>
      <c r="N177" s="49"/>
      <c r="O177" s="49"/>
      <c r="P177" s="50"/>
      <c r="Q177" s="59"/>
      <c r="R177" s="13"/>
    </row>
    <row r="178" spans="1:18" ht="75" x14ac:dyDescent="0.25">
      <c r="A178" s="9" t="s">
        <v>21</v>
      </c>
      <c r="B178" s="28">
        <f>IF(ISBLANK(A178),0,INDEX(txtstylestab[],MATCH(A178,txtstylestab[style_Name],0),1))</f>
        <v>0</v>
      </c>
      <c r="C178" s="28">
        <f t="shared" si="8"/>
        <v>3</v>
      </c>
      <c r="D178" s="28">
        <f t="shared" si="9"/>
        <v>10</v>
      </c>
      <c r="E178" s="28">
        <f t="shared" si="10"/>
        <v>0</v>
      </c>
      <c r="F178" s="59" t="str">
        <f t="shared" si="11"/>
        <v/>
      </c>
      <c r="G178" s="42" t="s">
        <v>1539</v>
      </c>
      <c r="H178" s="43" t="s">
        <v>1540</v>
      </c>
      <c r="I178" s="44" t="s">
        <v>1702</v>
      </c>
      <c r="J178" s="45" t="s">
        <v>1583</v>
      </c>
      <c r="K178" s="46" t="s">
        <v>1541</v>
      </c>
      <c r="L178" s="47" t="s">
        <v>3133</v>
      </c>
      <c r="M178" s="48" t="s">
        <v>3134</v>
      </c>
      <c r="N178" s="49"/>
      <c r="O178" s="49"/>
      <c r="P178" s="50"/>
      <c r="Q178" s="59"/>
      <c r="R178" s="13"/>
    </row>
    <row r="179" spans="1:18" ht="18" thickBot="1" x14ac:dyDescent="0.35">
      <c r="A179" s="9" t="s">
        <v>11</v>
      </c>
      <c r="B179" s="28">
        <f>IF(ISBLANK(A179),0,INDEX(txtstylestab[],MATCH(A179,txtstylestab[style_Name],0),1))</f>
        <v>2</v>
      </c>
      <c r="C179" s="28">
        <f t="shared" si="8"/>
        <v>3</v>
      </c>
      <c r="D179" s="28">
        <f t="shared" si="9"/>
        <v>11</v>
      </c>
      <c r="E179" s="28">
        <f t="shared" si="10"/>
        <v>0</v>
      </c>
      <c r="F179" s="54" t="str">
        <f t="shared" si="11"/>
        <v>3.11.</v>
      </c>
      <c r="G179" s="54" t="s">
        <v>1547</v>
      </c>
      <c r="H179" s="54"/>
      <c r="I179" s="54"/>
      <c r="J179" s="54"/>
      <c r="K179" s="54"/>
      <c r="L179" s="54"/>
      <c r="M179" s="54"/>
      <c r="N179" s="54"/>
      <c r="O179" s="54"/>
      <c r="P179" s="54"/>
      <c r="Q179" s="54"/>
      <c r="R179" s="13"/>
    </row>
    <row r="180" spans="1:18" ht="15.75" thickTop="1" x14ac:dyDescent="0.25">
      <c r="A180" s="9" t="s">
        <v>21</v>
      </c>
      <c r="B180" s="28">
        <f>IF(ISBLANK(A180),0,INDEX(txtstylestab[],MATCH(A180,txtstylestab[style_Name],0),1))</f>
        <v>0</v>
      </c>
      <c r="C180" s="28">
        <f t="shared" si="8"/>
        <v>3</v>
      </c>
      <c r="D180" s="28">
        <f t="shared" si="9"/>
        <v>11</v>
      </c>
      <c r="E180" s="28">
        <f t="shared" si="10"/>
        <v>0</v>
      </c>
      <c r="F180" s="59" t="str">
        <f t="shared" si="11"/>
        <v/>
      </c>
      <c r="G180" s="42" t="s">
        <v>82</v>
      </c>
      <c r="H180" s="43" t="s">
        <v>83</v>
      </c>
      <c r="I180" s="44" t="s">
        <v>84</v>
      </c>
      <c r="J180" s="45" t="s">
        <v>85</v>
      </c>
      <c r="K180" s="46" t="s">
        <v>86</v>
      </c>
      <c r="L180" s="47" t="s">
        <v>2397</v>
      </c>
      <c r="M180" s="48" t="s">
        <v>2332</v>
      </c>
      <c r="N180" s="49"/>
      <c r="O180" s="59"/>
      <c r="P180" s="59"/>
      <c r="Q180" s="59"/>
      <c r="R180" s="13"/>
    </row>
    <row r="181" spans="1:18" ht="30" x14ac:dyDescent="0.25">
      <c r="A181" s="9" t="s">
        <v>21</v>
      </c>
      <c r="B181" s="28">
        <f>IF(ISBLANK(A181),0,INDEX(txtstylestab[],MATCH(A181,txtstylestab[style_Name],0),1))</f>
        <v>0</v>
      </c>
      <c r="C181" s="28">
        <f t="shared" si="8"/>
        <v>3</v>
      </c>
      <c r="D181" s="28">
        <f t="shared" si="9"/>
        <v>11</v>
      </c>
      <c r="E181" s="28">
        <f t="shared" si="10"/>
        <v>0</v>
      </c>
      <c r="F181" s="59" t="str">
        <f t="shared" si="11"/>
        <v/>
      </c>
      <c r="G181" s="42" t="s">
        <v>822</v>
      </c>
      <c r="H181" s="43" t="s">
        <v>409</v>
      </c>
      <c r="I181" s="44" t="s">
        <v>2121</v>
      </c>
      <c r="J181" s="45" t="s">
        <v>1618</v>
      </c>
      <c r="K181" s="46" t="s">
        <v>823</v>
      </c>
      <c r="L181" s="47" t="s">
        <v>3136</v>
      </c>
      <c r="M181" s="48" t="s">
        <v>3144</v>
      </c>
      <c r="N181" s="49"/>
      <c r="O181" s="49"/>
      <c r="P181" s="50"/>
      <c r="Q181" s="59"/>
      <c r="R181" s="13"/>
    </row>
    <row r="182" spans="1:18" ht="45" x14ac:dyDescent="0.25">
      <c r="A182" s="9" t="s">
        <v>21</v>
      </c>
      <c r="B182" s="28">
        <f>IF(ISBLANK(A182),0,INDEX(txtstylestab[],MATCH(A182,txtstylestab[style_Name],0),1))</f>
        <v>0</v>
      </c>
      <c r="C182" s="28">
        <f t="shared" si="8"/>
        <v>3</v>
      </c>
      <c r="D182" s="28">
        <f t="shared" si="9"/>
        <v>11</v>
      </c>
      <c r="E182" s="28">
        <f t="shared" si="10"/>
        <v>0</v>
      </c>
      <c r="F182" s="59" t="str">
        <f t="shared" si="11"/>
        <v/>
      </c>
      <c r="G182" s="42" t="s">
        <v>1548</v>
      </c>
      <c r="H182" s="43" t="s">
        <v>1549</v>
      </c>
      <c r="I182" s="44" t="s">
        <v>1703</v>
      </c>
      <c r="J182" s="45" t="s">
        <v>1550</v>
      </c>
      <c r="K182" s="46" t="s">
        <v>1551</v>
      </c>
      <c r="L182" s="47" t="s">
        <v>3137</v>
      </c>
      <c r="M182" s="48" t="s">
        <v>3138</v>
      </c>
      <c r="N182" s="49"/>
      <c r="O182" s="49"/>
      <c r="P182" s="50"/>
      <c r="Q182" s="59"/>
      <c r="R182" s="13"/>
    </row>
    <row r="183" spans="1:18" ht="18" thickBot="1" x14ac:dyDescent="0.35">
      <c r="A183" s="9" t="s">
        <v>11</v>
      </c>
      <c r="B183" s="28">
        <f>IF(ISBLANK(A183),0,INDEX(txtstylestab[],MATCH(A183,txtstylestab[style_Name],0),1))</f>
        <v>2</v>
      </c>
      <c r="C183" s="28">
        <f t="shared" si="8"/>
        <v>3</v>
      </c>
      <c r="D183" s="28">
        <f t="shared" si="9"/>
        <v>12</v>
      </c>
      <c r="E183" s="28">
        <f t="shared" si="10"/>
        <v>0</v>
      </c>
      <c r="F183" s="54" t="str">
        <f t="shared" si="11"/>
        <v>3.12.</v>
      </c>
      <c r="G183" s="54" t="s">
        <v>1552</v>
      </c>
      <c r="H183" s="54"/>
      <c r="I183" s="54"/>
      <c r="J183" s="54"/>
      <c r="K183" s="54"/>
      <c r="L183" s="54"/>
      <c r="M183" s="54"/>
      <c r="N183" s="54"/>
      <c r="O183" s="54"/>
      <c r="P183" s="54"/>
      <c r="Q183" s="54"/>
      <c r="R183" s="13"/>
    </row>
    <row r="184" spans="1:18" ht="30.75" thickTop="1" x14ac:dyDescent="0.25">
      <c r="A184" s="9" t="s">
        <v>21</v>
      </c>
      <c r="B184" s="28">
        <f>IF(ISBLANK(A184),0,INDEX(txtstylestab[],MATCH(A184,txtstylestab[style_Name],0),1))</f>
        <v>0</v>
      </c>
      <c r="C184" s="28">
        <f t="shared" si="8"/>
        <v>3</v>
      </c>
      <c r="D184" s="28">
        <f t="shared" si="9"/>
        <v>12</v>
      </c>
      <c r="E184" s="28">
        <f t="shared" si="10"/>
        <v>0</v>
      </c>
      <c r="F184" s="59" t="str">
        <f t="shared" si="11"/>
        <v/>
      </c>
      <c r="G184" s="42" t="s">
        <v>1893</v>
      </c>
      <c r="H184" s="43" t="s">
        <v>1894</v>
      </c>
      <c r="I184" s="44" t="s">
        <v>1895</v>
      </c>
      <c r="J184" s="45" t="s">
        <v>2122</v>
      </c>
      <c r="K184" s="46" t="s">
        <v>1897</v>
      </c>
      <c r="L184" s="47" t="s">
        <v>3145</v>
      </c>
      <c r="M184" s="48" t="s">
        <v>3139</v>
      </c>
      <c r="N184" s="49"/>
      <c r="O184" s="49"/>
      <c r="P184" s="50"/>
      <c r="Q184" s="59"/>
      <c r="R184" s="13"/>
    </row>
    <row r="185" spans="1:18" ht="45" x14ac:dyDescent="0.25">
      <c r="A185" s="9" t="s">
        <v>14</v>
      </c>
      <c r="B185" s="28">
        <f>IF(ISBLANK(A185),0,INDEX(txtstylestab[],MATCH(A185,txtstylestab[style_Name],0),1))</f>
        <v>6</v>
      </c>
      <c r="C185" s="28">
        <f>IF(B185=1,C184+1,C184)</f>
        <v>3</v>
      </c>
      <c r="D185" s="28">
        <f>IF(B185=1,0,IF(B185=2,D184+1,IF(AND(B185=3,D184=0),1,D184)))</f>
        <v>12</v>
      </c>
      <c r="E185" s="28">
        <f>IF(OR(B185=1,B185=2),0,IF(B185=3,E184+1,E184))</f>
        <v>0</v>
      </c>
      <c r="F185" s="42" t="str">
        <f t="shared" si="11"/>
        <v/>
      </c>
      <c r="G185" s="42" t="s">
        <v>1553</v>
      </c>
      <c r="H185" s="43" t="s">
        <v>1554</v>
      </c>
      <c r="I185" s="44" t="s">
        <v>1704</v>
      </c>
      <c r="J185" s="45" t="s">
        <v>1584</v>
      </c>
      <c r="K185" s="46" t="s">
        <v>1555</v>
      </c>
      <c r="L185" s="47" t="s">
        <v>3140</v>
      </c>
      <c r="M185" s="48" t="s">
        <v>3141</v>
      </c>
      <c r="N185" s="49"/>
      <c r="O185" s="50"/>
      <c r="P185" s="49"/>
      <c r="Q185" s="48"/>
      <c r="R185" s="13"/>
    </row>
    <row r="186" spans="1:18" ht="45" x14ac:dyDescent="0.25">
      <c r="A186" s="9" t="s">
        <v>14</v>
      </c>
      <c r="B186" s="28">
        <f>IF(ISBLANK(A186),0,INDEX(txtstylestab[],MATCH(A186,txtstylestab[style_Name],0),1))</f>
        <v>6</v>
      </c>
      <c r="C186" s="28">
        <f t="shared" si="8"/>
        <v>3</v>
      </c>
      <c r="D186" s="28">
        <f t="shared" si="9"/>
        <v>12</v>
      </c>
      <c r="E186" s="28">
        <f t="shared" si="10"/>
        <v>0</v>
      </c>
      <c r="F186" s="59" t="str">
        <f t="shared" si="11"/>
        <v/>
      </c>
      <c r="G186" s="42" t="s">
        <v>1556</v>
      </c>
      <c r="H186" s="43" t="s">
        <v>1557</v>
      </c>
      <c r="I186" s="44" t="s">
        <v>1705</v>
      </c>
      <c r="J186" s="45" t="s">
        <v>1585</v>
      </c>
      <c r="K186" s="46" t="s">
        <v>1558</v>
      </c>
      <c r="L186" s="47" t="s">
        <v>3142</v>
      </c>
      <c r="M186" s="48" t="s">
        <v>3143</v>
      </c>
      <c r="N186" s="49"/>
      <c r="O186" s="49"/>
      <c r="P186" s="50"/>
      <c r="Q186" s="59"/>
      <c r="R186" s="13"/>
    </row>
    <row r="187" spans="1:18" x14ac:dyDescent="0.25">
      <c r="A187" s="9" t="s">
        <v>21</v>
      </c>
      <c r="B187" s="28">
        <f>IF(ISBLANK(A187),0,INDEX(txtstylestab[],MATCH(A187,txtstylestab[style_Name],0),1))</f>
        <v>0</v>
      </c>
      <c r="C187" s="28">
        <f t="shared" si="8"/>
        <v>3</v>
      </c>
      <c r="D187" s="28">
        <f t="shared" si="9"/>
        <v>12</v>
      </c>
      <c r="E187" s="28">
        <f t="shared" si="10"/>
        <v>0</v>
      </c>
      <c r="F187" t="str">
        <f t="shared" si="11"/>
        <v/>
      </c>
      <c r="G187" s="42"/>
      <c r="H187" s="43"/>
      <c r="I187" s="44"/>
      <c r="J187" s="45"/>
      <c r="K187" s="46"/>
      <c r="L187" s="47"/>
      <c r="M187" s="48"/>
      <c r="N187" s="49"/>
      <c r="O187" s="50"/>
      <c r="P187" s="49"/>
      <c r="Q187" s="48"/>
      <c r="R187" s="13"/>
    </row>
    <row r="188" spans="1:18" x14ac:dyDescent="0.25">
      <c r="A188" s="9" t="s">
        <v>21</v>
      </c>
      <c r="B188" s="28">
        <f>IF(ISBLANK(A188),0,INDEX(txtstylestab[],MATCH(A188,txtstylestab[style_Name],0),1))</f>
        <v>0</v>
      </c>
      <c r="C188" s="28">
        <f t="shared" si="8"/>
        <v>3</v>
      </c>
      <c r="D188" s="28">
        <f t="shared" si="9"/>
        <v>12</v>
      </c>
      <c r="E188" s="28">
        <f t="shared" si="10"/>
        <v>0</v>
      </c>
      <c r="F188" s="42" t="str">
        <f t="shared" si="11"/>
        <v/>
      </c>
      <c r="G188" s="42"/>
      <c r="H188" s="43"/>
      <c r="I188" s="44"/>
      <c r="J188" s="45"/>
      <c r="K188" s="46"/>
      <c r="L188" s="47"/>
      <c r="M188" s="48"/>
      <c r="N188" s="49"/>
      <c r="O188" s="50"/>
      <c r="P188" s="49"/>
      <c r="Q188" s="48"/>
      <c r="R188" s="13"/>
    </row>
    <row r="189" spans="1:18" s="20" customFormat="1" x14ac:dyDescent="0.25">
      <c r="A189" s="9" t="s">
        <v>21</v>
      </c>
      <c r="B189" s="28">
        <f>IF(ISBLANK(A189),0,INDEX(txtstylestab[],MATCH(A189,txtstylestab[style_Name],0),1))</f>
        <v>0</v>
      </c>
      <c r="C189" s="28">
        <f t="shared" si="8"/>
        <v>3</v>
      </c>
      <c r="D189" s="28">
        <f t="shared" si="9"/>
        <v>12</v>
      </c>
      <c r="E189" s="28">
        <f t="shared" si="10"/>
        <v>0</v>
      </c>
      <c r="F189" s="42" t="str">
        <f t="shared" si="11"/>
        <v/>
      </c>
      <c r="G189" s="42"/>
      <c r="H189" s="43"/>
      <c r="I189" s="44"/>
      <c r="J189" s="45"/>
      <c r="K189" s="46"/>
      <c r="L189" s="47"/>
      <c r="M189" s="48"/>
      <c r="N189" s="49"/>
      <c r="O189" s="50"/>
      <c r="P189" s="49"/>
      <c r="Q189" s="48"/>
      <c r="R189" s="13"/>
    </row>
    <row r="190" spans="1:18" s="20" customFormat="1" x14ac:dyDescent="0.25">
      <c r="A190" s="9" t="s">
        <v>21</v>
      </c>
      <c r="B190" s="28">
        <f>IF(ISBLANK(A190),0,INDEX(txtstylestab[],MATCH(A190,txtstylestab[style_Name],0),1))</f>
        <v>0</v>
      </c>
      <c r="C190" s="28">
        <f t="shared" si="8"/>
        <v>3</v>
      </c>
      <c r="D190" s="28">
        <f t="shared" si="9"/>
        <v>12</v>
      </c>
      <c r="E190" s="28">
        <f t="shared" si="10"/>
        <v>0</v>
      </c>
      <c r="F190" s="42" t="str">
        <f t="shared" si="11"/>
        <v/>
      </c>
      <c r="G190" s="42"/>
      <c r="H190" s="43"/>
      <c r="I190" s="44"/>
      <c r="J190" s="45"/>
      <c r="K190" s="46"/>
      <c r="L190" s="47"/>
      <c r="M190" s="48"/>
      <c r="N190" s="49"/>
      <c r="O190" s="50"/>
      <c r="P190" s="49"/>
      <c r="Q190" s="48"/>
      <c r="R190" s="13"/>
    </row>
    <row r="191" spans="1:18" s="20" customFormat="1" x14ac:dyDescent="0.25">
      <c r="A191" s="9"/>
      <c r="B191" s="28"/>
      <c r="C191" s="28"/>
      <c r="D191" s="28"/>
      <c r="E191" s="28"/>
      <c r="F191" s="31"/>
      <c r="G191" s="21"/>
      <c r="H191" s="22"/>
      <c r="I191" s="23"/>
      <c r="J191" s="24"/>
      <c r="K191" s="25"/>
      <c r="L191" s="23"/>
      <c r="M191" s="23"/>
      <c r="N191" s="24"/>
      <c r="O191" s="24"/>
      <c r="P191" s="25"/>
      <c r="Q191" s="25"/>
    </row>
    <row r="192" spans="1:18" s="20" customFormat="1" x14ac:dyDescent="0.25">
      <c r="A192" s="9"/>
      <c r="B192" s="28"/>
      <c r="C192" s="28"/>
      <c r="D192" s="28"/>
      <c r="E192" s="28"/>
      <c r="F192" s="31"/>
      <c r="G192" s="21"/>
      <c r="H192" s="22"/>
      <c r="I192" s="23"/>
      <c r="J192" s="24"/>
      <c r="K192" s="25"/>
      <c r="L192" s="23"/>
      <c r="M192" s="23"/>
      <c r="N192" s="24"/>
      <c r="O192" s="24"/>
      <c r="P192" s="25"/>
      <c r="Q192" s="25"/>
    </row>
    <row r="193" spans="1:17" s="20" customFormat="1" x14ac:dyDescent="0.25">
      <c r="A193" s="9"/>
      <c r="B193" s="28"/>
      <c r="C193" s="28"/>
      <c r="D193" s="28"/>
      <c r="E193" s="28"/>
      <c r="F193" s="31"/>
      <c r="G193" s="21"/>
      <c r="H193" s="22"/>
      <c r="I193" s="23"/>
      <c r="J193" s="24"/>
      <c r="K193" s="25"/>
      <c r="L193" s="23"/>
      <c r="M193" s="23"/>
      <c r="N193" s="24"/>
      <c r="O193" s="24"/>
      <c r="P193" s="25"/>
      <c r="Q193" s="25"/>
    </row>
    <row r="194" spans="1:17" s="20" customFormat="1" x14ac:dyDescent="0.25">
      <c r="A194" s="9"/>
      <c r="B194" s="28"/>
      <c r="C194" s="28"/>
      <c r="D194" s="28"/>
      <c r="E194" s="28"/>
      <c r="F194" s="31"/>
      <c r="G194" s="21"/>
      <c r="H194" s="22"/>
      <c r="I194" s="23"/>
      <c r="J194" s="24"/>
      <c r="K194" s="25"/>
      <c r="L194" s="23"/>
      <c r="M194" s="23"/>
      <c r="N194" s="24"/>
      <c r="O194" s="24"/>
      <c r="P194" s="25"/>
      <c r="Q194" s="25"/>
    </row>
    <row r="195" spans="1:17" s="20" customFormat="1" x14ac:dyDescent="0.25">
      <c r="A195" s="9"/>
      <c r="B195" s="28"/>
      <c r="C195" s="28"/>
      <c r="D195" s="28"/>
      <c r="E195" s="28"/>
      <c r="F195" s="31"/>
      <c r="G195" s="21"/>
      <c r="H195" s="22"/>
      <c r="I195" s="23"/>
      <c r="J195" s="24"/>
      <c r="K195" s="25"/>
      <c r="L195" s="23"/>
      <c r="M195" s="23"/>
      <c r="N195" s="24"/>
      <c r="O195" s="24"/>
      <c r="P195" s="25"/>
      <c r="Q195" s="25"/>
    </row>
    <row r="196" spans="1:17" s="20" customFormat="1" x14ac:dyDescent="0.25">
      <c r="A196" s="9"/>
      <c r="B196" s="28"/>
      <c r="C196" s="28"/>
      <c r="D196" s="28"/>
      <c r="E196" s="28"/>
      <c r="F196" s="31"/>
      <c r="G196" s="21"/>
      <c r="H196" s="22"/>
      <c r="I196" s="23"/>
      <c r="J196" s="24"/>
      <c r="K196" s="25"/>
      <c r="L196" s="23"/>
      <c r="M196" s="23"/>
      <c r="N196" s="24"/>
      <c r="O196" s="24"/>
      <c r="P196" s="25"/>
      <c r="Q196" s="25"/>
    </row>
    <row r="197" spans="1:17" s="20" customFormat="1" x14ac:dyDescent="0.25">
      <c r="A197" s="9"/>
      <c r="B197" s="28"/>
      <c r="C197" s="28"/>
      <c r="D197" s="28"/>
      <c r="E197" s="28"/>
      <c r="F197" s="31"/>
      <c r="G197" s="21"/>
      <c r="H197" s="22"/>
      <c r="I197" s="23"/>
      <c r="J197" s="24"/>
      <c r="K197" s="25"/>
      <c r="L197" s="23"/>
      <c r="M197" s="23"/>
      <c r="N197" s="24"/>
      <c r="O197" s="24"/>
      <c r="P197" s="25"/>
      <c r="Q197" s="25"/>
    </row>
    <row r="198" spans="1:17" s="20" customFormat="1" x14ac:dyDescent="0.25">
      <c r="A198" s="9"/>
      <c r="B198" s="28"/>
      <c r="C198" s="28"/>
      <c r="D198" s="28"/>
      <c r="E198" s="28"/>
      <c r="F198" s="31"/>
      <c r="G198" s="21"/>
      <c r="H198" s="22"/>
      <c r="I198" s="23"/>
      <c r="J198" s="24"/>
      <c r="K198" s="25"/>
      <c r="L198" s="23"/>
      <c r="M198" s="23"/>
      <c r="N198" s="24"/>
      <c r="O198" s="24"/>
      <c r="P198" s="25"/>
      <c r="Q198" s="25"/>
    </row>
    <row r="199" spans="1:17" s="20" customFormat="1" x14ac:dyDescent="0.25">
      <c r="A199" s="9"/>
      <c r="B199" s="28"/>
      <c r="C199" s="28"/>
      <c r="D199" s="28"/>
      <c r="E199" s="28"/>
      <c r="F199" s="31"/>
      <c r="G199" s="21"/>
      <c r="H199" s="22"/>
      <c r="I199" s="23"/>
      <c r="J199" s="24"/>
      <c r="K199" s="25"/>
      <c r="L199" s="23"/>
      <c r="M199" s="23"/>
      <c r="N199" s="24"/>
      <c r="O199" s="24"/>
      <c r="P199" s="25"/>
      <c r="Q199" s="25"/>
    </row>
    <row r="200" spans="1:17" s="20" customFormat="1" x14ac:dyDescent="0.25">
      <c r="A200" s="9"/>
      <c r="B200" s="28"/>
      <c r="C200" s="28"/>
      <c r="D200" s="28"/>
      <c r="E200" s="28"/>
      <c r="F200" s="31"/>
      <c r="G200" s="21"/>
      <c r="H200" s="22"/>
      <c r="I200" s="23"/>
      <c r="J200" s="24"/>
      <c r="K200" s="25"/>
      <c r="L200" s="23"/>
      <c r="M200" s="23"/>
      <c r="N200" s="24"/>
      <c r="O200" s="24"/>
      <c r="P200" s="25"/>
      <c r="Q200" s="25"/>
    </row>
    <row r="201" spans="1:17" s="20" customFormat="1" x14ac:dyDescent="0.25">
      <c r="A201" s="9"/>
      <c r="B201" s="28"/>
      <c r="C201" s="28"/>
      <c r="D201" s="28"/>
      <c r="E201" s="28"/>
      <c r="F201" s="31"/>
      <c r="G201" s="21"/>
      <c r="H201" s="22"/>
      <c r="I201" s="23"/>
      <c r="J201" s="24"/>
      <c r="K201" s="25"/>
      <c r="L201" s="23"/>
      <c r="M201" s="23"/>
      <c r="N201" s="24"/>
      <c r="O201" s="24"/>
      <c r="P201" s="25"/>
      <c r="Q201" s="25"/>
    </row>
    <row r="202" spans="1:17" s="20" customFormat="1" x14ac:dyDescent="0.25">
      <c r="A202" s="9"/>
      <c r="B202" s="28"/>
      <c r="C202" s="28"/>
      <c r="D202" s="28"/>
      <c r="E202" s="28"/>
      <c r="F202" s="31"/>
      <c r="G202" s="21"/>
      <c r="H202" s="22"/>
      <c r="I202" s="23"/>
      <c r="J202" s="24"/>
      <c r="K202" s="25"/>
      <c r="L202" s="23"/>
      <c r="M202" s="23"/>
      <c r="N202" s="24"/>
      <c r="O202" s="24"/>
      <c r="P202" s="25"/>
      <c r="Q202" s="25"/>
    </row>
    <row r="203" spans="1:17" s="20" customFormat="1" x14ac:dyDescent="0.25">
      <c r="A203" s="9"/>
      <c r="B203" s="28"/>
      <c r="C203" s="28"/>
      <c r="D203" s="28"/>
      <c r="E203" s="28"/>
      <c r="F203" s="31"/>
      <c r="G203" s="21"/>
      <c r="H203" s="22"/>
      <c r="I203" s="23"/>
      <c r="J203" s="24"/>
      <c r="K203" s="25"/>
      <c r="L203" s="23"/>
      <c r="M203" s="23"/>
      <c r="N203" s="24"/>
      <c r="O203" s="24"/>
      <c r="P203" s="25"/>
      <c r="Q203" s="25"/>
    </row>
    <row r="204" spans="1:17" s="20" customFormat="1" x14ac:dyDescent="0.25">
      <c r="A204" s="9"/>
      <c r="B204" s="28"/>
      <c r="C204" s="28"/>
      <c r="D204" s="28"/>
      <c r="E204" s="28"/>
      <c r="F204" s="31"/>
      <c r="G204" s="21"/>
      <c r="H204" s="22"/>
      <c r="I204" s="23"/>
      <c r="J204" s="24"/>
      <c r="K204" s="25"/>
      <c r="L204" s="23"/>
      <c r="M204" s="23"/>
      <c r="N204" s="24"/>
      <c r="O204" s="24"/>
      <c r="P204" s="25"/>
      <c r="Q204" s="25"/>
    </row>
    <row r="205" spans="1:17" s="20" customFormat="1" x14ac:dyDescent="0.25">
      <c r="A205" s="9"/>
      <c r="B205" s="28"/>
      <c r="C205" s="28"/>
      <c r="D205" s="28"/>
      <c r="E205" s="28"/>
      <c r="F205" s="31"/>
      <c r="G205" s="21"/>
      <c r="H205" s="22"/>
      <c r="I205" s="23"/>
      <c r="J205" s="24"/>
      <c r="K205" s="25"/>
      <c r="L205" s="23"/>
      <c r="M205" s="23"/>
      <c r="N205" s="24"/>
      <c r="O205" s="24"/>
      <c r="P205" s="25"/>
      <c r="Q205" s="25"/>
    </row>
    <row r="206" spans="1:17" s="20" customFormat="1" x14ac:dyDescent="0.25">
      <c r="A206" s="9"/>
      <c r="B206" s="28"/>
      <c r="C206" s="28"/>
      <c r="D206" s="28"/>
      <c r="E206" s="28"/>
      <c r="F206" s="31"/>
      <c r="G206" s="21"/>
      <c r="H206" s="22"/>
      <c r="I206" s="23"/>
      <c r="J206" s="24"/>
      <c r="K206" s="25"/>
      <c r="L206" s="23"/>
      <c r="M206" s="23"/>
      <c r="N206" s="24"/>
      <c r="O206" s="24"/>
      <c r="P206" s="25"/>
      <c r="Q206" s="25"/>
    </row>
    <row r="207" spans="1:17" s="20" customFormat="1" x14ac:dyDescent="0.25">
      <c r="A207" s="9"/>
      <c r="B207" s="28"/>
      <c r="C207" s="28"/>
      <c r="D207" s="28"/>
      <c r="E207" s="28"/>
      <c r="F207" s="31"/>
      <c r="G207" s="21"/>
      <c r="H207" s="22"/>
      <c r="I207" s="23"/>
      <c r="J207" s="24"/>
      <c r="K207" s="25"/>
      <c r="L207" s="23"/>
      <c r="M207" s="23"/>
      <c r="N207" s="24"/>
      <c r="O207" s="24"/>
      <c r="P207" s="25"/>
      <c r="Q207" s="25"/>
    </row>
    <row r="208" spans="1:17" s="20" customFormat="1" x14ac:dyDescent="0.25">
      <c r="A208" s="9"/>
      <c r="B208" s="28"/>
      <c r="C208" s="28"/>
      <c r="D208" s="28"/>
      <c r="E208" s="28"/>
      <c r="F208" s="31"/>
      <c r="G208" s="21"/>
      <c r="H208" s="22"/>
      <c r="I208" s="23"/>
      <c r="J208" s="24"/>
      <c r="K208" s="25"/>
      <c r="L208" s="23"/>
      <c r="M208" s="23"/>
      <c r="N208" s="24"/>
      <c r="O208" s="24"/>
      <c r="P208" s="25"/>
      <c r="Q208" s="25"/>
    </row>
    <row r="209" spans="1:17" s="20" customFormat="1" x14ac:dyDescent="0.25">
      <c r="A209" s="9"/>
      <c r="B209" s="28"/>
      <c r="C209" s="28"/>
      <c r="D209" s="28"/>
      <c r="E209" s="28"/>
      <c r="F209" s="31"/>
      <c r="G209" s="21"/>
      <c r="H209" s="22"/>
      <c r="I209" s="23"/>
      <c r="J209" s="24"/>
      <c r="K209" s="25"/>
      <c r="L209" s="23"/>
      <c r="M209" s="23"/>
      <c r="N209" s="24"/>
      <c r="O209" s="24"/>
      <c r="P209" s="25"/>
      <c r="Q209" s="25"/>
    </row>
    <row r="210" spans="1:17" s="20" customFormat="1" x14ac:dyDescent="0.25">
      <c r="A210" s="9"/>
      <c r="B210" s="28"/>
      <c r="C210" s="28"/>
      <c r="D210" s="28"/>
      <c r="E210" s="28"/>
      <c r="F210" s="31"/>
      <c r="G210" s="21"/>
      <c r="H210" s="22"/>
      <c r="I210" s="23"/>
      <c r="J210" s="24"/>
      <c r="K210" s="25"/>
      <c r="L210" s="23"/>
      <c r="M210" s="23"/>
      <c r="N210" s="24"/>
      <c r="O210" s="24"/>
      <c r="P210" s="25"/>
      <c r="Q210" s="25"/>
    </row>
    <row r="211" spans="1:17" s="20" customFormat="1" x14ac:dyDescent="0.25">
      <c r="A211" s="9"/>
      <c r="B211" s="28"/>
      <c r="C211" s="28"/>
      <c r="D211" s="28"/>
      <c r="E211" s="28"/>
      <c r="F211" s="31"/>
      <c r="G211" s="21"/>
      <c r="H211" s="22"/>
      <c r="I211" s="23"/>
      <c r="J211" s="24"/>
      <c r="K211" s="25"/>
      <c r="L211" s="23"/>
      <c r="M211" s="23"/>
      <c r="N211" s="24"/>
      <c r="O211" s="24"/>
      <c r="P211" s="25"/>
      <c r="Q211" s="25"/>
    </row>
    <row r="212" spans="1:17" s="20" customFormat="1" x14ac:dyDescent="0.25">
      <c r="A212" s="9"/>
      <c r="B212" s="28"/>
      <c r="C212" s="28"/>
      <c r="D212" s="28"/>
      <c r="E212" s="28"/>
      <c r="F212" s="31"/>
      <c r="G212" s="21"/>
      <c r="H212" s="22"/>
      <c r="I212" s="23"/>
      <c r="J212" s="24"/>
      <c r="K212" s="25"/>
      <c r="L212" s="23"/>
      <c r="M212" s="23"/>
      <c r="N212" s="24"/>
      <c r="O212" s="24"/>
      <c r="P212" s="25"/>
      <c r="Q212" s="25"/>
    </row>
    <row r="213" spans="1:17" s="20" customFormat="1" x14ac:dyDescent="0.25">
      <c r="A213" s="9"/>
      <c r="B213" s="28"/>
      <c r="C213" s="28"/>
      <c r="D213" s="28"/>
      <c r="E213" s="28"/>
      <c r="F213" s="31"/>
      <c r="G213" s="21"/>
      <c r="H213" s="22"/>
      <c r="I213" s="23"/>
      <c r="J213" s="24"/>
      <c r="K213" s="25"/>
      <c r="L213" s="23"/>
      <c r="M213" s="23"/>
      <c r="N213" s="24"/>
      <c r="O213" s="24"/>
      <c r="P213" s="25"/>
      <c r="Q213" s="25"/>
    </row>
    <row r="214" spans="1:17" s="20" customFormat="1" x14ac:dyDescent="0.25">
      <c r="A214" s="9"/>
      <c r="B214" s="28"/>
      <c r="C214" s="28"/>
      <c r="D214" s="28"/>
      <c r="E214" s="28"/>
      <c r="F214" s="31"/>
      <c r="G214" s="21"/>
      <c r="H214" s="22"/>
      <c r="I214" s="23"/>
      <c r="J214" s="24"/>
      <c r="K214" s="25"/>
      <c r="L214" s="23"/>
      <c r="M214" s="23"/>
      <c r="N214" s="24"/>
      <c r="O214" s="24"/>
      <c r="P214" s="25"/>
      <c r="Q214" s="25"/>
    </row>
    <row r="215" spans="1:17" s="20" customFormat="1" x14ac:dyDescent="0.25">
      <c r="A215" s="9"/>
      <c r="B215" s="28"/>
      <c r="C215" s="28"/>
      <c r="D215" s="28"/>
      <c r="E215" s="28"/>
      <c r="F215" s="31"/>
      <c r="G215" s="21"/>
      <c r="H215" s="22"/>
      <c r="I215" s="23"/>
      <c r="J215" s="24"/>
      <c r="K215" s="25"/>
      <c r="L215" s="23"/>
      <c r="M215" s="23"/>
      <c r="N215" s="24"/>
      <c r="O215" s="24"/>
      <c r="P215" s="25"/>
      <c r="Q215" s="25"/>
    </row>
    <row r="216" spans="1:17" s="20" customFormat="1" x14ac:dyDescent="0.25">
      <c r="A216" s="9"/>
      <c r="B216" s="28"/>
      <c r="C216" s="28"/>
      <c r="D216" s="28"/>
      <c r="E216" s="28"/>
      <c r="F216" s="31"/>
      <c r="G216" s="21"/>
      <c r="H216" s="22"/>
      <c r="I216" s="23"/>
      <c r="J216" s="24"/>
      <c r="K216" s="25"/>
      <c r="L216" s="23"/>
      <c r="M216" s="23"/>
      <c r="N216" s="24"/>
      <c r="O216" s="24"/>
      <c r="P216" s="25"/>
      <c r="Q216" s="25"/>
    </row>
    <row r="217" spans="1:17" s="20" customFormat="1" x14ac:dyDescent="0.25">
      <c r="A217" s="9"/>
      <c r="B217" s="28"/>
      <c r="C217" s="28"/>
      <c r="D217" s="28"/>
      <c r="E217" s="28"/>
      <c r="F217" s="31"/>
      <c r="G217" s="21"/>
      <c r="H217" s="22"/>
      <c r="I217" s="23"/>
      <c r="J217" s="24"/>
      <c r="K217" s="25"/>
      <c r="L217" s="23"/>
      <c r="M217" s="23"/>
      <c r="N217" s="24"/>
      <c r="O217" s="24"/>
      <c r="P217" s="25"/>
      <c r="Q217" s="25"/>
    </row>
    <row r="218" spans="1:17" s="20" customFormat="1" x14ac:dyDescent="0.25">
      <c r="A218" s="9"/>
      <c r="B218" s="28"/>
      <c r="C218" s="28"/>
      <c r="D218" s="28"/>
      <c r="E218" s="28"/>
      <c r="F218" s="31"/>
      <c r="G218" s="21"/>
      <c r="H218" s="22"/>
      <c r="I218" s="23"/>
      <c r="J218" s="24"/>
      <c r="K218" s="25"/>
      <c r="L218" s="23"/>
      <c r="M218" s="23"/>
      <c r="N218" s="24"/>
      <c r="O218" s="24"/>
      <c r="P218" s="25"/>
      <c r="Q218" s="25"/>
    </row>
    <row r="219" spans="1:17" s="20" customFormat="1" x14ac:dyDescent="0.25">
      <c r="A219" s="9"/>
      <c r="B219" s="28"/>
      <c r="C219" s="28"/>
      <c r="D219" s="28"/>
      <c r="E219" s="28"/>
      <c r="F219" s="31"/>
      <c r="G219" s="21"/>
      <c r="H219" s="22"/>
      <c r="I219" s="23"/>
      <c r="J219" s="24"/>
      <c r="K219" s="25"/>
      <c r="L219" s="23"/>
      <c r="M219" s="23"/>
      <c r="N219" s="24"/>
      <c r="O219" s="24"/>
      <c r="P219" s="25"/>
      <c r="Q219" s="25"/>
    </row>
    <row r="220" spans="1:17" s="20" customFormat="1" x14ac:dyDescent="0.25">
      <c r="A220" s="9"/>
      <c r="B220" s="28"/>
      <c r="C220" s="28"/>
      <c r="D220" s="28"/>
      <c r="E220" s="28"/>
      <c r="F220" s="31"/>
      <c r="G220" s="21"/>
      <c r="H220" s="22"/>
      <c r="I220" s="23"/>
      <c r="J220" s="24"/>
      <c r="K220" s="25"/>
      <c r="L220" s="23"/>
      <c r="M220" s="23"/>
      <c r="N220" s="24"/>
      <c r="O220" s="24"/>
      <c r="P220" s="25"/>
      <c r="Q220" s="25"/>
    </row>
    <row r="221" spans="1:17" s="20" customFormat="1" x14ac:dyDescent="0.25">
      <c r="A221" s="9"/>
      <c r="B221" s="28"/>
      <c r="C221" s="28"/>
      <c r="D221" s="28"/>
      <c r="E221" s="28"/>
      <c r="F221" s="31"/>
      <c r="G221" s="21"/>
      <c r="H221" s="22"/>
      <c r="I221" s="23"/>
      <c r="J221" s="24"/>
      <c r="K221" s="25"/>
      <c r="L221" s="23"/>
      <c r="M221" s="23"/>
      <c r="N221" s="24"/>
      <c r="O221" s="24"/>
      <c r="P221" s="25"/>
      <c r="Q221" s="25"/>
    </row>
    <row r="222" spans="1:17" s="20" customFormat="1" x14ac:dyDescent="0.25">
      <c r="A222" s="9"/>
      <c r="B222" s="28"/>
      <c r="C222" s="28"/>
      <c r="D222" s="28"/>
      <c r="E222" s="28"/>
      <c r="F222" s="31"/>
      <c r="G222" s="21"/>
      <c r="H222" s="22"/>
      <c r="I222" s="23"/>
      <c r="J222" s="24"/>
      <c r="K222" s="25"/>
      <c r="L222" s="23"/>
      <c r="M222" s="23"/>
      <c r="N222" s="24"/>
      <c r="O222" s="24"/>
      <c r="P222" s="25"/>
      <c r="Q222" s="25"/>
    </row>
    <row r="223" spans="1:17" s="20" customFormat="1" x14ac:dyDescent="0.25">
      <c r="A223" s="9"/>
      <c r="B223" s="28"/>
      <c r="C223" s="28"/>
      <c r="D223" s="28"/>
      <c r="E223" s="28"/>
      <c r="F223" s="31"/>
      <c r="G223" s="21"/>
      <c r="H223" s="22"/>
      <c r="I223" s="23"/>
      <c r="J223" s="24"/>
      <c r="K223" s="25"/>
      <c r="L223" s="23"/>
      <c r="M223" s="23"/>
      <c r="N223" s="24"/>
      <c r="O223" s="24"/>
      <c r="P223" s="25"/>
      <c r="Q223" s="25"/>
    </row>
    <row r="224" spans="1:17" s="20" customFormat="1" x14ac:dyDescent="0.25">
      <c r="A224" s="9"/>
      <c r="B224" s="28"/>
      <c r="C224" s="28"/>
      <c r="D224" s="28"/>
      <c r="E224" s="28"/>
      <c r="F224" s="31"/>
      <c r="G224" s="21"/>
      <c r="H224" s="22"/>
      <c r="I224" s="23"/>
      <c r="J224" s="24"/>
      <c r="K224" s="25"/>
      <c r="L224" s="23"/>
      <c r="M224" s="23"/>
      <c r="N224" s="24"/>
      <c r="O224" s="24"/>
      <c r="P224" s="25"/>
      <c r="Q224" s="25"/>
    </row>
    <row r="225" spans="1:17" s="20" customFormat="1" x14ac:dyDescent="0.25">
      <c r="A225" s="9"/>
      <c r="B225" s="28"/>
      <c r="C225" s="28"/>
      <c r="D225" s="28"/>
      <c r="E225" s="28"/>
      <c r="F225" s="31"/>
      <c r="G225" s="21"/>
      <c r="H225" s="22"/>
      <c r="I225" s="23"/>
      <c r="J225" s="24"/>
      <c r="K225" s="25"/>
      <c r="L225" s="23"/>
      <c r="M225" s="23"/>
      <c r="N225" s="24"/>
      <c r="O225" s="24"/>
      <c r="P225" s="25"/>
      <c r="Q225" s="25"/>
    </row>
    <row r="226" spans="1:17" s="20" customFormat="1" x14ac:dyDescent="0.25">
      <c r="A226" s="9"/>
      <c r="B226" s="28"/>
      <c r="C226" s="28"/>
      <c r="D226" s="28"/>
      <c r="E226" s="28"/>
      <c r="F226" s="31"/>
      <c r="G226" s="21"/>
      <c r="H226" s="22"/>
      <c r="I226" s="23"/>
      <c r="J226" s="24"/>
      <c r="K226" s="25"/>
      <c r="L226" s="23"/>
      <c r="M226" s="23"/>
      <c r="N226" s="24"/>
      <c r="O226" s="24"/>
      <c r="P226" s="25"/>
      <c r="Q226" s="25"/>
    </row>
    <row r="227" spans="1:17" s="20" customFormat="1" x14ac:dyDescent="0.25">
      <c r="A227" s="9"/>
      <c r="B227" s="28"/>
      <c r="C227" s="28"/>
      <c r="D227" s="28"/>
      <c r="E227" s="28"/>
      <c r="F227" s="31"/>
      <c r="G227" s="21"/>
      <c r="H227" s="22"/>
      <c r="I227" s="23"/>
      <c r="J227" s="24"/>
      <c r="K227" s="25"/>
      <c r="L227" s="23"/>
      <c r="M227" s="23"/>
      <c r="N227" s="24"/>
      <c r="O227" s="24"/>
      <c r="P227" s="25"/>
      <c r="Q227" s="25"/>
    </row>
    <row r="228" spans="1:17" s="20" customFormat="1" x14ac:dyDescent="0.25">
      <c r="A228" s="9"/>
      <c r="B228" s="28"/>
      <c r="C228" s="28"/>
      <c r="D228" s="28"/>
      <c r="E228" s="28"/>
      <c r="F228" s="31"/>
      <c r="G228" s="21"/>
      <c r="H228" s="22"/>
      <c r="I228" s="23"/>
      <c r="J228" s="24"/>
      <c r="K228" s="25"/>
      <c r="L228" s="23"/>
      <c r="M228" s="23"/>
      <c r="N228" s="24"/>
      <c r="O228" s="24"/>
      <c r="P228" s="25"/>
      <c r="Q228" s="25"/>
    </row>
    <row r="229" spans="1:17" s="20" customFormat="1" x14ac:dyDescent="0.25">
      <c r="A229" s="9"/>
      <c r="B229" s="28"/>
      <c r="C229" s="28"/>
      <c r="D229" s="28"/>
      <c r="E229" s="28"/>
      <c r="F229" s="31"/>
      <c r="G229" s="21"/>
      <c r="H229" s="22"/>
      <c r="I229" s="23"/>
      <c r="J229" s="24"/>
      <c r="K229" s="25"/>
      <c r="L229" s="23"/>
      <c r="M229" s="23"/>
      <c r="N229" s="24"/>
      <c r="O229" s="24"/>
      <c r="P229" s="25"/>
      <c r="Q229" s="25"/>
    </row>
    <row r="230" spans="1:17" s="20" customFormat="1" x14ac:dyDescent="0.25">
      <c r="A230" s="9"/>
      <c r="B230" s="28"/>
      <c r="C230" s="28"/>
      <c r="D230" s="28"/>
      <c r="E230" s="28"/>
      <c r="F230" s="31"/>
      <c r="G230" s="21"/>
      <c r="H230" s="22"/>
      <c r="I230" s="23"/>
      <c r="J230" s="24"/>
      <c r="K230" s="25"/>
      <c r="L230" s="23"/>
      <c r="M230" s="23"/>
      <c r="N230" s="24"/>
      <c r="O230" s="24"/>
      <c r="P230" s="25"/>
      <c r="Q230" s="25"/>
    </row>
    <row r="231" spans="1:17" s="20" customFormat="1" x14ac:dyDescent="0.25">
      <c r="A231" s="9"/>
      <c r="B231" s="28"/>
      <c r="C231" s="28"/>
      <c r="D231" s="28"/>
      <c r="E231" s="28"/>
      <c r="F231" s="31"/>
      <c r="G231" s="21"/>
      <c r="H231" s="22"/>
      <c r="I231" s="23"/>
      <c r="J231" s="24"/>
      <c r="K231" s="25"/>
      <c r="L231" s="23"/>
      <c r="M231" s="23"/>
      <c r="N231" s="24"/>
      <c r="O231" s="24"/>
      <c r="P231" s="25"/>
      <c r="Q231" s="25"/>
    </row>
    <row r="232" spans="1:17" s="20" customFormat="1" x14ac:dyDescent="0.25">
      <c r="A232" s="9"/>
      <c r="B232" s="28"/>
      <c r="C232" s="28"/>
      <c r="D232" s="28"/>
      <c r="E232" s="28"/>
      <c r="F232" s="31"/>
      <c r="G232" s="21"/>
      <c r="H232" s="22"/>
      <c r="I232" s="23"/>
      <c r="J232" s="24"/>
      <c r="K232" s="25"/>
      <c r="L232" s="23"/>
      <c r="M232" s="23"/>
      <c r="N232" s="24"/>
      <c r="O232" s="24"/>
      <c r="P232" s="25"/>
      <c r="Q232" s="25"/>
    </row>
    <row r="233" spans="1:17" s="20" customFormat="1" x14ac:dyDescent="0.25">
      <c r="A233" s="9"/>
      <c r="B233" s="28"/>
      <c r="C233" s="28"/>
      <c r="D233" s="28"/>
      <c r="E233" s="28"/>
      <c r="F233" s="31"/>
      <c r="G233" s="21"/>
      <c r="H233" s="22"/>
      <c r="I233" s="23"/>
      <c r="J233" s="24"/>
      <c r="K233" s="25"/>
      <c r="L233" s="23"/>
      <c r="M233" s="23"/>
      <c r="N233" s="24"/>
      <c r="O233" s="24"/>
      <c r="P233" s="25"/>
      <c r="Q233" s="25"/>
    </row>
    <row r="234" spans="1:17" s="20" customFormat="1" x14ac:dyDescent="0.25">
      <c r="A234" s="9"/>
      <c r="B234" s="28"/>
      <c r="C234" s="28"/>
      <c r="D234" s="28"/>
      <c r="E234" s="28"/>
      <c r="F234" s="31"/>
      <c r="G234" s="21"/>
      <c r="H234" s="22"/>
      <c r="I234" s="23"/>
      <c r="J234" s="24"/>
      <c r="K234" s="25"/>
      <c r="L234" s="23"/>
      <c r="M234" s="23"/>
      <c r="N234" s="24"/>
      <c r="O234" s="24"/>
      <c r="P234" s="25"/>
      <c r="Q234" s="25"/>
    </row>
    <row r="235" spans="1:17" s="20" customFormat="1" x14ac:dyDescent="0.25">
      <c r="A235" s="9"/>
      <c r="B235" s="28"/>
      <c r="C235" s="28"/>
      <c r="D235" s="28"/>
      <c r="E235" s="28"/>
      <c r="F235" s="31"/>
      <c r="G235" s="21"/>
      <c r="H235" s="22"/>
      <c r="I235" s="23"/>
      <c r="J235" s="24"/>
      <c r="K235" s="25"/>
      <c r="L235" s="23"/>
      <c r="M235" s="23"/>
      <c r="N235" s="24"/>
      <c r="O235" s="24"/>
      <c r="P235" s="25"/>
      <c r="Q235" s="25"/>
    </row>
    <row r="236" spans="1:17" s="20" customFormat="1" x14ac:dyDescent="0.25">
      <c r="A236" s="9"/>
      <c r="B236" s="28"/>
      <c r="C236" s="28"/>
      <c r="D236" s="28"/>
      <c r="E236" s="28"/>
      <c r="F236" s="31"/>
      <c r="G236" s="21"/>
      <c r="H236" s="22"/>
      <c r="I236" s="23"/>
      <c r="J236" s="24"/>
      <c r="K236" s="25"/>
      <c r="L236" s="23"/>
      <c r="M236" s="23"/>
      <c r="N236" s="24"/>
      <c r="O236" s="24"/>
      <c r="P236" s="25"/>
      <c r="Q236" s="25"/>
    </row>
    <row r="237" spans="1:17" s="20" customFormat="1" x14ac:dyDescent="0.25">
      <c r="A237" s="9"/>
      <c r="B237" s="28"/>
      <c r="C237" s="28"/>
      <c r="D237" s="28"/>
      <c r="E237" s="28"/>
      <c r="F237" s="31"/>
      <c r="G237" s="21"/>
      <c r="H237" s="22"/>
      <c r="I237" s="23"/>
      <c r="J237" s="24"/>
      <c r="K237" s="25"/>
      <c r="L237" s="23"/>
      <c r="M237" s="23"/>
      <c r="N237" s="24"/>
      <c r="O237" s="24"/>
      <c r="P237" s="25"/>
      <c r="Q237" s="25"/>
    </row>
    <row r="238" spans="1:17" s="20" customFormat="1" x14ac:dyDescent="0.25">
      <c r="A238" s="9"/>
      <c r="B238" s="28"/>
      <c r="C238" s="28"/>
      <c r="D238" s="28"/>
      <c r="E238" s="28"/>
      <c r="F238" s="31"/>
      <c r="G238" s="21"/>
      <c r="H238" s="22"/>
      <c r="I238" s="23"/>
      <c r="J238" s="24"/>
      <c r="K238" s="25"/>
      <c r="L238" s="23"/>
      <c r="M238" s="23"/>
      <c r="N238" s="24"/>
      <c r="O238" s="24"/>
      <c r="P238" s="25"/>
      <c r="Q238" s="25"/>
    </row>
    <row r="239" spans="1:17" s="20" customFormat="1" x14ac:dyDescent="0.25">
      <c r="A239" s="9"/>
      <c r="B239" s="28"/>
      <c r="C239" s="28"/>
      <c r="D239" s="28"/>
      <c r="E239" s="28"/>
      <c r="F239" s="31"/>
      <c r="G239" s="21"/>
      <c r="H239" s="22"/>
      <c r="I239" s="23"/>
      <c r="J239" s="24"/>
      <c r="K239" s="25"/>
      <c r="L239" s="23"/>
      <c r="M239" s="23"/>
      <c r="N239" s="24"/>
      <c r="O239" s="24"/>
      <c r="P239" s="25"/>
      <c r="Q239" s="25"/>
    </row>
    <row r="240" spans="1:17" s="20" customFormat="1" x14ac:dyDescent="0.25">
      <c r="A240" s="9"/>
      <c r="B240" s="28"/>
      <c r="C240" s="28"/>
      <c r="D240" s="28"/>
      <c r="E240" s="28"/>
      <c r="F240" s="31"/>
      <c r="G240" s="21"/>
      <c r="H240" s="22"/>
      <c r="I240" s="23"/>
      <c r="J240" s="24"/>
      <c r="K240" s="25"/>
      <c r="L240" s="23"/>
      <c r="M240" s="23"/>
      <c r="N240" s="24"/>
      <c r="O240" s="24"/>
      <c r="P240" s="25"/>
      <c r="Q240" s="25"/>
    </row>
    <row r="241" spans="1:17" s="20" customFormat="1" x14ac:dyDescent="0.25">
      <c r="A241" s="9"/>
      <c r="B241" s="28"/>
      <c r="C241" s="28"/>
      <c r="D241" s="28"/>
      <c r="E241" s="28"/>
      <c r="F241" s="31"/>
      <c r="G241" s="21"/>
      <c r="H241" s="22"/>
      <c r="I241" s="23"/>
      <c r="J241" s="24"/>
      <c r="K241" s="25"/>
      <c r="L241" s="23"/>
      <c r="M241" s="23"/>
      <c r="N241" s="24"/>
      <c r="O241" s="24"/>
      <c r="P241" s="25"/>
      <c r="Q241" s="25"/>
    </row>
    <row r="242" spans="1:17" s="20" customFormat="1" x14ac:dyDescent="0.25">
      <c r="A242" s="9"/>
      <c r="B242" s="28"/>
      <c r="C242" s="28"/>
      <c r="D242" s="28"/>
      <c r="E242" s="28"/>
      <c r="F242" s="31"/>
      <c r="G242" s="21"/>
      <c r="H242" s="22"/>
      <c r="I242" s="23"/>
      <c r="J242" s="24"/>
      <c r="K242" s="25"/>
      <c r="L242" s="23"/>
      <c r="M242" s="23"/>
      <c r="N242" s="24"/>
      <c r="O242" s="24"/>
      <c r="P242" s="25"/>
      <c r="Q242" s="25"/>
    </row>
    <row r="243" spans="1:17" s="20" customFormat="1" x14ac:dyDescent="0.25">
      <c r="A243" s="9"/>
      <c r="B243" s="28"/>
      <c r="C243" s="28"/>
      <c r="D243" s="28"/>
      <c r="E243" s="28"/>
      <c r="F243" s="31"/>
      <c r="G243" s="21"/>
      <c r="H243" s="22"/>
      <c r="I243" s="23"/>
      <c r="J243" s="24"/>
      <c r="K243" s="25"/>
      <c r="L243" s="23"/>
      <c r="M243" s="23"/>
      <c r="N243" s="24"/>
      <c r="O243" s="24"/>
      <c r="P243" s="25"/>
      <c r="Q243" s="25"/>
    </row>
    <row r="244" spans="1:17" s="20" customFormat="1" x14ac:dyDescent="0.25">
      <c r="A244" s="9"/>
      <c r="B244" s="28"/>
      <c r="C244" s="28"/>
      <c r="D244" s="28"/>
      <c r="E244" s="28"/>
      <c r="F244" s="31"/>
      <c r="G244" s="21"/>
      <c r="H244" s="22"/>
      <c r="I244" s="23"/>
      <c r="J244" s="24"/>
      <c r="K244" s="25"/>
      <c r="L244" s="23"/>
      <c r="M244" s="23"/>
      <c r="N244" s="24"/>
      <c r="O244" s="24"/>
      <c r="P244" s="25"/>
      <c r="Q244" s="25"/>
    </row>
    <row r="245" spans="1:17" s="20" customFormat="1" x14ac:dyDescent="0.25">
      <c r="A245" s="9"/>
      <c r="B245" s="28"/>
      <c r="C245" s="28"/>
      <c r="D245" s="28"/>
      <c r="E245" s="28"/>
      <c r="F245" s="31"/>
      <c r="G245" s="21"/>
      <c r="H245" s="22"/>
      <c r="I245" s="23"/>
      <c r="J245" s="24"/>
      <c r="K245" s="25"/>
      <c r="L245" s="23"/>
      <c r="M245" s="23"/>
      <c r="N245" s="24"/>
      <c r="O245" s="24"/>
      <c r="P245" s="25"/>
      <c r="Q245" s="25"/>
    </row>
    <row r="246" spans="1:17" s="20" customFormat="1" x14ac:dyDescent="0.25">
      <c r="A246" s="9"/>
      <c r="B246" s="28"/>
      <c r="C246" s="28"/>
      <c r="D246" s="28"/>
      <c r="E246" s="28"/>
      <c r="F246" s="31"/>
      <c r="G246" s="21"/>
      <c r="H246" s="22"/>
      <c r="I246" s="23"/>
      <c r="J246" s="24"/>
      <c r="K246" s="25"/>
      <c r="L246" s="23"/>
      <c r="M246" s="23"/>
      <c r="N246" s="24"/>
      <c r="O246" s="24"/>
      <c r="P246" s="25"/>
      <c r="Q246" s="25"/>
    </row>
    <row r="247" spans="1:17" s="20" customFormat="1" x14ac:dyDescent="0.25">
      <c r="A247" s="9"/>
      <c r="B247" s="28"/>
      <c r="C247" s="28"/>
      <c r="D247" s="28"/>
      <c r="E247" s="28"/>
      <c r="F247" s="31"/>
      <c r="G247" s="21"/>
      <c r="H247" s="22"/>
      <c r="I247" s="23"/>
      <c r="J247" s="24"/>
      <c r="K247" s="25"/>
      <c r="L247" s="23"/>
      <c r="M247" s="23"/>
      <c r="N247" s="24"/>
      <c r="O247" s="24"/>
      <c r="P247" s="25"/>
      <c r="Q247" s="25"/>
    </row>
    <row r="248" spans="1:17" s="20" customFormat="1" x14ac:dyDescent="0.25">
      <c r="A248" s="9"/>
      <c r="B248" s="28"/>
      <c r="C248" s="28"/>
      <c r="D248" s="28"/>
      <c r="E248" s="28"/>
      <c r="F248" s="31"/>
      <c r="G248" s="21"/>
      <c r="H248" s="22"/>
      <c r="I248" s="23"/>
      <c r="J248" s="24"/>
      <c r="K248" s="25"/>
      <c r="L248" s="23"/>
      <c r="M248" s="23"/>
      <c r="N248" s="24"/>
      <c r="O248" s="24"/>
      <c r="P248" s="25"/>
      <c r="Q248" s="25"/>
    </row>
    <row r="249" spans="1:17" s="20" customFormat="1" x14ac:dyDescent="0.25">
      <c r="A249" s="9"/>
      <c r="B249" s="28"/>
      <c r="C249" s="28"/>
      <c r="D249" s="28"/>
      <c r="E249" s="28"/>
      <c r="F249" s="31"/>
      <c r="G249" s="21"/>
      <c r="H249" s="22"/>
      <c r="I249" s="23"/>
      <c r="J249" s="24"/>
      <c r="K249" s="25"/>
      <c r="L249" s="23"/>
      <c r="M249" s="23"/>
      <c r="N249" s="24"/>
      <c r="O249" s="24"/>
      <c r="P249" s="25"/>
      <c r="Q249" s="25"/>
    </row>
    <row r="250" spans="1:17" s="20" customFormat="1" x14ac:dyDescent="0.25">
      <c r="A250" s="9"/>
      <c r="B250" s="28"/>
      <c r="C250" s="28"/>
      <c r="D250" s="28"/>
      <c r="E250" s="28"/>
      <c r="F250" s="31"/>
      <c r="G250" s="21"/>
      <c r="H250" s="22"/>
      <c r="I250" s="23"/>
      <c r="J250" s="24"/>
      <c r="K250" s="25"/>
      <c r="L250" s="23"/>
      <c r="M250" s="23"/>
      <c r="N250" s="24"/>
      <c r="O250" s="24"/>
      <c r="P250" s="25"/>
      <c r="Q250" s="25"/>
    </row>
    <row r="251" spans="1:17" s="20" customFormat="1" x14ac:dyDescent="0.25">
      <c r="A251" s="9"/>
      <c r="B251" s="28"/>
      <c r="C251" s="28"/>
      <c r="D251" s="28"/>
      <c r="E251" s="28"/>
      <c r="F251" s="31"/>
      <c r="G251" s="21"/>
      <c r="H251" s="22"/>
      <c r="I251" s="23"/>
      <c r="J251" s="24"/>
      <c r="K251" s="25"/>
      <c r="L251" s="23"/>
      <c r="M251" s="23"/>
      <c r="N251" s="24"/>
      <c r="O251" s="24"/>
      <c r="P251" s="25"/>
      <c r="Q251" s="25"/>
    </row>
    <row r="252" spans="1:17" s="20" customFormat="1" x14ac:dyDescent="0.25">
      <c r="A252" s="9"/>
      <c r="B252" s="28"/>
      <c r="C252" s="28"/>
      <c r="D252" s="28"/>
      <c r="E252" s="28"/>
      <c r="F252" s="31"/>
      <c r="G252" s="21"/>
      <c r="H252" s="22"/>
      <c r="I252" s="23"/>
      <c r="J252" s="24"/>
      <c r="K252" s="25"/>
      <c r="L252" s="23"/>
      <c r="M252" s="23"/>
      <c r="N252" s="24"/>
      <c r="O252" s="24"/>
      <c r="P252" s="25"/>
      <c r="Q252" s="25"/>
    </row>
    <row r="253" spans="1:17" s="20" customFormat="1" x14ac:dyDescent="0.25">
      <c r="A253" s="9"/>
      <c r="B253" s="28"/>
      <c r="C253" s="28"/>
      <c r="D253" s="28"/>
      <c r="E253" s="28"/>
      <c r="F253" s="31"/>
      <c r="G253" s="21"/>
      <c r="H253" s="22"/>
      <c r="I253" s="23"/>
      <c r="J253" s="24"/>
      <c r="K253" s="25"/>
      <c r="L253" s="23"/>
      <c r="M253" s="23"/>
      <c r="N253" s="24"/>
      <c r="O253" s="24"/>
      <c r="P253" s="25"/>
      <c r="Q253" s="25"/>
    </row>
    <row r="254" spans="1:17" s="20" customFormat="1" x14ac:dyDescent="0.25">
      <c r="A254" s="9"/>
      <c r="B254" s="28"/>
      <c r="C254" s="28"/>
      <c r="D254" s="28"/>
      <c r="E254" s="28"/>
      <c r="F254" s="31"/>
      <c r="G254" s="21"/>
      <c r="H254" s="22"/>
      <c r="I254" s="23"/>
      <c r="J254" s="24"/>
      <c r="K254" s="25"/>
      <c r="L254" s="23"/>
      <c r="M254" s="23"/>
      <c r="N254" s="24"/>
      <c r="O254" s="24"/>
      <c r="P254" s="25"/>
      <c r="Q254" s="25"/>
    </row>
    <row r="255" spans="1:17" s="20" customFormat="1" x14ac:dyDescent="0.25">
      <c r="A255" s="9"/>
      <c r="B255" s="28"/>
      <c r="C255" s="28"/>
      <c r="D255" s="28"/>
      <c r="E255" s="28"/>
      <c r="F255" s="31"/>
      <c r="G255" s="21"/>
      <c r="H255" s="22"/>
      <c r="I255" s="23"/>
      <c r="J255" s="24"/>
      <c r="K255" s="25"/>
      <c r="L255" s="23"/>
      <c r="M255" s="23"/>
      <c r="N255" s="24"/>
      <c r="O255" s="24"/>
      <c r="P255" s="25"/>
      <c r="Q255" s="25"/>
    </row>
    <row r="256" spans="1:17" s="20" customFormat="1" x14ac:dyDescent="0.25">
      <c r="A256" s="9"/>
      <c r="B256" s="28"/>
      <c r="C256" s="28"/>
      <c r="D256" s="28"/>
      <c r="E256" s="28"/>
      <c r="F256" s="31"/>
      <c r="G256" s="21"/>
      <c r="H256" s="22"/>
      <c r="I256" s="23"/>
      <c r="J256" s="24"/>
      <c r="K256" s="25"/>
      <c r="L256" s="23"/>
      <c r="M256" s="23"/>
      <c r="N256" s="24"/>
      <c r="O256" s="24"/>
      <c r="P256" s="25"/>
      <c r="Q256" s="25"/>
    </row>
    <row r="257" spans="1:17" s="20" customFormat="1" x14ac:dyDescent="0.25">
      <c r="A257" s="9"/>
      <c r="B257" s="28"/>
      <c r="C257" s="28"/>
      <c r="D257" s="28"/>
      <c r="E257" s="28"/>
      <c r="F257" s="31"/>
      <c r="G257" s="21"/>
      <c r="H257" s="22"/>
      <c r="I257" s="23"/>
      <c r="J257" s="24"/>
      <c r="K257" s="25"/>
      <c r="L257" s="23"/>
      <c r="M257" s="23"/>
      <c r="N257" s="24"/>
      <c r="O257" s="24"/>
      <c r="P257" s="25"/>
      <c r="Q257" s="25"/>
    </row>
    <row r="258" spans="1:17" s="20" customFormat="1" x14ac:dyDescent="0.25">
      <c r="A258" s="9"/>
      <c r="B258" s="28"/>
      <c r="C258" s="28"/>
      <c r="D258" s="28"/>
      <c r="E258" s="28"/>
      <c r="F258" s="31"/>
      <c r="G258" s="21"/>
      <c r="H258" s="22"/>
      <c r="I258" s="23"/>
      <c r="J258" s="24"/>
      <c r="K258" s="25"/>
      <c r="L258" s="23"/>
      <c r="M258" s="23"/>
      <c r="N258" s="24"/>
      <c r="O258" s="24"/>
      <c r="P258" s="25"/>
      <c r="Q258" s="25"/>
    </row>
    <row r="259" spans="1:17" s="20" customFormat="1" x14ac:dyDescent="0.25">
      <c r="A259" s="9"/>
      <c r="B259" s="28"/>
      <c r="C259" s="28"/>
      <c r="D259" s="28"/>
      <c r="E259" s="28"/>
      <c r="F259" s="31"/>
      <c r="G259" s="21"/>
      <c r="H259" s="22"/>
      <c r="I259" s="23"/>
      <c r="J259" s="24"/>
      <c r="K259" s="25"/>
      <c r="L259" s="23"/>
      <c r="M259" s="23"/>
      <c r="N259" s="24"/>
      <c r="O259" s="24"/>
      <c r="P259" s="25"/>
      <c r="Q259" s="25"/>
    </row>
    <row r="260" spans="1:17" s="20" customFormat="1" x14ac:dyDescent="0.25">
      <c r="A260" s="9"/>
      <c r="B260" s="28"/>
      <c r="C260" s="28"/>
      <c r="D260" s="28"/>
      <c r="E260" s="28"/>
      <c r="F260" s="31"/>
      <c r="G260" s="21"/>
      <c r="H260" s="22"/>
      <c r="I260" s="23"/>
      <c r="J260" s="24"/>
      <c r="K260" s="25"/>
      <c r="L260" s="23"/>
      <c r="M260" s="23"/>
      <c r="N260" s="24"/>
      <c r="O260" s="24"/>
      <c r="P260" s="25"/>
      <c r="Q260" s="25"/>
    </row>
    <row r="261" spans="1:17" s="20" customFormat="1" x14ac:dyDescent="0.25">
      <c r="A261" s="9"/>
      <c r="B261" s="28"/>
      <c r="C261" s="28"/>
      <c r="D261" s="28"/>
      <c r="E261" s="28"/>
      <c r="F261" s="31"/>
      <c r="G261" s="21"/>
      <c r="H261" s="22"/>
      <c r="I261" s="23"/>
      <c r="J261" s="24"/>
      <c r="K261" s="25"/>
      <c r="L261" s="23"/>
      <c r="M261" s="23"/>
      <c r="N261" s="24"/>
      <c r="O261" s="24"/>
      <c r="P261" s="25"/>
      <c r="Q261" s="25"/>
    </row>
    <row r="262" spans="1:17" s="20" customFormat="1" x14ac:dyDescent="0.25">
      <c r="A262" s="9"/>
      <c r="B262" s="28"/>
      <c r="C262" s="28"/>
      <c r="D262" s="28"/>
      <c r="E262" s="28"/>
      <c r="F262" s="31"/>
      <c r="G262" s="21"/>
      <c r="H262" s="22"/>
      <c r="I262" s="23"/>
      <c r="J262" s="24"/>
      <c r="K262" s="25"/>
      <c r="L262" s="23"/>
      <c r="M262" s="23"/>
      <c r="N262" s="24"/>
      <c r="O262" s="24"/>
      <c r="P262" s="25"/>
      <c r="Q262" s="25"/>
    </row>
    <row r="263" spans="1:17" s="20" customFormat="1" x14ac:dyDescent="0.25">
      <c r="A263" s="9"/>
      <c r="B263" s="28"/>
      <c r="C263" s="28"/>
      <c r="D263" s="28"/>
      <c r="E263" s="28"/>
      <c r="F263" s="31"/>
      <c r="G263" s="21"/>
      <c r="H263" s="22"/>
      <c r="I263" s="23"/>
      <c r="J263" s="24"/>
      <c r="K263" s="25"/>
      <c r="L263" s="23"/>
      <c r="M263" s="23"/>
      <c r="N263" s="24"/>
      <c r="O263" s="24"/>
      <c r="P263" s="25"/>
      <c r="Q263" s="25"/>
    </row>
    <row r="264" spans="1:17" s="20" customFormat="1" x14ac:dyDescent="0.25">
      <c r="A264" s="9"/>
      <c r="B264" s="28"/>
      <c r="C264" s="28"/>
      <c r="D264" s="28"/>
      <c r="E264" s="28"/>
      <c r="F264" s="31"/>
      <c r="G264" s="21"/>
      <c r="H264" s="22"/>
      <c r="I264" s="23"/>
      <c r="J264" s="24"/>
      <c r="K264" s="25"/>
      <c r="L264" s="23"/>
      <c r="M264" s="23"/>
      <c r="N264" s="24"/>
      <c r="O264" s="24"/>
      <c r="P264" s="25"/>
      <c r="Q264" s="25"/>
    </row>
    <row r="265" spans="1:17" s="20" customFormat="1" x14ac:dyDescent="0.25">
      <c r="A265" s="9"/>
      <c r="B265" s="28"/>
      <c r="C265" s="28"/>
      <c r="D265" s="28"/>
      <c r="E265" s="28"/>
      <c r="F265" s="31"/>
      <c r="G265" s="21"/>
      <c r="H265" s="22"/>
      <c r="I265" s="23"/>
      <c r="J265" s="24"/>
      <c r="K265" s="25"/>
      <c r="L265" s="23"/>
      <c r="M265" s="23"/>
      <c r="N265" s="24"/>
      <c r="O265" s="24"/>
      <c r="P265" s="25"/>
      <c r="Q265" s="25"/>
    </row>
    <row r="266" spans="1:17" s="20" customFormat="1" x14ac:dyDescent="0.25">
      <c r="A266" s="9"/>
      <c r="B266" s="28"/>
      <c r="C266" s="28"/>
      <c r="D266" s="28"/>
      <c r="E266" s="28"/>
      <c r="F266" s="31"/>
      <c r="G266" s="21"/>
      <c r="H266" s="22"/>
      <c r="I266" s="23"/>
      <c r="J266" s="24"/>
      <c r="K266" s="25"/>
      <c r="L266" s="23"/>
      <c r="M266" s="23"/>
      <c r="N266" s="24"/>
      <c r="O266" s="24"/>
      <c r="P266" s="25"/>
      <c r="Q266" s="25"/>
    </row>
    <row r="267" spans="1:17" s="20" customFormat="1" x14ac:dyDescent="0.25">
      <c r="A267" s="9"/>
      <c r="B267" s="28"/>
      <c r="C267" s="28"/>
      <c r="D267" s="28"/>
      <c r="E267" s="28"/>
      <c r="F267" s="31"/>
      <c r="G267" s="21"/>
      <c r="H267" s="22"/>
      <c r="I267" s="23"/>
      <c r="J267" s="24"/>
      <c r="K267" s="25"/>
      <c r="L267" s="23"/>
      <c r="M267" s="23"/>
      <c r="N267" s="24"/>
      <c r="O267" s="24"/>
      <c r="P267" s="25"/>
      <c r="Q267" s="25"/>
    </row>
    <row r="268" spans="1:17" s="20" customFormat="1" x14ac:dyDescent="0.25">
      <c r="A268" s="9"/>
      <c r="B268" s="28"/>
      <c r="C268" s="28"/>
      <c r="D268" s="28"/>
      <c r="E268" s="28"/>
      <c r="F268" s="31"/>
      <c r="G268" s="21"/>
      <c r="H268" s="22"/>
      <c r="I268" s="23"/>
      <c r="J268" s="24"/>
      <c r="K268" s="25"/>
      <c r="L268" s="23"/>
      <c r="M268" s="23"/>
      <c r="N268" s="24"/>
      <c r="O268" s="24"/>
      <c r="P268" s="25"/>
      <c r="Q268" s="25"/>
    </row>
    <row r="269" spans="1:17" s="20" customFormat="1" x14ac:dyDescent="0.25">
      <c r="A269" s="9"/>
      <c r="B269" s="28"/>
      <c r="C269" s="28"/>
      <c r="D269" s="28"/>
      <c r="E269" s="28"/>
      <c r="F269" s="31"/>
      <c r="G269" s="21"/>
      <c r="H269" s="22"/>
      <c r="I269" s="23"/>
      <c r="J269" s="24"/>
      <c r="K269" s="25"/>
      <c r="L269" s="23"/>
      <c r="M269" s="23"/>
      <c r="N269" s="24"/>
      <c r="O269" s="24"/>
      <c r="P269" s="25"/>
      <c r="Q269" s="25"/>
    </row>
    <row r="270" spans="1:17" s="20" customFormat="1" x14ac:dyDescent="0.25">
      <c r="A270" s="9"/>
      <c r="B270" s="28"/>
      <c r="C270" s="28"/>
      <c r="D270" s="28"/>
      <c r="E270" s="28"/>
      <c r="F270" s="31"/>
      <c r="G270" s="21"/>
      <c r="H270" s="22"/>
      <c r="I270" s="23"/>
      <c r="J270" s="24"/>
      <c r="K270" s="25"/>
      <c r="L270" s="23"/>
      <c r="M270" s="23"/>
      <c r="N270" s="24"/>
      <c r="O270" s="24"/>
      <c r="P270" s="25"/>
      <c r="Q270" s="25"/>
    </row>
    <row r="271" spans="1:17" s="20" customFormat="1" x14ac:dyDescent="0.25">
      <c r="A271" s="9"/>
      <c r="B271" s="28"/>
      <c r="C271" s="28"/>
      <c r="D271" s="28"/>
      <c r="E271" s="28"/>
      <c r="F271" s="31"/>
      <c r="G271" s="21"/>
      <c r="H271" s="22"/>
      <c r="I271" s="23"/>
      <c r="J271" s="24"/>
      <c r="K271" s="25"/>
      <c r="L271" s="23"/>
      <c r="M271" s="23"/>
      <c r="N271" s="24"/>
      <c r="O271" s="24"/>
      <c r="P271" s="25"/>
      <c r="Q271" s="25"/>
    </row>
    <row r="272" spans="1:17" s="20" customFormat="1" x14ac:dyDescent="0.25">
      <c r="A272" s="9"/>
      <c r="B272" s="28"/>
      <c r="C272" s="28"/>
      <c r="D272" s="28"/>
      <c r="E272" s="28"/>
      <c r="F272" s="31"/>
      <c r="G272" s="21"/>
      <c r="H272" s="22"/>
      <c r="I272" s="23"/>
      <c r="J272" s="24"/>
      <c r="K272" s="25"/>
      <c r="L272" s="23"/>
      <c r="M272" s="23"/>
      <c r="N272" s="24"/>
      <c r="O272" s="24"/>
      <c r="P272" s="25"/>
      <c r="Q272" s="25"/>
    </row>
    <row r="273" spans="1:17" s="20" customFormat="1" x14ac:dyDescent="0.25">
      <c r="A273" s="9"/>
      <c r="B273" s="28"/>
      <c r="C273" s="28"/>
      <c r="D273" s="28"/>
      <c r="E273" s="28"/>
      <c r="F273" s="31"/>
      <c r="G273" s="21"/>
      <c r="H273" s="22"/>
      <c r="I273" s="23"/>
      <c r="J273" s="24"/>
      <c r="K273" s="25"/>
      <c r="L273" s="23"/>
      <c r="M273" s="23"/>
      <c r="N273" s="24"/>
      <c r="O273" s="24"/>
      <c r="P273" s="25"/>
      <c r="Q273" s="25"/>
    </row>
    <row r="274" spans="1:17" s="20" customFormat="1" x14ac:dyDescent="0.25">
      <c r="A274" s="9"/>
      <c r="B274" s="28"/>
      <c r="C274" s="28"/>
      <c r="D274" s="28"/>
      <c r="E274" s="28"/>
      <c r="F274" s="31"/>
      <c r="G274" s="21"/>
      <c r="H274" s="22"/>
      <c r="I274" s="23"/>
      <c r="J274" s="24"/>
      <c r="K274" s="25"/>
      <c r="L274" s="23"/>
      <c r="M274" s="23"/>
      <c r="N274" s="24"/>
      <c r="O274" s="24"/>
      <c r="P274" s="25"/>
      <c r="Q274" s="25"/>
    </row>
    <row r="275" spans="1:17" s="20" customFormat="1" x14ac:dyDescent="0.25">
      <c r="A275" s="9"/>
      <c r="B275" s="28"/>
      <c r="C275" s="28"/>
      <c r="D275" s="28"/>
      <c r="E275" s="28"/>
      <c r="F275" s="31"/>
      <c r="G275" s="21"/>
      <c r="H275" s="22"/>
      <c r="I275" s="23"/>
      <c r="J275" s="24"/>
      <c r="K275" s="25"/>
      <c r="L275" s="23"/>
      <c r="M275" s="23"/>
      <c r="N275" s="24"/>
      <c r="O275" s="24"/>
      <c r="P275" s="25"/>
      <c r="Q275" s="25"/>
    </row>
    <row r="276" spans="1:17" s="20" customFormat="1" x14ac:dyDescent="0.25">
      <c r="A276" s="9"/>
      <c r="B276" s="28"/>
      <c r="C276" s="28"/>
      <c r="D276" s="28"/>
      <c r="E276" s="28"/>
      <c r="F276" s="31"/>
      <c r="G276" s="21"/>
      <c r="H276" s="22"/>
      <c r="I276" s="23"/>
      <c r="J276" s="24"/>
      <c r="K276" s="25"/>
      <c r="L276" s="23"/>
      <c r="M276" s="23"/>
      <c r="N276" s="24"/>
      <c r="O276" s="24"/>
      <c r="P276" s="25"/>
      <c r="Q276" s="25"/>
    </row>
    <row r="277" spans="1:17" s="20" customFormat="1" x14ac:dyDescent="0.25">
      <c r="A277" s="9"/>
      <c r="B277" s="28"/>
      <c r="C277" s="28"/>
      <c r="D277" s="28"/>
      <c r="E277" s="28"/>
      <c r="F277" s="31"/>
      <c r="G277" s="21"/>
      <c r="H277" s="22"/>
      <c r="I277" s="23"/>
      <c r="J277" s="24"/>
      <c r="K277" s="25"/>
      <c r="L277" s="23"/>
      <c r="M277" s="23"/>
      <c r="N277" s="24"/>
      <c r="O277" s="24"/>
      <c r="P277" s="25"/>
      <c r="Q277" s="25"/>
    </row>
    <row r="278" spans="1:17" s="20" customFormat="1" x14ac:dyDescent="0.25">
      <c r="A278" s="9"/>
      <c r="B278" s="28"/>
      <c r="C278" s="28"/>
      <c r="D278" s="28"/>
      <c r="E278" s="28"/>
      <c r="F278" s="31"/>
      <c r="G278" s="21"/>
      <c r="H278" s="22"/>
      <c r="I278" s="23"/>
      <c r="J278" s="24"/>
      <c r="K278" s="25"/>
      <c r="L278" s="23"/>
      <c r="M278" s="23"/>
      <c r="N278" s="24"/>
      <c r="O278" s="24"/>
      <c r="P278" s="25"/>
      <c r="Q278" s="25"/>
    </row>
    <row r="279" spans="1:17" s="20" customFormat="1" x14ac:dyDescent="0.25">
      <c r="A279" s="9"/>
      <c r="B279" s="28"/>
      <c r="C279" s="28"/>
      <c r="D279" s="28"/>
      <c r="E279" s="28"/>
      <c r="F279" s="31"/>
      <c r="G279" s="21"/>
      <c r="H279" s="22"/>
      <c r="I279" s="23"/>
      <c r="J279" s="24"/>
      <c r="K279" s="25"/>
      <c r="L279" s="23"/>
      <c r="M279" s="23"/>
      <c r="N279" s="24"/>
      <c r="O279" s="24"/>
      <c r="P279" s="25"/>
      <c r="Q279" s="25"/>
    </row>
    <row r="280" spans="1:17" s="20" customFormat="1" x14ac:dyDescent="0.25">
      <c r="A280" s="9"/>
      <c r="B280" s="28"/>
      <c r="C280" s="28"/>
      <c r="D280" s="28"/>
      <c r="E280" s="28"/>
      <c r="F280" s="31"/>
      <c r="G280" s="21"/>
      <c r="H280" s="22"/>
      <c r="I280" s="23"/>
      <c r="J280" s="24"/>
      <c r="K280" s="25"/>
      <c r="L280" s="23"/>
      <c r="M280" s="23"/>
      <c r="N280" s="24"/>
      <c r="O280" s="24"/>
      <c r="P280" s="25"/>
      <c r="Q280" s="25"/>
    </row>
    <row r="281" spans="1:17" s="20" customFormat="1" x14ac:dyDescent="0.25">
      <c r="A281" s="9"/>
      <c r="B281" s="28"/>
      <c r="C281" s="28"/>
      <c r="D281" s="28"/>
      <c r="E281" s="28"/>
      <c r="F281" s="31"/>
      <c r="G281" s="21"/>
      <c r="H281" s="22"/>
      <c r="I281" s="23"/>
      <c r="J281" s="24"/>
      <c r="K281" s="25"/>
      <c r="L281" s="23"/>
      <c r="M281" s="23"/>
      <c r="N281" s="24"/>
      <c r="O281" s="24"/>
      <c r="P281" s="25"/>
      <c r="Q281" s="25"/>
    </row>
    <row r="282" spans="1:17" s="20" customFormat="1" x14ac:dyDescent="0.25">
      <c r="A282" s="9"/>
      <c r="B282" s="28"/>
      <c r="C282" s="28"/>
      <c r="D282" s="28"/>
      <c r="E282" s="28"/>
      <c r="F282" s="31"/>
      <c r="G282" s="21"/>
      <c r="H282" s="22"/>
      <c r="I282" s="23"/>
      <c r="J282" s="24"/>
      <c r="K282" s="25"/>
      <c r="L282" s="23"/>
      <c r="M282" s="23"/>
      <c r="N282" s="24"/>
      <c r="O282" s="24"/>
      <c r="P282" s="25"/>
      <c r="Q282" s="25"/>
    </row>
    <row r="283" spans="1:17" s="20" customFormat="1" x14ac:dyDescent="0.25">
      <c r="A283" s="9"/>
      <c r="B283" s="28"/>
      <c r="C283" s="28"/>
      <c r="D283" s="28"/>
      <c r="E283" s="28"/>
      <c r="F283" s="31"/>
      <c r="G283" s="21"/>
      <c r="H283" s="22"/>
      <c r="I283" s="23"/>
      <c r="J283" s="24"/>
      <c r="K283" s="25"/>
      <c r="L283" s="23"/>
      <c r="M283" s="23"/>
      <c r="N283" s="24"/>
      <c r="O283" s="24"/>
      <c r="P283" s="25"/>
      <c r="Q283" s="25"/>
    </row>
    <row r="284" spans="1:17" s="20" customFormat="1" x14ac:dyDescent="0.25">
      <c r="A284" s="9"/>
      <c r="B284" s="28"/>
      <c r="C284" s="28"/>
      <c r="D284" s="28"/>
      <c r="E284" s="28"/>
      <c r="F284" s="31"/>
      <c r="G284" s="21"/>
      <c r="H284" s="22"/>
      <c r="I284" s="23"/>
      <c r="J284" s="24"/>
      <c r="K284" s="25"/>
      <c r="L284" s="23"/>
      <c r="M284" s="23"/>
      <c r="N284" s="24"/>
      <c r="O284" s="24"/>
      <c r="P284" s="25"/>
      <c r="Q284" s="25"/>
    </row>
    <row r="285" spans="1:17" s="20" customFormat="1" x14ac:dyDescent="0.25">
      <c r="A285" s="9"/>
      <c r="B285" s="28"/>
      <c r="C285" s="28"/>
      <c r="D285" s="28"/>
      <c r="E285" s="28"/>
      <c r="F285" s="31"/>
      <c r="G285" s="21"/>
      <c r="H285" s="22"/>
      <c r="I285" s="23"/>
      <c r="J285" s="24"/>
      <c r="K285" s="25"/>
      <c r="L285" s="23"/>
      <c r="M285" s="23"/>
      <c r="N285" s="24"/>
      <c r="O285" s="24"/>
      <c r="P285" s="25"/>
      <c r="Q285" s="25"/>
    </row>
    <row r="286" spans="1:17" s="20" customFormat="1" x14ac:dyDescent="0.25">
      <c r="A286" s="9"/>
      <c r="B286" s="28"/>
      <c r="C286" s="28"/>
      <c r="D286" s="28"/>
      <c r="E286" s="28"/>
      <c r="F286" s="31"/>
      <c r="G286" s="21"/>
      <c r="H286" s="22"/>
      <c r="I286" s="23"/>
      <c r="J286" s="24"/>
      <c r="K286" s="25"/>
      <c r="L286" s="23"/>
      <c r="M286" s="23"/>
      <c r="N286" s="24"/>
      <c r="O286" s="24"/>
      <c r="P286" s="25"/>
      <c r="Q286" s="25"/>
    </row>
    <row r="287" spans="1:17" s="20" customFormat="1" x14ac:dyDescent="0.25">
      <c r="A287" s="9"/>
      <c r="B287" s="28"/>
      <c r="C287" s="28"/>
      <c r="D287" s="28"/>
      <c r="E287" s="28"/>
      <c r="F287" s="31"/>
      <c r="G287" s="21"/>
      <c r="H287" s="22"/>
      <c r="I287" s="23"/>
      <c r="J287" s="24"/>
      <c r="K287" s="25"/>
      <c r="L287" s="23"/>
      <c r="M287" s="23"/>
      <c r="N287" s="24"/>
      <c r="O287" s="24"/>
      <c r="P287" s="25"/>
      <c r="Q287" s="25"/>
    </row>
    <row r="288" spans="1:17" s="20" customFormat="1" x14ac:dyDescent="0.25">
      <c r="A288" s="9"/>
      <c r="B288" s="28"/>
      <c r="C288" s="28"/>
      <c r="D288" s="28"/>
      <c r="E288" s="28"/>
      <c r="F288" s="31"/>
      <c r="G288" s="21"/>
      <c r="H288" s="22"/>
      <c r="I288" s="23"/>
      <c r="J288" s="24"/>
      <c r="K288" s="25"/>
      <c r="L288" s="23"/>
      <c r="M288" s="23"/>
      <c r="N288" s="24"/>
      <c r="O288" s="24"/>
      <c r="P288" s="25"/>
      <c r="Q288" s="25"/>
    </row>
    <row r="289" spans="1:17" s="20" customFormat="1" x14ac:dyDescent="0.25">
      <c r="A289" s="9"/>
      <c r="B289" s="28"/>
      <c r="C289" s="28"/>
      <c r="D289" s="28"/>
      <c r="E289" s="28"/>
      <c r="F289" s="31"/>
      <c r="G289" s="21"/>
      <c r="H289" s="22"/>
      <c r="I289" s="23"/>
      <c r="J289" s="24"/>
      <c r="K289" s="25"/>
      <c r="L289" s="23"/>
      <c r="M289" s="23"/>
      <c r="N289" s="24"/>
      <c r="O289" s="24"/>
      <c r="P289" s="25"/>
      <c r="Q289" s="25"/>
    </row>
    <row r="290" spans="1:17" s="20" customFormat="1" x14ac:dyDescent="0.25">
      <c r="A290" s="9"/>
      <c r="B290" s="28"/>
      <c r="C290" s="28"/>
      <c r="D290" s="28"/>
      <c r="E290" s="28"/>
      <c r="F290" s="31"/>
      <c r="G290" s="21"/>
      <c r="H290" s="22"/>
      <c r="I290" s="23"/>
      <c r="J290" s="24"/>
      <c r="K290" s="25"/>
      <c r="L290" s="23"/>
      <c r="M290" s="23"/>
      <c r="N290" s="24"/>
      <c r="O290" s="24"/>
      <c r="P290" s="25"/>
      <c r="Q290" s="25"/>
    </row>
    <row r="291" spans="1:17" s="20" customFormat="1" x14ac:dyDescent="0.25">
      <c r="A291" s="9"/>
      <c r="B291" s="28"/>
      <c r="C291" s="28"/>
      <c r="D291" s="28"/>
      <c r="E291" s="28"/>
      <c r="F291" s="31"/>
      <c r="G291" s="21"/>
      <c r="H291" s="22"/>
      <c r="I291" s="23"/>
      <c r="J291" s="24"/>
      <c r="K291" s="25"/>
      <c r="L291" s="23"/>
      <c r="M291" s="23"/>
      <c r="N291" s="24"/>
      <c r="O291" s="24"/>
      <c r="P291" s="25"/>
      <c r="Q291" s="25"/>
    </row>
    <row r="292" spans="1:17" s="20" customFormat="1" x14ac:dyDescent="0.25">
      <c r="A292" s="9"/>
      <c r="B292" s="28"/>
      <c r="C292" s="28"/>
      <c r="D292" s="28"/>
      <c r="E292" s="28"/>
      <c r="F292" s="31"/>
      <c r="G292" s="21"/>
      <c r="H292" s="22"/>
      <c r="I292" s="23"/>
      <c r="J292" s="24"/>
      <c r="K292" s="25"/>
      <c r="L292" s="23"/>
      <c r="M292" s="23"/>
      <c r="N292" s="24"/>
      <c r="O292" s="24"/>
      <c r="P292" s="25"/>
      <c r="Q292" s="25"/>
    </row>
    <row r="293" spans="1:17" s="20" customFormat="1" x14ac:dyDescent="0.25">
      <c r="A293" s="9"/>
      <c r="B293" s="28"/>
      <c r="C293" s="28"/>
      <c r="D293" s="28"/>
      <c r="E293" s="28"/>
      <c r="F293" s="31"/>
      <c r="G293" s="21"/>
      <c r="H293" s="22"/>
      <c r="I293" s="23"/>
      <c r="J293" s="24"/>
      <c r="K293" s="25"/>
      <c r="L293" s="23"/>
      <c r="M293" s="23"/>
      <c r="N293" s="24"/>
      <c r="O293" s="24"/>
      <c r="P293" s="25"/>
      <c r="Q293" s="25"/>
    </row>
    <row r="294" spans="1:17" s="20" customFormat="1" x14ac:dyDescent="0.25">
      <c r="A294" s="9"/>
      <c r="B294" s="28"/>
      <c r="C294" s="28"/>
      <c r="D294" s="28"/>
      <c r="E294" s="28"/>
      <c r="F294" s="31"/>
      <c r="G294" s="21"/>
      <c r="H294" s="22"/>
      <c r="I294" s="23"/>
      <c r="J294" s="24"/>
      <c r="K294" s="25"/>
      <c r="L294" s="23"/>
      <c r="M294" s="23"/>
      <c r="N294" s="24"/>
      <c r="O294" s="24"/>
      <c r="P294" s="25"/>
      <c r="Q294" s="25"/>
    </row>
    <row r="295" spans="1:17" s="20" customFormat="1" x14ac:dyDescent="0.25">
      <c r="A295" s="9"/>
      <c r="B295" s="28"/>
      <c r="C295" s="28"/>
      <c r="D295" s="28"/>
      <c r="E295" s="28"/>
      <c r="F295" s="31"/>
      <c r="G295" s="21"/>
      <c r="H295" s="22"/>
      <c r="I295" s="23"/>
      <c r="J295" s="24"/>
      <c r="K295" s="25"/>
      <c r="L295" s="23"/>
      <c r="M295" s="23"/>
      <c r="N295" s="24"/>
      <c r="O295" s="24"/>
      <c r="P295" s="25"/>
      <c r="Q295" s="25"/>
    </row>
    <row r="296" spans="1:17" s="20" customFormat="1" x14ac:dyDescent="0.25">
      <c r="A296" s="9"/>
      <c r="B296" s="28"/>
      <c r="C296" s="28"/>
      <c r="D296" s="28"/>
      <c r="E296" s="28"/>
      <c r="F296" s="31"/>
      <c r="G296" s="21"/>
      <c r="H296" s="22"/>
      <c r="I296" s="23"/>
      <c r="J296" s="24"/>
      <c r="K296" s="25"/>
      <c r="L296" s="23"/>
      <c r="M296" s="23"/>
      <c r="N296" s="24"/>
      <c r="O296" s="24"/>
      <c r="P296" s="25"/>
      <c r="Q296" s="25"/>
    </row>
    <row r="297" spans="1:17" s="20" customFormat="1" x14ac:dyDescent="0.25">
      <c r="A297" s="9"/>
      <c r="B297" s="28"/>
      <c r="C297" s="28"/>
      <c r="D297" s="28"/>
      <c r="E297" s="28"/>
      <c r="F297" s="31"/>
      <c r="G297" s="21"/>
      <c r="H297" s="22"/>
      <c r="I297" s="23"/>
      <c r="J297" s="24"/>
      <c r="K297" s="25"/>
      <c r="L297" s="23"/>
      <c r="M297" s="23"/>
      <c r="N297" s="24"/>
      <c r="O297" s="24"/>
      <c r="P297" s="25"/>
      <c r="Q297" s="25"/>
    </row>
    <row r="298" spans="1:17" s="20" customFormat="1" x14ac:dyDescent="0.25">
      <c r="A298" s="9"/>
      <c r="B298" s="28"/>
      <c r="C298" s="28"/>
      <c r="D298" s="28"/>
      <c r="E298" s="28"/>
      <c r="F298" s="31"/>
      <c r="G298" s="21"/>
      <c r="H298" s="22"/>
      <c r="I298" s="23"/>
      <c r="J298" s="24"/>
      <c r="K298" s="25"/>
      <c r="L298" s="23"/>
      <c r="M298" s="23"/>
      <c r="N298" s="24"/>
      <c r="O298" s="24"/>
      <c r="P298" s="25"/>
      <c r="Q298" s="25"/>
    </row>
    <row r="299" spans="1:17" s="20" customFormat="1" x14ac:dyDescent="0.25">
      <c r="A299" s="9"/>
      <c r="B299" s="28"/>
      <c r="C299" s="28"/>
      <c r="D299" s="28"/>
      <c r="E299" s="28"/>
      <c r="F299" s="31"/>
      <c r="G299" s="21"/>
      <c r="H299" s="22"/>
      <c r="I299" s="23"/>
      <c r="J299" s="24"/>
      <c r="K299" s="25"/>
      <c r="L299" s="23"/>
      <c r="M299" s="23"/>
      <c r="N299" s="24"/>
      <c r="O299" s="24"/>
      <c r="P299" s="25"/>
      <c r="Q299" s="25"/>
    </row>
    <row r="300" spans="1:17" s="20" customFormat="1" x14ac:dyDescent="0.25">
      <c r="A300" s="9"/>
      <c r="B300" s="28"/>
      <c r="C300" s="28"/>
      <c r="D300" s="28"/>
      <c r="E300" s="28"/>
      <c r="F300" s="31"/>
      <c r="G300" s="21"/>
      <c r="H300" s="22"/>
      <c r="I300" s="23"/>
      <c r="J300" s="24"/>
      <c r="K300" s="25"/>
      <c r="L300" s="23"/>
      <c r="M300" s="23"/>
      <c r="N300" s="24"/>
      <c r="O300" s="24"/>
      <c r="P300" s="25"/>
      <c r="Q300" s="25"/>
    </row>
    <row r="301" spans="1:17" s="20" customFormat="1" x14ac:dyDescent="0.25">
      <c r="A301" s="9"/>
      <c r="B301" s="28"/>
      <c r="C301" s="28"/>
      <c r="D301" s="28"/>
      <c r="E301" s="28"/>
      <c r="F301" s="31"/>
      <c r="G301" s="21"/>
      <c r="H301" s="22"/>
      <c r="I301" s="23"/>
      <c r="J301" s="24"/>
      <c r="K301" s="25"/>
      <c r="L301" s="23"/>
      <c r="M301" s="23"/>
      <c r="N301" s="24"/>
      <c r="O301" s="24"/>
      <c r="P301" s="25"/>
      <c r="Q301" s="25"/>
    </row>
    <row r="302" spans="1:17" s="20" customFormat="1" x14ac:dyDescent="0.25">
      <c r="A302" s="9"/>
      <c r="B302" s="28"/>
      <c r="C302" s="28"/>
      <c r="D302" s="28"/>
      <c r="E302" s="28"/>
      <c r="F302" s="31"/>
      <c r="G302" s="21"/>
      <c r="H302" s="22"/>
      <c r="I302" s="23"/>
      <c r="J302" s="24"/>
      <c r="K302" s="25"/>
      <c r="L302" s="23"/>
      <c r="M302" s="23"/>
      <c r="N302" s="24"/>
      <c r="O302" s="24"/>
      <c r="P302" s="25"/>
      <c r="Q302" s="25"/>
    </row>
    <row r="303" spans="1:17" s="20" customFormat="1" x14ac:dyDescent="0.25">
      <c r="A303" s="9"/>
      <c r="B303" s="28"/>
      <c r="C303" s="28"/>
      <c r="D303" s="28"/>
      <c r="E303" s="28"/>
      <c r="F303" s="31"/>
      <c r="G303" s="21"/>
      <c r="H303" s="22"/>
      <c r="I303" s="23"/>
      <c r="J303" s="24"/>
      <c r="K303" s="25"/>
      <c r="L303" s="23"/>
      <c r="M303" s="23"/>
      <c r="N303" s="24"/>
      <c r="O303" s="24"/>
      <c r="P303" s="25"/>
      <c r="Q303" s="25"/>
    </row>
    <row r="304" spans="1:17" s="20" customFormat="1" x14ac:dyDescent="0.25">
      <c r="A304" s="9"/>
      <c r="B304" s="28"/>
      <c r="C304" s="28"/>
      <c r="D304" s="28"/>
      <c r="E304" s="28"/>
      <c r="F304" s="31"/>
      <c r="G304" s="21"/>
      <c r="H304" s="22"/>
      <c r="I304" s="23"/>
      <c r="J304" s="24"/>
      <c r="K304" s="25"/>
      <c r="L304" s="23"/>
      <c r="M304" s="23"/>
      <c r="N304" s="24"/>
      <c r="O304" s="24"/>
      <c r="P304" s="25"/>
      <c r="Q304" s="25"/>
    </row>
    <row r="305" spans="1:17" s="20" customFormat="1" x14ac:dyDescent="0.25">
      <c r="A305" s="9"/>
      <c r="B305" s="28"/>
      <c r="C305" s="28"/>
      <c r="D305" s="28"/>
      <c r="E305" s="28"/>
      <c r="F305" s="31"/>
      <c r="G305" s="21"/>
      <c r="H305" s="22"/>
      <c r="I305" s="23"/>
      <c r="J305" s="24"/>
      <c r="K305" s="25"/>
      <c r="L305" s="23"/>
      <c r="M305" s="23"/>
      <c r="N305" s="24"/>
      <c r="O305" s="24"/>
      <c r="P305" s="25"/>
      <c r="Q305" s="25"/>
    </row>
    <row r="306" spans="1:17" s="20" customFormat="1" x14ac:dyDescent="0.25">
      <c r="A306" s="9"/>
      <c r="B306" s="28"/>
      <c r="C306" s="28"/>
      <c r="D306" s="28"/>
      <c r="E306" s="28"/>
      <c r="F306" s="31"/>
      <c r="G306" s="21"/>
      <c r="H306" s="22"/>
      <c r="I306" s="23"/>
      <c r="J306" s="24"/>
      <c r="K306" s="25"/>
      <c r="L306" s="23"/>
      <c r="M306" s="23"/>
      <c r="N306" s="24"/>
      <c r="O306" s="24"/>
      <c r="P306" s="25"/>
      <c r="Q306" s="25"/>
    </row>
    <row r="307" spans="1:17" s="20" customFormat="1" x14ac:dyDescent="0.25">
      <c r="A307" s="9"/>
      <c r="B307" s="28"/>
      <c r="C307" s="28"/>
      <c r="D307" s="28"/>
      <c r="E307" s="28"/>
      <c r="F307" s="31"/>
      <c r="G307" s="21"/>
      <c r="H307" s="22"/>
      <c r="I307" s="23"/>
      <c r="J307" s="24"/>
      <c r="K307" s="25"/>
      <c r="L307" s="23"/>
      <c r="M307" s="23"/>
      <c r="N307" s="24"/>
      <c r="O307" s="24"/>
      <c r="P307" s="25"/>
      <c r="Q307" s="25"/>
    </row>
    <row r="308" spans="1:17" s="20" customFormat="1" x14ac:dyDescent="0.25">
      <c r="A308" s="9"/>
      <c r="B308" s="28"/>
      <c r="C308" s="28"/>
      <c r="D308" s="28"/>
      <c r="E308" s="28"/>
      <c r="F308" s="31"/>
      <c r="G308" s="21"/>
      <c r="H308" s="22"/>
      <c r="I308" s="23"/>
      <c r="J308" s="24"/>
      <c r="K308" s="25"/>
      <c r="L308" s="23"/>
      <c r="M308" s="23"/>
      <c r="N308" s="24"/>
      <c r="O308" s="24"/>
      <c r="P308" s="25"/>
      <c r="Q308" s="25"/>
    </row>
    <row r="309" spans="1:17" s="20" customFormat="1" x14ac:dyDescent="0.25">
      <c r="A309" s="9"/>
      <c r="B309" s="28"/>
      <c r="C309" s="28"/>
      <c r="D309" s="28"/>
      <c r="E309" s="28"/>
      <c r="F309" s="31"/>
      <c r="G309" s="21"/>
      <c r="H309" s="22"/>
      <c r="I309" s="23"/>
      <c r="J309" s="24"/>
      <c r="K309" s="25"/>
      <c r="L309" s="23"/>
      <c r="M309" s="23"/>
      <c r="N309" s="24"/>
      <c r="O309" s="24"/>
      <c r="P309" s="25"/>
      <c r="Q309" s="25"/>
    </row>
    <row r="310" spans="1:17" s="20" customFormat="1" x14ac:dyDescent="0.25">
      <c r="A310" s="9"/>
      <c r="B310" s="28"/>
      <c r="C310" s="28"/>
      <c r="D310" s="28"/>
      <c r="E310" s="28"/>
      <c r="F310" s="31"/>
      <c r="G310" s="21"/>
      <c r="H310" s="22"/>
      <c r="I310" s="23"/>
      <c r="J310" s="24"/>
      <c r="K310" s="25"/>
      <c r="L310" s="23"/>
      <c r="M310" s="23"/>
      <c r="N310" s="24"/>
      <c r="O310" s="24"/>
      <c r="P310" s="25"/>
      <c r="Q310" s="25"/>
    </row>
    <row r="311" spans="1:17" s="20" customFormat="1" x14ac:dyDescent="0.25">
      <c r="A311" s="9"/>
      <c r="B311" s="28"/>
      <c r="C311" s="28"/>
      <c r="D311" s="28"/>
      <c r="E311" s="28"/>
      <c r="F311" s="31"/>
      <c r="G311" s="21"/>
      <c r="H311" s="22"/>
      <c r="I311" s="23"/>
      <c r="J311" s="24"/>
      <c r="K311" s="25"/>
      <c r="L311" s="23"/>
      <c r="M311" s="23"/>
      <c r="N311" s="24"/>
      <c r="O311" s="24"/>
      <c r="P311" s="25"/>
      <c r="Q311" s="25"/>
    </row>
    <row r="312" spans="1:17" s="20" customFormat="1" x14ac:dyDescent="0.25">
      <c r="A312" s="9"/>
      <c r="B312" s="28"/>
      <c r="C312" s="28"/>
      <c r="D312" s="28"/>
      <c r="E312" s="28"/>
      <c r="F312" s="31"/>
      <c r="G312" s="21"/>
      <c r="H312" s="22"/>
      <c r="I312" s="23"/>
      <c r="J312" s="24"/>
      <c r="K312" s="25"/>
      <c r="L312" s="23"/>
      <c r="M312" s="23"/>
      <c r="N312" s="24"/>
      <c r="O312" s="24"/>
      <c r="P312" s="25"/>
      <c r="Q312" s="25"/>
    </row>
    <row r="313" spans="1:17" s="20" customFormat="1" x14ac:dyDescent="0.25">
      <c r="A313" s="9"/>
      <c r="B313" s="28"/>
      <c r="C313" s="28"/>
      <c r="D313" s="28"/>
      <c r="E313" s="28"/>
      <c r="F313" s="31"/>
      <c r="G313" s="21"/>
      <c r="H313" s="22"/>
      <c r="I313" s="23"/>
      <c r="J313" s="24"/>
      <c r="K313" s="25"/>
      <c r="L313" s="23"/>
      <c r="M313" s="23"/>
      <c r="N313" s="24"/>
      <c r="O313" s="24"/>
      <c r="P313" s="25"/>
      <c r="Q313" s="25"/>
    </row>
    <row r="314" spans="1:17" s="20" customFormat="1" x14ac:dyDescent="0.25">
      <c r="A314" s="9"/>
      <c r="B314" s="28"/>
      <c r="C314" s="28"/>
      <c r="D314" s="28"/>
      <c r="E314" s="28"/>
      <c r="F314" s="31"/>
      <c r="G314" s="21"/>
      <c r="H314" s="22"/>
      <c r="I314" s="23"/>
      <c r="J314" s="24"/>
      <c r="K314" s="25"/>
      <c r="L314" s="23"/>
      <c r="M314" s="23"/>
      <c r="N314" s="24"/>
      <c r="O314" s="24"/>
      <c r="P314" s="25"/>
      <c r="Q314" s="25"/>
    </row>
    <row r="315" spans="1:17" s="20" customFormat="1" x14ac:dyDescent="0.25">
      <c r="A315" s="9"/>
      <c r="B315" s="28"/>
      <c r="C315" s="28"/>
      <c r="D315" s="28"/>
      <c r="E315" s="28"/>
      <c r="F315" s="31"/>
      <c r="G315" s="21"/>
      <c r="H315" s="22"/>
      <c r="I315" s="23"/>
      <c r="J315" s="24"/>
      <c r="K315" s="25"/>
      <c r="L315" s="23"/>
      <c r="M315" s="23"/>
      <c r="N315" s="24"/>
      <c r="O315" s="24"/>
      <c r="P315" s="25"/>
      <c r="Q315" s="25"/>
    </row>
    <row r="316" spans="1:17" s="20" customFormat="1" x14ac:dyDescent="0.25">
      <c r="A316" s="9"/>
      <c r="B316" s="28"/>
      <c r="C316" s="28"/>
      <c r="D316" s="28"/>
      <c r="E316" s="28"/>
      <c r="F316" s="31"/>
      <c r="G316" s="21"/>
      <c r="H316" s="22"/>
      <c r="I316" s="23"/>
      <c r="J316" s="24"/>
      <c r="K316" s="25"/>
      <c r="L316" s="23"/>
      <c r="M316" s="23"/>
      <c r="N316" s="24"/>
      <c r="O316" s="24"/>
      <c r="P316" s="25"/>
      <c r="Q316" s="25"/>
    </row>
    <row r="317" spans="1:17" s="20" customFormat="1" x14ac:dyDescent="0.25">
      <c r="A317" s="9"/>
      <c r="B317" s="28"/>
      <c r="C317" s="28"/>
      <c r="D317" s="28"/>
      <c r="E317" s="28"/>
      <c r="F317" s="31"/>
      <c r="G317" s="21"/>
      <c r="H317" s="22"/>
      <c r="I317" s="23"/>
      <c r="J317" s="24"/>
      <c r="K317" s="25"/>
      <c r="L317" s="23"/>
      <c r="M317" s="23"/>
      <c r="N317" s="24"/>
      <c r="O317" s="24"/>
      <c r="P317" s="25"/>
      <c r="Q317" s="25"/>
    </row>
    <row r="318" spans="1:17" s="20" customFormat="1" x14ac:dyDescent="0.25">
      <c r="A318" s="9"/>
      <c r="B318" s="28"/>
      <c r="C318" s="28"/>
      <c r="D318" s="28"/>
      <c r="E318" s="28"/>
      <c r="F318" s="31"/>
      <c r="G318" s="21"/>
      <c r="H318" s="22"/>
      <c r="I318" s="23"/>
      <c r="J318" s="24"/>
      <c r="K318" s="25"/>
      <c r="L318" s="23"/>
      <c r="M318" s="23"/>
      <c r="N318" s="24"/>
      <c r="O318" s="24"/>
      <c r="P318" s="25"/>
      <c r="Q318" s="25"/>
    </row>
    <row r="319" spans="1:17" s="20" customFormat="1" x14ac:dyDescent="0.25">
      <c r="A319" s="9"/>
      <c r="B319" s="28"/>
      <c r="C319" s="28"/>
      <c r="D319" s="28"/>
      <c r="E319" s="28"/>
      <c r="F319" s="31"/>
      <c r="G319" s="21"/>
      <c r="H319" s="22"/>
      <c r="I319" s="23"/>
      <c r="J319" s="24"/>
      <c r="K319" s="25"/>
      <c r="L319" s="23"/>
      <c r="M319" s="23"/>
      <c r="N319" s="24"/>
      <c r="O319" s="24"/>
      <c r="P319" s="25"/>
      <c r="Q319" s="25"/>
    </row>
    <row r="320" spans="1:17" s="20" customFormat="1" x14ac:dyDescent="0.25">
      <c r="A320" s="9"/>
      <c r="B320" s="28"/>
      <c r="C320" s="28"/>
      <c r="D320" s="28"/>
      <c r="E320" s="28"/>
      <c r="F320" s="31"/>
      <c r="G320" s="21"/>
      <c r="H320" s="22"/>
      <c r="I320" s="23"/>
      <c r="J320" s="24"/>
      <c r="K320" s="25"/>
      <c r="L320" s="23"/>
      <c r="M320" s="23"/>
      <c r="N320" s="24"/>
      <c r="O320" s="24"/>
      <c r="P320" s="25"/>
      <c r="Q320" s="25"/>
    </row>
    <row r="321" spans="1:17" s="20" customFormat="1" x14ac:dyDescent="0.25">
      <c r="A321" s="9"/>
      <c r="B321" s="28"/>
      <c r="C321" s="28"/>
      <c r="D321" s="28"/>
      <c r="E321" s="28"/>
      <c r="F321" s="31"/>
      <c r="G321" s="21"/>
      <c r="H321" s="22"/>
      <c r="I321" s="23"/>
      <c r="J321" s="24"/>
      <c r="K321" s="25"/>
      <c r="L321" s="23"/>
      <c r="M321" s="23"/>
      <c r="N321" s="24"/>
      <c r="O321" s="24"/>
      <c r="P321" s="25"/>
      <c r="Q321" s="25"/>
    </row>
    <row r="322" spans="1:17" s="20" customFormat="1" x14ac:dyDescent="0.25">
      <c r="A322" s="9"/>
      <c r="B322" s="28"/>
      <c r="C322" s="28"/>
      <c r="D322" s="28"/>
      <c r="E322" s="28"/>
      <c r="F322" s="31"/>
      <c r="G322" s="21"/>
      <c r="H322" s="22"/>
      <c r="I322" s="23"/>
      <c r="J322" s="24"/>
      <c r="K322" s="25"/>
      <c r="L322" s="23"/>
      <c r="M322" s="23"/>
      <c r="N322" s="24"/>
      <c r="O322" s="24"/>
      <c r="P322" s="25"/>
      <c r="Q322" s="25"/>
    </row>
    <row r="323" spans="1:17" s="20" customFormat="1" x14ac:dyDescent="0.25">
      <c r="A323" s="9"/>
      <c r="B323" s="28"/>
      <c r="C323" s="28"/>
      <c r="D323" s="28"/>
      <c r="E323" s="28"/>
      <c r="F323" s="31"/>
      <c r="G323" s="21"/>
      <c r="H323" s="22"/>
      <c r="I323" s="23"/>
      <c r="J323" s="24"/>
      <c r="K323" s="25"/>
      <c r="L323" s="23"/>
      <c r="M323" s="23"/>
      <c r="N323" s="24"/>
      <c r="O323" s="24"/>
      <c r="P323" s="25"/>
      <c r="Q323" s="25"/>
    </row>
    <row r="324" spans="1:17" s="20" customFormat="1" x14ac:dyDescent="0.25">
      <c r="A324" s="9"/>
      <c r="B324" s="28"/>
      <c r="C324" s="28"/>
      <c r="D324" s="28"/>
      <c r="E324" s="28"/>
      <c r="F324" s="31"/>
      <c r="G324" s="21"/>
      <c r="H324" s="22"/>
      <c r="I324" s="23"/>
      <c r="J324" s="24"/>
      <c r="K324" s="25"/>
      <c r="L324" s="23"/>
      <c r="M324" s="23"/>
      <c r="N324" s="24"/>
      <c r="O324" s="24"/>
      <c r="P324" s="25"/>
      <c r="Q324" s="25"/>
    </row>
    <row r="325" spans="1:17" s="20" customFormat="1" x14ac:dyDescent="0.25">
      <c r="A325" s="9"/>
      <c r="B325" s="28"/>
      <c r="C325" s="28"/>
      <c r="D325" s="28"/>
      <c r="E325" s="28"/>
      <c r="F325" s="31"/>
      <c r="G325" s="21"/>
      <c r="H325" s="22"/>
      <c r="I325" s="23"/>
      <c r="J325" s="24"/>
      <c r="K325" s="25"/>
      <c r="L325" s="23"/>
      <c r="M325" s="23"/>
      <c r="N325" s="24"/>
      <c r="O325" s="24"/>
      <c r="P325" s="25"/>
      <c r="Q325" s="25"/>
    </row>
    <row r="326" spans="1:17" s="20" customFormat="1" x14ac:dyDescent="0.25">
      <c r="A326" s="9"/>
      <c r="B326" s="28"/>
      <c r="C326" s="28"/>
      <c r="D326" s="28"/>
      <c r="E326" s="28"/>
      <c r="F326" s="31"/>
      <c r="G326" s="21"/>
      <c r="H326" s="22"/>
      <c r="I326" s="23"/>
      <c r="J326" s="24"/>
      <c r="K326" s="25"/>
      <c r="L326" s="23"/>
      <c r="M326" s="23"/>
      <c r="N326" s="24"/>
      <c r="O326" s="24"/>
      <c r="P326" s="25"/>
      <c r="Q326" s="25"/>
    </row>
    <row r="327" spans="1:17" s="20" customFormat="1" x14ac:dyDescent="0.25">
      <c r="A327" s="9"/>
      <c r="B327" s="28"/>
      <c r="C327" s="28"/>
      <c r="D327" s="28"/>
      <c r="E327" s="28"/>
      <c r="F327" s="31"/>
      <c r="G327" s="21"/>
      <c r="H327" s="22"/>
      <c r="I327" s="23"/>
      <c r="J327" s="24"/>
      <c r="K327" s="25"/>
      <c r="L327" s="23"/>
      <c r="M327" s="23"/>
      <c r="N327" s="24"/>
      <c r="O327" s="24"/>
      <c r="P327" s="25"/>
      <c r="Q327" s="25"/>
    </row>
    <row r="328" spans="1:17" s="20" customFormat="1" x14ac:dyDescent="0.25">
      <c r="A328" s="9"/>
      <c r="B328" s="28"/>
      <c r="C328" s="28"/>
      <c r="D328" s="28"/>
      <c r="E328" s="28"/>
      <c r="F328" s="31"/>
      <c r="G328" s="21"/>
      <c r="H328" s="22"/>
      <c r="I328" s="23"/>
      <c r="J328" s="24"/>
      <c r="K328" s="25"/>
      <c r="L328" s="23"/>
      <c r="M328" s="23"/>
      <c r="N328" s="24"/>
      <c r="O328" s="24"/>
      <c r="P328" s="25"/>
      <c r="Q328" s="25"/>
    </row>
    <row r="329" spans="1:17" s="20" customFormat="1" x14ac:dyDescent="0.25">
      <c r="A329" s="9"/>
      <c r="B329" s="28"/>
      <c r="C329" s="28"/>
      <c r="D329" s="28"/>
      <c r="E329" s="28"/>
      <c r="F329" s="31"/>
      <c r="G329" s="21"/>
      <c r="H329" s="22"/>
      <c r="I329" s="23"/>
      <c r="J329" s="24"/>
      <c r="K329" s="25"/>
      <c r="L329" s="23"/>
      <c r="M329" s="23"/>
      <c r="N329" s="24"/>
      <c r="O329" s="24"/>
      <c r="P329" s="25"/>
      <c r="Q329" s="25"/>
    </row>
    <row r="330" spans="1:17" s="20" customFormat="1" x14ac:dyDescent="0.25">
      <c r="A330" s="9"/>
      <c r="B330" s="28"/>
      <c r="C330" s="28"/>
      <c r="D330" s="28"/>
      <c r="E330" s="28"/>
      <c r="F330" s="31"/>
      <c r="G330" s="21"/>
      <c r="H330" s="22"/>
      <c r="I330" s="23"/>
      <c r="J330" s="24"/>
      <c r="K330" s="25"/>
      <c r="L330" s="23"/>
      <c r="M330" s="23"/>
      <c r="N330" s="24"/>
      <c r="O330" s="24"/>
      <c r="P330" s="25"/>
      <c r="Q330" s="25"/>
    </row>
    <row r="331" spans="1:17" s="20" customFormat="1" x14ac:dyDescent="0.25">
      <c r="A331" s="9"/>
      <c r="B331" s="28"/>
      <c r="C331" s="28"/>
      <c r="D331" s="28"/>
      <c r="E331" s="28"/>
      <c r="F331" s="31"/>
      <c r="G331" s="21"/>
      <c r="H331" s="22"/>
      <c r="I331" s="23"/>
      <c r="J331" s="24"/>
      <c r="K331" s="25"/>
      <c r="L331" s="23"/>
      <c r="M331" s="23"/>
      <c r="N331" s="24"/>
      <c r="O331" s="24"/>
      <c r="P331" s="25"/>
      <c r="Q331" s="25"/>
    </row>
    <row r="332" spans="1:17" s="20" customFormat="1" x14ac:dyDescent="0.25">
      <c r="A332" s="9"/>
      <c r="B332" s="28"/>
      <c r="C332" s="28"/>
      <c r="D332" s="28"/>
      <c r="E332" s="28"/>
      <c r="F332" s="31"/>
      <c r="G332" s="21"/>
      <c r="H332" s="22"/>
      <c r="I332" s="23"/>
      <c r="J332" s="24"/>
      <c r="K332" s="25"/>
      <c r="L332" s="23"/>
      <c r="M332" s="23"/>
      <c r="N332" s="24"/>
      <c r="O332" s="24"/>
      <c r="P332" s="25"/>
      <c r="Q332" s="25"/>
    </row>
    <row r="333" spans="1:17" s="20" customFormat="1" x14ac:dyDescent="0.25">
      <c r="A333" s="9"/>
      <c r="B333" s="28"/>
      <c r="C333" s="28"/>
      <c r="D333" s="28"/>
      <c r="E333" s="28"/>
      <c r="F333" s="31"/>
      <c r="G333" s="21"/>
      <c r="H333" s="22"/>
      <c r="I333" s="23"/>
      <c r="J333" s="24"/>
      <c r="K333" s="25"/>
      <c r="L333" s="23"/>
      <c r="M333" s="23"/>
      <c r="N333" s="24"/>
      <c r="O333" s="24"/>
      <c r="P333" s="25"/>
      <c r="Q333" s="25"/>
    </row>
    <row r="334" spans="1:17" s="20" customFormat="1" x14ac:dyDescent="0.25">
      <c r="A334" s="9"/>
      <c r="B334" s="28"/>
      <c r="C334" s="28"/>
      <c r="D334" s="28"/>
      <c r="E334" s="28"/>
      <c r="F334" s="31"/>
      <c r="G334" s="21"/>
      <c r="H334" s="22"/>
      <c r="I334" s="23"/>
      <c r="J334" s="24"/>
      <c r="K334" s="25"/>
      <c r="L334" s="23"/>
      <c r="M334" s="23"/>
      <c r="N334" s="24"/>
      <c r="O334" s="24"/>
      <c r="P334" s="25"/>
      <c r="Q334" s="25"/>
    </row>
    <row r="335" spans="1:17" s="20" customFormat="1" x14ac:dyDescent="0.25">
      <c r="A335" s="9"/>
      <c r="B335" s="28"/>
      <c r="C335" s="28"/>
      <c r="D335" s="28"/>
      <c r="E335" s="28"/>
      <c r="F335" s="31"/>
      <c r="G335" s="21"/>
      <c r="H335" s="22"/>
      <c r="I335" s="23"/>
      <c r="J335" s="24"/>
      <c r="K335" s="25"/>
      <c r="L335" s="23"/>
      <c r="M335" s="23"/>
      <c r="N335" s="24"/>
      <c r="O335" s="24"/>
      <c r="P335" s="25"/>
      <c r="Q335" s="25"/>
    </row>
    <row r="336" spans="1:17" s="20" customFormat="1" x14ac:dyDescent="0.25">
      <c r="A336" s="9"/>
      <c r="B336" s="28"/>
      <c r="C336" s="28"/>
      <c r="D336" s="28"/>
      <c r="E336" s="28"/>
      <c r="F336" s="31"/>
      <c r="G336" s="21"/>
      <c r="H336" s="22"/>
      <c r="I336" s="23"/>
      <c r="J336" s="24"/>
      <c r="K336" s="25"/>
      <c r="L336" s="23"/>
      <c r="M336" s="23"/>
      <c r="N336" s="24"/>
      <c r="O336" s="24"/>
      <c r="P336" s="25"/>
      <c r="Q336" s="25"/>
    </row>
    <row r="337" spans="1:17" s="20" customFormat="1" x14ac:dyDescent="0.25">
      <c r="A337" s="9"/>
      <c r="B337" s="28"/>
      <c r="C337" s="28"/>
      <c r="D337" s="28"/>
      <c r="E337" s="28"/>
      <c r="F337" s="31"/>
      <c r="G337" s="21"/>
      <c r="H337" s="22"/>
      <c r="I337" s="23"/>
      <c r="J337" s="24"/>
      <c r="K337" s="25"/>
      <c r="L337" s="23"/>
      <c r="M337" s="23"/>
      <c r="N337" s="24"/>
      <c r="O337" s="24"/>
      <c r="P337" s="25"/>
      <c r="Q337" s="25"/>
    </row>
    <row r="338" spans="1:17" s="20" customFormat="1" x14ac:dyDescent="0.25">
      <c r="A338" s="9"/>
      <c r="B338" s="28"/>
      <c r="C338" s="28"/>
      <c r="D338" s="28"/>
      <c r="E338" s="28"/>
      <c r="F338" s="31"/>
      <c r="G338" s="21"/>
      <c r="H338" s="22"/>
      <c r="I338" s="23"/>
      <c r="J338" s="24"/>
      <c r="K338" s="25"/>
      <c r="L338" s="23"/>
      <c r="M338" s="23"/>
      <c r="N338" s="24"/>
      <c r="O338" s="24"/>
      <c r="P338" s="25"/>
      <c r="Q338" s="25"/>
    </row>
    <row r="339" spans="1:17" s="20" customFormat="1" x14ac:dyDescent="0.25">
      <c r="A339" s="9"/>
      <c r="B339" s="28"/>
      <c r="C339" s="28"/>
      <c r="D339" s="28"/>
      <c r="E339" s="28"/>
      <c r="F339" s="31"/>
      <c r="G339" s="21"/>
      <c r="H339" s="22"/>
      <c r="I339" s="23"/>
      <c r="J339" s="24"/>
      <c r="K339" s="25"/>
      <c r="L339" s="23"/>
      <c r="M339" s="23"/>
      <c r="N339" s="24"/>
      <c r="O339" s="24"/>
      <c r="P339" s="25"/>
      <c r="Q339" s="25"/>
    </row>
    <row r="340" spans="1:17" s="20" customFormat="1" x14ac:dyDescent="0.25">
      <c r="A340" s="9"/>
      <c r="B340" s="28"/>
      <c r="C340" s="28"/>
      <c r="D340" s="28"/>
      <c r="E340" s="28"/>
      <c r="F340" s="31"/>
      <c r="G340" s="21"/>
      <c r="H340" s="22"/>
      <c r="I340" s="23"/>
      <c r="J340" s="24"/>
      <c r="K340" s="25"/>
      <c r="L340" s="23"/>
      <c r="M340" s="23"/>
      <c r="N340" s="24"/>
      <c r="O340" s="24"/>
      <c r="P340" s="25"/>
      <c r="Q340" s="25"/>
    </row>
    <row r="341" spans="1:17" s="20" customFormat="1" x14ac:dyDescent="0.25">
      <c r="A341" s="9"/>
      <c r="B341" s="28"/>
      <c r="C341" s="28"/>
      <c r="D341" s="28"/>
      <c r="E341" s="28"/>
      <c r="F341" s="31"/>
      <c r="G341" s="21"/>
      <c r="H341" s="22"/>
      <c r="I341" s="23"/>
      <c r="J341" s="24"/>
      <c r="K341" s="25"/>
      <c r="L341" s="23"/>
      <c r="M341" s="23"/>
      <c r="N341" s="24"/>
      <c r="O341" s="24"/>
      <c r="P341" s="25"/>
      <c r="Q341" s="25"/>
    </row>
    <row r="342" spans="1:17" s="20" customFormat="1" x14ac:dyDescent="0.25">
      <c r="A342" s="9"/>
      <c r="B342" s="28"/>
      <c r="C342" s="28"/>
      <c r="D342" s="28"/>
      <c r="E342" s="28"/>
      <c r="F342" s="31"/>
      <c r="G342" s="21"/>
      <c r="H342" s="22"/>
      <c r="I342" s="23"/>
      <c r="J342" s="24"/>
      <c r="K342" s="25"/>
      <c r="L342" s="23"/>
      <c r="M342" s="23"/>
      <c r="N342" s="24"/>
      <c r="O342" s="24"/>
      <c r="P342" s="25"/>
      <c r="Q342" s="25"/>
    </row>
    <row r="343" spans="1:17" s="20" customFormat="1" x14ac:dyDescent="0.25">
      <c r="A343" s="9"/>
      <c r="B343" s="28"/>
      <c r="C343" s="28"/>
      <c r="D343" s="28"/>
      <c r="E343" s="28"/>
      <c r="F343" s="31"/>
      <c r="G343" s="21"/>
      <c r="H343" s="22"/>
      <c r="I343" s="23"/>
      <c r="J343" s="24"/>
      <c r="K343" s="25"/>
      <c r="L343" s="23"/>
      <c r="M343" s="23"/>
      <c r="N343" s="24"/>
      <c r="O343" s="24"/>
      <c r="P343" s="25"/>
      <c r="Q343" s="25"/>
    </row>
    <row r="344" spans="1:17" s="20" customFormat="1" x14ac:dyDescent="0.25">
      <c r="A344" s="9"/>
      <c r="B344" s="28"/>
      <c r="C344" s="28"/>
      <c r="D344" s="28"/>
      <c r="E344" s="28"/>
      <c r="F344" s="31"/>
      <c r="G344" s="21"/>
      <c r="H344" s="22"/>
      <c r="I344" s="23"/>
      <c r="J344" s="24"/>
      <c r="K344" s="25"/>
      <c r="L344" s="23"/>
      <c r="M344" s="23"/>
      <c r="N344" s="24"/>
      <c r="O344" s="24"/>
      <c r="P344" s="25"/>
      <c r="Q344" s="25"/>
    </row>
    <row r="345" spans="1:17" s="20" customFormat="1" x14ac:dyDescent="0.25">
      <c r="A345" s="9"/>
      <c r="B345" s="28"/>
      <c r="C345" s="28"/>
      <c r="D345" s="28"/>
      <c r="E345" s="28"/>
      <c r="F345" s="31"/>
      <c r="G345" s="21"/>
      <c r="H345" s="22"/>
      <c r="I345" s="23"/>
      <c r="J345" s="24"/>
      <c r="K345" s="25"/>
      <c r="L345" s="23"/>
      <c r="M345" s="23"/>
      <c r="N345" s="24"/>
      <c r="O345" s="24"/>
      <c r="P345" s="25"/>
      <c r="Q345" s="25"/>
    </row>
    <row r="346" spans="1:17" s="20" customFormat="1" x14ac:dyDescent="0.25">
      <c r="A346" s="9"/>
      <c r="B346" s="28"/>
      <c r="C346" s="28"/>
      <c r="D346" s="28"/>
      <c r="E346" s="28"/>
      <c r="F346" s="31"/>
      <c r="G346" s="21"/>
      <c r="H346" s="22"/>
      <c r="I346" s="23"/>
      <c r="J346" s="24"/>
      <c r="K346" s="25"/>
      <c r="L346" s="23"/>
      <c r="M346" s="23"/>
      <c r="N346" s="24"/>
      <c r="O346" s="24"/>
      <c r="P346" s="25"/>
      <c r="Q346" s="25"/>
    </row>
    <row r="347" spans="1:17" s="20" customFormat="1" x14ac:dyDescent="0.25">
      <c r="A347" s="9"/>
      <c r="B347" s="28"/>
      <c r="C347" s="28"/>
      <c r="D347" s="28"/>
      <c r="E347" s="28"/>
      <c r="F347" s="31"/>
      <c r="G347" s="21"/>
      <c r="H347" s="22"/>
      <c r="I347" s="23"/>
      <c r="J347" s="24"/>
      <c r="K347" s="25"/>
      <c r="L347" s="23"/>
      <c r="M347" s="23"/>
      <c r="N347" s="24"/>
      <c r="O347" s="24"/>
      <c r="P347" s="25"/>
      <c r="Q347" s="25"/>
    </row>
    <row r="348" spans="1:17" s="20" customFormat="1" x14ac:dyDescent="0.25">
      <c r="A348" s="9"/>
      <c r="B348" s="28"/>
      <c r="C348" s="28"/>
      <c r="D348" s="28"/>
      <c r="E348" s="28"/>
      <c r="F348" s="31"/>
      <c r="G348" s="21"/>
      <c r="H348" s="22"/>
      <c r="I348" s="23"/>
      <c r="J348" s="24"/>
      <c r="K348" s="25"/>
      <c r="L348" s="23"/>
      <c r="M348" s="23"/>
      <c r="N348" s="24"/>
      <c r="O348" s="24"/>
      <c r="P348" s="25"/>
      <c r="Q348" s="25"/>
    </row>
    <row r="349" spans="1:17" s="20" customFormat="1" x14ac:dyDescent="0.25">
      <c r="A349" s="9"/>
      <c r="B349" s="28"/>
      <c r="C349" s="28"/>
      <c r="D349" s="28"/>
      <c r="E349" s="28"/>
      <c r="F349" s="31"/>
      <c r="G349" s="21"/>
      <c r="H349" s="22"/>
      <c r="I349" s="23"/>
      <c r="J349" s="24"/>
      <c r="K349" s="25"/>
      <c r="L349" s="23"/>
      <c r="M349" s="23"/>
      <c r="N349" s="24"/>
      <c r="O349" s="24"/>
      <c r="P349" s="25"/>
      <c r="Q349" s="25"/>
    </row>
    <row r="350" spans="1:17" s="20" customFormat="1" x14ac:dyDescent="0.25">
      <c r="A350" s="9"/>
      <c r="B350" s="28"/>
      <c r="C350" s="28"/>
      <c r="D350" s="28"/>
      <c r="E350" s="28"/>
      <c r="F350" s="31"/>
      <c r="G350" s="21"/>
      <c r="H350" s="22"/>
      <c r="I350" s="23"/>
      <c r="J350" s="24"/>
      <c r="K350" s="25"/>
      <c r="L350" s="23"/>
      <c r="M350" s="23"/>
      <c r="N350" s="24"/>
      <c r="O350" s="24"/>
      <c r="P350" s="25"/>
      <c r="Q350" s="25"/>
    </row>
    <row r="351" spans="1:17" s="20" customFormat="1" x14ac:dyDescent="0.25">
      <c r="A351" s="9"/>
      <c r="B351" s="28"/>
      <c r="C351" s="28"/>
      <c r="D351" s="28"/>
      <c r="E351" s="28"/>
      <c r="F351" s="31"/>
      <c r="G351" s="21"/>
      <c r="H351" s="22"/>
      <c r="I351" s="23"/>
      <c r="J351" s="24"/>
      <c r="K351" s="25"/>
      <c r="L351" s="23"/>
      <c r="M351" s="23"/>
      <c r="N351" s="24"/>
      <c r="O351" s="24"/>
      <c r="P351" s="25"/>
      <c r="Q351" s="25"/>
    </row>
    <row r="352" spans="1:17" s="20" customFormat="1" x14ac:dyDescent="0.25">
      <c r="A352" s="9"/>
      <c r="B352" s="28"/>
      <c r="C352" s="28"/>
      <c r="D352" s="28"/>
      <c r="E352" s="28"/>
      <c r="F352" s="31"/>
      <c r="G352" s="21"/>
      <c r="H352" s="22"/>
      <c r="I352" s="23"/>
      <c r="J352" s="24"/>
      <c r="K352" s="25"/>
      <c r="L352" s="23"/>
      <c r="M352" s="23"/>
      <c r="N352" s="24"/>
      <c r="O352" s="24"/>
      <c r="P352" s="25"/>
      <c r="Q352" s="25"/>
    </row>
    <row r="353" spans="1:17" s="20" customFormat="1" x14ac:dyDescent="0.25">
      <c r="A353" s="9"/>
      <c r="B353" s="28"/>
      <c r="C353" s="28"/>
      <c r="D353" s="28"/>
      <c r="E353" s="28"/>
      <c r="F353" s="31"/>
      <c r="G353" s="21"/>
      <c r="H353" s="22"/>
      <c r="I353" s="23"/>
      <c r="J353" s="24"/>
      <c r="K353" s="25"/>
      <c r="L353" s="23"/>
      <c r="M353" s="23"/>
      <c r="N353" s="24"/>
      <c r="O353" s="24"/>
      <c r="P353" s="25"/>
      <c r="Q353" s="25"/>
    </row>
    <row r="354" spans="1:17" s="20" customFormat="1" x14ac:dyDescent="0.25">
      <c r="A354" s="9"/>
      <c r="B354" s="28"/>
      <c r="C354" s="28"/>
      <c r="D354" s="28"/>
      <c r="E354" s="28"/>
      <c r="F354" s="31"/>
      <c r="G354" s="21"/>
      <c r="H354" s="22"/>
      <c r="I354" s="23"/>
      <c r="J354" s="24"/>
      <c r="K354" s="25"/>
      <c r="L354" s="23"/>
      <c r="M354" s="23"/>
      <c r="N354" s="24"/>
      <c r="O354" s="24"/>
      <c r="P354" s="25"/>
      <c r="Q354" s="25"/>
    </row>
    <row r="355" spans="1:17" s="20" customFormat="1" x14ac:dyDescent="0.25">
      <c r="A355" s="9"/>
      <c r="B355" s="28"/>
      <c r="C355" s="28"/>
      <c r="D355" s="28"/>
      <c r="E355" s="28"/>
      <c r="F355" s="31"/>
      <c r="G355" s="21"/>
      <c r="H355" s="22"/>
      <c r="I355" s="23"/>
      <c r="J355" s="24"/>
      <c r="K355" s="25"/>
      <c r="L355" s="23"/>
      <c r="M355" s="23"/>
      <c r="N355" s="24"/>
      <c r="O355" s="24"/>
      <c r="P355" s="25"/>
      <c r="Q355" s="25"/>
    </row>
    <row r="356" spans="1:17" s="20" customFormat="1" x14ac:dyDescent="0.25">
      <c r="A356" s="9"/>
      <c r="B356" s="28"/>
      <c r="C356" s="28"/>
      <c r="D356" s="28"/>
      <c r="E356" s="28"/>
      <c r="F356" s="31"/>
      <c r="G356" s="21"/>
      <c r="H356" s="22"/>
      <c r="I356" s="23"/>
      <c r="J356" s="24"/>
      <c r="K356" s="25"/>
      <c r="L356" s="23"/>
      <c r="M356" s="23"/>
      <c r="N356" s="24"/>
      <c r="O356" s="24"/>
      <c r="P356" s="25"/>
      <c r="Q356" s="25"/>
    </row>
    <row r="357" spans="1:17" s="20" customFormat="1" x14ac:dyDescent="0.25">
      <c r="A357" s="9"/>
      <c r="B357" s="28"/>
      <c r="C357" s="28"/>
      <c r="D357" s="28"/>
      <c r="E357" s="28"/>
      <c r="F357" s="31"/>
      <c r="G357" s="21"/>
      <c r="H357" s="22"/>
      <c r="I357" s="23"/>
      <c r="J357" s="24"/>
      <c r="K357" s="25"/>
      <c r="L357" s="23"/>
      <c r="M357" s="23"/>
      <c r="N357" s="24"/>
      <c r="O357" s="24"/>
      <c r="P357" s="25"/>
      <c r="Q357" s="25"/>
    </row>
    <row r="358" spans="1:17" s="20" customFormat="1" x14ac:dyDescent="0.25">
      <c r="A358" s="9"/>
      <c r="B358" s="28"/>
      <c r="C358" s="28"/>
      <c r="D358" s="28"/>
      <c r="E358" s="28"/>
      <c r="F358" s="31"/>
      <c r="G358" s="21"/>
      <c r="H358" s="22"/>
      <c r="I358" s="23"/>
      <c r="J358" s="24"/>
      <c r="K358" s="25"/>
      <c r="L358" s="23"/>
      <c r="M358" s="23"/>
      <c r="N358" s="24"/>
      <c r="O358" s="24"/>
      <c r="P358" s="25"/>
      <c r="Q358" s="25"/>
    </row>
    <row r="359" spans="1:17" s="20" customFormat="1" x14ac:dyDescent="0.25">
      <c r="A359" s="9"/>
      <c r="B359" s="28"/>
      <c r="C359" s="28"/>
      <c r="D359" s="28"/>
      <c r="E359" s="28"/>
      <c r="F359" s="31"/>
      <c r="G359" s="21"/>
      <c r="H359" s="22"/>
      <c r="I359" s="23"/>
      <c r="J359" s="24"/>
      <c r="K359" s="25"/>
      <c r="L359" s="23"/>
      <c r="M359" s="23"/>
      <c r="N359" s="24"/>
      <c r="O359" s="24"/>
      <c r="P359" s="25"/>
      <c r="Q359" s="25"/>
    </row>
    <row r="360" spans="1:17" s="20" customFormat="1" x14ac:dyDescent="0.25">
      <c r="A360" s="9"/>
      <c r="B360" s="28"/>
      <c r="C360" s="28"/>
      <c r="D360" s="28"/>
      <c r="E360" s="28"/>
      <c r="F360" s="31"/>
      <c r="G360" s="21"/>
      <c r="H360" s="22"/>
      <c r="I360" s="23"/>
      <c r="J360" s="24"/>
      <c r="K360" s="25"/>
      <c r="L360" s="23"/>
      <c r="M360" s="23"/>
      <c r="N360" s="24"/>
      <c r="O360" s="24"/>
      <c r="P360" s="25"/>
      <c r="Q360" s="25"/>
    </row>
    <row r="361" spans="1:17" s="20" customFormat="1" x14ac:dyDescent="0.25">
      <c r="A361" s="9"/>
      <c r="B361" s="28"/>
      <c r="C361" s="28"/>
      <c r="D361" s="28"/>
      <c r="E361" s="28"/>
      <c r="F361" s="31"/>
      <c r="G361" s="21"/>
      <c r="H361" s="22"/>
      <c r="I361" s="23"/>
      <c r="J361" s="24"/>
      <c r="K361" s="25"/>
      <c r="L361" s="23"/>
      <c r="M361" s="23"/>
      <c r="N361" s="24"/>
      <c r="O361" s="24"/>
      <c r="P361" s="25"/>
      <c r="Q361" s="25"/>
    </row>
    <row r="362" spans="1:17" s="20" customFormat="1" x14ac:dyDescent="0.25">
      <c r="A362" s="9"/>
      <c r="B362" s="28"/>
      <c r="C362" s="28"/>
      <c r="D362" s="28"/>
      <c r="E362" s="28"/>
      <c r="F362" s="31"/>
      <c r="G362" s="21"/>
      <c r="H362" s="22"/>
      <c r="I362" s="23"/>
      <c r="J362" s="24"/>
      <c r="K362" s="25"/>
      <c r="L362" s="23"/>
      <c r="M362" s="23"/>
      <c r="N362" s="24"/>
      <c r="O362" s="24"/>
      <c r="P362" s="25"/>
      <c r="Q362" s="25"/>
    </row>
    <row r="363" spans="1:17" s="20" customFormat="1" x14ac:dyDescent="0.25">
      <c r="A363" s="9"/>
      <c r="B363" s="28"/>
      <c r="C363" s="28"/>
      <c r="D363" s="28"/>
      <c r="E363" s="28"/>
      <c r="F363" s="31"/>
      <c r="G363" s="21"/>
      <c r="H363" s="22"/>
      <c r="I363" s="23"/>
      <c r="J363" s="24"/>
      <c r="K363" s="25"/>
      <c r="L363" s="23"/>
      <c r="M363" s="23"/>
      <c r="N363" s="24"/>
      <c r="O363" s="24"/>
      <c r="P363" s="25"/>
      <c r="Q363" s="25"/>
    </row>
    <row r="364" spans="1:17" s="20" customFormat="1" x14ac:dyDescent="0.25">
      <c r="A364" s="9"/>
      <c r="B364" s="28"/>
      <c r="C364" s="28"/>
      <c r="D364" s="28"/>
      <c r="E364" s="28"/>
      <c r="F364" s="31"/>
      <c r="G364" s="21"/>
      <c r="H364" s="22"/>
      <c r="I364" s="23"/>
      <c r="J364" s="24"/>
      <c r="K364" s="25"/>
      <c r="L364" s="23"/>
      <c r="M364" s="23"/>
      <c r="N364" s="24"/>
      <c r="O364" s="24"/>
      <c r="P364" s="25"/>
      <c r="Q364" s="25"/>
    </row>
    <row r="365" spans="1:17" s="20" customFormat="1" x14ac:dyDescent="0.25">
      <c r="A365" s="9"/>
      <c r="B365" s="28"/>
      <c r="C365" s="28"/>
      <c r="D365" s="28"/>
      <c r="E365" s="28"/>
      <c r="F365" s="31"/>
      <c r="G365" s="21"/>
      <c r="H365" s="22"/>
      <c r="I365" s="23"/>
      <c r="J365" s="24"/>
      <c r="K365" s="25"/>
      <c r="L365" s="23"/>
      <c r="M365" s="23"/>
      <c r="N365" s="24"/>
      <c r="O365" s="24"/>
      <c r="P365" s="25"/>
      <c r="Q365" s="25"/>
    </row>
    <row r="366" spans="1:17" s="20" customFormat="1" x14ac:dyDescent="0.25">
      <c r="A366" s="9"/>
      <c r="B366" s="28"/>
      <c r="C366" s="28"/>
      <c r="D366" s="28"/>
      <c r="E366" s="28"/>
      <c r="F366" s="31"/>
      <c r="G366" s="21"/>
      <c r="H366" s="22"/>
      <c r="I366" s="23"/>
      <c r="J366" s="24"/>
      <c r="K366" s="25"/>
      <c r="L366" s="23"/>
      <c r="M366" s="23"/>
      <c r="N366" s="24"/>
      <c r="O366" s="24"/>
      <c r="P366" s="25"/>
      <c r="Q366" s="25"/>
    </row>
    <row r="367" spans="1:17" s="20" customFormat="1" x14ac:dyDescent="0.25">
      <c r="A367" s="9"/>
      <c r="B367" s="28"/>
      <c r="C367" s="28"/>
      <c r="D367" s="28"/>
      <c r="E367" s="28"/>
      <c r="F367" s="31"/>
      <c r="G367" s="21"/>
      <c r="H367" s="22"/>
      <c r="I367" s="23"/>
      <c r="J367" s="24"/>
      <c r="K367" s="25"/>
      <c r="L367" s="23"/>
      <c r="M367" s="23"/>
      <c r="N367" s="24"/>
      <c r="O367" s="24"/>
      <c r="P367" s="25"/>
      <c r="Q367" s="25"/>
    </row>
    <row r="368" spans="1:17" s="20" customFormat="1" x14ac:dyDescent="0.25">
      <c r="A368" s="9"/>
      <c r="B368" s="28"/>
      <c r="C368" s="28"/>
      <c r="D368" s="28"/>
      <c r="E368" s="28"/>
      <c r="F368" s="31"/>
      <c r="G368" s="21"/>
      <c r="H368" s="22"/>
      <c r="I368" s="23"/>
      <c r="J368" s="24"/>
      <c r="K368" s="25"/>
      <c r="L368" s="23"/>
      <c r="M368" s="23"/>
      <c r="N368" s="24"/>
      <c r="O368" s="24"/>
      <c r="P368" s="25"/>
      <c r="Q368" s="25"/>
    </row>
    <row r="369" spans="1:17" s="20" customFormat="1" x14ac:dyDescent="0.25">
      <c r="A369" s="9"/>
      <c r="B369" s="28"/>
      <c r="C369" s="28"/>
      <c r="D369" s="28"/>
      <c r="E369" s="28"/>
      <c r="F369" s="31"/>
      <c r="G369" s="21"/>
      <c r="H369" s="22"/>
      <c r="I369" s="23"/>
      <c r="J369" s="24"/>
      <c r="K369" s="25"/>
      <c r="L369" s="23"/>
      <c r="M369" s="23"/>
      <c r="N369" s="24"/>
      <c r="O369" s="24"/>
      <c r="P369" s="25"/>
      <c r="Q369" s="25"/>
    </row>
    <row r="370" spans="1:17" s="20" customFormat="1" x14ac:dyDescent="0.25">
      <c r="A370" s="9"/>
      <c r="B370" s="28"/>
      <c r="C370" s="28"/>
      <c r="D370" s="28"/>
      <c r="E370" s="28"/>
      <c r="F370" s="31"/>
      <c r="G370" s="21"/>
      <c r="H370" s="22"/>
      <c r="I370" s="23"/>
      <c r="J370" s="24"/>
      <c r="K370" s="25"/>
      <c r="L370" s="23"/>
      <c r="M370" s="23"/>
      <c r="N370" s="24"/>
      <c r="O370" s="24"/>
      <c r="P370" s="25"/>
      <c r="Q370" s="25"/>
    </row>
    <row r="371" spans="1:17" s="20" customFormat="1" x14ac:dyDescent="0.25">
      <c r="A371" s="9"/>
      <c r="B371" s="28"/>
      <c r="C371" s="28"/>
      <c r="D371" s="28"/>
      <c r="E371" s="28"/>
      <c r="F371" s="31"/>
      <c r="G371" s="21"/>
      <c r="H371" s="22"/>
      <c r="I371" s="23"/>
      <c r="J371" s="24"/>
      <c r="K371" s="25"/>
      <c r="L371" s="23"/>
      <c r="M371" s="23"/>
      <c r="N371" s="24"/>
      <c r="O371" s="24"/>
      <c r="P371" s="25"/>
      <c r="Q371" s="25"/>
    </row>
    <row r="372" spans="1:17" s="20" customFormat="1" x14ac:dyDescent="0.25">
      <c r="A372" s="9"/>
      <c r="B372" s="28"/>
      <c r="C372" s="28"/>
      <c r="D372" s="28"/>
      <c r="E372" s="28"/>
      <c r="F372" s="31"/>
      <c r="G372" s="21"/>
      <c r="H372" s="22"/>
      <c r="I372" s="23"/>
      <c r="J372" s="24"/>
      <c r="K372" s="25"/>
      <c r="L372" s="23"/>
      <c r="M372" s="23"/>
      <c r="N372" s="24"/>
      <c r="O372" s="24"/>
      <c r="P372" s="25"/>
      <c r="Q372" s="25"/>
    </row>
    <row r="373" spans="1:17" s="20" customFormat="1" x14ac:dyDescent="0.25">
      <c r="A373" s="9"/>
      <c r="B373" s="28"/>
      <c r="C373" s="28"/>
      <c r="D373" s="28"/>
      <c r="E373" s="28"/>
      <c r="F373" s="31"/>
      <c r="G373" s="21"/>
      <c r="H373" s="22"/>
      <c r="I373" s="23"/>
      <c r="J373" s="24"/>
      <c r="K373" s="25"/>
      <c r="L373" s="23"/>
      <c r="M373" s="23"/>
      <c r="N373" s="24"/>
      <c r="O373" s="24"/>
      <c r="P373" s="25"/>
      <c r="Q373" s="25"/>
    </row>
    <row r="374" spans="1:17" s="20" customFormat="1" x14ac:dyDescent="0.25">
      <c r="A374" s="9"/>
      <c r="B374" s="28"/>
      <c r="C374" s="28"/>
      <c r="D374" s="28"/>
      <c r="E374" s="28"/>
      <c r="F374" s="31"/>
      <c r="G374" s="21"/>
      <c r="H374" s="22"/>
      <c r="I374" s="23"/>
      <c r="J374" s="24"/>
      <c r="K374" s="25"/>
      <c r="L374" s="23"/>
      <c r="M374" s="23"/>
      <c r="N374" s="24"/>
      <c r="O374" s="24"/>
      <c r="P374" s="25"/>
      <c r="Q374" s="25"/>
    </row>
    <row r="375" spans="1:17" s="20" customFormat="1" x14ac:dyDescent="0.25">
      <c r="A375" s="9"/>
      <c r="B375" s="28"/>
      <c r="C375" s="28"/>
      <c r="D375" s="28"/>
      <c r="E375" s="28"/>
      <c r="F375" s="31"/>
      <c r="G375" s="21"/>
      <c r="H375" s="22"/>
      <c r="I375" s="23"/>
      <c r="J375" s="24"/>
      <c r="K375" s="25"/>
      <c r="L375" s="23"/>
      <c r="M375" s="23"/>
      <c r="N375" s="24"/>
      <c r="O375" s="24"/>
      <c r="P375" s="25"/>
      <c r="Q375" s="25"/>
    </row>
    <row r="376" spans="1:17" s="20" customFormat="1" x14ac:dyDescent="0.25">
      <c r="A376" s="9"/>
      <c r="B376" s="28"/>
      <c r="C376" s="28"/>
      <c r="D376" s="28"/>
      <c r="E376" s="28"/>
      <c r="F376" s="31"/>
      <c r="G376" s="21"/>
      <c r="H376" s="22"/>
      <c r="I376" s="23"/>
      <c r="J376" s="24"/>
      <c r="K376" s="25"/>
      <c r="L376" s="23"/>
      <c r="M376" s="23"/>
      <c r="N376" s="24"/>
      <c r="O376" s="24"/>
      <c r="P376" s="25"/>
      <c r="Q376" s="25"/>
    </row>
    <row r="377" spans="1:17" s="20" customFormat="1" x14ac:dyDescent="0.25">
      <c r="A377" s="9"/>
      <c r="B377" s="28"/>
      <c r="C377" s="28"/>
      <c r="D377" s="28"/>
      <c r="E377" s="28"/>
      <c r="F377" s="31"/>
      <c r="G377" s="21"/>
      <c r="H377" s="22"/>
      <c r="I377" s="23"/>
      <c r="J377" s="24"/>
      <c r="K377" s="25"/>
      <c r="L377" s="23"/>
      <c r="M377" s="23"/>
      <c r="N377" s="24"/>
      <c r="O377" s="24"/>
      <c r="P377" s="25"/>
      <c r="Q377" s="25"/>
    </row>
    <row r="378" spans="1:17" s="20" customFormat="1" x14ac:dyDescent="0.25">
      <c r="A378" s="9"/>
      <c r="B378" s="28"/>
      <c r="C378" s="28"/>
      <c r="D378" s="28"/>
      <c r="E378" s="28"/>
      <c r="F378" s="31"/>
      <c r="G378" s="21"/>
      <c r="H378" s="22"/>
      <c r="I378" s="23"/>
      <c r="J378" s="24"/>
      <c r="K378" s="25"/>
      <c r="L378" s="23"/>
      <c r="M378" s="23"/>
      <c r="N378" s="24"/>
      <c r="O378" s="24"/>
      <c r="P378" s="25"/>
      <c r="Q378" s="25"/>
    </row>
    <row r="379" spans="1:17" s="20" customFormat="1" x14ac:dyDescent="0.25">
      <c r="A379" s="9"/>
      <c r="B379" s="28"/>
      <c r="C379" s="28"/>
      <c r="D379" s="28"/>
      <c r="E379" s="28"/>
      <c r="F379" s="31"/>
      <c r="G379" s="21"/>
      <c r="H379" s="22"/>
      <c r="I379" s="23"/>
      <c r="J379" s="24"/>
      <c r="K379" s="25"/>
      <c r="L379" s="23"/>
      <c r="M379" s="23"/>
      <c r="N379" s="24"/>
      <c r="O379" s="24"/>
      <c r="P379" s="25"/>
      <c r="Q379" s="25"/>
    </row>
    <row r="380" spans="1:17" s="20" customFormat="1" x14ac:dyDescent="0.25">
      <c r="A380" s="9"/>
      <c r="B380" s="28"/>
      <c r="C380" s="28"/>
      <c r="D380" s="28"/>
      <c r="E380" s="28"/>
      <c r="F380" s="31"/>
      <c r="G380" s="21"/>
      <c r="H380" s="22"/>
      <c r="I380" s="23"/>
      <c r="J380" s="24"/>
      <c r="K380" s="25"/>
      <c r="L380" s="23"/>
      <c r="M380" s="23"/>
      <c r="N380" s="24"/>
      <c r="O380" s="24"/>
      <c r="P380" s="25"/>
      <c r="Q380" s="25"/>
    </row>
    <row r="381" spans="1:17" s="20" customFormat="1" x14ac:dyDescent="0.25">
      <c r="A381" s="9"/>
      <c r="B381" s="28"/>
      <c r="C381" s="28"/>
      <c r="D381" s="28"/>
      <c r="E381" s="28"/>
      <c r="F381" s="31"/>
      <c r="G381" s="21"/>
      <c r="H381" s="22"/>
      <c r="I381" s="23"/>
      <c r="J381" s="24"/>
      <c r="K381" s="25"/>
      <c r="L381" s="23"/>
      <c r="M381" s="23"/>
      <c r="N381" s="24"/>
      <c r="O381" s="24"/>
      <c r="P381" s="25"/>
      <c r="Q381" s="25"/>
    </row>
    <row r="382" spans="1:17" s="20" customFormat="1" x14ac:dyDescent="0.25">
      <c r="A382" s="9"/>
      <c r="B382" s="28"/>
      <c r="C382" s="28"/>
      <c r="D382" s="28"/>
      <c r="E382" s="28"/>
      <c r="F382" s="31"/>
      <c r="G382" s="21"/>
      <c r="H382" s="22"/>
      <c r="I382" s="23"/>
      <c r="J382" s="24"/>
      <c r="K382" s="25"/>
      <c r="L382" s="23"/>
      <c r="M382" s="23"/>
      <c r="N382" s="24"/>
      <c r="O382" s="24"/>
      <c r="P382" s="25"/>
      <c r="Q382" s="25"/>
    </row>
    <row r="383" spans="1:17" s="20" customFormat="1" x14ac:dyDescent="0.25">
      <c r="A383" s="9"/>
      <c r="B383" s="28"/>
      <c r="C383" s="28"/>
      <c r="D383" s="28"/>
      <c r="E383" s="28"/>
      <c r="F383" s="31"/>
      <c r="G383" s="21"/>
      <c r="H383" s="22"/>
      <c r="I383" s="23"/>
      <c r="J383" s="24"/>
      <c r="K383" s="25"/>
      <c r="L383" s="23"/>
      <c r="M383" s="23"/>
      <c r="N383" s="24"/>
      <c r="O383" s="24"/>
      <c r="P383" s="25"/>
      <c r="Q383" s="25"/>
    </row>
    <row r="384" spans="1:17" s="20" customFormat="1" x14ac:dyDescent="0.25">
      <c r="A384" s="9"/>
      <c r="B384" s="28"/>
      <c r="C384" s="28"/>
      <c r="D384" s="28"/>
      <c r="E384" s="28"/>
      <c r="F384" s="31"/>
      <c r="G384" s="21"/>
      <c r="H384" s="22"/>
      <c r="I384" s="23"/>
      <c r="J384" s="24"/>
      <c r="K384" s="25"/>
      <c r="L384" s="23"/>
      <c r="M384" s="23"/>
      <c r="N384" s="24"/>
      <c r="O384" s="24"/>
      <c r="P384" s="25"/>
      <c r="Q384" s="25"/>
    </row>
    <row r="385" spans="1:17" s="20" customFormat="1" x14ac:dyDescent="0.25">
      <c r="A385" s="9"/>
      <c r="B385" s="28"/>
      <c r="C385" s="28"/>
      <c r="D385" s="28"/>
      <c r="E385" s="28"/>
      <c r="F385" s="31"/>
      <c r="G385" s="21"/>
      <c r="H385" s="22"/>
      <c r="I385" s="23"/>
      <c r="J385" s="24"/>
      <c r="K385" s="25"/>
      <c r="L385" s="23"/>
      <c r="M385" s="23"/>
      <c r="N385" s="24"/>
      <c r="O385" s="24"/>
      <c r="P385" s="25"/>
      <c r="Q385" s="25"/>
    </row>
    <row r="386" spans="1:17" s="20" customFormat="1" x14ac:dyDescent="0.25">
      <c r="A386" s="9"/>
      <c r="B386" s="28"/>
      <c r="C386" s="28"/>
      <c r="D386" s="28"/>
      <c r="E386" s="28"/>
      <c r="F386" s="31"/>
      <c r="G386" s="21"/>
      <c r="H386" s="22"/>
      <c r="I386" s="23"/>
      <c r="J386" s="24"/>
      <c r="K386" s="25"/>
      <c r="L386" s="23"/>
      <c r="M386" s="23"/>
      <c r="N386" s="24"/>
      <c r="O386" s="24"/>
      <c r="P386" s="25"/>
      <c r="Q386" s="25"/>
    </row>
    <row r="387" spans="1:17" s="20" customFormat="1" x14ac:dyDescent="0.25">
      <c r="A387" s="9"/>
      <c r="B387" s="28"/>
      <c r="C387" s="28"/>
      <c r="D387" s="28"/>
      <c r="E387" s="28"/>
      <c r="F387" s="31"/>
      <c r="G387" s="21"/>
      <c r="H387" s="22"/>
      <c r="I387" s="23"/>
      <c r="J387" s="24"/>
      <c r="K387" s="25"/>
      <c r="L387" s="23"/>
      <c r="M387" s="23"/>
      <c r="N387" s="24"/>
      <c r="O387" s="24"/>
      <c r="P387" s="25"/>
      <c r="Q387" s="25"/>
    </row>
    <row r="388" spans="1:17" s="20" customFormat="1" x14ac:dyDescent="0.25">
      <c r="A388" s="9"/>
      <c r="B388" s="28"/>
      <c r="C388" s="28"/>
      <c r="D388" s="28"/>
      <c r="E388" s="28"/>
      <c r="F388" s="31"/>
      <c r="G388" s="21"/>
      <c r="H388" s="22"/>
      <c r="I388" s="23"/>
      <c r="J388" s="24"/>
      <c r="K388" s="25"/>
      <c r="L388" s="23"/>
      <c r="M388" s="23"/>
      <c r="N388" s="24"/>
      <c r="O388" s="24"/>
      <c r="P388" s="25"/>
      <c r="Q388" s="25"/>
    </row>
    <row r="389" spans="1:17" s="20" customFormat="1" x14ac:dyDescent="0.25">
      <c r="A389" s="9"/>
      <c r="B389" s="28"/>
      <c r="C389" s="28"/>
      <c r="D389" s="28"/>
      <c r="E389" s="28"/>
      <c r="F389" s="31"/>
      <c r="G389" s="21"/>
      <c r="H389" s="22"/>
      <c r="I389" s="23"/>
      <c r="J389" s="24"/>
      <c r="K389" s="25"/>
      <c r="L389" s="23"/>
      <c r="M389" s="23"/>
      <c r="N389" s="24"/>
      <c r="O389" s="24"/>
      <c r="P389" s="25"/>
      <c r="Q389" s="25"/>
    </row>
    <row r="390" spans="1:17" s="20" customFormat="1" x14ac:dyDescent="0.25">
      <c r="A390" s="9"/>
      <c r="B390" s="28"/>
      <c r="C390" s="28"/>
      <c r="D390" s="28"/>
      <c r="E390" s="28"/>
      <c r="F390" s="31"/>
      <c r="G390" s="21"/>
      <c r="H390" s="22"/>
      <c r="I390" s="23"/>
      <c r="J390" s="24"/>
      <c r="K390" s="25"/>
      <c r="L390" s="23"/>
      <c r="M390" s="23"/>
      <c r="N390" s="24"/>
      <c r="O390" s="24"/>
      <c r="P390" s="25"/>
      <c r="Q390" s="25"/>
    </row>
    <row r="391" spans="1:17" s="20" customFormat="1" x14ac:dyDescent="0.25">
      <c r="A391" s="9"/>
      <c r="B391" s="28"/>
      <c r="C391" s="28"/>
      <c r="D391" s="28"/>
      <c r="E391" s="28"/>
      <c r="F391" s="31"/>
      <c r="G391" s="21"/>
      <c r="H391" s="22"/>
      <c r="I391" s="23"/>
      <c r="J391" s="24"/>
      <c r="K391" s="25"/>
      <c r="L391" s="23"/>
      <c r="M391" s="23"/>
      <c r="N391" s="24"/>
      <c r="O391" s="24"/>
      <c r="P391" s="25"/>
      <c r="Q391" s="25"/>
    </row>
    <row r="392" spans="1:17" s="20" customFormat="1" x14ac:dyDescent="0.25">
      <c r="A392" s="9"/>
      <c r="B392" s="28"/>
      <c r="C392" s="28"/>
      <c r="D392" s="28"/>
      <c r="E392" s="28"/>
      <c r="F392" s="31"/>
      <c r="G392" s="21"/>
      <c r="H392" s="22"/>
      <c r="I392" s="23"/>
      <c r="J392" s="24"/>
      <c r="K392" s="25"/>
      <c r="L392" s="23"/>
      <c r="M392" s="23"/>
      <c r="N392" s="24"/>
      <c r="O392" s="24"/>
      <c r="P392" s="25"/>
      <c r="Q392" s="25"/>
    </row>
    <row r="393" spans="1:17" s="20" customFormat="1" x14ac:dyDescent="0.25">
      <c r="A393" s="9"/>
      <c r="B393" s="28"/>
      <c r="C393" s="28"/>
      <c r="D393" s="28"/>
      <c r="E393" s="28"/>
      <c r="F393" s="31"/>
      <c r="G393" s="21"/>
      <c r="H393" s="22"/>
      <c r="I393" s="23"/>
      <c r="J393" s="24"/>
      <c r="K393" s="25"/>
      <c r="L393" s="23"/>
      <c r="M393" s="23"/>
      <c r="N393" s="24"/>
      <c r="O393" s="24"/>
      <c r="P393" s="25"/>
      <c r="Q393" s="25"/>
    </row>
    <row r="394" spans="1:17" s="20" customFormat="1" x14ac:dyDescent="0.25">
      <c r="A394" s="9"/>
      <c r="B394" s="28"/>
      <c r="C394" s="28"/>
      <c r="D394" s="28"/>
      <c r="E394" s="28"/>
      <c r="F394" s="31"/>
      <c r="G394" s="21"/>
      <c r="H394" s="22"/>
      <c r="I394" s="23"/>
      <c r="J394" s="24"/>
      <c r="K394" s="25"/>
      <c r="L394" s="23"/>
      <c r="M394" s="23"/>
      <c r="N394" s="24"/>
      <c r="O394" s="24"/>
      <c r="P394" s="25"/>
      <c r="Q394" s="25"/>
    </row>
    <row r="395" spans="1:17" s="20" customFormat="1" x14ac:dyDescent="0.25">
      <c r="A395" s="9"/>
      <c r="B395" s="28"/>
      <c r="C395" s="28"/>
      <c r="D395" s="28"/>
      <c r="E395" s="28"/>
      <c r="F395" s="31"/>
      <c r="G395" s="21"/>
      <c r="H395" s="22"/>
      <c r="I395" s="23"/>
      <c r="J395" s="24"/>
      <c r="K395" s="25"/>
      <c r="L395" s="23"/>
      <c r="M395" s="23"/>
      <c r="N395" s="24"/>
      <c r="O395" s="24"/>
      <c r="P395" s="25"/>
      <c r="Q395" s="25"/>
    </row>
    <row r="396" spans="1:17" s="20" customFormat="1" x14ac:dyDescent="0.25">
      <c r="A396" s="9"/>
      <c r="B396" s="28"/>
      <c r="C396" s="28"/>
      <c r="D396" s="28"/>
      <c r="E396" s="28"/>
      <c r="F396" s="31"/>
      <c r="G396" s="21"/>
      <c r="H396" s="22"/>
      <c r="I396" s="23"/>
      <c r="J396" s="24"/>
      <c r="K396" s="25"/>
      <c r="L396" s="23"/>
      <c r="M396" s="23"/>
      <c r="N396" s="24"/>
      <c r="O396" s="24"/>
      <c r="P396" s="25"/>
      <c r="Q396" s="25"/>
    </row>
    <row r="397" spans="1:17" s="20" customFormat="1" x14ac:dyDescent="0.25">
      <c r="A397" s="9"/>
      <c r="B397" s="28"/>
      <c r="C397" s="28"/>
      <c r="D397" s="28"/>
      <c r="E397" s="28"/>
      <c r="F397" s="31"/>
      <c r="G397" s="21"/>
      <c r="H397" s="22"/>
      <c r="I397" s="23"/>
      <c r="J397" s="24"/>
      <c r="K397" s="25"/>
      <c r="L397" s="23"/>
      <c r="M397" s="23"/>
      <c r="N397" s="24"/>
      <c r="O397" s="24"/>
      <c r="P397" s="25"/>
      <c r="Q397" s="25"/>
    </row>
    <row r="398" spans="1:17" s="20" customFormat="1" x14ac:dyDescent="0.25">
      <c r="A398" s="9"/>
      <c r="B398" s="28"/>
      <c r="C398" s="28"/>
      <c r="D398" s="28"/>
      <c r="E398" s="28"/>
      <c r="F398" s="31"/>
      <c r="G398" s="21"/>
      <c r="H398" s="22"/>
      <c r="I398" s="23"/>
      <c r="J398" s="24"/>
      <c r="K398" s="25"/>
      <c r="L398" s="23"/>
      <c r="M398" s="23"/>
      <c r="N398" s="24"/>
      <c r="O398" s="24"/>
      <c r="P398" s="25"/>
      <c r="Q398" s="25"/>
    </row>
    <row r="399" spans="1:17" s="20" customFormat="1" x14ac:dyDescent="0.25">
      <c r="A399" s="9"/>
      <c r="B399" s="28"/>
      <c r="C399" s="28"/>
      <c r="D399" s="28"/>
      <c r="E399" s="28"/>
      <c r="F399" s="31"/>
      <c r="G399" s="21"/>
      <c r="H399" s="22"/>
      <c r="I399" s="23"/>
      <c r="J399" s="24"/>
      <c r="K399" s="25"/>
      <c r="L399" s="23"/>
      <c r="M399" s="23"/>
      <c r="N399" s="24"/>
      <c r="O399" s="24"/>
      <c r="P399" s="25"/>
      <c r="Q399" s="25"/>
    </row>
    <row r="400" spans="1:17" s="20" customFormat="1" x14ac:dyDescent="0.25">
      <c r="A400" s="9"/>
      <c r="B400" s="28"/>
      <c r="C400" s="28"/>
      <c r="D400" s="28"/>
      <c r="E400" s="28"/>
      <c r="F400" s="31"/>
      <c r="G400" s="21"/>
      <c r="H400" s="22"/>
      <c r="I400" s="23"/>
      <c r="J400" s="24"/>
      <c r="K400" s="25"/>
      <c r="L400" s="23"/>
      <c r="M400" s="23"/>
      <c r="N400" s="24"/>
      <c r="O400" s="24"/>
      <c r="P400" s="25"/>
      <c r="Q400" s="25"/>
    </row>
    <row r="401" spans="1:17" s="20" customFormat="1" x14ac:dyDescent="0.25">
      <c r="A401" s="9"/>
      <c r="B401" s="28"/>
      <c r="C401" s="28"/>
      <c r="D401" s="28"/>
      <c r="E401" s="28"/>
      <c r="F401" s="31"/>
      <c r="G401" s="21"/>
      <c r="H401" s="22"/>
      <c r="I401" s="23"/>
      <c r="J401" s="24"/>
      <c r="K401" s="25"/>
      <c r="L401" s="23"/>
      <c r="M401" s="23"/>
      <c r="N401" s="24"/>
      <c r="O401" s="24"/>
      <c r="P401" s="25"/>
      <c r="Q401" s="25"/>
    </row>
    <row r="402" spans="1:17" s="20" customFormat="1" x14ac:dyDescent="0.25">
      <c r="A402" s="9"/>
      <c r="B402" s="28"/>
      <c r="C402" s="28"/>
      <c r="D402" s="28"/>
      <c r="E402" s="28"/>
      <c r="F402" s="31"/>
      <c r="G402" s="21"/>
      <c r="H402" s="22"/>
      <c r="I402" s="23"/>
      <c r="J402" s="24"/>
      <c r="K402" s="25"/>
      <c r="L402" s="23"/>
      <c r="M402" s="23"/>
      <c r="N402" s="24"/>
      <c r="O402" s="24"/>
      <c r="P402" s="25"/>
      <c r="Q402" s="25"/>
    </row>
    <row r="403" spans="1:17" s="20" customFormat="1" x14ac:dyDescent="0.25">
      <c r="A403" s="9"/>
      <c r="B403" s="28"/>
      <c r="C403" s="28"/>
      <c r="D403" s="28"/>
      <c r="E403" s="28"/>
      <c r="F403" s="31"/>
      <c r="G403" s="21"/>
      <c r="H403" s="22"/>
      <c r="I403" s="23"/>
      <c r="J403" s="24"/>
      <c r="K403" s="25"/>
      <c r="L403" s="23"/>
      <c r="M403" s="23"/>
      <c r="N403" s="24"/>
      <c r="O403" s="24"/>
      <c r="P403" s="25"/>
      <c r="Q403" s="25"/>
    </row>
    <row r="404" spans="1:17" s="20" customFormat="1" x14ac:dyDescent="0.25">
      <c r="A404" s="9"/>
      <c r="B404" s="28"/>
      <c r="C404" s="28"/>
      <c r="D404" s="28"/>
      <c r="E404" s="28"/>
      <c r="F404" s="31"/>
      <c r="G404" s="21"/>
      <c r="H404" s="22"/>
      <c r="I404" s="23"/>
      <c r="J404" s="24"/>
      <c r="K404" s="25"/>
      <c r="L404" s="23"/>
      <c r="M404" s="23"/>
      <c r="N404" s="24"/>
      <c r="O404" s="24"/>
      <c r="P404" s="25"/>
      <c r="Q404" s="25"/>
    </row>
    <row r="405" spans="1:17" s="20" customFormat="1" x14ac:dyDescent="0.25">
      <c r="A405" s="9"/>
      <c r="B405" s="28"/>
      <c r="C405" s="28"/>
      <c r="D405" s="28"/>
      <c r="E405" s="28"/>
      <c r="F405" s="31"/>
      <c r="G405" s="21"/>
      <c r="H405" s="22"/>
      <c r="I405" s="23"/>
      <c r="J405" s="24"/>
      <c r="K405" s="25"/>
      <c r="L405" s="23"/>
      <c r="M405" s="23"/>
      <c r="N405" s="24"/>
      <c r="O405" s="24"/>
      <c r="P405" s="25"/>
      <c r="Q405" s="25"/>
    </row>
    <row r="406" spans="1:17" s="20" customFormat="1" x14ac:dyDescent="0.25">
      <c r="A406" s="9"/>
      <c r="B406" s="28"/>
      <c r="C406" s="28"/>
      <c r="D406" s="28"/>
      <c r="E406" s="28"/>
      <c r="F406" s="31"/>
      <c r="G406" s="21"/>
      <c r="H406" s="22"/>
      <c r="I406" s="23"/>
      <c r="J406" s="24"/>
      <c r="K406" s="25"/>
      <c r="L406" s="23"/>
      <c r="M406" s="23"/>
      <c r="N406" s="24"/>
      <c r="O406" s="24"/>
      <c r="P406" s="25"/>
      <c r="Q406" s="25"/>
    </row>
    <row r="407" spans="1:17" s="20" customFormat="1" x14ac:dyDescent="0.25">
      <c r="A407" s="9"/>
      <c r="B407" s="28"/>
      <c r="C407" s="28"/>
      <c r="D407" s="28"/>
      <c r="E407" s="28"/>
      <c r="F407" s="31"/>
      <c r="G407" s="21"/>
      <c r="H407" s="22"/>
      <c r="I407" s="23"/>
      <c r="J407" s="24"/>
      <c r="K407" s="25"/>
      <c r="L407" s="23"/>
      <c r="M407" s="23"/>
      <c r="N407" s="24"/>
      <c r="O407" s="24"/>
      <c r="P407" s="25"/>
      <c r="Q407" s="25"/>
    </row>
    <row r="408" spans="1:17" s="20" customFormat="1" x14ac:dyDescent="0.25">
      <c r="A408" s="9"/>
      <c r="B408" s="28"/>
      <c r="C408" s="28"/>
      <c r="D408" s="28"/>
      <c r="E408" s="28"/>
      <c r="F408" s="31"/>
      <c r="G408" s="21"/>
      <c r="H408" s="22"/>
      <c r="I408" s="23"/>
      <c r="J408" s="24"/>
      <c r="K408" s="25"/>
      <c r="L408" s="23"/>
      <c r="M408" s="23"/>
      <c r="N408" s="24"/>
      <c r="O408" s="24"/>
      <c r="P408" s="25"/>
      <c r="Q408" s="25"/>
    </row>
    <row r="409" spans="1:17" s="20" customFormat="1" x14ac:dyDescent="0.25">
      <c r="A409" s="9"/>
      <c r="B409" s="28"/>
      <c r="C409" s="28"/>
      <c r="D409" s="28"/>
      <c r="E409" s="28"/>
      <c r="F409" s="31"/>
      <c r="G409" s="21"/>
      <c r="H409" s="22"/>
      <c r="I409" s="23"/>
      <c r="J409" s="24"/>
      <c r="K409" s="25"/>
      <c r="L409" s="23"/>
      <c r="M409" s="23"/>
      <c r="N409" s="24"/>
      <c r="O409" s="24"/>
      <c r="P409" s="25"/>
      <c r="Q409" s="25"/>
    </row>
    <row r="410" spans="1:17" s="20" customFormat="1" x14ac:dyDescent="0.25">
      <c r="A410" s="9"/>
      <c r="B410" s="28"/>
      <c r="C410" s="28"/>
      <c r="D410" s="28"/>
      <c r="E410" s="28"/>
      <c r="F410" s="31"/>
      <c r="G410" s="21"/>
      <c r="H410" s="22"/>
      <c r="I410" s="23"/>
      <c r="J410" s="24"/>
      <c r="K410" s="25"/>
      <c r="L410" s="23"/>
      <c r="M410" s="23"/>
      <c r="N410" s="24"/>
      <c r="O410" s="24"/>
      <c r="P410" s="25"/>
      <c r="Q410" s="25"/>
    </row>
    <row r="411" spans="1:17" s="20" customFormat="1" x14ac:dyDescent="0.25">
      <c r="A411" s="9"/>
      <c r="B411" s="28"/>
      <c r="C411" s="28"/>
      <c r="D411" s="28"/>
      <c r="E411" s="28"/>
      <c r="F411" s="31"/>
      <c r="G411" s="21"/>
      <c r="H411" s="22"/>
      <c r="I411" s="23"/>
      <c r="J411" s="24"/>
      <c r="K411" s="25"/>
      <c r="L411" s="23"/>
      <c r="M411" s="23"/>
      <c r="N411" s="24"/>
      <c r="O411" s="24"/>
      <c r="P411" s="25"/>
      <c r="Q411" s="25"/>
    </row>
    <row r="412" spans="1:17" s="20" customFormat="1" x14ac:dyDescent="0.25">
      <c r="A412" s="9"/>
      <c r="B412" s="28"/>
      <c r="C412" s="28"/>
      <c r="D412" s="28"/>
      <c r="E412" s="28"/>
      <c r="F412" s="31"/>
      <c r="G412" s="21"/>
      <c r="H412" s="22"/>
      <c r="I412" s="23"/>
      <c r="J412" s="24"/>
      <c r="K412" s="25"/>
      <c r="L412" s="23"/>
      <c r="M412" s="23"/>
      <c r="N412" s="24"/>
      <c r="O412" s="24"/>
      <c r="P412" s="25"/>
      <c r="Q412" s="25"/>
    </row>
    <row r="413" spans="1:17" s="20" customFormat="1" x14ac:dyDescent="0.25">
      <c r="A413" s="9"/>
      <c r="B413" s="28"/>
      <c r="C413" s="28"/>
      <c r="D413" s="28"/>
      <c r="E413" s="28"/>
      <c r="F413" s="31"/>
      <c r="G413" s="21"/>
      <c r="H413" s="22"/>
      <c r="I413" s="23"/>
      <c r="J413" s="24"/>
      <c r="K413" s="25"/>
      <c r="L413" s="23"/>
      <c r="M413" s="23"/>
      <c r="N413" s="24"/>
      <c r="O413" s="24"/>
      <c r="P413" s="25"/>
      <c r="Q413" s="25"/>
    </row>
    <row r="414" spans="1:17" s="20" customFormat="1" x14ac:dyDescent="0.25">
      <c r="A414" s="9"/>
      <c r="B414" s="28"/>
      <c r="C414" s="28"/>
      <c r="D414" s="28"/>
      <c r="E414" s="28"/>
      <c r="F414" s="31"/>
      <c r="G414" s="21"/>
      <c r="H414" s="22"/>
      <c r="I414" s="23"/>
      <c r="J414" s="24"/>
      <c r="K414" s="25"/>
      <c r="L414" s="23"/>
      <c r="M414" s="23"/>
      <c r="N414" s="24"/>
      <c r="O414" s="24"/>
      <c r="P414" s="25"/>
      <c r="Q414" s="25"/>
    </row>
    <row r="415" spans="1:17" s="20" customFormat="1" x14ac:dyDescent="0.25">
      <c r="A415" s="9"/>
      <c r="B415" s="28"/>
      <c r="C415" s="28"/>
      <c r="D415" s="28"/>
      <c r="E415" s="28"/>
      <c r="F415" s="31"/>
      <c r="G415" s="21"/>
      <c r="H415" s="22"/>
      <c r="I415" s="23"/>
      <c r="J415" s="24"/>
      <c r="K415" s="25"/>
      <c r="L415" s="23"/>
      <c r="M415" s="23"/>
      <c r="N415" s="24"/>
      <c r="O415" s="24"/>
      <c r="P415" s="25"/>
      <c r="Q415" s="25"/>
    </row>
    <row r="416" spans="1:17" s="20" customFormat="1" x14ac:dyDescent="0.25">
      <c r="A416" s="9"/>
      <c r="B416" s="28"/>
      <c r="C416" s="28"/>
      <c r="D416" s="28"/>
      <c r="E416" s="28"/>
      <c r="F416" s="31"/>
      <c r="G416" s="21"/>
      <c r="H416" s="22"/>
      <c r="I416" s="23"/>
      <c r="J416" s="24"/>
      <c r="K416" s="25"/>
      <c r="L416" s="23"/>
      <c r="M416" s="23"/>
      <c r="N416" s="24"/>
      <c r="O416" s="24"/>
      <c r="P416" s="25"/>
      <c r="Q416" s="25"/>
    </row>
    <row r="417" spans="1:17" s="20" customFormat="1" x14ac:dyDescent="0.25">
      <c r="A417" s="9"/>
      <c r="B417" s="28"/>
      <c r="C417" s="28"/>
      <c r="D417" s="28"/>
      <c r="E417" s="28"/>
      <c r="F417" s="31"/>
      <c r="G417" s="21"/>
      <c r="H417" s="22"/>
      <c r="I417" s="23"/>
      <c r="J417" s="24"/>
      <c r="K417" s="25"/>
      <c r="L417" s="23"/>
      <c r="M417" s="23"/>
      <c r="N417" s="24"/>
      <c r="O417" s="24"/>
      <c r="P417" s="25"/>
      <c r="Q417" s="25"/>
    </row>
    <row r="418" spans="1:17" s="20" customFormat="1" x14ac:dyDescent="0.25">
      <c r="A418" s="9"/>
      <c r="B418" s="28"/>
      <c r="C418" s="28"/>
      <c r="D418" s="28"/>
      <c r="E418" s="28"/>
      <c r="F418" s="31"/>
      <c r="G418" s="21"/>
      <c r="H418" s="22"/>
      <c r="I418" s="23"/>
      <c r="J418" s="24"/>
      <c r="K418" s="25"/>
      <c r="L418" s="23"/>
      <c r="M418" s="23"/>
      <c r="N418" s="24"/>
      <c r="O418" s="24"/>
      <c r="P418" s="25"/>
      <c r="Q418" s="25"/>
    </row>
    <row r="419" spans="1:17" s="20" customFormat="1" x14ac:dyDescent="0.25">
      <c r="A419" s="9"/>
      <c r="B419" s="28"/>
      <c r="C419" s="28"/>
      <c r="D419" s="28"/>
      <c r="E419" s="28"/>
      <c r="F419" s="31"/>
      <c r="G419" s="21"/>
      <c r="H419" s="22"/>
      <c r="I419" s="23"/>
      <c r="J419" s="24"/>
      <c r="K419" s="25"/>
      <c r="L419" s="23"/>
      <c r="M419" s="23"/>
      <c r="N419" s="24"/>
      <c r="O419" s="24"/>
      <c r="P419" s="25"/>
      <c r="Q419" s="25"/>
    </row>
    <row r="420" spans="1:17" s="20" customFormat="1" x14ac:dyDescent="0.25">
      <c r="A420" s="9"/>
      <c r="B420" s="28"/>
      <c r="C420" s="28"/>
      <c r="D420" s="28"/>
      <c r="E420" s="28"/>
      <c r="F420" s="31"/>
      <c r="G420" s="21"/>
      <c r="H420" s="22"/>
      <c r="I420" s="23"/>
      <c r="J420" s="24"/>
      <c r="K420" s="25"/>
      <c r="L420" s="23"/>
      <c r="M420" s="23"/>
      <c r="N420" s="24"/>
      <c r="O420" s="24"/>
      <c r="P420" s="25"/>
      <c r="Q420" s="25"/>
    </row>
    <row r="421" spans="1:17" s="20" customFormat="1" x14ac:dyDescent="0.25">
      <c r="A421" s="9"/>
      <c r="B421" s="28"/>
      <c r="C421" s="28"/>
      <c r="D421" s="28"/>
      <c r="E421" s="28"/>
      <c r="F421" s="31"/>
      <c r="G421" s="21"/>
      <c r="H421" s="22"/>
      <c r="I421" s="23"/>
      <c r="J421" s="24"/>
      <c r="K421" s="25"/>
      <c r="L421" s="23"/>
      <c r="M421" s="23"/>
      <c r="N421" s="24"/>
      <c r="O421" s="24"/>
      <c r="P421" s="25"/>
      <c r="Q421" s="25"/>
    </row>
    <row r="422" spans="1:17" s="20" customFormat="1" x14ac:dyDescent="0.25">
      <c r="A422" s="9"/>
      <c r="B422" s="28"/>
      <c r="C422" s="28"/>
      <c r="D422" s="28"/>
      <c r="E422" s="28"/>
      <c r="F422" s="31"/>
      <c r="G422" s="21"/>
      <c r="H422" s="22"/>
      <c r="I422" s="23"/>
      <c r="J422" s="24"/>
      <c r="K422" s="25"/>
      <c r="L422" s="23"/>
      <c r="M422" s="23"/>
      <c r="N422" s="24"/>
      <c r="O422" s="24"/>
      <c r="P422" s="25"/>
      <c r="Q422" s="25"/>
    </row>
    <row r="423" spans="1:17" s="20" customFormat="1" x14ac:dyDescent="0.25">
      <c r="A423" s="9"/>
      <c r="B423" s="28"/>
      <c r="C423" s="28"/>
      <c r="D423" s="28"/>
      <c r="E423" s="28"/>
      <c r="F423" s="31"/>
      <c r="G423" s="21"/>
      <c r="H423" s="22"/>
      <c r="I423" s="23"/>
      <c r="J423" s="24"/>
      <c r="K423" s="25"/>
      <c r="L423" s="23"/>
      <c r="M423" s="23"/>
      <c r="N423" s="24"/>
      <c r="O423" s="24"/>
      <c r="P423" s="25"/>
      <c r="Q423" s="25"/>
    </row>
    <row r="424" spans="1:17" s="20" customFormat="1" x14ac:dyDescent="0.25">
      <c r="A424" s="9"/>
      <c r="B424" s="28"/>
      <c r="C424" s="28"/>
      <c r="D424" s="28"/>
      <c r="E424" s="28"/>
      <c r="F424" s="31"/>
      <c r="G424" s="21"/>
      <c r="H424" s="22"/>
      <c r="I424" s="23"/>
      <c r="J424" s="24"/>
      <c r="K424" s="25"/>
      <c r="L424" s="23"/>
      <c r="M424" s="23"/>
      <c r="N424" s="24"/>
      <c r="O424" s="24"/>
      <c r="P424" s="25"/>
      <c r="Q424" s="25"/>
    </row>
    <row r="425" spans="1:17" s="20" customFormat="1" x14ac:dyDescent="0.25">
      <c r="A425" s="9"/>
      <c r="B425" s="28"/>
      <c r="C425" s="28"/>
      <c r="D425" s="28"/>
      <c r="E425" s="28"/>
      <c r="F425" s="31"/>
      <c r="G425" s="21"/>
      <c r="H425" s="22"/>
      <c r="I425" s="23"/>
      <c r="J425" s="24"/>
      <c r="K425" s="25"/>
      <c r="L425" s="23"/>
      <c r="M425" s="23"/>
      <c r="N425" s="24"/>
      <c r="O425" s="24"/>
      <c r="P425" s="25"/>
      <c r="Q425" s="25"/>
    </row>
    <row r="426" spans="1:17" s="20" customFormat="1" x14ac:dyDescent="0.25">
      <c r="A426" s="9"/>
      <c r="B426" s="28"/>
      <c r="C426" s="28"/>
      <c r="D426" s="28"/>
      <c r="E426" s="28"/>
      <c r="F426" s="31"/>
      <c r="G426" s="21"/>
      <c r="H426" s="22"/>
      <c r="I426" s="23"/>
      <c r="J426" s="24"/>
      <c r="K426" s="25"/>
      <c r="L426" s="23"/>
      <c r="M426" s="23"/>
      <c r="N426" s="24"/>
      <c r="O426" s="24"/>
      <c r="P426" s="25"/>
      <c r="Q426" s="25"/>
    </row>
    <row r="427" spans="1:17" s="20" customFormat="1" x14ac:dyDescent="0.25">
      <c r="A427" s="9"/>
      <c r="B427" s="28"/>
      <c r="C427" s="28"/>
      <c r="D427" s="28"/>
      <c r="E427" s="28"/>
      <c r="F427" s="31"/>
      <c r="G427" s="21"/>
      <c r="H427" s="22"/>
      <c r="I427" s="23"/>
      <c r="J427" s="24"/>
      <c r="K427" s="25"/>
      <c r="L427" s="23"/>
      <c r="M427" s="23"/>
      <c r="N427" s="24"/>
      <c r="O427" s="24"/>
      <c r="P427" s="25"/>
      <c r="Q427" s="25"/>
    </row>
    <row r="428" spans="1:17" s="20" customFormat="1" x14ac:dyDescent="0.25">
      <c r="A428" s="9"/>
      <c r="B428" s="28"/>
      <c r="C428" s="28"/>
      <c r="D428" s="28"/>
      <c r="E428" s="28"/>
      <c r="F428" s="31"/>
      <c r="G428" s="21"/>
      <c r="H428" s="22"/>
      <c r="I428" s="23"/>
      <c r="J428" s="24"/>
      <c r="K428" s="25"/>
      <c r="L428" s="23"/>
      <c r="M428" s="23"/>
      <c r="N428" s="24"/>
      <c r="O428" s="24"/>
      <c r="P428" s="25"/>
      <c r="Q428" s="25"/>
    </row>
    <row r="429" spans="1:17" s="20" customFormat="1" x14ac:dyDescent="0.25">
      <c r="A429" s="9"/>
      <c r="B429" s="28"/>
      <c r="C429" s="28"/>
      <c r="D429" s="28"/>
      <c r="E429" s="28"/>
      <c r="F429" s="31"/>
      <c r="G429" s="21"/>
      <c r="H429" s="22"/>
      <c r="I429" s="23"/>
      <c r="J429" s="24"/>
      <c r="K429" s="25"/>
      <c r="L429" s="23"/>
      <c r="M429" s="23"/>
      <c r="N429" s="24"/>
      <c r="O429" s="24"/>
      <c r="P429" s="25"/>
      <c r="Q429" s="25"/>
    </row>
    <row r="430" spans="1:17" s="20" customFormat="1" x14ac:dyDescent="0.25">
      <c r="A430" s="9"/>
      <c r="B430" s="28"/>
      <c r="C430" s="28"/>
      <c r="D430" s="28"/>
      <c r="E430" s="28"/>
      <c r="F430" s="31"/>
      <c r="G430" s="21"/>
      <c r="H430" s="22"/>
      <c r="I430" s="23"/>
      <c r="J430" s="24"/>
      <c r="K430" s="25"/>
      <c r="L430" s="23"/>
      <c r="M430" s="23"/>
      <c r="N430" s="24"/>
      <c r="O430" s="24"/>
      <c r="P430" s="25"/>
      <c r="Q430" s="25"/>
    </row>
    <row r="431" spans="1:17" s="20" customFormat="1" x14ac:dyDescent="0.25">
      <c r="A431" s="9"/>
      <c r="B431" s="28"/>
      <c r="C431" s="28"/>
      <c r="D431" s="28"/>
      <c r="E431" s="28"/>
      <c r="F431" s="31"/>
      <c r="G431" s="21"/>
      <c r="H431" s="22"/>
      <c r="I431" s="23"/>
      <c r="J431" s="24"/>
      <c r="K431" s="25"/>
      <c r="L431" s="23"/>
      <c r="M431" s="23"/>
      <c r="N431" s="24"/>
      <c r="O431" s="24"/>
      <c r="P431" s="25"/>
      <c r="Q431" s="25"/>
    </row>
    <row r="432" spans="1:17" s="20" customFormat="1" x14ac:dyDescent="0.25">
      <c r="A432" s="9"/>
      <c r="B432" s="28"/>
      <c r="C432" s="28"/>
      <c r="D432" s="28"/>
      <c r="E432" s="28"/>
      <c r="F432" s="31"/>
      <c r="G432" s="21"/>
      <c r="H432" s="22"/>
      <c r="I432" s="23"/>
      <c r="J432" s="24"/>
      <c r="K432" s="25"/>
      <c r="L432" s="23"/>
      <c r="M432" s="23"/>
      <c r="N432" s="24"/>
      <c r="O432" s="24"/>
      <c r="P432" s="25"/>
      <c r="Q432" s="25"/>
    </row>
    <row r="433" spans="1:17" s="20" customFormat="1" x14ac:dyDescent="0.25">
      <c r="A433" s="9"/>
      <c r="B433" s="28"/>
      <c r="C433" s="28"/>
      <c r="D433" s="28"/>
      <c r="E433" s="28"/>
      <c r="F433" s="31"/>
      <c r="G433" s="21"/>
      <c r="H433" s="22"/>
      <c r="I433" s="23"/>
      <c r="J433" s="24"/>
      <c r="K433" s="25"/>
      <c r="L433" s="23"/>
      <c r="M433" s="23"/>
      <c r="N433" s="24"/>
      <c r="O433" s="24"/>
      <c r="P433" s="25"/>
      <c r="Q433" s="25"/>
    </row>
    <row r="434" spans="1:17" s="20" customFormat="1" x14ac:dyDescent="0.25">
      <c r="A434" s="9"/>
      <c r="B434" s="28"/>
      <c r="C434" s="28"/>
      <c r="D434" s="28"/>
      <c r="E434" s="28"/>
      <c r="F434" s="31"/>
      <c r="G434" s="21"/>
      <c r="H434" s="22"/>
      <c r="I434" s="23"/>
      <c r="J434" s="24"/>
      <c r="K434" s="25"/>
      <c r="L434" s="23"/>
      <c r="M434" s="23"/>
      <c r="N434" s="24"/>
      <c r="O434" s="24"/>
      <c r="P434" s="25"/>
      <c r="Q434" s="25"/>
    </row>
    <row r="435" spans="1:17" s="20" customFormat="1" x14ac:dyDescent="0.25">
      <c r="A435" s="9"/>
      <c r="B435" s="28"/>
      <c r="C435" s="28"/>
      <c r="D435" s="28"/>
      <c r="E435" s="28"/>
      <c r="F435" s="31"/>
      <c r="G435" s="21"/>
      <c r="H435" s="22"/>
      <c r="I435" s="23"/>
      <c r="J435" s="24"/>
      <c r="K435" s="25"/>
      <c r="L435" s="23"/>
      <c r="M435" s="23"/>
      <c r="N435" s="24"/>
      <c r="O435" s="24"/>
      <c r="P435" s="25"/>
      <c r="Q435" s="25"/>
    </row>
    <row r="436" spans="1:17" s="20" customFormat="1" x14ac:dyDescent="0.25">
      <c r="A436" s="9"/>
      <c r="B436" s="28"/>
      <c r="C436" s="28"/>
      <c r="D436" s="28"/>
      <c r="E436" s="28"/>
      <c r="F436" s="31"/>
      <c r="G436" s="21"/>
      <c r="H436" s="22"/>
      <c r="I436" s="23"/>
      <c r="J436" s="24"/>
      <c r="K436" s="25"/>
      <c r="L436" s="23"/>
      <c r="M436" s="23"/>
      <c r="N436" s="24"/>
      <c r="O436" s="24"/>
      <c r="P436" s="25"/>
      <c r="Q436" s="25"/>
    </row>
    <row r="437" spans="1:17" s="20" customFormat="1" x14ac:dyDescent="0.25">
      <c r="A437" s="9"/>
      <c r="B437" s="28"/>
      <c r="C437" s="28"/>
      <c r="D437" s="28"/>
      <c r="E437" s="28"/>
      <c r="F437" s="31"/>
      <c r="G437" s="21"/>
      <c r="H437" s="22"/>
      <c r="I437" s="23"/>
      <c r="J437" s="24"/>
      <c r="K437" s="25"/>
      <c r="L437" s="23"/>
      <c r="M437" s="23"/>
      <c r="N437" s="24"/>
      <c r="O437" s="24"/>
      <c r="P437" s="25"/>
      <c r="Q437" s="25"/>
    </row>
    <row r="438" spans="1:17" s="20" customFormat="1" x14ac:dyDescent="0.25">
      <c r="A438" s="9"/>
      <c r="B438" s="28"/>
      <c r="C438" s="28"/>
      <c r="D438" s="28"/>
      <c r="E438" s="28"/>
      <c r="F438" s="31"/>
      <c r="G438" s="21"/>
      <c r="H438" s="22"/>
      <c r="I438" s="23"/>
      <c r="J438" s="24"/>
      <c r="K438" s="25"/>
      <c r="L438" s="23"/>
      <c r="M438" s="23"/>
      <c r="N438" s="24"/>
      <c r="O438" s="24"/>
      <c r="P438" s="25"/>
      <c r="Q438" s="25"/>
    </row>
    <row r="439" spans="1:17" s="20" customFormat="1" x14ac:dyDescent="0.25">
      <c r="A439" s="9"/>
      <c r="B439" s="28"/>
      <c r="C439" s="28"/>
      <c r="D439" s="28"/>
      <c r="E439" s="28"/>
      <c r="F439" s="31"/>
      <c r="G439" s="21"/>
      <c r="H439" s="22"/>
      <c r="I439" s="23"/>
      <c r="J439" s="24"/>
      <c r="K439" s="25"/>
      <c r="L439" s="23"/>
      <c r="M439" s="23"/>
      <c r="N439" s="24"/>
      <c r="O439" s="24"/>
      <c r="P439" s="25"/>
      <c r="Q439" s="25"/>
    </row>
    <row r="440" spans="1:17" s="20" customFormat="1" x14ac:dyDescent="0.25">
      <c r="A440" s="9"/>
      <c r="B440" s="28"/>
      <c r="C440" s="28"/>
      <c r="D440" s="28"/>
      <c r="E440" s="28"/>
      <c r="F440" s="31"/>
      <c r="G440" s="21"/>
      <c r="H440" s="22"/>
      <c r="I440" s="23"/>
      <c r="J440" s="24"/>
      <c r="K440" s="25"/>
      <c r="L440" s="23"/>
      <c r="M440" s="23"/>
      <c r="N440" s="24"/>
      <c r="O440" s="24"/>
      <c r="P440" s="25"/>
      <c r="Q440" s="25"/>
    </row>
    <row r="441" spans="1:17" s="20" customFormat="1" x14ac:dyDescent="0.25">
      <c r="A441" s="9"/>
      <c r="B441" s="28"/>
      <c r="C441" s="28"/>
      <c r="D441" s="28"/>
      <c r="E441" s="28"/>
      <c r="F441" s="31"/>
      <c r="G441" s="21"/>
      <c r="H441" s="22"/>
      <c r="I441" s="23"/>
      <c r="J441" s="24"/>
      <c r="K441" s="25"/>
      <c r="L441" s="23"/>
      <c r="M441" s="23"/>
      <c r="N441" s="24"/>
      <c r="O441" s="24"/>
      <c r="P441" s="25"/>
      <c r="Q441" s="25"/>
    </row>
    <row r="442" spans="1:17" s="20" customFormat="1" x14ac:dyDescent="0.25">
      <c r="A442" s="9"/>
      <c r="B442" s="28"/>
      <c r="C442" s="28"/>
      <c r="D442" s="28"/>
      <c r="E442" s="28"/>
      <c r="F442" s="31"/>
      <c r="G442" s="21"/>
      <c r="H442" s="22"/>
      <c r="I442" s="23"/>
      <c r="J442" s="24"/>
      <c r="K442" s="25"/>
      <c r="L442" s="23"/>
      <c r="M442" s="23"/>
      <c r="N442" s="24"/>
      <c r="O442" s="24"/>
      <c r="P442" s="25"/>
      <c r="Q442" s="25"/>
    </row>
    <row r="443" spans="1:17" s="20" customFormat="1" x14ac:dyDescent="0.25">
      <c r="A443" s="9"/>
      <c r="B443" s="28"/>
      <c r="C443" s="28"/>
      <c r="D443" s="28"/>
      <c r="E443" s="28"/>
      <c r="F443" s="31"/>
      <c r="G443" s="21"/>
      <c r="H443" s="22"/>
      <c r="I443" s="23"/>
      <c r="J443" s="24"/>
      <c r="K443" s="25"/>
      <c r="L443" s="23"/>
      <c r="M443" s="23"/>
      <c r="N443" s="24"/>
      <c r="O443" s="24"/>
      <c r="P443" s="25"/>
      <c r="Q443" s="25"/>
    </row>
    <row r="444" spans="1:17" s="20" customFormat="1" x14ac:dyDescent="0.25">
      <c r="A444" s="9"/>
      <c r="B444" s="28"/>
      <c r="C444" s="28"/>
      <c r="D444" s="28"/>
      <c r="E444" s="28"/>
      <c r="F444" s="31"/>
      <c r="G444" s="21"/>
      <c r="H444" s="22"/>
      <c r="I444" s="23"/>
      <c r="J444" s="24"/>
      <c r="K444" s="25"/>
      <c r="L444" s="23"/>
      <c r="M444" s="23"/>
      <c r="N444" s="24"/>
      <c r="O444" s="24"/>
      <c r="P444" s="25"/>
      <c r="Q444" s="25"/>
    </row>
    <row r="445" spans="1:17" s="20" customFormat="1" x14ac:dyDescent="0.25">
      <c r="A445" s="9"/>
      <c r="B445" s="28"/>
      <c r="C445" s="28"/>
      <c r="D445" s="28"/>
      <c r="E445" s="28"/>
      <c r="F445" s="31"/>
      <c r="G445" s="21"/>
      <c r="H445" s="22"/>
      <c r="I445" s="23"/>
      <c r="J445" s="24"/>
      <c r="K445" s="25"/>
      <c r="L445" s="23"/>
      <c r="M445" s="23"/>
      <c r="N445" s="24"/>
      <c r="O445" s="24"/>
      <c r="P445" s="25"/>
      <c r="Q445" s="25"/>
    </row>
    <row r="446" spans="1:17" s="20" customFormat="1" x14ac:dyDescent="0.25">
      <c r="A446" s="9"/>
      <c r="B446" s="28"/>
      <c r="C446" s="28"/>
      <c r="D446" s="28"/>
      <c r="E446" s="28"/>
      <c r="F446" s="31"/>
      <c r="G446" s="21"/>
      <c r="H446" s="22"/>
      <c r="I446" s="23"/>
      <c r="J446" s="24"/>
      <c r="K446" s="25"/>
      <c r="L446" s="23"/>
      <c r="M446" s="23"/>
      <c r="N446" s="24"/>
      <c r="O446" s="24"/>
      <c r="P446" s="25"/>
      <c r="Q446" s="25"/>
    </row>
    <row r="447" spans="1:17" s="20" customFormat="1" x14ac:dyDescent="0.25">
      <c r="A447" s="9"/>
      <c r="B447" s="28"/>
      <c r="C447" s="28"/>
      <c r="D447" s="28"/>
      <c r="E447" s="28"/>
      <c r="F447" s="31"/>
      <c r="G447" s="21"/>
      <c r="H447" s="22"/>
      <c r="I447" s="23"/>
      <c r="J447" s="24"/>
      <c r="K447" s="25"/>
      <c r="L447" s="23"/>
      <c r="M447" s="23"/>
      <c r="N447" s="24"/>
      <c r="O447" s="24"/>
      <c r="P447" s="25"/>
      <c r="Q447" s="25"/>
    </row>
    <row r="448" spans="1:17" s="20" customFormat="1" x14ac:dyDescent="0.25">
      <c r="A448" s="9"/>
      <c r="B448" s="28"/>
      <c r="C448" s="28"/>
      <c r="D448" s="28"/>
      <c r="E448" s="28"/>
      <c r="F448" s="31"/>
      <c r="G448" s="21"/>
      <c r="H448" s="22"/>
      <c r="I448" s="23"/>
      <c r="J448" s="24"/>
      <c r="K448" s="25"/>
      <c r="L448" s="23"/>
      <c r="M448" s="23"/>
      <c r="N448" s="24"/>
      <c r="O448" s="24"/>
      <c r="P448" s="25"/>
      <c r="Q448" s="25"/>
    </row>
    <row r="449" spans="1:17" s="20" customFormat="1" x14ac:dyDescent="0.25">
      <c r="A449" s="9"/>
      <c r="B449" s="28"/>
      <c r="C449" s="28"/>
      <c r="D449" s="28"/>
      <c r="E449" s="28"/>
      <c r="F449" s="31"/>
      <c r="G449" s="21"/>
      <c r="H449" s="22"/>
      <c r="I449" s="23"/>
      <c r="J449" s="24"/>
      <c r="K449" s="25"/>
      <c r="L449" s="23"/>
      <c r="M449" s="23"/>
      <c r="N449" s="24"/>
      <c r="O449" s="24"/>
      <c r="P449" s="25"/>
      <c r="Q449" s="25"/>
    </row>
    <row r="450" spans="1:17" s="20" customFormat="1" x14ac:dyDescent="0.25">
      <c r="A450" s="9"/>
      <c r="B450" s="28"/>
      <c r="C450" s="28"/>
      <c r="D450" s="28"/>
      <c r="E450" s="28"/>
      <c r="F450" s="31"/>
      <c r="G450" s="21"/>
      <c r="H450" s="22"/>
      <c r="I450" s="23"/>
      <c r="J450" s="24"/>
      <c r="K450" s="25"/>
      <c r="L450" s="23"/>
      <c r="M450" s="23"/>
      <c r="N450" s="24"/>
      <c r="O450" s="24"/>
      <c r="P450" s="25"/>
      <c r="Q450" s="25"/>
    </row>
    <row r="451" spans="1:17" s="20" customFormat="1" x14ac:dyDescent="0.25">
      <c r="A451" s="9"/>
      <c r="B451" s="28"/>
      <c r="C451" s="28"/>
      <c r="D451" s="28"/>
      <c r="E451" s="28"/>
      <c r="F451" s="31"/>
      <c r="G451" s="21"/>
      <c r="H451" s="22"/>
      <c r="I451" s="23"/>
      <c r="J451" s="24"/>
      <c r="K451" s="25"/>
      <c r="L451" s="23"/>
      <c r="M451" s="23"/>
      <c r="N451" s="24"/>
      <c r="O451" s="24"/>
      <c r="P451" s="25"/>
      <c r="Q451" s="25"/>
    </row>
    <row r="452" spans="1:17" s="20" customFormat="1" x14ac:dyDescent="0.25">
      <c r="A452" s="9"/>
      <c r="B452" s="28"/>
      <c r="C452" s="28"/>
      <c r="D452" s="28"/>
      <c r="E452" s="28"/>
      <c r="F452" s="31"/>
      <c r="G452" s="21"/>
      <c r="H452" s="22"/>
      <c r="I452" s="23"/>
      <c r="J452" s="24"/>
      <c r="K452" s="25"/>
      <c r="L452" s="23"/>
      <c r="M452" s="23"/>
      <c r="N452" s="24"/>
      <c r="O452" s="24"/>
      <c r="P452" s="25"/>
      <c r="Q452" s="25"/>
    </row>
    <row r="453" spans="1:17" s="20" customFormat="1" x14ac:dyDescent="0.25">
      <c r="A453" s="9"/>
      <c r="B453" s="28"/>
      <c r="C453" s="28"/>
      <c r="D453" s="28"/>
      <c r="E453" s="28"/>
      <c r="F453" s="31"/>
      <c r="G453" s="21"/>
      <c r="H453" s="22"/>
      <c r="I453" s="23"/>
      <c r="J453" s="24"/>
      <c r="K453" s="25"/>
      <c r="L453" s="23"/>
      <c r="M453" s="23"/>
      <c r="N453" s="24"/>
      <c r="O453" s="24"/>
      <c r="P453" s="25"/>
      <c r="Q453" s="25"/>
    </row>
    <row r="454" spans="1:17" s="20" customFormat="1" x14ac:dyDescent="0.25">
      <c r="A454" s="9"/>
      <c r="B454" s="28"/>
      <c r="C454" s="28"/>
      <c r="D454" s="28"/>
      <c r="E454" s="28"/>
      <c r="F454" s="31"/>
      <c r="G454" s="21"/>
      <c r="H454" s="22"/>
      <c r="I454" s="23"/>
      <c r="J454" s="24"/>
      <c r="K454" s="25"/>
      <c r="L454" s="23"/>
      <c r="M454" s="23"/>
      <c r="N454" s="24"/>
      <c r="O454" s="24"/>
      <c r="P454" s="25"/>
      <c r="Q454" s="25"/>
    </row>
    <row r="455" spans="1:17" s="20" customFormat="1" x14ac:dyDescent="0.25">
      <c r="A455" s="9"/>
      <c r="B455" s="28"/>
      <c r="C455" s="28"/>
      <c r="D455" s="28"/>
      <c r="E455" s="28"/>
      <c r="F455" s="31"/>
      <c r="G455" s="21"/>
      <c r="H455" s="22"/>
      <c r="I455" s="23"/>
      <c r="J455" s="24"/>
      <c r="K455" s="25"/>
      <c r="L455" s="23"/>
      <c r="M455" s="23"/>
      <c r="N455" s="24"/>
      <c r="O455" s="24"/>
      <c r="P455" s="25"/>
      <c r="Q455" s="25"/>
    </row>
    <row r="456" spans="1:17" s="20" customFormat="1" x14ac:dyDescent="0.25">
      <c r="A456" s="9"/>
      <c r="B456" s="28"/>
      <c r="C456" s="28"/>
      <c r="D456" s="28"/>
      <c r="E456" s="28"/>
      <c r="F456" s="31"/>
      <c r="G456" s="21"/>
      <c r="H456" s="22"/>
      <c r="I456" s="23"/>
      <c r="J456" s="24"/>
      <c r="K456" s="25"/>
      <c r="L456" s="23"/>
      <c r="M456" s="23"/>
      <c r="N456" s="24"/>
      <c r="O456" s="24"/>
      <c r="P456" s="25"/>
      <c r="Q456" s="25"/>
    </row>
    <row r="457" spans="1:17" s="20" customFormat="1" x14ac:dyDescent="0.25">
      <c r="A457" s="9"/>
      <c r="B457" s="28"/>
      <c r="C457" s="28"/>
      <c r="D457" s="28"/>
      <c r="E457" s="28"/>
      <c r="F457" s="31"/>
      <c r="G457" s="21"/>
      <c r="H457" s="22"/>
      <c r="I457" s="23"/>
      <c r="J457" s="24"/>
      <c r="K457" s="25"/>
      <c r="L457" s="23"/>
      <c r="M457" s="23"/>
      <c r="N457" s="24"/>
      <c r="O457" s="24"/>
      <c r="P457" s="25"/>
      <c r="Q457" s="25"/>
    </row>
    <row r="458" spans="1:17" s="20" customFormat="1" x14ac:dyDescent="0.25">
      <c r="A458" s="9"/>
      <c r="B458" s="28"/>
      <c r="C458" s="28"/>
      <c r="D458" s="28"/>
      <c r="E458" s="28"/>
      <c r="F458" s="31"/>
      <c r="G458" s="21"/>
      <c r="H458" s="22"/>
      <c r="I458" s="23"/>
      <c r="J458" s="24"/>
      <c r="K458" s="25"/>
      <c r="L458" s="23"/>
      <c r="M458" s="23"/>
      <c r="N458" s="24"/>
      <c r="O458" s="24"/>
      <c r="P458" s="25"/>
      <c r="Q458" s="25"/>
    </row>
    <row r="459" spans="1:17" s="20" customFormat="1" x14ac:dyDescent="0.25">
      <c r="A459" s="9"/>
      <c r="B459" s="28"/>
      <c r="C459" s="28"/>
      <c r="D459" s="28"/>
      <c r="E459" s="28"/>
      <c r="F459" s="31"/>
      <c r="G459" s="21"/>
      <c r="H459" s="22"/>
      <c r="I459" s="23"/>
      <c r="J459" s="24"/>
      <c r="K459" s="25"/>
      <c r="L459" s="23"/>
      <c r="M459" s="23"/>
      <c r="N459" s="24"/>
      <c r="O459" s="24"/>
      <c r="P459" s="25"/>
      <c r="Q459" s="25"/>
    </row>
    <row r="460" spans="1:17" s="20" customFormat="1" x14ac:dyDescent="0.25">
      <c r="A460" s="9"/>
      <c r="B460" s="28"/>
      <c r="C460" s="28"/>
      <c r="D460" s="28"/>
      <c r="E460" s="28"/>
      <c r="F460" s="31"/>
      <c r="G460" s="21"/>
      <c r="H460" s="22"/>
      <c r="I460" s="23"/>
      <c r="J460" s="24"/>
      <c r="K460" s="25"/>
      <c r="L460" s="23"/>
      <c r="M460" s="23"/>
      <c r="N460" s="24"/>
      <c r="O460" s="24"/>
      <c r="P460" s="25"/>
      <c r="Q460" s="25"/>
    </row>
    <row r="461" spans="1:17" s="20" customFormat="1" x14ac:dyDescent="0.25">
      <c r="A461" s="9"/>
      <c r="B461" s="28"/>
      <c r="C461" s="28"/>
      <c r="D461" s="28"/>
      <c r="E461" s="28"/>
      <c r="F461" s="31"/>
      <c r="G461" s="21"/>
      <c r="H461" s="22"/>
      <c r="I461" s="23"/>
      <c r="J461" s="24"/>
      <c r="K461" s="25"/>
      <c r="L461" s="23"/>
      <c r="M461" s="23"/>
      <c r="N461" s="24"/>
      <c r="O461" s="24"/>
      <c r="P461" s="25"/>
      <c r="Q461" s="25"/>
    </row>
    <row r="462" spans="1:17" s="20" customFormat="1" x14ac:dyDescent="0.25">
      <c r="A462" s="9"/>
      <c r="B462" s="28"/>
      <c r="C462" s="28"/>
      <c r="D462" s="28"/>
      <c r="E462" s="28"/>
      <c r="F462" s="31"/>
      <c r="G462" s="21"/>
      <c r="H462" s="22"/>
      <c r="I462" s="23"/>
      <c r="J462" s="24"/>
      <c r="K462" s="25"/>
      <c r="L462" s="23"/>
      <c r="M462" s="23"/>
      <c r="N462" s="24"/>
      <c r="O462" s="24"/>
      <c r="P462" s="25"/>
      <c r="Q462" s="25"/>
    </row>
    <row r="463" spans="1:17" s="20" customFormat="1" x14ac:dyDescent="0.25">
      <c r="A463" s="9"/>
      <c r="B463" s="28"/>
      <c r="C463" s="28"/>
      <c r="D463" s="28"/>
      <c r="E463" s="28"/>
      <c r="F463" s="31"/>
      <c r="G463" s="21"/>
      <c r="H463" s="22"/>
      <c r="I463" s="23"/>
      <c r="J463" s="24"/>
      <c r="K463" s="25"/>
      <c r="L463" s="23"/>
      <c r="M463" s="23"/>
      <c r="N463" s="24"/>
      <c r="O463" s="24"/>
      <c r="P463" s="25"/>
      <c r="Q463" s="25"/>
    </row>
    <row r="464" spans="1:17" s="20" customFormat="1" x14ac:dyDescent="0.25">
      <c r="A464" s="9"/>
      <c r="B464" s="28"/>
      <c r="C464" s="28"/>
      <c r="D464" s="28"/>
      <c r="E464" s="28"/>
      <c r="F464" s="31"/>
      <c r="G464" s="21"/>
      <c r="H464" s="22"/>
      <c r="I464" s="23"/>
      <c r="J464" s="24"/>
      <c r="K464" s="25"/>
      <c r="L464" s="23"/>
      <c r="M464" s="23"/>
      <c r="N464" s="24"/>
      <c r="O464" s="24"/>
      <c r="P464" s="25"/>
      <c r="Q464" s="25"/>
    </row>
    <row r="465" spans="1:17" s="20" customFormat="1" x14ac:dyDescent="0.25">
      <c r="A465" s="9"/>
      <c r="B465" s="28"/>
      <c r="C465" s="28"/>
      <c r="D465" s="28"/>
      <c r="E465" s="28"/>
      <c r="F465" s="31"/>
      <c r="G465" s="21"/>
      <c r="H465" s="22"/>
      <c r="I465" s="23"/>
      <c r="J465" s="24"/>
      <c r="K465" s="25"/>
      <c r="L465" s="23"/>
      <c r="M465" s="23"/>
      <c r="N465" s="24"/>
      <c r="O465" s="24"/>
      <c r="P465" s="25"/>
      <c r="Q465" s="25"/>
    </row>
    <row r="466" spans="1:17" s="20" customFormat="1" x14ac:dyDescent="0.25">
      <c r="A466" s="9"/>
      <c r="B466" s="28"/>
      <c r="C466" s="28"/>
      <c r="D466" s="28"/>
      <c r="E466" s="28"/>
      <c r="F466" s="31"/>
      <c r="G466" s="21"/>
      <c r="H466" s="22"/>
      <c r="I466" s="23"/>
      <c r="J466" s="24"/>
      <c r="K466" s="25"/>
      <c r="L466" s="23"/>
      <c r="M466" s="23"/>
      <c r="N466" s="24"/>
      <c r="O466" s="24"/>
      <c r="P466" s="25"/>
      <c r="Q466" s="25"/>
    </row>
    <row r="467" spans="1:17" s="20" customFormat="1" x14ac:dyDescent="0.25">
      <c r="A467" s="9"/>
      <c r="B467" s="28"/>
      <c r="C467" s="28"/>
      <c r="D467" s="28"/>
      <c r="E467" s="28"/>
      <c r="F467" s="31"/>
      <c r="G467" s="21"/>
      <c r="H467" s="22"/>
      <c r="I467" s="23"/>
      <c r="J467" s="24"/>
      <c r="K467" s="25"/>
      <c r="L467" s="23"/>
      <c r="M467" s="23"/>
      <c r="N467" s="24"/>
      <c r="O467" s="24"/>
      <c r="P467" s="25"/>
      <c r="Q467" s="25"/>
    </row>
    <row r="468" spans="1:17" s="20" customFormat="1" x14ac:dyDescent="0.25">
      <c r="A468" s="9"/>
      <c r="B468" s="28"/>
      <c r="C468" s="28"/>
      <c r="D468" s="28"/>
      <c r="E468" s="28"/>
      <c r="F468" s="31"/>
      <c r="G468" s="21"/>
      <c r="H468" s="22"/>
      <c r="I468" s="23"/>
      <c r="J468" s="24"/>
      <c r="K468" s="25"/>
      <c r="L468" s="23"/>
      <c r="M468" s="23"/>
      <c r="N468" s="24"/>
      <c r="O468" s="24"/>
      <c r="P468" s="25"/>
      <c r="Q468" s="25"/>
    </row>
    <row r="469" spans="1:17" s="20" customFormat="1" x14ac:dyDescent="0.25">
      <c r="A469" s="9"/>
      <c r="B469" s="28"/>
      <c r="C469" s="28"/>
      <c r="D469" s="28"/>
      <c r="E469" s="28"/>
      <c r="F469" s="31"/>
      <c r="G469" s="21"/>
      <c r="H469" s="22"/>
      <c r="I469" s="23"/>
      <c r="J469" s="24"/>
      <c r="K469" s="25"/>
      <c r="L469" s="23"/>
      <c r="M469" s="23"/>
      <c r="N469" s="24"/>
      <c r="O469" s="24"/>
      <c r="P469" s="25"/>
      <c r="Q469" s="25"/>
    </row>
    <row r="470" spans="1:17" s="20" customFormat="1" x14ac:dyDescent="0.25">
      <c r="A470" s="9"/>
      <c r="B470" s="28"/>
      <c r="C470" s="28"/>
      <c r="D470" s="28"/>
      <c r="E470" s="28"/>
      <c r="F470" s="31"/>
      <c r="G470" s="21"/>
      <c r="H470" s="22"/>
      <c r="I470" s="23"/>
      <c r="J470" s="24"/>
      <c r="K470" s="25"/>
      <c r="L470" s="23"/>
      <c r="M470" s="23"/>
      <c r="N470" s="24"/>
      <c r="O470" s="24"/>
      <c r="P470" s="25"/>
      <c r="Q470" s="25"/>
    </row>
    <row r="471" spans="1:17" s="20" customFormat="1" x14ac:dyDescent="0.25">
      <c r="A471" s="9"/>
      <c r="B471" s="28"/>
      <c r="C471" s="28"/>
      <c r="D471" s="28"/>
      <c r="E471" s="28"/>
      <c r="F471" s="31"/>
      <c r="G471" s="21"/>
      <c r="H471" s="22"/>
      <c r="I471" s="23"/>
      <c r="J471" s="24"/>
      <c r="K471" s="25"/>
      <c r="L471" s="23"/>
      <c r="M471" s="23"/>
      <c r="N471" s="24"/>
      <c r="O471" s="24"/>
      <c r="P471" s="25"/>
      <c r="Q471" s="25"/>
    </row>
    <row r="472" spans="1:17" s="20" customFormat="1" x14ac:dyDescent="0.25">
      <c r="A472" s="9"/>
      <c r="B472" s="28"/>
      <c r="C472" s="28"/>
      <c r="D472" s="28"/>
      <c r="E472" s="28"/>
      <c r="F472" s="31"/>
      <c r="G472" s="21"/>
      <c r="H472" s="22"/>
      <c r="I472" s="23"/>
      <c r="J472" s="24"/>
      <c r="K472" s="25"/>
      <c r="L472" s="23"/>
      <c r="M472" s="23"/>
      <c r="N472" s="24"/>
      <c r="O472" s="24"/>
      <c r="P472" s="25"/>
      <c r="Q472" s="25"/>
    </row>
    <row r="473" spans="1:17" s="20" customFormat="1" x14ac:dyDescent="0.25">
      <c r="A473" s="9"/>
      <c r="B473" s="28"/>
      <c r="C473" s="28"/>
      <c r="D473" s="28"/>
      <c r="E473" s="28"/>
      <c r="F473" s="31"/>
      <c r="G473" s="21"/>
      <c r="H473" s="22"/>
      <c r="I473" s="23"/>
      <c r="J473" s="24"/>
      <c r="K473" s="25"/>
      <c r="L473" s="23"/>
      <c r="M473" s="23"/>
      <c r="N473" s="24"/>
      <c r="O473" s="24"/>
      <c r="P473" s="25"/>
      <c r="Q473" s="25"/>
    </row>
    <row r="474" spans="1:17" s="20" customFormat="1" x14ac:dyDescent="0.25">
      <c r="A474" s="9"/>
      <c r="B474" s="28"/>
      <c r="C474" s="28"/>
      <c r="D474" s="28"/>
      <c r="E474" s="28"/>
      <c r="F474" s="31"/>
      <c r="G474" s="21"/>
      <c r="H474" s="22"/>
      <c r="I474" s="23"/>
      <c r="J474" s="24"/>
      <c r="K474" s="25"/>
      <c r="L474" s="23"/>
      <c r="M474" s="23"/>
      <c r="N474" s="24"/>
      <c r="O474" s="24"/>
      <c r="P474" s="25"/>
      <c r="Q474" s="25"/>
    </row>
    <row r="475" spans="1:17" s="20" customFormat="1" x14ac:dyDescent="0.25">
      <c r="A475" s="9"/>
      <c r="B475" s="28"/>
      <c r="C475" s="28"/>
      <c r="D475" s="28"/>
      <c r="E475" s="28"/>
      <c r="F475" s="31"/>
      <c r="G475" s="21"/>
      <c r="H475" s="22"/>
      <c r="I475" s="23"/>
      <c r="J475" s="24"/>
      <c r="K475" s="25"/>
      <c r="L475" s="23"/>
      <c r="M475" s="23"/>
      <c r="N475" s="24"/>
      <c r="O475" s="24"/>
      <c r="P475" s="25"/>
      <c r="Q475" s="25"/>
    </row>
    <row r="476" spans="1:17" s="20" customFormat="1" x14ac:dyDescent="0.25">
      <c r="A476" s="9"/>
      <c r="B476" s="28"/>
      <c r="C476" s="28"/>
      <c r="D476" s="28"/>
      <c r="E476" s="28"/>
      <c r="F476" s="31"/>
      <c r="G476" s="21"/>
      <c r="H476" s="22"/>
      <c r="I476" s="23"/>
      <c r="J476" s="24"/>
      <c r="K476" s="25"/>
      <c r="L476" s="23"/>
      <c r="M476" s="23"/>
      <c r="N476" s="24"/>
      <c r="O476" s="24"/>
      <c r="P476" s="25"/>
      <c r="Q476" s="25"/>
    </row>
    <row r="477" spans="1:17" s="20" customFormat="1" x14ac:dyDescent="0.25">
      <c r="A477" s="9"/>
      <c r="B477" s="28"/>
      <c r="C477" s="28"/>
      <c r="D477" s="28"/>
      <c r="E477" s="28"/>
      <c r="F477" s="31"/>
      <c r="G477" s="21"/>
      <c r="H477" s="22"/>
      <c r="I477" s="23"/>
      <c r="J477" s="24"/>
      <c r="K477" s="25"/>
      <c r="L477" s="23"/>
      <c r="M477" s="23"/>
      <c r="N477" s="24"/>
      <c r="O477" s="24"/>
      <c r="P477" s="25"/>
      <c r="Q477" s="25"/>
    </row>
    <row r="478" spans="1:17" s="20" customFormat="1" x14ac:dyDescent="0.25">
      <c r="A478" s="9"/>
      <c r="B478" s="28"/>
      <c r="C478" s="28"/>
      <c r="D478" s="28"/>
      <c r="E478" s="28"/>
      <c r="F478" s="31"/>
      <c r="G478" s="21"/>
      <c r="H478" s="22"/>
      <c r="I478" s="23"/>
      <c r="J478" s="24"/>
      <c r="K478" s="25"/>
      <c r="L478" s="23"/>
      <c r="M478" s="23"/>
      <c r="N478" s="24"/>
      <c r="O478" s="24"/>
      <c r="P478" s="25"/>
      <c r="Q478" s="25"/>
    </row>
    <row r="479" spans="1:17" s="20" customFormat="1" x14ac:dyDescent="0.25">
      <c r="A479" s="9"/>
      <c r="B479" s="28"/>
      <c r="C479" s="28"/>
      <c r="D479" s="28"/>
      <c r="E479" s="28"/>
      <c r="F479" s="31"/>
      <c r="G479" s="21"/>
      <c r="H479" s="22"/>
      <c r="I479" s="23"/>
      <c r="J479" s="24"/>
      <c r="K479" s="25"/>
      <c r="L479" s="23"/>
      <c r="M479" s="23"/>
      <c r="N479" s="24"/>
      <c r="O479" s="24"/>
      <c r="P479" s="25"/>
      <c r="Q479" s="25"/>
    </row>
    <row r="480" spans="1:17" s="20" customFormat="1" x14ac:dyDescent="0.25">
      <c r="A480" s="9"/>
      <c r="B480" s="28"/>
      <c r="C480" s="28"/>
      <c r="D480" s="28"/>
      <c r="E480" s="28"/>
      <c r="F480" s="31"/>
      <c r="G480" s="21"/>
      <c r="H480" s="22"/>
      <c r="I480" s="23"/>
      <c r="J480" s="24"/>
      <c r="K480" s="25"/>
      <c r="L480" s="23"/>
      <c r="M480" s="23"/>
      <c r="N480" s="24"/>
      <c r="O480" s="24"/>
      <c r="P480" s="25"/>
      <c r="Q480" s="25"/>
    </row>
    <row r="481" spans="1:17" s="20" customFormat="1" x14ac:dyDescent="0.25">
      <c r="A481" s="9"/>
      <c r="B481" s="28"/>
      <c r="C481" s="28"/>
      <c r="D481" s="28"/>
      <c r="E481" s="28"/>
      <c r="F481" s="31"/>
      <c r="G481" s="21"/>
      <c r="H481" s="22"/>
      <c r="I481" s="23"/>
      <c r="J481" s="24"/>
      <c r="K481" s="25"/>
      <c r="L481" s="23"/>
      <c r="M481" s="23"/>
      <c r="N481" s="24"/>
      <c r="O481" s="24"/>
      <c r="P481" s="25"/>
      <c r="Q481" s="25"/>
    </row>
    <row r="482" spans="1:17" s="20" customFormat="1" x14ac:dyDescent="0.25">
      <c r="A482" s="9"/>
      <c r="B482" s="28"/>
      <c r="C482" s="28"/>
      <c r="D482" s="28"/>
      <c r="E482" s="28"/>
      <c r="F482" s="31"/>
      <c r="G482" s="21"/>
      <c r="H482" s="22"/>
      <c r="I482" s="23"/>
      <c r="J482" s="24"/>
      <c r="K482" s="25"/>
      <c r="L482" s="23"/>
      <c r="M482" s="23"/>
      <c r="N482" s="24"/>
      <c r="O482" s="24"/>
      <c r="P482" s="25"/>
      <c r="Q482" s="25"/>
    </row>
    <row r="483" spans="1:17" s="20" customFormat="1" x14ac:dyDescent="0.25">
      <c r="A483" s="9"/>
      <c r="B483" s="28"/>
      <c r="C483" s="28"/>
      <c r="D483" s="28"/>
      <c r="E483" s="28"/>
      <c r="F483" s="31"/>
      <c r="G483" s="21"/>
      <c r="H483" s="22"/>
      <c r="I483" s="23"/>
      <c r="J483" s="24"/>
      <c r="K483" s="25"/>
      <c r="L483" s="23"/>
      <c r="M483" s="23"/>
      <c r="N483" s="24"/>
      <c r="O483" s="24"/>
      <c r="P483" s="25"/>
      <c r="Q483" s="25"/>
    </row>
    <row r="484" spans="1:17" s="20" customFormat="1" x14ac:dyDescent="0.25">
      <c r="A484" s="9"/>
      <c r="B484" s="28"/>
      <c r="C484" s="28"/>
      <c r="D484" s="28"/>
      <c r="E484" s="28"/>
      <c r="F484" s="31"/>
      <c r="G484" s="21"/>
      <c r="H484" s="22"/>
      <c r="I484" s="23"/>
      <c r="J484" s="24"/>
      <c r="K484" s="25"/>
      <c r="L484" s="23"/>
      <c r="M484" s="23"/>
      <c r="N484" s="24"/>
      <c r="O484" s="24"/>
      <c r="P484" s="25"/>
      <c r="Q484" s="25"/>
    </row>
    <row r="485" spans="1:17" s="20" customFormat="1" x14ac:dyDescent="0.25">
      <c r="A485" s="9"/>
      <c r="B485" s="28"/>
      <c r="C485" s="28"/>
      <c r="D485" s="28"/>
      <c r="E485" s="28"/>
      <c r="F485" s="31"/>
      <c r="G485" s="21"/>
      <c r="H485" s="22"/>
      <c r="I485" s="23"/>
      <c r="J485" s="24"/>
      <c r="K485" s="25"/>
      <c r="L485" s="23"/>
      <c r="M485" s="23"/>
      <c r="N485" s="24"/>
      <c r="O485" s="24"/>
      <c r="P485" s="25"/>
      <c r="Q485" s="25"/>
    </row>
    <row r="486" spans="1:17" s="20" customFormat="1" x14ac:dyDescent="0.25">
      <c r="A486" s="9"/>
      <c r="B486" s="28"/>
      <c r="C486" s="28"/>
      <c r="D486" s="28"/>
      <c r="E486" s="28"/>
      <c r="F486" s="31"/>
      <c r="G486" s="21"/>
      <c r="H486" s="22"/>
      <c r="I486" s="23"/>
      <c r="J486" s="24"/>
      <c r="K486" s="25"/>
      <c r="L486" s="23"/>
      <c r="M486" s="23"/>
      <c r="N486" s="24"/>
      <c r="O486" s="24"/>
      <c r="P486" s="25"/>
      <c r="Q486" s="25"/>
    </row>
    <row r="487" spans="1:17" s="20" customFormat="1" x14ac:dyDescent="0.25">
      <c r="A487" s="9"/>
      <c r="B487" s="28"/>
      <c r="C487" s="28"/>
      <c r="D487" s="28"/>
      <c r="E487" s="28"/>
      <c r="F487" s="31"/>
      <c r="G487" s="21"/>
      <c r="H487" s="22"/>
      <c r="I487" s="23"/>
      <c r="J487" s="24"/>
      <c r="K487" s="25"/>
      <c r="L487" s="23"/>
      <c r="M487" s="23"/>
      <c r="N487" s="24"/>
      <c r="O487" s="24"/>
      <c r="P487" s="25"/>
      <c r="Q487" s="25"/>
    </row>
    <row r="488" spans="1:17" s="20" customFormat="1" x14ac:dyDescent="0.25">
      <c r="A488" s="9"/>
      <c r="B488" s="28"/>
      <c r="C488" s="28"/>
      <c r="D488" s="28"/>
      <c r="E488" s="28"/>
      <c r="F488" s="31"/>
      <c r="G488" s="21"/>
      <c r="H488" s="22"/>
      <c r="I488" s="23"/>
      <c r="J488" s="24"/>
      <c r="K488" s="25"/>
      <c r="L488" s="23"/>
      <c r="M488" s="23"/>
      <c r="N488" s="24"/>
      <c r="O488" s="24"/>
      <c r="P488" s="25"/>
      <c r="Q488" s="25"/>
    </row>
    <row r="489" spans="1:17" s="20" customFormat="1" x14ac:dyDescent="0.25">
      <c r="A489" s="9"/>
      <c r="B489" s="28"/>
      <c r="C489" s="28"/>
      <c r="D489" s="28"/>
      <c r="E489" s="28"/>
      <c r="F489" s="31"/>
      <c r="G489" s="21"/>
      <c r="H489" s="22"/>
      <c r="I489" s="23"/>
      <c r="J489" s="24"/>
      <c r="K489" s="25"/>
      <c r="L489" s="23"/>
      <c r="M489" s="23"/>
      <c r="N489" s="24"/>
      <c r="O489" s="24"/>
      <c r="P489" s="25"/>
      <c r="Q489" s="25"/>
    </row>
    <row r="490" spans="1:17" s="20" customFormat="1" x14ac:dyDescent="0.25">
      <c r="A490" s="9"/>
      <c r="B490" s="28"/>
      <c r="C490" s="28"/>
      <c r="D490" s="28"/>
      <c r="E490" s="28"/>
      <c r="F490" s="31"/>
      <c r="G490" s="21"/>
      <c r="H490" s="22"/>
      <c r="I490" s="23"/>
      <c r="J490" s="24"/>
      <c r="K490" s="25"/>
      <c r="L490" s="23"/>
      <c r="M490" s="23"/>
      <c r="N490" s="24"/>
      <c r="O490" s="24"/>
      <c r="P490" s="25"/>
      <c r="Q490" s="25"/>
    </row>
    <row r="491" spans="1:17" s="20" customFormat="1" x14ac:dyDescent="0.25">
      <c r="A491" s="9"/>
      <c r="B491" s="28"/>
      <c r="C491" s="28"/>
      <c r="D491" s="28"/>
      <c r="E491" s="28"/>
      <c r="F491" s="31"/>
      <c r="G491" s="21"/>
      <c r="H491" s="22"/>
      <c r="I491" s="23"/>
      <c r="J491" s="24"/>
      <c r="K491" s="25"/>
      <c r="L491" s="23"/>
      <c r="M491" s="23"/>
      <c r="N491" s="24"/>
      <c r="O491" s="24"/>
      <c r="P491" s="25"/>
      <c r="Q491" s="25"/>
    </row>
    <row r="492" spans="1:17" s="20" customFormat="1" x14ac:dyDescent="0.25">
      <c r="A492" s="9"/>
      <c r="B492" s="28"/>
      <c r="C492" s="28"/>
      <c r="D492" s="28"/>
      <c r="E492" s="28"/>
      <c r="F492" s="31"/>
      <c r="G492" s="21"/>
      <c r="H492" s="22"/>
      <c r="I492" s="23"/>
      <c r="J492" s="24"/>
      <c r="K492" s="25"/>
      <c r="L492" s="23"/>
      <c r="M492" s="23"/>
      <c r="N492" s="24"/>
      <c r="O492" s="24"/>
      <c r="P492" s="25"/>
      <c r="Q492" s="25"/>
    </row>
    <row r="493" spans="1:17" s="20" customFormat="1" x14ac:dyDescent="0.25">
      <c r="A493" s="9"/>
      <c r="B493" s="28"/>
      <c r="C493" s="28"/>
      <c r="D493" s="28"/>
      <c r="E493" s="28"/>
      <c r="F493" s="31"/>
      <c r="G493" s="21"/>
      <c r="H493" s="22"/>
      <c r="I493" s="23"/>
      <c r="J493" s="24"/>
      <c r="K493" s="25"/>
      <c r="L493" s="23"/>
      <c r="M493" s="23"/>
      <c r="N493" s="24"/>
      <c r="O493" s="24"/>
      <c r="P493" s="25"/>
      <c r="Q493" s="25"/>
    </row>
    <row r="494" spans="1:17" s="20" customFormat="1" x14ac:dyDescent="0.25">
      <c r="A494" s="9"/>
      <c r="B494" s="28"/>
      <c r="C494" s="28"/>
      <c r="D494" s="28"/>
      <c r="E494" s="28"/>
      <c r="F494" s="31"/>
      <c r="G494" s="21"/>
      <c r="H494" s="22"/>
      <c r="I494" s="23"/>
      <c r="J494" s="24"/>
      <c r="K494" s="25"/>
      <c r="L494" s="23"/>
      <c r="M494" s="23"/>
      <c r="N494" s="24"/>
      <c r="O494" s="24"/>
      <c r="P494" s="25"/>
      <c r="Q494" s="25"/>
    </row>
    <row r="495" spans="1:17" s="20" customFormat="1" x14ac:dyDescent="0.25">
      <c r="A495" s="9"/>
      <c r="B495" s="28"/>
      <c r="C495" s="28"/>
      <c r="D495" s="28"/>
      <c r="E495" s="28"/>
      <c r="F495" s="31"/>
      <c r="G495" s="21"/>
      <c r="H495" s="22"/>
      <c r="I495" s="23"/>
      <c r="J495" s="24"/>
      <c r="K495" s="25"/>
      <c r="L495" s="23"/>
      <c r="M495" s="23"/>
      <c r="N495" s="24"/>
      <c r="O495" s="24"/>
      <c r="P495" s="25"/>
      <c r="Q495" s="25"/>
    </row>
    <row r="496" spans="1:17" s="20" customFormat="1" x14ac:dyDescent="0.25">
      <c r="A496" s="9"/>
      <c r="B496" s="28"/>
      <c r="C496" s="28"/>
      <c r="D496" s="28"/>
      <c r="E496" s="28"/>
      <c r="F496" s="31"/>
      <c r="G496" s="21"/>
      <c r="H496" s="22"/>
      <c r="I496" s="23"/>
      <c r="J496" s="24"/>
      <c r="K496" s="25"/>
      <c r="L496" s="23"/>
      <c r="M496" s="23"/>
      <c r="N496" s="24"/>
      <c r="O496" s="24"/>
      <c r="P496" s="25"/>
      <c r="Q496" s="25"/>
    </row>
    <row r="497" spans="1:17" s="20" customFormat="1" x14ac:dyDescent="0.25">
      <c r="A497" s="9"/>
      <c r="B497" s="28"/>
      <c r="C497" s="28"/>
      <c r="D497" s="28"/>
      <c r="E497" s="28"/>
      <c r="F497" s="31"/>
      <c r="G497" s="21"/>
      <c r="H497" s="22"/>
      <c r="I497" s="23"/>
      <c r="J497" s="24"/>
      <c r="K497" s="25"/>
      <c r="L497" s="23"/>
      <c r="M497" s="23"/>
      <c r="N497" s="24"/>
      <c r="O497" s="24"/>
      <c r="P497" s="25"/>
      <c r="Q497" s="25"/>
    </row>
    <row r="498" spans="1:17" s="20" customFormat="1" x14ac:dyDescent="0.25">
      <c r="A498" s="9"/>
      <c r="B498" s="28"/>
      <c r="C498" s="28"/>
      <c r="D498" s="28"/>
      <c r="E498" s="28"/>
      <c r="F498" s="31"/>
      <c r="G498" s="21"/>
      <c r="H498" s="22"/>
      <c r="I498" s="23"/>
      <c r="J498" s="24"/>
      <c r="K498" s="25"/>
      <c r="L498" s="23"/>
      <c r="M498" s="23"/>
      <c r="N498" s="24"/>
      <c r="O498" s="24"/>
      <c r="P498" s="25"/>
      <c r="Q498" s="25"/>
    </row>
    <row r="499" spans="1:17" s="20" customFormat="1" x14ac:dyDescent="0.25">
      <c r="A499" s="9"/>
      <c r="B499" s="28"/>
      <c r="C499" s="28"/>
      <c r="D499" s="28"/>
      <c r="E499" s="28"/>
      <c r="F499" s="31"/>
      <c r="G499" s="21"/>
      <c r="H499" s="22"/>
      <c r="I499" s="23"/>
      <c r="J499" s="24"/>
      <c r="K499" s="25"/>
      <c r="L499" s="23"/>
      <c r="M499" s="23"/>
      <c r="N499" s="24"/>
      <c r="O499" s="24"/>
      <c r="P499" s="25"/>
      <c r="Q499" s="25"/>
    </row>
    <row r="500" spans="1:17" s="20" customFormat="1" x14ac:dyDescent="0.25">
      <c r="A500" s="9"/>
      <c r="B500" s="28"/>
      <c r="C500" s="28"/>
      <c r="D500" s="28"/>
      <c r="E500" s="28"/>
      <c r="F500" s="31"/>
      <c r="G500" s="21"/>
      <c r="H500" s="22"/>
      <c r="I500" s="23"/>
      <c r="J500" s="24"/>
      <c r="K500" s="25"/>
      <c r="L500" s="23"/>
      <c r="M500" s="23"/>
      <c r="N500" s="24"/>
      <c r="O500" s="24"/>
      <c r="P500" s="25"/>
      <c r="Q500" s="25"/>
    </row>
    <row r="501" spans="1:17" s="20" customFormat="1" x14ac:dyDescent="0.25">
      <c r="A501" s="9"/>
      <c r="B501" s="28"/>
      <c r="C501" s="28"/>
      <c r="D501" s="28"/>
      <c r="E501" s="28"/>
      <c r="F501" s="31"/>
      <c r="G501" s="21"/>
      <c r="H501" s="22"/>
      <c r="I501" s="23"/>
      <c r="J501" s="24"/>
      <c r="K501" s="25"/>
      <c r="L501" s="23"/>
      <c r="M501" s="23"/>
      <c r="N501" s="24"/>
      <c r="O501" s="24"/>
      <c r="P501" s="25"/>
      <c r="Q501" s="25"/>
    </row>
    <row r="502" spans="1:17" s="20" customFormat="1" x14ac:dyDescent="0.25">
      <c r="A502" s="9"/>
      <c r="B502" s="28"/>
      <c r="C502" s="28"/>
      <c r="D502" s="28"/>
      <c r="E502" s="28"/>
      <c r="F502" s="31"/>
      <c r="G502" s="21"/>
      <c r="H502" s="22"/>
      <c r="I502" s="23"/>
      <c r="J502" s="24"/>
      <c r="K502" s="25"/>
      <c r="L502" s="23"/>
      <c r="M502" s="23"/>
      <c r="N502" s="24"/>
      <c r="O502" s="24"/>
      <c r="P502" s="25"/>
      <c r="Q502" s="25"/>
    </row>
    <row r="503" spans="1:17" s="20" customFormat="1" x14ac:dyDescent="0.25">
      <c r="A503" s="9"/>
      <c r="B503" s="28"/>
      <c r="C503" s="28"/>
      <c r="D503" s="28"/>
      <c r="E503" s="28"/>
      <c r="F503" s="31"/>
      <c r="G503" s="21"/>
      <c r="H503" s="22"/>
      <c r="I503" s="23"/>
      <c r="J503" s="24"/>
      <c r="K503" s="25"/>
      <c r="L503" s="23"/>
      <c r="M503" s="23"/>
      <c r="N503" s="24"/>
      <c r="O503" s="24"/>
      <c r="P503" s="25"/>
      <c r="Q503" s="25"/>
    </row>
    <row r="504" spans="1:17" s="20" customFormat="1" x14ac:dyDescent="0.25">
      <c r="A504" s="9"/>
      <c r="B504" s="28"/>
      <c r="C504" s="28"/>
      <c r="D504" s="28"/>
      <c r="E504" s="28"/>
      <c r="F504" s="31"/>
      <c r="G504" s="21"/>
      <c r="H504" s="22"/>
      <c r="I504" s="23"/>
      <c r="J504" s="24"/>
      <c r="K504" s="25"/>
      <c r="L504" s="23"/>
      <c r="M504" s="23"/>
      <c r="N504" s="24"/>
      <c r="O504" s="24"/>
      <c r="P504" s="25"/>
      <c r="Q504" s="25"/>
    </row>
    <row r="505" spans="1:17" s="20" customFormat="1" x14ac:dyDescent="0.25">
      <c r="A505" s="9"/>
      <c r="B505" s="28"/>
      <c r="C505" s="28"/>
      <c r="D505" s="28"/>
      <c r="E505" s="28"/>
      <c r="F505" s="31"/>
      <c r="G505" s="21"/>
      <c r="H505" s="22"/>
      <c r="I505" s="23"/>
      <c r="J505" s="24"/>
      <c r="K505" s="25"/>
      <c r="L505" s="23"/>
      <c r="M505" s="23"/>
      <c r="N505" s="24"/>
      <c r="O505" s="24"/>
      <c r="P505" s="25"/>
      <c r="Q505" s="25"/>
    </row>
    <row r="506" spans="1:17" s="20" customFormat="1" x14ac:dyDescent="0.25">
      <c r="A506" s="9"/>
      <c r="B506" s="28"/>
      <c r="C506" s="28"/>
      <c r="D506" s="28"/>
      <c r="E506" s="28"/>
      <c r="F506" s="31"/>
      <c r="G506" s="21"/>
      <c r="H506" s="22"/>
      <c r="I506" s="23"/>
      <c r="J506" s="24"/>
      <c r="K506" s="25"/>
      <c r="L506" s="23"/>
      <c r="M506" s="23"/>
      <c r="N506" s="24"/>
      <c r="O506" s="24"/>
      <c r="P506" s="25"/>
      <c r="Q506" s="25"/>
    </row>
    <row r="507" spans="1:17" s="20" customFormat="1" x14ac:dyDescent="0.25">
      <c r="A507" s="9"/>
      <c r="B507" s="28"/>
      <c r="C507" s="28"/>
      <c r="D507" s="28"/>
      <c r="E507" s="28"/>
      <c r="F507" s="31"/>
      <c r="G507" s="21"/>
      <c r="H507" s="22"/>
      <c r="I507" s="23"/>
      <c r="J507" s="24"/>
      <c r="K507" s="25"/>
      <c r="L507" s="23"/>
      <c r="M507" s="23"/>
      <c r="N507" s="24"/>
      <c r="O507" s="24"/>
      <c r="P507" s="25"/>
      <c r="Q507" s="25"/>
    </row>
    <row r="508" spans="1:17" s="20" customFormat="1" x14ac:dyDescent="0.25">
      <c r="A508" s="9"/>
      <c r="B508" s="28"/>
      <c r="C508" s="28"/>
      <c r="D508" s="28"/>
      <c r="E508" s="28"/>
      <c r="F508" s="31"/>
      <c r="G508" s="21"/>
      <c r="H508" s="22"/>
      <c r="I508" s="23"/>
      <c r="J508" s="24"/>
      <c r="K508" s="25"/>
      <c r="L508" s="23"/>
      <c r="M508" s="23"/>
      <c r="N508" s="24"/>
      <c r="O508" s="24"/>
      <c r="P508" s="25"/>
      <c r="Q508" s="25"/>
    </row>
    <row r="509" spans="1:17" s="20" customFormat="1" x14ac:dyDescent="0.25">
      <c r="A509" s="9"/>
      <c r="B509" s="28"/>
      <c r="C509" s="28"/>
      <c r="D509" s="28"/>
      <c r="E509" s="28"/>
      <c r="F509" s="31"/>
      <c r="G509" s="21"/>
      <c r="H509" s="22"/>
      <c r="I509" s="23"/>
      <c r="J509" s="24"/>
      <c r="K509" s="25"/>
      <c r="L509" s="23"/>
      <c r="M509" s="23"/>
      <c r="N509" s="24"/>
      <c r="O509" s="24"/>
      <c r="P509" s="25"/>
      <c r="Q509" s="25"/>
    </row>
    <row r="510" spans="1:17" s="20" customFormat="1" x14ac:dyDescent="0.25">
      <c r="A510" s="9"/>
      <c r="B510" s="28"/>
      <c r="C510" s="28"/>
      <c r="D510" s="28"/>
      <c r="E510" s="28"/>
      <c r="F510" s="31"/>
      <c r="G510" s="21"/>
      <c r="H510" s="22"/>
      <c r="I510" s="23"/>
      <c r="J510" s="24"/>
      <c r="K510" s="25"/>
      <c r="L510" s="23"/>
      <c r="M510" s="23"/>
      <c r="N510" s="24"/>
      <c r="O510" s="24"/>
      <c r="P510" s="25"/>
      <c r="Q510" s="25"/>
    </row>
    <row r="511" spans="1:17" s="20" customFormat="1" x14ac:dyDescent="0.25">
      <c r="A511" s="9"/>
      <c r="B511" s="28"/>
      <c r="C511" s="28"/>
      <c r="D511" s="28"/>
      <c r="E511" s="28"/>
      <c r="F511" s="31"/>
      <c r="G511" s="21"/>
      <c r="H511" s="22"/>
      <c r="I511" s="23"/>
      <c r="J511" s="24"/>
      <c r="K511" s="25"/>
      <c r="L511" s="23"/>
      <c r="M511" s="23"/>
      <c r="N511" s="24"/>
      <c r="O511" s="24"/>
      <c r="P511" s="25"/>
      <c r="Q511" s="25"/>
    </row>
    <row r="512" spans="1:17" s="20" customFormat="1" x14ac:dyDescent="0.25">
      <c r="A512" s="9"/>
      <c r="B512" s="28"/>
      <c r="C512" s="28"/>
      <c r="D512" s="28"/>
      <c r="E512" s="28"/>
      <c r="F512" s="31"/>
      <c r="G512" s="21"/>
      <c r="H512" s="22"/>
      <c r="I512" s="23"/>
      <c r="J512" s="24"/>
      <c r="K512" s="25"/>
      <c r="L512" s="23"/>
      <c r="M512" s="23"/>
      <c r="N512" s="24"/>
      <c r="O512" s="24"/>
      <c r="P512" s="25"/>
      <c r="Q512" s="25"/>
    </row>
    <row r="513" spans="1:17" s="20" customFormat="1" x14ac:dyDescent="0.25">
      <c r="A513" s="9"/>
      <c r="B513" s="28"/>
      <c r="C513" s="28"/>
      <c r="D513" s="28"/>
      <c r="E513" s="28"/>
      <c r="F513" s="31"/>
      <c r="G513" s="21"/>
      <c r="H513" s="22"/>
      <c r="I513" s="23"/>
      <c r="J513" s="24"/>
      <c r="K513" s="25"/>
      <c r="L513" s="23"/>
      <c r="M513" s="23"/>
      <c r="N513" s="24"/>
      <c r="O513" s="24"/>
      <c r="P513" s="25"/>
      <c r="Q513" s="25"/>
    </row>
    <row r="514" spans="1:17" s="20" customFormat="1" x14ac:dyDescent="0.25">
      <c r="A514" s="9"/>
      <c r="B514" s="28"/>
      <c r="C514" s="28"/>
      <c r="D514" s="28"/>
      <c r="E514" s="28"/>
      <c r="F514" s="31"/>
      <c r="G514" s="21"/>
      <c r="H514" s="22"/>
      <c r="I514" s="23"/>
      <c r="J514" s="24"/>
      <c r="K514" s="25"/>
      <c r="L514" s="23"/>
      <c r="M514" s="23"/>
      <c r="N514" s="24"/>
      <c r="O514" s="24"/>
      <c r="P514" s="25"/>
      <c r="Q514" s="25"/>
    </row>
    <row r="515" spans="1:17" s="20" customFormat="1" x14ac:dyDescent="0.25">
      <c r="A515" s="9"/>
      <c r="B515" s="28"/>
      <c r="C515" s="28"/>
      <c r="D515" s="28"/>
      <c r="E515" s="28"/>
      <c r="F515" s="31"/>
      <c r="G515" s="21"/>
      <c r="H515" s="22"/>
      <c r="I515" s="23"/>
      <c r="J515" s="24"/>
      <c r="K515" s="25"/>
      <c r="L515" s="23"/>
      <c r="M515" s="23"/>
      <c r="N515" s="24"/>
      <c r="O515" s="24"/>
      <c r="P515" s="25"/>
      <c r="Q515" s="25"/>
    </row>
    <row r="516" spans="1:17" s="20" customFormat="1" x14ac:dyDescent="0.25">
      <c r="A516" s="9"/>
      <c r="B516" s="28"/>
      <c r="C516" s="28"/>
      <c r="D516" s="28"/>
      <c r="E516" s="28"/>
      <c r="F516" s="31"/>
      <c r="G516" s="21"/>
      <c r="H516" s="22"/>
      <c r="I516" s="23"/>
      <c r="J516" s="24"/>
      <c r="K516" s="25"/>
      <c r="L516" s="23"/>
      <c r="M516" s="23"/>
      <c r="N516" s="24"/>
      <c r="O516" s="24"/>
      <c r="P516" s="25"/>
      <c r="Q516" s="25"/>
    </row>
    <row r="517" spans="1:17" s="20" customFormat="1" x14ac:dyDescent="0.25">
      <c r="A517" s="9"/>
      <c r="B517" s="28"/>
      <c r="C517" s="28"/>
      <c r="D517" s="28"/>
      <c r="E517" s="28"/>
      <c r="F517" s="31"/>
      <c r="G517" s="21"/>
      <c r="H517" s="22"/>
      <c r="I517" s="23"/>
      <c r="J517" s="24"/>
      <c r="K517" s="25"/>
      <c r="L517" s="23"/>
      <c r="M517" s="23"/>
      <c r="N517" s="24"/>
      <c r="O517" s="24"/>
      <c r="P517" s="25"/>
      <c r="Q517" s="25"/>
    </row>
    <row r="518" spans="1:17" s="20" customFormat="1" x14ac:dyDescent="0.25">
      <c r="A518" s="9"/>
      <c r="B518" s="28"/>
      <c r="C518" s="28"/>
      <c r="D518" s="28"/>
      <c r="E518" s="28"/>
      <c r="F518" s="31"/>
      <c r="G518" s="21"/>
      <c r="H518" s="22"/>
      <c r="I518" s="23"/>
      <c r="J518" s="24"/>
      <c r="K518" s="25"/>
      <c r="L518" s="23"/>
      <c r="M518" s="23"/>
      <c r="N518" s="24"/>
      <c r="O518" s="24"/>
      <c r="P518" s="25"/>
      <c r="Q518" s="25"/>
    </row>
    <row r="519" spans="1:17" s="20" customFormat="1" x14ac:dyDescent="0.25">
      <c r="A519" s="9"/>
      <c r="B519" s="28"/>
      <c r="C519" s="28"/>
      <c r="D519" s="28"/>
      <c r="E519" s="28"/>
      <c r="F519" s="31"/>
      <c r="G519" s="21"/>
      <c r="H519" s="22"/>
      <c r="I519" s="23"/>
      <c r="J519" s="24"/>
      <c r="K519" s="25"/>
      <c r="L519" s="23"/>
      <c r="M519" s="23"/>
      <c r="N519" s="24"/>
      <c r="O519" s="24"/>
      <c r="P519" s="25"/>
      <c r="Q519" s="25"/>
    </row>
    <row r="520" spans="1:17" s="20" customFormat="1" x14ac:dyDescent="0.25">
      <c r="A520" s="9"/>
      <c r="B520" s="28"/>
      <c r="C520" s="28"/>
      <c r="D520" s="28"/>
      <c r="E520" s="28"/>
      <c r="F520" s="31"/>
      <c r="G520" s="21"/>
      <c r="H520" s="22"/>
      <c r="I520" s="23"/>
      <c r="J520" s="24"/>
      <c r="K520" s="25"/>
      <c r="L520" s="23"/>
      <c r="M520" s="23"/>
      <c r="N520" s="24"/>
      <c r="O520" s="24"/>
      <c r="P520" s="25"/>
      <c r="Q520" s="25"/>
    </row>
    <row r="521" spans="1:17" s="20" customFormat="1" x14ac:dyDescent="0.25">
      <c r="A521" s="9"/>
      <c r="B521" s="28"/>
      <c r="C521" s="28"/>
      <c r="D521" s="28"/>
      <c r="E521" s="28"/>
      <c r="F521" s="31"/>
      <c r="G521" s="21"/>
      <c r="H521" s="22"/>
      <c r="I521" s="23"/>
      <c r="J521" s="24"/>
      <c r="K521" s="25"/>
      <c r="L521" s="23"/>
      <c r="M521" s="23"/>
      <c r="N521" s="24"/>
      <c r="O521" s="24"/>
      <c r="P521" s="25"/>
      <c r="Q521" s="25"/>
    </row>
    <row r="522" spans="1:17" s="20" customFormat="1" x14ac:dyDescent="0.25">
      <c r="A522" s="9"/>
      <c r="B522" s="28"/>
      <c r="C522" s="28"/>
      <c r="D522" s="28"/>
      <c r="E522" s="28"/>
      <c r="F522" s="31"/>
      <c r="G522" s="21"/>
      <c r="H522" s="22"/>
      <c r="I522" s="23"/>
      <c r="J522" s="24"/>
      <c r="K522" s="25"/>
      <c r="L522" s="23"/>
      <c r="M522" s="23"/>
      <c r="N522" s="24"/>
      <c r="O522" s="24"/>
      <c r="P522" s="25"/>
      <c r="Q522" s="25"/>
    </row>
    <row r="523" spans="1:17" s="20" customFormat="1" x14ac:dyDescent="0.25">
      <c r="A523" s="9"/>
      <c r="B523" s="28"/>
      <c r="C523" s="28"/>
      <c r="D523" s="28"/>
      <c r="E523" s="28"/>
      <c r="F523" s="31"/>
      <c r="G523" s="21"/>
      <c r="H523" s="22"/>
      <c r="I523" s="23"/>
      <c r="J523" s="24"/>
      <c r="K523" s="25"/>
      <c r="L523" s="23"/>
      <c r="M523" s="23"/>
      <c r="N523" s="24"/>
      <c r="O523" s="24"/>
      <c r="P523" s="25"/>
      <c r="Q523" s="25"/>
    </row>
    <row r="524" spans="1:17" s="20" customFormat="1" x14ac:dyDescent="0.25">
      <c r="A524" s="9"/>
      <c r="B524" s="28"/>
      <c r="C524" s="28"/>
      <c r="D524" s="28"/>
      <c r="E524" s="28"/>
      <c r="F524" s="31"/>
      <c r="G524" s="21"/>
      <c r="H524" s="22"/>
      <c r="I524" s="23"/>
      <c r="J524" s="24"/>
      <c r="K524" s="25"/>
      <c r="L524" s="23"/>
      <c r="M524" s="23"/>
      <c r="N524" s="24"/>
      <c r="O524" s="24"/>
      <c r="P524" s="25"/>
      <c r="Q524" s="25"/>
    </row>
    <row r="525" spans="1:17" s="20" customFormat="1" x14ac:dyDescent="0.25">
      <c r="A525" s="9"/>
      <c r="B525" s="28"/>
      <c r="C525" s="28"/>
      <c r="D525" s="28"/>
      <c r="E525" s="28"/>
      <c r="F525" s="31"/>
      <c r="G525" s="21"/>
      <c r="H525" s="22"/>
      <c r="I525" s="23"/>
      <c r="J525" s="24"/>
      <c r="K525" s="25"/>
      <c r="L525" s="23"/>
      <c r="M525" s="23"/>
      <c r="N525" s="24"/>
      <c r="O525" s="24"/>
      <c r="P525" s="25"/>
      <c r="Q525" s="25"/>
    </row>
    <row r="526" spans="1:17" s="20" customFormat="1" x14ac:dyDescent="0.25">
      <c r="A526" s="9"/>
      <c r="B526" s="28"/>
      <c r="C526" s="28"/>
      <c r="D526" s="28"/>
      <c r="E526" s="28"/>
      <c r="F526" s="31"/>
      <c r="G526" s="21"/>
      <c r="H526" s="22"/>
      <c r="I526" s="23"/>
      <c r="J526" s="24"/>
      <c r="K526" s="25"/>
      <c r="L526" s="23"/>
      <c r="M526" s="23"/>
      <c r="N526" s="24"/>
      <c r="O526" s="24"/>
      <c r="P526" s="25"/>
      <c r="Q526" s="25"/>
    </row>
    <row r="527" spans="1:17" s="20" customFormat="1" x14ac:dyDescent="0.25">
      <c r="A527" s="9"/>
      <c r="B527" s="28"/>
      <c r="C527" s="28"/>
      <c r="D527" s="28"/>
      <c r="E527" s="28"/>
      <c r="F527" s="31"/>
      <c r="G527" s="21"/>
      <c r="H527" s="22"/>
      <c r="I527" s="23"/>
      <c r="J527" s="24"/>
      <c r="K527" s="25"/>
      <c r="L527" s="23"/>
      <c r="M527" s="23"/>
      <c r="N527" s="24"/>
      <c r="O527" s="24"/>
      <c r="P527" s="25"/>
      <c r="Q527" s="25"/>
    </row>
    <row r="528" spans="1:17" s="20" customFormat="1" x14ac:dyDescent="0.25">
      <c r="A528" s="9"/>
      <c r="B528" s="28"/>
      <c r="C528" s="28"/>
      <c r="D528" s="28"/>
      <c r="E528" s="28"/>
      <c r="F528" s="31"/>
      <c r="G528" s="21"/>
      <c r="H528" s="22"/>
      <c r="I528" s="23"/>
      <c r="J528" s="24"/>
      <c r="K528" s="25"/>
      <c r="L528" s="23"/>
      <c r="M528" s="23"/>
      <c r="N528" s="24"/>
      <c r="O528" s="24"/>
      <c r="P528" s="25"/>
      <c r="Q528" s="25"/>
    </row>
    <row r="529" spans="1:17" s="20" customFormat="1" x14ac:dyDescent="0.25">
      <c r="A529" s="9"/>
      <c r="B529" s="28"/>
      <c r="C529" s="28"/>
      <c r="D529" s="28"/>
      <c r="E529" s="28"/>
      <c r="F529" s="31"/>
      <c r="G529" s="21"/>
      <c r="H529" s="22"/>
      <c r="I529" s="23"/>
      <c r="J529" s="24"/>
      <c r="K529" s="25"/>
      <c r="L529" s="23"/>
      <c r="M529" s="23"/>
      <c r="N529" s="24"/>
      <c r="O529" s="24"/>
      <c r="P529" s="25"/>
      <c r="Q529" s="25"/>
    </row>
    <row r="530" spans="1:17" s="20" customFormat="1" x14ac:dyDescent="0.25">
      <c r="A530" s="9"/>
      <c r="B530" s="28"/>
      <c r="C530" s="28"/>
      <c r="D530" s="28"/>
      <c r="E530" s="28"/>
      <c r="F530" s="31"/>
      <c r="G530" s="21"/>
      <c r="H530" s="22"/>
      <c r="I530" s="23"/>
      <c r="J530" s="24"/>
      <c r="K530" s="25"/>
      <c r="L530" s="23"/>
      <c r="M530" s="23"/>
      <c r="N530" s="24"/>
      <c r="O530" s="24"/>
      <c r="P530" s="25"/>
      <c r="Q530" s="25"/>
    </row>
    <row r="531" spans="1:17" s="20" customFormat="1" x14ac:dyDescent="0.25">
      <c r="A531" s="9"/>
      <c r="B531" s="28"/>
      <c r="C531" s="28"/>
      <c r="D531" s="28"/>
      <c r="E531" s="28"/>
      <c r="F531" s="31"/>
      <c r="G531" s="21"/>
      <c r="H531" s="22"/>
      <c r="I531" s="23"/>
      <c r="J531" s="24"/>
      <c r="K531" s="25"/>
      <c r="L531" s="23"/>
      <c r="M531" s="23"/>
      <c r="N531" s="24"/>
      <c r="O531" s="24"/>
      <c r="P531" s="25"/>
      <c r="Q531" s="25"/>
    </row>
    <row r="532" spans="1:17" s="20" customFormat="1" x14ac:dyDescent="0.25">
      <c r="A532" s="9"/>
      <c r="B532" s="28"/>
      <c r="C532" s="28"/>
      <c r="D532" s="28"/>
      <c r="E532" s="28"/>
      <c r="F532" s="31"/>
      <c r="G532" s="21"/>
      <c r="H532" s="22"/>
      <c r="I532" s="23"/>
      <c r="J532" s="24"/>
      <c r="K532" s="25"/>
      <c r="L532" s="23"/>
      <c r="M532" s="23"/>
      <c r="N532" s="24"/>
      <c r="O532" s="24"/>
      <c r="P532" s="25"/>
      <c r="Q532" s="25"/>
    </row>
    <row r="533" spans="1:17" s="20" customFormat="1" x14ac:dyDescent="0.25">
      <c r="A533" s="9"/>
      <c r="B533" s="28"/>
      <c r="C533" s="28"/>
      <c r="D533" s="28"/>
      <c r="E533" s="28"/>
      <c r="F533" s="31"/>
      <c r="G533" s="21"/>
      <c r="H533" s="22"/>
      <c r="I533" s="23"/>
      <c r="J533" s="24"/>
      <c r="K533" s="25"/>
      <c r="L533" s="23"/>
      <c r="M533" s="23"/>
      <c r="N533" s="24"/>
      <c r="O533" s="24"/>
      <c r="P533" s="25"/>
      <c r="Q533" s="25"/>
    </row>
    <row r="534" spans="1:17" s="20" customFormat="1" x14ac:dyDescent="0.25">
      <c r="A534" s="9"/>
      <c r="B534" s="28"/>
      <c r="C534" s="28"/>
      <c r="D534" s="28"/>
      <c r="E534" s="28"/>
      <c r="F534" s="31"/>
      <c r="G534" s="21"/>
      <c r="H534" s="22"/>
      <c r="I534" s="23"/>
      <c r="J534" s="24"/>
      <c r="K534" s="25"/>
      <c r="L534" s="23"/>
      <c r="M534" s="23"/>
      <c r="N534" s="24"/>
      <c r="O534" s="24"/>
      <c r="P534" s="25"/>
      <c r="Q534" s="25"/>
    </row>
    <row r="535" spans="1:17" s="20" customFormat="1" x14ac:dyDescent="0.25">
      <c r="A535" s="9"/>
      <c r="B535" s="28"/>
      <c r="C535" s="28"/>
      <c r="D535" s="28"/>
      <c r="E535" s="28"/>
      <c r="F535" s="31"/>
      <c r="G535" s="21"/>
      <c r="H535" s="22"/>
      <c r="I535" s="23"/>
      <c r="J535" s="24"/>
      <c r="K535" s="25"/>
      <c r="L535" s="23"/>
      <c r="M535" s="23"/>
      <c r="N535" s="24"/>
      <c r="O535" s="24"/>
      <c r="P535" s="25"/>
      <c r="Q535" s="25"/>
    </row>
    <row r="536" spans="1:17" s="20" customFormat="1" x14ac:dyDescent="0.25">
      <c r="A536" s="9"/>
      <c r="B536" s="28"/>
      <c r="C536" s="28"/>
      <c r="D536" s="28"/>
      <c r="E536" s="28"/>
      <c r="F536" s="31"/>
      <c r="G536" s="21"/>
      <c r="H536" s="22"/>
      <c r="I536" s="23"/>
      <c r="J536" s="24"/>
      <c r="K536" s="25"/>
      <c r="L536" s="23"/>
      <c r="M536" s="23"/>
      <c r="N536" s="24"/>
      <c r="O536" s="24"/>
      <c r="P536" s="25"/>
      <c r="Q536" s="25"/>
    </row>
    <row r="537" spans="1:17" s="20" customFormat="1" x14ac:dyDescent="0.25">
      <c r="A537" s="9"/>
      <c r="B537" s="28"/>
      <c r="C537" s="28"/>
      <c r="D537" s="28"/>
      <c r="E537" s="28"/>
      <c r="F537" s="31"/>
      <c r="G537" s="21"/>
      <c r="H537" s="22"/>
      <c r="I537" s="23"/>
      <c r="J537" s="24"/>
      <c r="K537" s="25"/>
      <c r="L537" s="23"/>
      <c r="M537" s="23"/>
      <c r="N537" s="24"/>
      <c r="O537" s="24"/>
      <c r="P537" s="25"/>
      <c r="Q537" s="25"/>
    </row>
    <row r="538" spans="1:17" s="20" customFormat="1" x14ac:dyDescent="0.25">
      <c r="A538" s="9"/>
      <c r="B538" s="28"/>
      <c r="C538" s="28"/>
      <c r="D538" s="28"/>
      <c r="E538" s="28"/>
      <c r="F538" s="31"/>
      <c r="G538" s="21"/>
      <c r="H538" s="22"/>
      <c r="I538" s="23"/>
      <c r="J538" s="24"/>
      <c r="K538" s="25"/>
      <c r="L538" s="23"/>
      <c r="M538" s="23"/>
      <c r="N538" s="24"/>
      <c r="O538" s="24"/>
      <c r="P538" s="25"/>
      <c r="Q538" s="25"/>
    </row>
    <row r="539" spans="1:17" s="20" customFormat="1" x14ac:dyDescent="0.25">
      <c r="A539" s="9"/>
      <c r="B539" s="28"/>
      <c r="C539" s="28"/>
      <c r="D539" s="28"/>
      <c r="E539" s="28"/>
      <c r="F539" s="31"/>
      <c r="G539" s="21"/>
      <c r="H539" s="22"/>
      <c r="I539" s="23"/>
      <c r="J539" s="24"/>
      <c r="K539" s="25"/>
      <c r="L539" s="23"/>
      <c r="M539" s="23"/>
      <c r="N539" s="24"/>
      <c r="O539" s="24"/>
      <c r="P539" s="25"/>
      <c r="Q539" s="25"/>
    </row>
    <row r="540" spans="1:17" s="20" customFormat="1" x14ac:dyDescent="0.25">
      <c r="A540" s="9"/>
      <c r="B540" s="28"/>
      <c r="C540" s="28"/>
      <c r="D540" s="28"/>
      <c r="E540" s="28"/>
      <c r="F540" s="31"/>
      <c r="G540" s="21"/>
      <c r="H540" s="22"/>
      <c r="I540" s="23"/>
      <c r="J540" s="24"/>
      <c r="K540" s="25"/>
      <c r="L540" s="23"/>
      <c r="M540" s="23"/>
      <c r="N540" s="24"/>
      <c r="O540" s="24"/>
      <c r="P540" s="25"/>
      <c r="Q540" s="25"/>
    </row>
    <row r="541" spans="1:17" s="20" customFormat="1" x14ac:dyDescent="0.25">
      <c r="A541" s="9"/>
      <c r="B541" s="28"/>
      <c r="C541" s="28"/>
      <c r="D541" s="28"/>
      <c r="E541" s="28"/>
      <c r="F541" s="31"/>
      <c r="G541" s="21"/>
      <c r="H541" s="22"/>
      <c r="I541" s="23"/>
      <c r="J541" s="24"/>
      <c r="K541" s="25"/>
      <c r="L541" s="23"/>
      <c r="M541" s="23"/>
      <c r="N541" s="24"/>
      <c r="O541" s="24"/>
      <c r="P541" s="25"/>
      <c r="Q541" s="25"/>
    </row>
    <row r="542" spans="1:17" s="20" customFormat="1" x14ac:dyDescent="0.25">
      <c r="A542" s="9"/>
      <c r="B542" s="28"/>
      <c r="C542" s="28"/>
      <c r="D542" s="28"/>
      <c r="E542" s="28"/>
      <c r="F542" s="31"/>
      <c r="G542" s="21"/>
      <c r="H542" s="22"/>
      <c r="I542" s="23"/>
      <c r="J542" s="24"/>
      <c r="K542" s="25"/>
      <c r="L542" s="23"/>
      <c r="M542" s="23"/>
      <c r="N542" s="24"/>
      <c r="O542" s="24"/>
      <c r="P542" s="25"/>
      <c r="Q542" s="25"/>
    </row>
    <row r="543" spans="1:17" s="20" customFormat="1" x14ac:dyDescent="0.25">
      <c r="A543" s="9"/>
      <c r="B543" s="28"/>
      <c r="C543" s="28"/>
      <c r="D543" s="28"/>
      <c r="E543" s="28"/>
      <c r="F543" s="31"/>
      <c r="G543" s="21"/>
      <c r="H543" s="22"/>
      <c r="I543" s="23"/>
      <c r="J543" s="24"/>
      <c r="K543" s="25"/>
      <c r="L543" s="23"/>
      <c r="M543" s="23"/>
      <c r="N543" s="24"/>
      <c r="O543" s="24"/>
      <c r="P543" s="25"/>
      <c r="Q543" s="25"/>
    </row>
    <row r="544" spans="1:17" s="20" customFormat="1" x14ac:dyDescent="0.25">
      <c r="A544" s="9"/>
      <c r="B544" s="28"/>
      <c r="C544" s="28"/>
      <c r="D544" s="28"/>
      <c r="E544" s="28"/>
      <c r="F544" s="31"/>
      <c r="G544" s="21"/>
      <c r="H544" s="22"/>
      <c r="I544" s="23"/>
      <c r="J544" s="24"/>
      <c r="K544" s="25"/>
      <c r="L544" s="23"/>
      <c r="M544" s="23"/>
      <c r="N544" s="24"/>
      <c r="O544" s="24"/>
      <c r="P544" s="25"/>
      <c r="Q544" s="25"/>
    </row>
    <row r="545" spans="1:17" s="20" customFormat="1" x14ac:dyDescent="0.25">
      <c r="A545" s="9"/>
      <c r="B545" s="28"/>
      <c r="C545" s="28"/>
      <c r="D545" s="28"/>
      <c r="E545" s="28"/>
      <c r="F545" s="31"/>
      <c r="G545" s="21"/>
      <c r="H545" s="22"/>
      <c r="I545" s="23"/>
      <c r="J545" s="24"/>
      <c r="K545" s="25"/>
      <c r="L545" s="23"/>
      <c r="M545" s="23"/>
      <c r="N545" s="24"/>
      <c r="O545" s="24"/>
      <c r="P545" s="25"/>
      <c r="Q545" s="25"/>
    </row>
    <row r="546" spans="1:17" s="20" customFormat="1" x14ac:dyDescent="0.25">
      <c r="A546" s="9"/>
      <c r="B546" s="28"/>
      <c r="C546" s="28"/>
      <c r="D546" s="28"/>
      <c r="E546" s="28"/>
      <c r="F546" s="31"/>
      <c r="G546" s="21"/>
      <c r="H546" s="22"/>
      <c r="I546" s="23"/>
      <c r="J546" s="24"/>
      <c r="K546" s="25"/>
      <c r="L546" s="23"/>
      <c r="M546" s="23"/>
      <c r="N546" s="24"/>
      <c r="O546" s="24"/>
      <c r="P546" s="25"/>
      <c r="Q546" s="25"/>
    </row>
    <row r="547" spans="1:17" s="20" customFormat="1" x14ac:dyDescent="0.25">
      <c r="A547" s="9"/>
      <c r="B547" s="28"/>
      <c r="C547" s="28"/>
      <c r="D547" s="28"/>
      <c r="E547" s="28"/>
      <c r="F547" s="31"/>
      <c r="G547" s="21"/>
      <c r="H547" s="22"/>
      <c r="I547" s="23"/>
      <c r="J547" s="24"/>
      <c r="K547" s="25"/>
      <c r="L547" s="23"/>
      <c r="M547" s="23"/>
      <c r="N547" s="24"/>
      <c r="O547" s="24"/>
      <c r="P547" s="25"/>
      <c r="Q547" s="25"/>
    </row>
    <row r="548" spans="1:17" s="20" customFormat="1" x14ac:dyDescent="0.25">
      <c r="A548" s="9"/>
      <c r="B548" s="28"/>
      <c r="C548" s="28"/>
      <c r="D548" s="28"/>
      <c r="E548" s="28"/>
      <c r="F548" s="31"/>
      <c r="G548" s="21"/>
      <c r="H548" s="22"/>
      <c r="I548" s="23"/>
      <c r="J548" s="24"/>
      <c r="K548" s="25"/>
      <c r="L548" s="23"/>
      <c r="M548" s="23"/>
      <c r="N548" s="24"/>
      <c r="O548" s="24"/>
      <c r="P548" s="25"/>
      <c r="Q548" s="25"/>
    </row>
    <row r="549" spans="1:17" s="20" customFormat="1" x14ac:dyDescent="0.25">
      <c r="A549" s="9"/>
      <c r="B549" s="28"/>
      <c r="C549" s="28"/>
      <c r="D549" s="28"/>
      <c r="E549" s="28"/>
      <c r="F549" s="31"/>
      <c r="G549" s="21"/>
      <c r="H549" s="22"/>
      <c r="I549" s="23"/>
      <c r="J549" s="24"/>
      <c r="K549" s="25"/>
      <c r="L549" s="23"/>
      <c r="M549" s="23"/>
      <c r="N549" s="24"/>
      <c r="O549" s="24"/>
      <c r="P549" s="25"/>
      <c r="Q549" s="25"/>
    </row>
    <row r="550" spans="1:17" s="20" customFormat="1" x14ac:dyDescent="0.25">
      <c r="A550" s="9"/>
      <c r="B550" s="28"/>
      <c r="C550" s="28"/>
      <c r="D550" s="28"/>
      <c r="E550" s="28"/>
      <c r="F550" s="31"/>
      <c r="G550" s="21"/>
      <c r="H550" s="22"/>
      <c r="I550" s="23"/>
      <c r="J550" s="24"/>
      <c r="K550" s="25"/>
      <c r="L550" s="23"/>
      <c r="M550" s="23"/>
      <c r="N550" s="24"/>
      <c r="O550" s="24"/>
      <c r="P550" s="25"/>
      <c r="Q550" s="25"/>
    </row>
    <row r="551" spans="1:17" s="20" customFormat="1" x14ac:dyDescent="0.25">
      <c r="A551" s="9"/>
      <c r="B551" s="28"/>
      <c r="C551" s="28"/>
      <c r="D551" s="28"/>
      <c r="E551" s="28"/>
      <c r="F551" s="31"/>
      <c r="G551" s="21"/>
      <c r="H551" s="22"/>
      <c r="I551" s="23"/>
      <c r="J551" s="24"/>
      <c r="K551" s="25"/>
      <c r="L551" s="23"/>
      <c r="M551" s="23"/>
      <c r="N551" s="24"/>
      <c r="O551" s="24"/>
      <c r="P551" s="25"/>
      <c r="Q551" s="25"/>
    </row>
    <row r="552" spans="1:17" s="20" customFormat="1" x14ac:dyDescent="0.25">
      <c r="A552" s="9"/>
      <c r="B552" s="28"/>
      <c r="C552" s="28"/>
      <c r="D552" s="28"/>
      <c r="E552" s="28"/>
      <c r="F552" s="31"/>
      <c r="G552" s="21"/>
      <c r="H552" s="22"/>
      <c r="I552" s="23"/>
      <c r="J552" s="24"/>
      <c r="K552" s="25"/>
      <c r="L552" s="23"/>
      <c r="M552" s="23"/>
      <c r="N552" s="24"/>
      <c r="O552" s="24"/>
      <c r="P552" s="25"/>
      <c r="Q552" s="25"/>
    </row>
    <row r="553" spans="1:17" s="20" customFormat="1" x14ac:dyDescent="0.25">
      <c r="A553" s="9"/>
      <c r="B553" s="28"/>
      <c r="C553" s="28"/>
      <c r="D553" s="28"/>
      <c r="E553" s="28"/>
      <c r="F553" s="31"/>
      <c r="G553" s="21"/>
      <c r="H553" s="22"/>
      <c r="I553" s="23"/>
      <c r="J553" s="24"/>
      <c r="K553" s="25"/>
      <c r="L553" s="23"/>
      <c r="M553" s="23"/>
      <c r="N553" s="24"/>
      <c r="O553" s="24"/>
      <c r="P553" s="25"/>
      <c r="Q553" s="25"/>
    </row>
    <row r="554" spans="1:17" s="20" customFormat="1" x14ac:dyDescent="0.25">
      <c r="A554" s="9"/>
      <c r="B554" s="28"/>
      <c r="C554" s="28"/>
      <c r="D554" s="28"/>
      <c r="E554" s="28"/>
      <c r="F554" s="31"/>
      <c r="G554" s="21"/>
      <c r="H554" s="22"/>
      <c r="I554" s="23"/>
      <c r="J554" s="24"/>
      <c r="K554" s="25"/>
      <c r="L554" s="23"/>
      <c r="M554" s="23"/>
      <c r="N554" s="24"/>
      <c r="O554" s="24"/>
      <c r="P554" s="25"/>
      <c r="Q554" s="25"/>
    </row>
    <row r="555" spans="1:17" s="20" customFormat="1" x14ac:dyDescent="0.25">
      <c r="A555" s="9"/>
      <c r="B555" s="28"/>
      <c r="C555" s="28"/>
      <c r="D555" s="28"/>
      <c r="E555" s="28"/>
      <c r="F555" s="31"/>
      <c r="G555" s="21"/>
      <c r="H555" s="22"/>
      <c r="I555" s="23"/>
      <c r="J555" s="24"/>
      <c r="K555" s="25"/>
      <c r="L555" s="23"/>
      <c r="M555" s="23"/>
      <c r="N555" s="24"/>
      <c r="O555" s="24"/>
      <c r="P555" s="25"/>
      <c r="Q555" s="25"/>
    </row>
    <row r="556" spans="1:17" s="20" customFormat="1" x14ac:dyDescent="0.25">
      <c r="A556" s="9"/>
      <c r="B556" s="28"/>
      <c r="C556" s="28"/>
      <c r="D556" s="28"/>
      <c r="E556" s="28"/>
      <c r="F556" s="31"/>
      <c r="G556" s="21"/>
      <c r="H556" s="22"/>
      <c r="I556" s="23"/>
      <c r="J556" s="24"/>
      <c r="K556" s="25"/>
      <c r="L556" s="23"/>
      <c r="M556" s="23"/>
      <c r="N556" s="24"/>
      <c r="O556" s="24"/>
      <c r="P556" s="25"/>
      <c r="Q556" s="25"/>
    </row>
    <row r="557" spans="1:17" s="20" customFormat="1" x14ac:dyDescent="0.25">
      <c r="A557" s="9"/>
      <c r="B557" s="28"/>
      <c r="C557" s="28"/>
      <c r="D557" s="28"/>
      <c r="E557" s="28"/>
      <c r="F557" s="31"/>
      <c r="G557" s="21"/>
      <c r="H557" s="22"/>
      <c r="I557" s="23"/>
      <c r="J557" s="24"/>
      <c r="K557" s="25"/>
      <c r="L557" s="23"/>
      <c r="M557" s="23"/>
      <c r="N557" s="24"/>
      <c r="O557" s="24"/>
      <c r="P557" s="25"/>
      <c r="Q557" s="25"/>
    </row>
    <row r="558" spans="1:17" s="20" customFormat="1" x14ac:dyDescent="0.25">
      <c r="A558" s="9"/>
      <c r="B558" s="28"/>
      <c r="C558" s="28"/>
      <c r="D558" s="28"/>
      <c r="E558" s="28"/>
      <c r="F558" s="31"/>
      <c r="G558" s="21"/>
      <c r="H558" s="22"/>
      <c r="I558" s="23"/>
      <c r="J558" s="24"/>
      <c r="K558" s="25"/>
      <c r="L558" s="23"/>
      <c r="M558" s="23"/>
      <c r="N558" s="24"/>
      <c r="O558" s="24"/>
      <c r="P558" s="25"/>
      <c r="Q558" s="25"/>
    </row>
    <row r="559" spans="1:17" s="20" customFormat="1" x14ac:dyDescent="0.25">
      <c r="A559" s="9"/>
      <c r="B559" s="28"/>
      <c r="C559" s="28"/>
      <c r="D559" s="28"/>
      <c r="E559" s="28"/>
      <c r="F559" s="31"/>
      <c r="G559" s="21"/>
      <c r="H559" s="22"/>
      <c r="I559" s="23"/>
      <c r="J559" s="24"/>
      <c r="K559" s="25"/>
      <c r="L559" s="23"/>
      <c r="M559" s="23"/>
      <c r="N559" s="24"/>
      <c r="O559" s="24"/>
      <c r="P559" s="25"/>
      <c r="Q559" s="25"/>
    </row>
    <row r="560" spans="1:17" s="20" customFormat="1" x14ac:dyDescent="0.25">
      <c r="A560" s="9"/>
      <c r="B560" s="28"/>
      <c r="C560" s="28"/>
      <c r="D560" s="28"/>
      <c r="E560" s="28"/>
      <c r="F560" s="31"/>
      <c r="G560" s="21"/>
      <c r="H560" s="22"/>
      <c r="I560" s="23"/>
      <c r="J560" s="24"/>
      <c r="K560" s="25"/>
      <c r="L560" s="23"/>
      <c r="M560" s="23"/>
      <c r="N560" s="24"/>
      <c r="O560" s="24"/>
      <c r="P560" s="25"/>
      <c r="Q560" s="25"/>
    </row>
    <row r="561" spans="1:17" s="20" customFormat="1" x14ac:dyDescent="0.25">
      <c r="A561" s="9"/>
      <c r="B561" s="28"/>
      <c r="C561" s="28"/>
      <c r="D561" s="28"/>
      <c r="E561" s="28"/>
      <c r="F561" s="31"/>
      <c r="G561" s="21"/>
      <c r="H561" s="22"/>
      <c r="I561" s="23"/>
      <c r="J561" s="24"/>
      <c r="K561" s="25"/>
      <c r="L561" s="23"/>
      <c r="M561" s="23"/>
      <c r="N561" s="24"/>
      <c r="O561" s="24"/>
      <c r="P561" s="25"/>
      <c r="Q561" s="25"/>
    </row>
    <row r="562" spans="1:17" s="20" customFormat="1" x14ac:dyDescent="0.25">
      <c r="A562" s="9"/>
      <c r="B562" s="28"/>
      <c r="C562" s="28"/>
      <c r="D562" s="28"/>
      <c r="E562" s="28"/>
      <c r="F562" s="31"/>
      <c r="G562" s="21"/>
      <c r="H562" s="22"/>
      <c r="I562" s="23"/>
      <c r="J562" s="24"/>
      <c r="K562" s="25"/>
      <c r="L562" s="23"/>
      <c r="M562" s="23"/>
      <c r="N562" s="24"/>
      <c r="O562" s="24"/>
      <c r="P562" s="25"/>
      <c r="Q562" s="25"/>
    </row>
    <row r="563" spans="1:17" s="20" customFormat="1" x14ac:dyDescent="0.25">
      <c r="A563" s="9"/>
      <c r="B563" s="28"/>
      <c r="C563" s="28"/>
      <c r="D563" s="28"/>
      <c r="E563" s="28"/>
      <c r="F563" s="31"/>
      <c r="G563" s="21"/>
      <c r="H563" s="22"/>
      <c r="I563" s="23"/>
      <c r="J563" s="24"/>
      <c r="K563" s="25"/>
      <c r="L563" s="23"/>
      <c r="M563" s="23"/>
      <c r="N563" s="24"/>
      <c r="O563" s="24"/>
      <c r="P563" s="25"/>
      <c r="Q563" s="25"/>
    </row>
    <row r="564" spans="1:17" s="20" customFormat="1" x14ac:dyDescent="0.25">
      <c r="A564" s="9"/>
      <c r="B564" s="28"/>
      <c r="C564" s="28"/>
      <c r="D564" s="28"/>
      <c r="E564" s="28"/>
      <c r="F564" s="31"/>
      <c r="G564" s="21"/>
      <c r="H564" s="22"/>
      <c r="I564" s="23"/>
      <c r="J564" s="24"/>
      <c r="K564" s="25"/>
      <c r="L564" s="23"/>
      <c r="M564" s="23"/>
      <c r="N564" s="24"/>
      <c r="O564" s="24"/>
      <c r="P564" s="25"/>
      <c r="Q564" s="25"/>
    </row>
    <row r="565" spans="1:17" s="20" customFormat="1" x14ac:dyDescent="0.25">
      <c r="A565" s="9"/>
      <c r="B565" s="28"/>
      <c r="C565" s="28"/>
      <c r="D565" s="28"/>
      <c r="E565" s="28"/>
      <c r="F565" s="31"/>
      <c r="G565" s="21"/>
      <c r="H565" s="22"/>
      <c r="I565" s="23"/>
      <c r="J565" s="24"/>
      <c r="K565" s="25"/>
      <c r="L565" s="23"/>
      <c r="M565" s="23"/>
      <c r="N565" s="24"/>
      <c r="O565" s="24"/>
      <c r="P565" s="25"/>
      <c r="Q565" s="25"/>
    </row>
    <row r="566" spans="1:17" s="20" customFormat="1" x14ac:dyDescent="0.25">
      <c r="A566" s="9"/>
      <c r="B566" s="28"/>
      <c r="C566" s="28"/>
      <c r="D566" s="28"/>
      <c r="E566" s="28"/>
      <c r="F566" s="31"/>
      <c r="G566" s="21"/>
      <c r="H566" s="22"/>
      <c r="I566" s="23"/>
      <c r="J566" s="24"/>
      <c r="K566" s="25"/>
      <c r="L566" s="23"/>
      <c r="M566" s="23"/>
      <c r="N566" s="24"/>
      <c r="O566" s="24"/>
      <c r="P566" s="25"/>
      <c r="Q566" s="25"/>
    </row>
    <row r="567" spans="1:17" s="20" customFormat="1" x14ac:dyDescent="0.25">
      <c r="A567" s="9"/>
      <c r="B567" s="28"/>
      <c r="C567" s="28"/>
      <c r="D567" s="28"/>
      <c r="E567" s="28"/>
      <c r="F567" s="31"/>
      <c r="G567" s="21"/>
      <c r="H567" s="22"/>
      <c r="I567" s="23"/>
      <c r="J567" s="24"/>
      <c r="K567" s="25"/>
      <c r="L567" s="23"/>
      <c r="M567" s="23"/>
      <c r="N567" s="24"/>
      <c r="O567" s="24"/>
      <c r="P567" s="25"/>
      <c r="Q567" s="25"/>
    </row>
    <row r="568" spans="1:17" s="20" customFormat="1" x14ac:dyDescent="0.25">
      <c r="A568" s="9"/>
      <c r="B568" s="28"/>
      <c r="C568" s="28"/>
      <c r="D568" s="28"/>
      <c r="E568" s="28"/>
      <c r="F568" s="31"/>
      <c r="G568" s="21"/>
      <c r="H568" s="22"/>
      <c r="I568" s="23"/>
      <c r="J568" s="24"/>
      <c r="K568" s="25"/>
      <c r="L568" s="23"/>
      <c r="M568" s="23"/>
      <c r="N568" s="24"/>
      <c r="O568" s="24"/>
      <c r="P568" s="25"/>
      <c r="Q568" s="25"/>
    </row>
    <row r="569" spans="1:17" s="20" customFormat="1" x14ac:dyDescent="0.25">
      <c r="A569" s="9"/>
      <c r="B569" s="28"/>
      <c r="C569" s="28"/>
      <c r="D569" s="28"/>
      <c r="E569" s="28"/>
      <c r="F569" s="31"/>
      <c r="G569" s="21"/>
      <c r="H569" s="22"/>
      <c r="I569" s="23"/>
      <c r="J569" s="24"/>
      <c r="K569" s="25"/>
      <c r="L569" s="23"/>
      <c r="M569" s="23"/>
      <c r="N569" s="24"/>
      <c r="O569" s="24"/>
      <c r="P569" s="25"/>
      <c r="Q569" s="25"/>
    </row>
    <row r="570" spans="1:17" s="20" customFormat="1" x14ac:dyDescent="0.25">
      <c r="A570" s="9"/>
      <c r="B570" s="28"/>
      <c r="C570" s="28"/>
      <c r="D570" s="28"/>
      <c r="E570" s="28"/>
      <c r="F570" s="31"/>
      <c r="G570" s="21"/>
      <c r="H570" s="22"/>
      <c r="I570" s="23"/>
      <c r="J570" s="24"/>
      <c r="K570" s="25"/>
      <c r="L570" s="23"/>
      <c r="M570" s="23"/>
      <c r="N570" s="24"/>
      <c r="O570" s="24"/>
      <c r="P570" s="25"/>
      <c r="Q570" s="25"/>
    </row>
    <row r="571" spans="1:17" s="20" customFormat="1" x14ac:dyDescent="0.25">
      <c r="A571" s="9"/>
      <c r="B571" s="28"/>
      <c r="C571" s="28"/>
      <c r="D571" s="28"/>
      <c r="E571" s="28"/>
      <c r="F571" s="31"/>
      <c r="G571" s="21"/>
      <c r="H571" s="22"/>
      <c r="I571" s="23"/>
      <c r="J571" s="24"/>
      <c r="K571" s="25"/>
      <c r="L571" s="23"/>
      <c r="M571" s="23"/>
      <c r="N571" s="24"/>
      <c r="O571" s="24"/>
      <c r="P571" s="25"/>
      <c r="Q571" s="25"/>
    </row>
    <row r="572" spans="1:17" s="20" customFormat="1" x14ac:dyDescent="0.25">
      <c r="A572" s="9"/>
      <c r="B572" s="28"/>
      <c r="C572" s="28"/>
      <c r="D572" s="28"/>
      <c r="E572" s="28"/>
      <c r="F572" s="31"/>
      <c r="G572" s="21"/>
      <c r="H572" s="22"/>
      <c r="I572" s="23"/>
      <c r="J572" s="24"/>
      <c r="K572" s="25"/>
      <c r="L572" s="23"/>
      <c r="M572" s="23"/>
      <c r="N572" s="24"/>
      <c r="O572" s="24"/>
      <c r="P572" s="25"/>
      <c r="Q572" s="25"/>
    </row>
    <row r="573" spans="1:17" s="20" customFormat="1" x14ac:dyDescent="0.25">
      <c r="A573" s="9"/>
      <c r="B573" s="28"/>
      <c r="C573" s="28"/>
      <c r="D573" s="28"/>
      <c r="E573" s="28"/>
      <c r="F573" s="31"/>
      <c r="G573" s="21"/>
      <c r="H573" s="22"/>
      <c r="I573" s="23"/>
      <c r="J573" s="24"/>
      <c r="K573" s="25"/>
      <c r="L573" s="23"/>
      <c r="M573" s="23"/>
      <c r="N573" s="24"/>
      <c r="O573" s="24"/>
      <c r="P573" s="25"/>
      <c r="Q573" s="25"/>
    </row>
    <row r="574" spans="1:17" s="20" customFormat="1" x14ac:dyDescent="0.25">
      <c r="A574" s="9"/>
      <c r="B574" s="28"/>
      <c r="C574" s="28"/>
      <c r="D574" s="28"/>
      <c r="E574" s="28"/>
      <c r="F574" s="31"/>
      <c r="G574" s="21"/>
      <c r="H574" s="22"/>
      <c r="I574" s="23"/>
      <c r="J574" s="24"/>
      <c r="K574" s="25"/>
      <c r="L574" s="23"/>
      <c r="M574" s="23"/>
      <c r="N574" s="24"/>
      <c r="O574" s="24"/>
      <c r="P574" s="25"/>
      <c r="Q574" s="25"/>
    </row>
    <row r="575" spans="1:17" s="20" customFormat="1" x14ac:dyDescent="0.25">
      <c r="A575" s="9"/>
      <c r="B575" s="28"/>
      <c r="C575" s="28"/>
      <c r="D575" s="28"/>
      <c r="E575" s="28"/>
      <c r="F575" s="31"/>
      <c r="G575" s="21"/>
      <c r="H575" s="22"/>
      <c r="I575" s="23"/>
      <c r="J575" s="24"/>
      <c r="K575" s="25"/>
      <c r="L575" s="23"/>
      <c r="M575" s="23"/>
      <c r="N575" s="24"/>
      <c r="O575" s="24"/>
      <c r="P575" s="25"/>
      <c r="Q575" s="25"/>
    </row>
    <row r="576" spans="1:17" s="20" customFormat="1" x14ac:dyDescent="0.25">
      <c r="A576" s="9"/>
      <c r="B576" s="28"/>
      <c r="C576" s="28"/>
      <c r="D576" s="28"/>
      <c r="E576" s="28"/>
      <c r="F576" s="31"/>
      <c r="G576" s="21"/>
      <c r="H576" s="22"/>
      <c r="I576" s="23"/>
      <c r="J576" s="24"/>
      <c r="K576" s="25"/>
      <c r="L576" s="23"/>
      <c r="M576" s="23"/>
      <c r="N576" s="24"/>
      <c r="O576" s="24"/>
      <c r="P576" s="25"/>
      <c r="Q576" s="25"/>
    </row>
    <row r="577" spans="1:17" s="20" customFormat="1" x14ac:dyDescent="0.25">
      <c r="A577" s="9"/>
      <c r="B577" s="28"/>
      <c r="C577" s="28"/>
      <c r="D577" s="28"/>
      <c r="E577" s="28"/>
      <c r="F577" s="31"/>
      <c r="G577" s="21"/>
      <c r="H577" s="22"/>
      <c r="I577" s="23"/>
      <c r="J577" s="24"/>
      <c r="K577" s="25"/>
      <c r="L577" s="23"/>
      <c r="M577" s="23"/>
      <c r="N577" s="24"/>
      <c r="O577" s="24"/>
      <c r="P577" s="25"/>
      <c r="Q577" s="25"/>
    </row>
    <row r="578" spans="1:17" s="20" customFormat="1" x14ac:dyDescent="0.25">
      <c r="A578" s="9"/>
      <c r="B578" s="28"/>
      <c r="C578" s="28"/>
      <c r="D578" s="28"/>
      <c r="E578" s="28"/>
      <c r="F578" s="31"/>
      <c r="G578" s="21"/>
      <c r="H578" s="22"/>
      <c r="I578" s="23"/>
      <c r="J578" s="24"/>
      <c r="K578" s="25"/>
      <c r="L578" s="23"/>
      <c r="M578" s="23"/>
      <c r="N578" s="24"/>
      <c r="O578" s="24"/>
      <c r="P578" s="25"/>
      <c r="Q578" s="25"/>
    </row>
    <row r="579" spans="1:17" s="20" customFormat="1" x14ac:dyDescent="0.25">
      <c r="A579" s="9"/>
      <c r="B579" s="28"/>
      <c r="C579" s="28"/>
      <c r="D579" s="28"/>
      <c r="E579" s="28"/>
      <c r="F579" s="31"/>
      <c r="G579" s="21"/>
      <c r="H579" s="22"/>
      <c r="I579" s="23"/>
      <c r="J579" s="24"/>
      <c r="K579" s="25"/>
      <c r="L579" s="23"/>
      <c r="M579" s="23"/>
      <c r="N579" s="24"/>
      <c r="O579" s="24"/>
      <c r="P579" s="25"/>
      <c r="Q579" s="25"/>
    </row>
    <row r="580" spans="1:17" s="20" customFormat="1" x14ac:dyDescent="0.25">
      <c r="A580" s="9"/>
      <c r="B580" s="28"/>
      <c r="C580" s="28"/>
      <c r="D580" s="28"/>
      <c r="E580" s="28"/>
      <c r="F580" s="31"/>
      <c r="G580" s="21"/>
      <c r="H580" s="22"/>
      <c r="I580" s="23"/>
      <c r="J580" s="24"/>
      <c r="K580" s="25"/>
      <c r="L580" s="23"/>
      <c r="M580" s="23"/>
      <c r="N580" s="24"/>
      <c r="O580" s="24"/>
      <c r="P580" s="25"/>
      <c r="Q580" s="25"/>
    </row>
    <row r="581" spans="1:17" s="20" customFormat="1" x14ac:dyDescent="0.25">
      <c r="A581" s="9"/>
      <c r="B581" s="28"/>
      <c r="C581" s="28"/>
      <c r="D581" s="28"/>
      <c r="E581" s="28"/>
      <c r="F581" s="31"/>
      <c r="G581" s="21"/>
      <c r="H581" s="22"/>
      <c r="I581" s="23"/>
      <c r="J581" s="24"/>
      <c r="K581" s="25"/>
      <c r="L581" s="23"/>
      <c r="M581" s="23"/>
      <c r="N581" s="24"/>
      <c r="O581" s="24"/>
      <c r="P581" s="25"/>
      <c r="Q581" s="25"/>
    </row>
    <row r="582" spans="1:17" s="20" customFormat="1" x14ac:dyDescent="0.25">
      <c r="A582" s="9"/>
      <c r="B582" s="28"/>
      <c r="C582" s="28"/>
      <c r="D582" s="28"/>
      <c r="E582" s="28"/>
      <c r="F582" s="31"/>
      <c r="G582" s="21"/>
      <c r="H582" s="22"/>
      <c r="I582" s="23"/>
      <c r="J582" s="24"/>
      <c r="K582" s="25"/>
      <c r="L582" s="23"/>
      <c r="M582" s="23"/>
      <c r="N582" s="24"/>
      <c r="O582" s="24"/>
      <c r="P582" s="25"/>
      <c r="Q582" s="25"/>
    </row>
    <row r="583" spans="1:17" s="20" customFormat="1" x14ac:dyDescent="0.25">
      <c r="A583" s="9"/>
      <c r="B583" s="28"/>
      <c r="C583" s="28"/>
      <c r="D583" s="28"/>
      <c r="E583" s="28"/>
      <c r="F583" s="31"/>
      <c r="G583" s="21"/>
      <c r="H583" s="22"/>
      <c r="I583" s="23"/>
      <c r="J583" s="24"/>
      <c r="K583" s="25"/>
      <c r="L583" s="23"/>
      <c r="M583" s="23"/>
      <c r="N583" s="24"/>
      <c r="O583" s="24"/>
      <c r="P583" s="25"/>
      <c r="Q583" s="25"/>
    </row>
    <row r="584" spans="1:17" s="20" customFormat="1" x14ac:dyDescent="0.25">
      <c r="A584" s="9"/>
      <c r="B584" s="28"/>
      <c r="C584" s="28"/>
      <c r="D584" s="28"/>
      <c r="E584" s="28"/>
      <c r="F584" s="31"/>
      <c r="G584" s="21"/>
      <c r="H584" s="22"/>
      <c r="I584" s="23"/>
      <c r="J584" s="24"/>
      <c r="K584" s="25"/>
      <c r="L584" s="23"/>
      <c r="M584" s="23"/>
      <c r="N584" s="24"/>
      <c r="O584" s="24"/>
      <c r="P584" s="25"/>
      <c r="Q584" s="25"/>
    </row>
    <row r="585" spans="1:17" s="20" customFormat="1" x14ac:dyDescent="0.25">
      <c r="A585" s="9"/>
      <c r="B585" s="28"/>
      <c r="C585" s="28"/>
      <c r="D585" s="28"/>
      <c r="E585" s="28"/>
      <c r="F585" s="31"/>
      <c r="G585" s="21"/>
      <c r="H585" s="22"/>
      <c r="I585" s="23"/>
      <c r="J585" s="24"/>
      <c r="K585" s="25"/>
      <c r="L585" s="23"/>
      <c r="M585" s="23"/>
      <c r="N585" s="24"/>
      <c r="O585" s="24"/>
      <c r="P585" s="25"/>
      <c r="Q585" s="25"/>
    </row>
    <row r="586" spans="1:17" s="20" customFormat="1" x14ac:dyDescent="0.25">
      <c r="A586" s="9"/>
      <c r="B586" s="28"/>
      <c r="C586" s="28"/>
      <c r="D586" s="28"/>
      <c r="E586" s="28"/>
      <c r="F586" s="31"/>
      <c r="G586" s="21"/>
      <c r="H586" s="22"/>
      <c r="I586" s="23"/>
      <c r="J586" s="24"/>
      <c r="K586" s="25"/>
      <c r="L586" s="23"/>
      <c r="M586" s="23"/>
      <c r="N586" s="24"/>
      <c r="O586" s="24"/>
      <c r="P586" s="25"/>
      <c r="Q586" s="25"/>
    </row>
    <row r="587" spans="1:17" s="20" customFormat="1" x14ac:dyDescent="0.25">
      <c r="A587" s="9"/>
      <c r="B587" s="28"/>
      <c r="C587" s="28"/>
      <c r="D587" s="28"/>
      <c r="E587" s="28"/>
      <c r="F587" s="31"/>
      <c r="G587" s="21"/>
      <c r="H587" s="22"/>
      <c r="I587" s="23"/>
      <c r="J587" s="24"/>
      <c r="K587" s="25"/>
      <c r="L587" s="23"/>
      <c r="M587" s="23"/>
      <c r="N587" s="24"/>
      <c r="O587" s="24"/>
      <c r="P587" s="25"/>
      <c r="Q587" s="25"/>
    </row>
    <row r="588" spans="1:17" s="20" customFormat="1" x14ac:dyDescent="0.25">
      <c r="A588" s="9"/>
      <c r="B588" s="28"/>
      <c r="C588" s="28"/>
      <c r="D588" s="28"/>
      <c r="E588" s="28"/>
      <c r="F588" s="31"/>
      <c r="G588" s="21"/>
      <c r="H588" s="22"/>
      <c r="I588" s="23"/>
      <c r="J588" s="24"/>
      <c r="K588" s="25"/>
      <c r="L588" s="23"/>
      <c r="M588" s="23"/>
      <c r="N588" s="24"/>
      <c r="O588" s="24"/>
      <c r="P588" s="25"/>
      <c r="Q588" s="25"/>
    </row>
    <row r="589" spans="1:17" s="20" customFormat="1" x14ac:dyDescent="0.25">
      <c r="A589" s="9"/>
      <c r="B589" s="28"/>
      <c r="C589" s="28"/>
      <c r="D589" s="28"/>
      <c r="E589" s="28"/>
      <c r="F589" s="31"/>
      <c r="G589" s="21"/>
      <c r="H589" s="22"/>
      <c r="I589" s="23"/>
      <c r="J589" s="24"/>
      <c r="K589" s="25"/>
      <c r="L589" s="23"/>
      <c r="M589" s="23"/>
      <c r="N589" s="24"/>
      <c r="O589" s="24"/>
      <c r="P589" s="25"/>
      <c r="Q589" s="25"/>
    </row>
    <row r="590" spans="1:17" s="20" customFormat="1" x14ac:dyDescent="0.25">
      <c r="A590" s="9"/>
      <c r="B590" s="28"/>
      <c r="C590" s="28"/>
      <c r="D590" s="28"/>
      <c r="E590" s="28"/>
      <c r="F590" s="31"/>
      <c r="G590" s="21"/>
      <c r="H590" s="22"/>
      <c r="I590" s="23"/>
      <c r="J590" s="24"/>
      <c r="K590" s="25"/>
      <c r="L590" s="23"/>
      <c r="M590" s="23"/>
      <c r="N590" s="24"/>
      <c r="O590" s="24"/>
      <c r="P590" s="25"/>
      <c r="Q590" s="25"/>
    </row>
    <row r="591" spans="1:17" s="20" customFormat="1" x14ac:dyDescent="0.25">
      <c r="A591" s="9"/>
      <c r="B591" s="28"/>
      <c r="C591" s="28"/>
      <c r="D591" s="28"/>
      <c r="E591" s="28"/>
      <c r="F591" s="31"/>
      <c r="G591" s="21"/>
      <c r="H591" s="22"/>
      <c r="I591" s="23"/>
      <c r="J591" s="24"/>
      <c r="K591" s="25"/>
      <c r="L591" s="23"/>
      <c r="M591" s="23"/>
      <c r="N591" s="24"/>
      <c r="O591" s="24"/>
      <c r="P591" s="25"/>
      <c r="Q591" s="25"/>
    </row>
    <row r="592" spans="1:17" s="20" customFormat="1" x14ac:dyDescent="0.25">
      <c r="A592" s="9"/>
      <c r="B592" s="28"/>
      <c r="C592" s="28"/>
      <c r="D592" s="28"/>
      <c r="E592" s="28"/>
      <c r="F592" s="31"/>
      <c r="G592" s="21"/>
      <c r="H592" s="22"/>
      <c r="I592" s="23"/>
      <c r="J592" s="24"/>
      <c r="K592" s="25"/>
      <c r="L592" s="23"/>
      <c r="M592" s="23"/>
      <c r="N592" s="24"/>
      <c r="O592" s="24"/>
      <c r="P592" s="25"/>
      <c r="Q592" s="25"/>
    </row>
    <row r="593" spans="1:17" s="20" customFormat="1" x14ac:dyDescent="0.25">
      <c r="A593" s="9"/>
      <c r="B593" s="28"/>
      <c r="C593" s="28"/>
      <c r="D593" s="28"/>
      <c r="E593" s="28"/>
      <c r="F593" s="31"/>
      <c r="G593" s="21"/>
      <c r="H593" s="22"/>
      <c r="I593" s="23"/>
      <c r="J593" s="24"/>
      <c r="K593" s="25"/>
      <c r="L593" s="23"/>
      <c r="M593" s="23"/>
      <c r="N593" s="24"/>
      <c r="O593" s="24"/>
      <c r="P593" s="25"/>
      <c r="Q593" s="25"/>
    </row>
    <row r="594" spans="1:17" s="20" customFormat="1" x14ac:dyDescent="0.25">
      <c r="A594" s="9"/>
      <c r="B594" s="28"/>
      <c r="C594" s="28"/>
      <c r="D594" s="28"/>
      <c r="E594" s="28"/>
      <c r="F594" s="31"/>
      <c r="G594" s="21"/>
      <c r="H594" s="22"/>
      <c r="I594" s="23"/>
      <c r="J594" s="24"/>
      <c r="K594" s="25"/>
      <c r="L594" s="23"/>
      <c r="M594" s="23"/>
      <c r="N594" s="24"/>
      <c r="O594" s="24"/>
      <c r="P594" s="25"/>
      <c r="Q594" s="25"/>
    </row>
    <row r="595" spans="1:17" s="20" customFormat="1" x14ac:dyDescent="0.25">
      <c r="A595" s="9"/>
      <c r="B595" s="28"/>
      <c r="C595" s="28"/>
      <c r="D595" s="28"/>
      <c r="E595" s="28"/>
      <c r="F595" s="31"/>
      <c r="G595" s="21"/>
      <c r="H595" s="22"/>
      <c r="I595" s="23"/>
      <c r="J595" s="24"/>
      <c r="K595" s="25"/>
      <c r="L595" s="23"/>
      <c r="M595" s="23"/>
      <c r="N595" s="24"/>
      <c r="O595" s="24"/>
      <c r="P595" s="25"/>
      <c r="Q595" s="25"/>
    </row>
    <row r="596" spans="1:17" s="20" customFormat="1" x14ac:dyDescent="0.25">
      <c r="A596" s="9"/>
      <c r="B596" s="28"/>
      <c r="C596" s="28"/>
      <c r="D596" s="28"/>
      <c r="E596" s="28"/>
      <c r="F596" s="31"/>
      <c r="G596" s="21"/>
      <c r="H596" s="22"/>
      <c r="I596" s="23"/>
      <c r="J596" s="24"/>
      <c r="K596" s="25"/>
      <c r="L596" s="23"/>
      <c r="M596" s="23"/>
      <c r="N596" s="24"/>
      <c r="O596" s="24"/>
      <c r="P596" s="25"/>
      <c r="Q596" s="25"/>
    </row>
    <row r="597" spans="1:17" s="20" customFormat="1" x14ac:dyDescent="0.25">
      <c r="A597" s="9"/>
      <c r="B597" s="28"/>
      <c r="C597" s="28"/>
      <c r="D597" s="28"/>
      <c r="E597" s="28"/>
      <c r="F597" s="31"/>
      <c r="G597" s="21"/>
      <c r="H597" s="22"/>
      <c r="I597" s="23"/>
      <c r="J597" s="24"/>
      <c r="K597" s="25"/>
      <c r="L597" s="23"/>
      <c r="M597" s="23"/>
      <c r="N597" s="24"/>
      <c r="O597" s="24"/>
      <c r="P597" s="25"/>
      <c r="Q597" s="25"/>
    </row>
    <row r="598" spans="1:17" s="20" customFormat="1" x14ac:dyDescent="0.25">
      <c r="A598" s="9"/>
      <c r="B598" s="28"/>
      <c r="C598" s="28"/>
      <c r="D598" s="28"/>
      <c r="E598" s="28"/>
      <c r="F598" s="31"/>
      <c r="G598" s="21"/>
      <c r="H598" s="22"/>
      <c r="I598" s="23"/>
      <c r="J598" s="24"/>
      <c r="K598" s="25"/>
      <c r="L598" s="23"/>
      <c r="M598" s="23"/>
      <c r="N598" s="24"/>
      <c r="O598" s="24"/>
      <c r="P598" s="25"/>
      <c r="Q598" s="25"/>
    </row>
    <row r="599" spans="1:17" s="20" customFormat="1" x14ac:dyDescent="0.25">
      <c r="A599" s="9"/>
      <c r="B599" s="28"/>
      <c r="C599" s="28"/>
      <c r="D599" s="28"/>
      <c r="E599" s="28"/>
      <c r="F599" s="31"/>
      <c r="G599" s="21"/>
      <c r="H599" s="22"/>
      <c r="I599" s="23"/>
      <c r="J599" s="24"/>
      <c r="K599" s="25"/>
      <c r="L599" s="23"/>
      <c r="M599" s="23"/>
      <c r="N599" s="24"/>
      <c r="O599" s="24"/>
      <c r="P599" s="25"/>
      <c r="Q599" s="25"/>
    </row>
    <row r="600" spans="1:17" s="20" customFormat="1" x14ac:dyDescent="0.25">
      <c r="A600" s="9"/>
      <c r="B600" s="28"/>
      <c r="C600" s="28"/>
      <c r="D600" s="28"/>
      <c r="E600" s="28"/>
      <c r="F600" s="31"/>
      <c r="G600" s="21"/>
      <c r="H600" s="22"/>
      <c r="I600" s="23"/>
      <c r="J600" s="24"/>
      <c r="K600" s="25"/>
      <c r="L600" s="23"/>
      <c r="M600" s="23"/>
      <c r="N600" s="24"/>
      <c r="O600" s="24"/>
      <c r="P600" s="25"/>
      <c r="Q600" s="25"/>
    </row>
    <row r="601" spans="1:17" s="20" customFormat="1" x14ac:dyDescent="0.25">
      <c r="A601" s="9"/>
      <c r="B601" s="28"/>
      <c r="C601" s="28"/>
      <c r="D601" s="28"/>
      <c r="E601" s="28"/>
      <c r="F601" s="31"/>
      <c r="G601" s="21"/>
      <c r="H601" s="22"/>
      <c r="I601" s="23"/>
      <c r="J601" s="24"/>
      <c r="K601" s="25"/>
      <c r="L601" s="23"/>
      <c r="M601" s="23"/>
      <c r="N601" s="24"/>
      <c r="O601" s="24"/>
      <c r="P601" s="25"/>
      <c r="Q601" s="25"/>
    </row>
    <row r="602" spans="1:17" s="20" customFormat="1" x14ac:dyDescent="0.25">
      <c r="A602" s="9"/>
      <c r="B602" s="28"/>
      <c r="C602" s="28"/>
      <c r="D602" s="28"/>
      <c r="E602" s="28"/>
      <c r="F602" s="31"/>
      <c r="G602" s="21"/>
      <c r="H602" s="22"/>
      <c r="I602" s="23"/>
      <c r="J602" s="24"/>
      <c r="K602" s="25"/>
      <c r="L602" s="23"/>
      <c r="M602" s="23"/>
      <c r="N602" s="24"/>
      <c r="O602" s="24"/>
      <c r="P602" s="25"/>
      <c r="Q602" s="25"/>
    </row>
    <row r="603" spans="1:17" s="20" customFormat="1" x14ac:dyDescent="0.25">
      <c r="A603" s="9"/>
      <c r="B603" s="28"/>
      <c r="C603" s="28"/>
      <c r="D603" s="28"/>
      <c r="E603" s="28"/>
      <c r="F603" s="31"/>
      <c r="G603" s="21"/>
      <c r="H603" s="22"/>
      <c r="I603" s="23"/>
      <c r="J603" s="24"/>
      <c r="K603" s="25"/>
      <c r="L603" s="23"/>
      <c r="M603" s="23"/>
      <c r="N603" s="24"/>
      <c r="O603" s="24"/>
      <c r="P603" s="25"/>
      <c r="Q603" s="25"/>
    </row>
    <row r="604" spans="1:17" s="20" customFormat="1" x14ac:dyDescent="0.25">
      <c r="A604" s="9"/>
      <c r="B604" s="28"/>
      <c r="C604" s="28"/>
      <c r="D604" s="28"/>
      <c r="E604" s="28"/>
      <c r="F604" s="31"/>
      <c r="G604" s="21"/>
      <c r="H604" s="22"/>
      <c r="I604" s="23"/>
      <c r="J604" s="24"/>
      <c r="K604" s="25"/>
      <c r="L604" s="23"/>
      <c r="M604" s="23"/>
      <c r="N604" s="24"/>
      <c r="O604" s="24"/>
      <c r="P604" s="25"/>
      <c r="Q604" s="25"/>
    </row>
    <row r="605" spans="1:17" s="20" customFormat="1" x14ac:dyDescent="0.25">
      <c r="A605" s="9"/>
      <c r="B605" s="28"/>
      <c r="C605" s="28"/>
      <c r="D605" s="28"/>
      <c r="E605" s="28"/>
      <c r="F605" s="31"/>
      <c r="G605" s="21"/>
      <c r="H605" s="22"/>
      <c r="I605" s="23"/>
      <c r="J605" s="24"/>
      <c r="K605" s="25"/>
      <c r="L605" s="23"/>
      <c r="M605" s="23"/>
      <c r="N605" s="24"/>
      <c r="O605" s="24"/>
      <c r="P605" s="25"/>
      <c r="Q605" s="25"/>
    </row>
    <row r="606" spans="1:17" s="20" customFormat="1" x14ac:dyDescent="0.25">
      <c r="A606" s="9"/>
      <c r="B606" s="28"/>
      <c r="C606" s="28"/>
      <c r="D606" s="28"/>
      <c r="E606" s="28"/>
      <c r="F606" s="31"/>
      <c r="G606" s="21"/>
      <c r="H606" s="22"/>
      <c r="I606" s="23"/>
      <c r="J606" s="24"/>
      <c r="K606" s="25"/>
      <c r="L606" s="23"/>
      <c r="M606" s="23"/>
      <c r="N606" s="24"/>
      <c r="O606" s="24"/>
      <c r="P606" s="25"/>
      <c r="Q606" s="25"/>
    </row>
    <row r="607" spans="1:17" s="20" customFormat="1" x14ac:dyDescent="0.25">
      <c r="A607" s="9"/>
      <c r="B607" s="28"/>
      <c r="C607" s="28"/>
      <c r="D607" s="28"/>
      <c r="E607" s="28"/>
      <c r="F607" s="31"/>
      <c r="G607" s="21"/>
      <c r="H607" s="22"/>
      <c r="I607" s="23"/>
      <c r="J607" s="24"/>
      <c r="K607" s="25"/>
      <c r="L607" s="23"/>
      <c r="M607" s="23"/>
      <c r="N607" s="24"/>
      <c r="O607" s="24"/>
      <c r="P607" s="25"/>
      <c r="Q607" s="25"/>
    </row>
    <row r="608" spans="1:17" s="20" customFormat="1" x14ac:dyDescent="0.25">
      <c r="A608" s="9"/>
      <c r="B608" s="28"/>
      <c r="C608" s="28"/>
      <c r="D608" s="28"/>
      <c r="E608" s="28"/>
      <c r="F608" s="31"/>
      <c r="G608" s="21"/>
      <c r="H608" s="22"/>
      <c r="I608" s="23"/>
      <c r="J608" s="24"/>
      <c r="K608" s="25"/>
      <c r="L608" s="23"/>
      <c r="M608" s="23"/>
      <c r="N608" s="24"/>
      <c r="O608" s="24"/>
      <c r="P608" s="25"/>
      <c r="Q608" s="25"/>
    </row>
    <row r="609" spans="1:17" s="20" customFormat="1" x14ac:dyDescent="0.25">
      <c r="A609" s="9"/>
      <c r="B609" s="28"/>
      <c r="C609" s="28"/>
      <c r="D609" s="28"/>
      <c r="E609" s="28"/>
      <c r="F609" s="31"/>
      <c r="G609" s="21"/>
      <c r="H609" s="22"/>
      <c r="I609" s="23"/>
      <c r="J609" s="24"/>
      <c r="K609" s="25"/>
      <c r="L609" s="23"/>
      <c r="M609" s="23"/>
      <c r="N609" s="24"/>
      <c r="O609" s="24"/>
      <c r="P609" s="25"/>
      <c r="Q609" s="25"/>
    </row>
    <row r="610" spans="1:17" s="20" customFormat="1" x14ac:dyDescent="0.25">
      <c r="A610" s="9"/>
      <c r="B610" s="28"/>
      <c r="C610" s="28"/>
      <c r="D610" s="28"/>
      <c r="E610" s="28"/>
      <c r="F610" s="31"/>
      <c r="G610" s="21"/>
      <c r="H610" s="22"/>
      <c r="I610" s="23"/>
      <c r="J610" s="24"/>
      <c r="K610" s="25"/>
      <c r="L610" s="23"/>
      <c r="M610" s="23"/>
      <c r="N610" s="24"/>
      <c r="O610" s="24"/>
      <c r="P610" s="25"/>
      <c r="Q610" s="25"/>
    </row>
    <row r="611" spans="1:17" s="20" customFormat="1" x14ac:dyDescent="0.25">
      <c r="A611" s="9"/>
      <c r="B611" s="28"/>
      <c r="C611" s="28"/>
      <c r="D611" s="28"/>
      <c r="E611" s="28"/>
      <c r="F611" s="31"/>
      <c r="G611" s="21"/>
      <c r="H611" s="22"/>
      <c r="I611" s="23"/>
      <c r="J611" s="24"/>
      <c r="K611" s="25"/>
      <c r="L611" s="23"/>
      <c r="M611" s="23"/>
      <c r="N611" s="24"/>
      <c r="O611" s="24"/>
      <c r="P611" s="25"/>
      <c r="Q611" s="25"/>
    </row>
    <row r="612" spans="1:17" s="20" customFormat="1" x14ac:dyDescent="0.25">
      <c r="A612" s="9"/>
      <c r="B612" s="28"/>
      <c r="C612" s="28"/>
      <c r="D612" s="28"/>
      <c r="E612" s="28"/>
      <c r="F612" s="31"/>
      <c r="G612" s="21"/>
      <c r="H612" s="22"/>
      <c r="I612" s="23"/>
      <c r="J612" s="24"/>
      <c r="K612" s="25"/>
      <c r="L612" s="23"/>
      <c r="M612" s="23"/>
      <c r="N612" s="24"/>
      <c r="O612" s="24"/>
      <c r="P612" s="25"/>
      <c r="Q612" s="25"/>
    </row>
    <row r="613" spans="1:17" s="20" customFormat="1" x14ac:dyDescent="0.25">
      <c r="A613" s="9"/>
      <c r="B613" s="28"/>
      <c r="C613" s="28"/>
      <c r="D613" s="28"/>
      <c r="E613" s="28"/>
      <c r="F613" s="31"/>
      <c r="G613" s="21"/>
      <c r="H613" s="22"/>
      <c r="I613" s="23"/>
      <c r="J613" s="24"/>
      <c r="K613" s="25"/>
      <c r="L613" s="23"/>
      <c r="M613" s="23"/>
      <c r="N613" s="24"/>
      <c r="O613" s="24"/>
      <c r="P613" s="25"/>
      <c r="Q613" s="25"/>
    </row>
    <row r="614" spans="1:17" s="20" customFormat="1" x14ac:dyDescent="0.25">
      <c r="A614" s="9"/>
      <c r="B614" s="28"/>
      <c r="C614" s="28"/>
      <c r="D614" s="28"/>
      <c r="E614" s="28"/>
      <c r="F614" s="31"/>
      <c r="G614" s="21"/>
      <c r="H614" s="22"/>
      <c r="I614" s="23"/>
      <c r="J614" s="24"/>
      <c r="K614" s="25"/>
      <c r="L614" s="23"/>
      <c r="M614" s="23"/>
      <c r="N614" s="24"/>
      <c r="O614" s="24"/>
      <c r="P614" s="25"/>
      <c r="Q614" s="25"/>
    </row>
    <row r="615" spans="1:17" s="20" customFormat="1" x14ac:dyDescent="0.25">
      <c r="A615" s="9"/>
      <c r="B615" s="28"/>
      <c r="C615" s="28"/>
      <c r="D615" s="28"/>
      <c r="E615" s="28"/>
      <c r="F615" s="31"/>
      <c r="G615" s="21"/>
      <c r="H615" s="22"/>
      <c r="I615" s="23"/>
      <c r="J615" s="24"/>
      <c r="K615" s="25"/>
      <c r="L615" s="23"/>
      <c r="M615" s="23"/>
      <c r="N615" s="24"/>
      <c r="O615" s="24"/>
      <c r="P615" s="25"/>
      <c r="Q615" s="25"/>
    </row>
    <row r="616" spans="1:17" s="20" customFormat="1" x14ac:dyDescent="0.25">
      <c r="A616" s="9"/>
      <c r="B616" s="28"/>
      <c r="C616" s="28"/>
      <c r="D616" s="28"/>
      <c r="E616" s="28"/>
      <c r="F616" s="31"/>
      <c r="G616" s="21"/>
      <c r="H616" s="22"/>
      <c r="I616" s="23"/>
      <c r="J616" s="24"/>
      <c r="K616" s="25"/>
      <c r="L616" s="23"/>
      <c r="M616" s="23"/>
      <c r="N616" s="24"/>
      <c r="O616" s="24"/>
      <c r="P616" s="25"/>
      <c r="Q616" s="25"/>
    </row>
    <row r="617" spans="1:17" s="20" customFormat="1" x14ac:dyDescent="0.25">
      <c r="A617" s="9"/>
      <c r="B617" s="28"/>
      <c r="C617" s="28"/>
      <c r="D617" s="28"/>
      <c r="E617" s="28"/>
      <c r="F617" s="31"/>
      <c r="G617" s="21"/>
      <c r="H617" s="22"/>
      <c r="I617" s="23"/>
      <c r="J617" s="24"/>
      <c r="K617" s="25"/>
      <c r="L617" s="23"/>
      <c r="M617" s="23"/>
      <c r="N617" s="24"/>
      <c r="O617" s="24"/>
      <c r="P617" s="25"/>
      <c r="Q617" s="25"/>
    </row>
    <row r="618" spans="1:17" s="20" customFormat="1" x14ac:dyDescent="0.25">
      <c r="A618" s="9"/>
      <c r="B618" s="28"/>
      <c r="C618" s="28"/>
      <c r="D618" s="28"/>
      <c r="E618" s="28"/>
      <c r="F618" s="31"/>
      <c r="G618" s="21"/>
      <c r="H618" s="22"/>
      <c r="I618" s="23"/>
      <c r="J618" s="24"/>
      <c r="K618" s="25"/>
      <c r="L618" s="23"/>
      <c r="M618" s="23"/>
      <c r="N618" s="24"/>
      <c r="O618" s="24"/>
      <c r="P618" s="25"/>
      <c r="Q618" s="25"/>
    </row>
    <row r="619" spans="1:17" s="20" customFormat="1" x14ac:dyDescent="0.25">
      <c r="A619" s="9"/>
      <c r="B619" s="28"/>
      <c r="C619" s="28"/>
      <c r="D619" s="28"/>
      <c r="E619" s="28"/>
      <c r="F619" s="31"/>
      <c r="G619" s="21"/>
      <c r="H619" s="22"/>
      <c r="I619" s="23"/>
      <c r="J619" s="24"/>
      <c r="K619" s="25"/>
      <c r="L619" s="23"/>
      <c r="M619" s="23"/>
      <c r="N619" s="24"/>
      <c r="O619" s="24"/>
      <c r="P619" s="25"/>
      <c r="Q619" s="25"/>
    </row>
    <row r="620" spans="1:17" s="20" customFormat="1" x14ac:dyDescent="0.25">
      <c r="A620" s="9"/>
      <c r="B620" s="28"/>
      <c r="C620" s="28"/>
      <c r="D620" s="28"/>
      <c r="E620" s="28"/>
      <c r="F620" s="31"/>
      <c r="G620" s="21"/>
      <c r="H620" s="22"/>
      <c r="I620" s="23"/>
      <c r="J620" s="24"/>
      <c r="K620" s="25"/>
      <c r="L620" s="23"/>
      <c r="M620" s="23"/>
      <c r="N620" s="24"/>
      <c r="O620" s="24"/>
      <c r="P620" s="25"/>
      <c r="Q620" s="25"/>
    </row>
    <row r="621" spans="1:17" s="20" customFormat="1" x14ac:dyDescent="0.25">
      <c r="A621" s="9"/>
      <c r="B621" s="28"/>
      <c r="C621" s="28"/>
      <c r="D621" s="28"/>
      <c r="E621" s="28"/>
      <c r="F621" s="31"/>
      <c r="G621" s="21"/>
      <c r="H621" s="22"/>
      <c r="I621" s="23"/>
      <c r="J621" s="24"/>
      <c r="K621" s="25"/>
      <c r="L621" s="23"/>
      <c r="M621" s="23"/>
      <c r="N621" s="24"/>
      <c r="O621" s="24"/>
      <c r="P621" s="25"/>
      <c r="Q621" s="25"/>
    </row>
    <row r="622" spans="1:17" s="20" customFormat="1" x14ac:dyDescent="0.25">
      <c r="A622" s="9"/>
      <c r="B622" s="28"/>
      <c r="C622" s="28"/>
      <c r="D622" s="28"/>
      <c r="E622" s="28"/>
      <c r="F622" s="31"/>
      <c r="G622" s="21"/>
      <c r="H622" s="22"/>
      <c r="I622" s="23"/>
      <c r="J622" s="24"/>
      <c r="K622" s="25"/>
      <c r="L622" s="23"/>
      <c r="M622" s="23"/>
      <c r="N622" s="24"/>
      <c r="O622" s="24"/>
      <c r="P622" s="25"/>
      <c r="Q622" s="25"/>
    </row>
    <row r="623" spans="1:17" s="20" customFormat="1" x14ac:dyDescent="0.25">
      <c r="A623" s="9"/>
      <c r="B623" s="28"/>
      <c r="C623" s="28"/>
      <c r="D623" s="28"/>
      <c r="E623" s="28"/>
      <c r="F623" s="31"/>
      <c r="G623" s="21"/>
      <c r="H623" s="22"/>
      <c r="I623" s="23"/>
      <c r="J623" s="24"/>
      <c r="K623" s="25"/>
      <c r="L623" s="23"/>
      <c r="M623" s="23"/>
      <c r="N623" s="24"/>
      <c r="O623" s="24"/>
      <c r="P623" s="25"/>
      <c r="Q623" s="25"/>
    </row>
    <row r="624" spans="1:17" s="20" customFormat="1" x14ac:dyDescent="0.25">
      <c r="A624" s="9"/>
      <c r="B624" s="28"/>
      <c r="C624" s="28"/>
      <c r="D624" s="28"/>
      <c r="E624" s="28"/>
      <c r="F624" s="31"/>
      <c r="G624" s="21"/>
      <c r="H624" s="22"/>
      <c r="I624" s="23"/>
      <c r="J624" s="24"/>
      <c r="K624" s="25"/>
      <c r="L624" s="23"/>
      <c r="M624" s="23"/>
      <c r="N624" s="24"/>
      <c r="O624" s="24"/>
      <c r="P624" s="25"/>
      <c r="Q624" s="25"/>
    </row>
    <row r="625" spans="1:17" s="20" customFormat="1" x14ac:dyDescent="0.25">
      <c r="A625" s="9"/>
      <c r="B625" s="28"/>
      <c r="C625" s="28"/>
      <c r="D625" s="28"/>
      <c r="E625" s="28"/>
      <c r="F625" s="31"/>
      <c r="G625" s="21"/>
      <c r="H625" s="22"/>
      <c r="I625" s="23"/>
      <c r="J625" s="24"/>
      <c r="K625" s="25"/>
      <c r="L625" s="23"/>
      <c r="M625" s="23"/>
      <c r="N625" s="24"/>
      <c r="O625" s="24"/>
      <c r="P625" s="25"/>
      <c r="Q625" s="25"/>
    </row>
    <row r="626" spans="1:17" s="20" customFormat="1" x14ac:dyDescent="0.25">
      <c r="A626" s="9"/>
      <c r="B626" s="28"/>
      <c r="C626" s="28"/>
      <c r="D626" s="28"/>
      <c r="E626" s="28"/>
      <c r="F626" s="31"/>
      <c r="G626" s="21"/>
      <c r="H626" s="22"/>
      <c r="I626" s="23"/>
      <c r="J626" s="24"/>
      <c r="K626" s="25"/>
      <c r="L626" s="23"/>
      <c r="M626" s="23"/>
      <c r="N626" s="24"/>
      <c r="O626" s="24"/>
      <c r="P626" s="25"/>
      <c r="Q626" s="25"/>
    </row>
    <row r="627" spans="1:17" s="20" customFormat="1" x14ac:dyDescent="0.25">
      <c r="A627" s="9"/>
      <c r="B627" s="28"/>
      <c r="C627" s="28"/>
      <c r="D627" s="28"/>
      <c r="E627" s="28"/>
      <c r="F627" s="31"/>
      <c r="G627" s="21"/>
      <c r="H627" s="22"/>
      <c r="I627" s="23"/>
      <c r="J627" s="24"/>
      <c r="K627" s="25"/>
      <c r="L627" s="23"/>
      <c r="M627" s="23"/>
      <c r="N627" s="24"/>
      <c r="O627" s="24"/>
      <c r="P627" s="25"/>
      <c r="Q627" s="25"/>
    </row>
    <row r="628" spans="1:17" s="20" customFormat="1" x14ac:dyDescent="0.25">
      <c r="A628" s="9"/>
      <c r="B628" s="28"/>
      <c r="C628" s="28"/>
      <c r="D628" s="28"/>
      <c r="E628" s="28"/>
      <c r="F628" s="31"/>
      <c r="G628" s="21"/>
      <c r="H628" s="22"/>
      <c r="I628" s="23"/>
      <c r="J628" s="24"/>
      <c r="K628" s="25"/>
      <c r="L628" s="23"/>
      <c r="M628" s="23"/>
      <c r="N628" s="24"/>
      <c r="O628" s="24"/>
      <c r="P628" s="25"/>
      <c r="Q628" s="25"/>
    </row>
    <row r="629" spans="1:17" s="20" customFormat="1" x14ac:dyDescent="0.25">
      <c r="A629" s="9"/>
      <c r="B629" s="28"/>
      <c r="C629" s="28"/>
      <c r="D629" s="28"/>
      <c r="E629" s="28"/>
      <c r="F629" s="31"/>
      <c r="G629" s="21"/>
      <c r="H629" s="22"/>
      <c r="I629" s="23"/>
      <c r="J629" s="24"/>
      <c r="K629" s="25"/>
      <c r="L629" s="23"/>
      <c r="M629" s="23"/>
      <c r="N629" s="24"/>
      <c r="O629" s="24"/>
      <c r="P629" s="25"/>
      <c r="Q629" s="25"/>
    </row>
    <row r="630" spans="1:17" s="20" customFormat="1" x14ac:dyDescent="0.25">
      <c r="A630" s="9"/>
      <c r="B630" s="28"/>
      <c r="C630" s="28"/>
      <c r="D630" s="28"/>
      <c r="E630" s="28"/>
      <c r="F630" s="31"/>
      <c r="G630" s="21"/>
      <c r="H630" s="22"/>
      <c r="I630" s="23"/>
      <c r="J630" s="24"/>
      <c r="K630" s="25"/>
      <c r="L630" s="23"/>
      <c r="M630" s="23"/>
      <c r="N630" s="24"/>
      <c r="O630" s="24"/>
      <c r="P630" s="25"/>
      <c r="Q630" s="25"/>
    </row>
    <row r="631" spans="1:17" s="20" customFormat="1" x14ac:dyDescent="0.25">
      <c r="A631" s="9"/>
      <c r="B631" s="28"/>
      <c r="C631" s="28"/>
      <c r="D631" s="28"/>
      <c r="E631" s="28"/>
      <c r="F631" s="31"/>
      <c r="G631" s="21"/>
      <c r="H631" s="22"/>
      <c r="I631" s="23"/>
      <c r="J631" s="24"/>
      <c r="K631" s="25"/>
      <c r="L631" s="23"/>
      <c r="M631" s="23"/>
      <c r="N631" s="24"/>
      <c r="O631" s="24"/>
      <c r="P631" s="25"/>
      <c r="Q631" s="25"/>
    </row>
    <row r="632" spans="1:17" s="20" customFormat="1" x14ac:dyDescent="0.25">
      <c r="A632" s="9"/>
      <c r="B632" s="28"/>
      <c r="C632" s="28"/>
      <c r="D632" s="28"/>
      <c r="E632" s="28"/>
      <c r="F632" s="31"/>
      <c r="G632" s="21"/>
      <c r="H632" s="22"/>
      <c r="I632" s="23"/>
      <c r="J632" s="24"/>
      <c r="K632" s="25"/>
      <c r="L632" s="23"/>
      <c r="M632" s="23"/>
      <c r="N632" s="24"/>
      <c r="O632" s="24"/>
      <c r="P632" s="25"/>
      <c r="Q632" s="25"/>
    </row>
    <row r="633" spans="1:17" s="20" customFormat="1" x14ac:dyDescent="0.25">
      <c r="A633" s="9"/>
      <c r="B633" s="28"/>
      <c r="C633" s="28"/>
      <c r="D633" s="28"/>
      <c r="E633" s="28"/>
      <c r="F633" s="31"/>
      <c r="G633" s="21"/>
      <c r="H633" s="22"/>
      <c r="I633" s="23"/>
      <c r="J633" s="24"/>
      <c r="K633" s="25"/>
      <c r="L633" s="23"/>
      <c r="M633" s="23"/>
      <c r="N633" s="24"/>
      <c r="O633" s="24"/>
      <c r="P633" s="25"/>
      <c r="Q633" s="25"/>
    </row>
    <row r="634" spans="1:17" s="20" customFormat="1" x14ac:dyDescent="0.25">
      <c r="A634" s="9"/>
      <c r="B634" s="28"/>
      <c r="C634" s="28"/>
      <c r="D634" s="28"/>
      <c r="E634" s="28"/>
      <c r="F634" s="31"/>
      <c r="G634" s="21"/>
      <c r="H634" s="22"/>
      <c r="I634" s="23"/>
      <c r="J634" s="24"/>
      <c r="K634" s="25"/>
      <c r="L634" s="23"/>
      <c r="M634" s="23"/>
      <c r="N634" s="24"/>
      <c r="O634" s="24"/>
      <c r="P634" s="25"/>
      <c r="Q634" s="25"/>
    </row>
    <row r="635" spans="1:17" s="20" customFormat="1" x14ac:dyDescent="0.25">
      <c r="A635" s="9"/>
      <c r="B635" s="28"/>
      <c r="C635" s="28"/>
      <c r="D635" s="28"/>
      <c r="E635" s="28"/>
      <c r="F635" s="31"/>
      <c r="G635" s="21"/>
      <c r="H635" s="22"/>
      <c r="I635" s="23"/>
      <c r="J635" s="24"/>
      <c r="K635" s="25"/>
      <c r="L635" s="23"/>
      <c r="M635" s="23"/>
      <c r="N635" s="24"/>
      <c r="O635" s="24"/>
      <c r="P635" s="25"/>
      <c r="Q635" s="25"/>
    </row>
    <row r="636" spans="1:17" s="20" customFormat="1" x14ac:dyDescent="0.25">
      <c r="A636" s="9"/>
      <c r="B636" s="28"/>
      <c r="C636" s="28"/>
      <c r="D636" s="28"/>
      <c r="E636" s="28"/>
      <c r="F636" s="31"/>
      <c r="G636" s="21"/>
      <c r="H636" s="22"/>
      <c r="I636" s="23"/>
      <c r="J636" s="24"/>
      <c r="K636" s="25"/>
      <c r="L636" s="23"/>
      <c r="M636" s="23"/>
      <c r="N636" s="24"/>
      <c r="O636" s="24"/>
      <c r="P636" s="25"/>
      <c r="Q636" s="25"/>
    </row>
    <row r="637" spans="1:17" s="20" customFormat="1" x14ac:dyDescent="0.25">
      <c r="A637" s="9"/>
      <c r="B637" s="28"/>
      <c r="C637" s="28"/>
      <c r="D637" s="28"/>
      <c r="E637" s="28"/>
      <c r="F637" s="31"/>
      <c r="G637" s="21"/>
      <c r="H637" s="22"/>
      <c r="I637" s="23"/>
      <c r="J637" s="24"/>
      <c r="K637" s="25"/>
      <c r="L637" s="23"/>
      <c r="M637" s="23"/>
      <c r="N637" s="24"/>
      <c r="O637" s="24"/>
      <c r="P637" s="25"/>
      <c r="Q637" s="25"/>
    </row>
    <row r="638" spans="1:17" s="20" customFormat="1" x14ac:dyDescent="0.25">
      <c r="A638" s="9"/>
      <c r="B638" s="28"/>
      <c r="C638" s="28"/>
      <c r="D638" s="28"/>
      <c r="E638" s="28"/>
      <c r="F638" s="31"/>
      <c r="G638" s="21"/>
      <c r="H638" s="22"/>
      <c r="I638" s="23"/>
      <c r="J638" s="24"/>
      <c r="K638" s="25"/>
      <c r="L638" s="23"/>
      <c r="M638" s="23"/>
      <c r="N638" s="24"/>
      <c r="O638" s="24"/>
      <c r="P638" s="25"/>
      <c r="Q638" s="25"/>
    </row>
    <row r="639" spans="1:17" s="20" customFormat="1" x14ac:dyDescent="0.25">
      <c r="A639" s="9"/>
      <c r="B639" s="28"/>
      <c r="C639" s="28"/>
      <c r="D639" s="28"/>
      <c r="E639" s="28"/>
      <c r="F639" s="31"/>
      <c r="G639" s="21"/>
      <c r="H639" s="22"/>
      <c r="I639" s="23"/>
      <c r="J639" s="24"/>
      <c r="K639" s="25"/>
      <c r="L639" s="23"/>
      <c r="M639" s="23"/>
      <c r="N639" s="24"/>
      <c r="O639" s="24"/>
      <c r="P639" s="25"/>
      <c r="Q639" s="25"/>
    </row>
    <row r="640" spans="1:17" s="20" customFormat="1" x14ac:dyDescent="0.25">
      <c r="A640" s="9"/>
      <c r="B640" s="28"/>
      <c r="C640" s="28"/>
      <c r="D640" s="28"/>
      <c r="E640" s="28"/>
      <c r="F640" s="31"/>
      <c r="G640" s="21"/>
      <c r="H640" s="22"/>
      <c r="I640" s="23"/>
      <c r="J640" s="24"/>
      <c r="K640" s="25"/>
      <c r="L640" s="23"/>
      <c r="M640" s="23"/>
      <c r="N640" s="24"/>
      <c r="O640" s="24"/>
      <c r="P640" s="25"/>
      <c r="Q640" s="25"/>
    </row>
    <row r="641" spans="1:17" s="20" customFormat="1" x14ac:dyDescent="0.25">
      <c r="A641" s="9"/>
      <c r="B641" s="28"/>
      <c r="C641" s="28"/>
      <c r="D641" s="28"/>
      <c r="E641" s="28"/>
      <c r="F641" s="31"/>
      <c r="G641" s="21"/>
      <c r="H641" s="22"/>
      <c r="I641" s="23"/>
      <c r="J641" s="24"/>
      <c r="K641" s="25"/>
      <c r="L641" s="23"/>
      <c r="M641" s="23"/>
      <c r="N641" s="24"/>
      <c r="O641" s="24"/>
      <c r="P641" s="25"/>
      <c r="Q641" s="25"/>
    </row>
    <row r="642" spans="1:17" s="20" customFormat="1" x14ac:dyDescent="0.25">
      <c r="A642" s="9"/>
      <c r="B642" s="28"/>
      <c r="C642" s="28"/>
      <c r="D642" s="28"/>
      <c r="E642" s="28"/>
      <c r="F642" s="31"/>
      <c r="G642" s="21"/>
      <c r="H642" s="22"/>
      <c r="I642" s="23"/>
      <c r="J642" s="24"/>
      <c r="K642" s="25"/>
      <c r="L642" s="23"/>
      <c r="M642" s="23"/>
      <c r="N642" s="24"/>
      <c r="O642" s="24"/>
      <c r="P642" s="25"/>
      <c r="Q642" s="25"/>
    </row>
    <row r="643" spans="1:17" s="20" customFormat="1" x14ac:dyDescent="0.25">
      <c r="A643" s="9"/>
      <c r="B643" s="28"/>
      <c r="C643" s="28"/>
      <c r="D643" s="28"/>
      <c r="E643" s="28"/>
      <c r="F643" s="31"/>
      <c r="G643" s="21"/>
      <c r="H643" s="22"/>
      <c r="I643" s="23"/>
      <c r="J643" s="24"/>
      <c r="K643" s="25"/>
      <c r="L643" s="23"/>
      <c r="M643" s="23"/>
      <c r="N643" s="24"/>
      <c r="O643" s="24"/>
      <c r="P643" s="25"/>
      <c r="Q643" s="25"/>
    </row>
    <row r="644" spans="1:17" s="20" customFormat="1" x14ac:dyDescent="0.25">
      <c r="A644" s="9"/>
      <c r="B644" s="28"/>
      <c r="C644" s="28"/>
      <c r="D644" s="28"/>
      <c r="E644" s="28"/>
      <c r="F644" s="31"/>
      <c r="G644" s="21"/>
      <c r="H644" s="22"/>
      <c r="I644" s="23"/>
      <c r="J644" s="24"/>
      <c r="K644" s="25"/>
      <c r="L644" s="23"/>
      <c r="M644" s="23"/>
      <c r="N644" s="24"/>
      <c r="O644" s="24"/>
      <c r="P644" s="25"/>
      <c r="Q644" s="25"/>
    </row>
    <row r="645" spans="1:17" s="20" customFormat="1" x14ac:dyDescent="0.25">
      <c r="A645" s="9"/>
      <c r="B645" s="28"/>
      <c r="C645" s="28"/>
      <c r="D645" s="28"/>
      <c r="E645" s="28"/>
      <c r="F645" s="31"/>
      <c r="G645" s="21"/>
      <c r="H645" s="22"/>
      <c r="I645" s="23"/>
      <c r="J645" s="24"/>
      <c r="K645" s="25"/>
      <c r="L645" s="23"/>
      <c r="M645" s="23"/>
      <c r="N645" s="24"/>
      <c r="O645" s="24"/>
      <c r="P645" s="25"/>
      <c r="Q645" s="25"/>
    </row>
    <row r="646" spans="1:17" s="20" customFormat="1" x14ac:dyDescent="0.25">
      <c r="A646" s="9"/>
      <c r="B646" s="28"/>
      <c r="C646" s="28"/>
      <c r="D646" s="28"/>
      <c r="E646" s="28"/>
      <c r="F646" s="31"/>
      <c r="G646" s="21"/>
      <c r="H646" s="22"/>
      <c r="I646" s="23"/>
      <c r="J646" s="24"/>
      <c r="K646" s="25"/>
      <c r="L646" s="23"/>
      <c r="M646" s="23"/>
      <c r="N646" s="24"/>
      <c r="O646" s="24"/>
      <c r="P646" s="25"/>
      <c r="Q646" s="25"/>
    </row>
    <row r="647" spans="1:17" s="20" customFormat="1" x14ac:dyDescent="0.25">
      <c r="A647" s="9"/>
      <c r="B647" s="28"/>
      <c r="C647" s="28"/>
      <c r="D647" s="28"/>
      <c r="E647" s="28"/>
      <c r="F647" s="31"/>
      <c r="G647" s="21"/>
      <c r="H647" s="22"/>
      <c r="I647" s="23"/>
      <c r="J647" s="24"/>
      <c r="K647" s="25"/>
      <c r="L647" s="23"/>
      <c r="M647" s="23"/>
      <c r="N647" s="24"/>
      <c r="O647" s="24"/>
      <c r="P647" s="25"/>
      <c r="Q647" s="25"/>
    </row>
    <row r="648" spans="1:17" s="20" customFormat="1" x14ac:dyDescent="0.25">
      <c r="A648" s="9"/>
      <c r="B648" s="28"/>
      <c r="C648" s="28"/>
      <c r="D648" s="28"/>
      <c r="E648" s="28"/>
      <c r="F648" s="31"/>
      <c r="G648" s="21"/>
      <c r="H648" s="22"/>
      <c r="I648" s="23"/>
      <c r="J648" s="24"/>
      <c r="K648" s="25"/>
      <c r="L648" s="23"/>
      <c r="M648" s="23"/>
      <c r="N648" s="24"/>
      <c r="O648" s="24"/>
      <c r="P648" s="25"/>
      <c r="Q648" s="25"/>
    </row>
    <row r="649" spans="1:17" s="20" customFormat="1" x14ac:dyDescent="0.25">
      <c r="A649" s="9"/>
      <c r="B649" s="28"/>
      <c r="C649" s="28"/>
      <c r="D649" s="28"/>
      <c r="E649" s="28"/>
      <c r="F649" s="31"/>
      <c r="G649" s="21"/>
      <c r="H649" s="22"/>
      <c r="I649" s="23"/>
      <c r="J649" s="24"/>
      <c r="K649" s="25"/>
      <c r="L649" s="23"/>
      <c r="M649" s="23"/>
      <c r="N649" s="24"/>
      <c r="O649" s="24"/>
      <c r="P649" s="25"/>
      <c r="Q649" s="25"/>
    </row>
    <row r="650" spans="1:17" s="20" customFormat="1" x14ac:dyDescent="0.25">
      <c r="A650" s="9"/>
      <c r="B650" s="28"/>
      <c r="C650" s="28"/>
      <c r="D650" s="28"/>
      <c r="E650" s="28"/>
      <c r="F650" s="31"/>
      <c r="G650" s="21"/>
      <c r="H650" s="22"/>
      <c r="I650" s="23"/>
      <c r="J650" s="24"/>
      <c r="K650" s="25"/>
      <c r="L650" s="23"/>
      <c r="M650" s="23"/>
      <c r="N650" s="24"/>
      <c r="O650" s="24"/>
      <c r="P650" s="25"/>
      <c r="Q650" s="25"/>
    </row>
    <row r="651" spans="1:17" s="20" customFormat="1" x14ac:dyDescent="0.25">
      <c r="A651" s="9"/>
      <c r="B651" s="28"/>
      <c r="C651" s="28"/>
      <c r="D651" s="28"/>
      <c r="E651" s="28"/>
      <c r="F651" s="31"/>
      <c r="G651" s="21"/>
      <c r="H651" s="22"/>
      <c r="I651" s="23"/>
      <c r="J651" s="24"/>
      <c r="K651" s="25"/>
      <c r="L651" s="23"/>
      <c r="M651" s="23"/>
      <c r="N651" s="24"/>
      <c r="O651" s="24"/>
      <c r="P651" s="25"/>
      <c r="Q651" s="25"/>
    </row>
    <row r="652" spans="1:17" s="20" customFormat="1" x14ac:dyDescent="0.25">
      <c r="A652" s="9"/>
      <c r="B652" s="28"/>
      <c r="C652" s="28"/>
      <c r="D652" s="28"/>
      <c r="E652" s="28"/>
      <c r="F652" s="31"/>
      <c r="G652" s="21"/>
      <c r="H652" s="22"/>
      <c r="I652" s="23"/>
      <c r="J652" s="24"/>
      <c r="K652" s="25"/>
      <c r="L652" s="23"/>
      <c r="M652" s="23"/>
      <c r="N652" s="24"/>
      <c r="O652" s="24"/>
      <c r="P652" s="25"/>
      <c r="Q652" s="25"/>
    </row>
    <row r="653" spans="1:17" s="20" customFormat="1" x14ac:dyDescent="0.25">
      <c r="A653" s="9"/>
      <c r="B653" s="28"/>
      <c r="C653" s="28"/>
      <c r="D653" s="28"/>
      <c r="E653" s="28"/>
      <c r="F653" s="31"/>
      <c r="G653" s="21"/>
      <c r="H653" s="22"/>
      <c r="I653" s="23"/>
      <c r="J653" s="24"/>
      <c r="K653" s="25"/>
      <c r="L653" s="23"/>
      <c r="M653" s="23"/>
      <c r="N653" s="24"/>
      <c r="O653" s="24"/>
      <c r="P653" s="25"/>
      <c r="Q653" s="25"/>
    </row>
    <row r="654" spans="1:17" s="20" customFormat="1" x14ac:dyDescent="0.25">
      <c r="A654" s="9"/>
      <c r="B654" s="28"/>
      <c r="C654" s="28"/>
      <c r="D654" s="28"/>
      <c r="E654" s="28"/>
      <c r="F654" s="31"/>
      <c r="G654" s="21"/>
      <c r="H654" s="22"/>
      <c r="I654" s="23"/>
      <c r="J654" s="24"/>
      <c r="K654" s="25"/>
      <c r="L654" s="23"/>
      <c r="M654" s="23"/>
      <c r="N654" s="24"/>
      <c r="O654" s="24"/>
      <c r="P654" s="25"/>
      <c r="Q654" s="25"/>
    </row>
    <row r="655" spans="1:17" s="20" customFormat="1" x14ac:dyDescent="0.25">
      <c r="A655" s="9"/>
      <c r="B655" s="28"/>
      <c r="C655" s="28"/>
      <c r="D655" s="28"/>
      <c r="E655" s="28"/>
      <c r="F655" s="31"/>
      <c r="G655" s="21"/>
      <c r="H655" s="22"/>
      <c r="I655" s="23"/>
      <c r="J655" s="24"/>
      <c r="K655" s="25"/>
      <c r="L655" s="23"/>
      <c r="M655" s="23"/>
      <c r="N655" s="24"/>
      <c r="O655" s="24"/>
      <c r="P655" s="25"/>
      <c r="Q655" s="25"/>
    </row>
    <row r="656" spans="1:17" s="20" customFormat="1" x14ac:dyDescent="0.25">
      <c r="A656" s="9"/>
      <c r="B656" s="28"/>
      <c r="C656" s="28"/>
      <c r="D656" s="28"/>
      <c r="E656" s="28"/>
      <c r="F656" s="31"/>
      <c r="G656" s="21"/>
      <c r="H656" s="22"/>
      <c r="I656" s="23"/>
      <c r="J656" s="24"/>
      <c r="K656" s="25"/>
      <c r="L656" s="23"/>
      <c r="M656" s="23"/>
      <c r="N656" s="24"/>
      <c r="O656" s="24"/>
      <c r="P656" s="25"/>
      <c r="Q656" s="25"/>
    </row>
    <row r="657" spans="1:17" s="20" customFormat="1" x14ac:dyDescent="0.25">
      <c r="A657" s="9"/>
      <c r="B657" s="28"/>
      <c r="C657" s="28"/>
      <c r="D657" s="28"/>
      <c r="E657" s="28"/>
      <c r="F657" s="31"/>
      <c r="G657" s="21"/>
      <c r="H657" s="22"/>
      <c r="I657" s="23"/>
      <c r="J657" s="24"/>
      <c r="K657" s="25"/>
      <c r="L657" s="23"/>
      <c r="M657" s="23"/>
      <c r="N657" s="24"/>
      <c r="O657" s="24"/>
      <c r="P657" s="25"/>
      <c r="Q657" s="25"/>
    </row>
    <row r="658" spans="1:17" s="20" customFormat="1" x14ac:dyDescent="0.25">
      <c r="A658" s="9"/>
      <c r="B658" s="28"/>
      <c r="C658" s="28"/>
      <c r="D658" s="28"/>
      <c r="E658" s="28"/>
      <c r="F658" s="31"/>
      <c r="G658" s="21"/>
      <c r="H658" s="22"/>
      <c r="I658" s="23"/>
      <c r="J658" s="24"/>
      <c r="K658" s="25"/>
      <c r="L658" s="23"/>
      <c r="M658" s="23"/>
      <c r="N658" s="24"/>
      <c r="O658" s="24"/>
      <c r="P658" s="25"/>
      <c r="Q658" s="25"/>
    </row>
    <row r="659" spans="1:17" s="20" customFormat="1" x14ac:dyDescent="0.25">
      <c r="A659" s="9"/>
      <c r="B659" s="28"/>
      <c r="C659" s="28"/>
      <c r="D659" s="28"/>
      <c r="E659" s="28"/>
      <c r="F659" s="31"/>
      <c r="G659" s="21"/>
      <c r="H659" s="22"/>
      <c r="I659" s="23"/>
      <c r="J659" s="24"/>
      <c r="K659" s="25"/>
      <c r="L659" s="23"/>
      <c r="M659" s="23"/>
      <c r="N659" s="24"/>
      <c r="O659" s="24"/>
      <c r="P659" s="25"/>
      <c r="Q659" s="25"/>
    </row>
    <row r="660" spans="1:17" s="20" customFormat="1" x14ac:dyDescent="0.25">
      <c r="A660" s="9"/>
      <c r="B660" s="28"/>
      <c r="C660" s="28"/>
      <c r="D660" s="28"/>
      <c r="E660" s="28"/>
      <c r="F660" s="31"/>
      <c r="G660" s="21"/>
      <c r="H660" s="22"/>
      <c r="I660" s="23"/>
      <c r="J660" s="24"/>
      <c r="K660" s="25"/>
      <c r="L660" s="23"/>
      <c r="M660" s="23"/>
      <c r="N660" s="24"/>
      <c r="O660" s="24"/>
      <c r="P660" s="25"/>
      <c r="Q660" s="25"/>
    </row>
    <row r="661" spans="1:17" s="20" customFormat="1" x14ac:dyDescent="0.25">
      <c r="A661" s="9"/>
      <c r="B661" s="28"/>
      <c r="C661" s="28"/>
      <c r="D661" s="28"/>
      <c r="E661" s="28"/>
      <c r="F661" s="31"/>
      <c r="G661" s="21"/>
      <c r="H661" s="22"/>
      <c r="I661" s="23"/>
      <c r="J661" s="24"/>
      <c r="K661" s="25"/>
      <c r="L661" s="23"/>
      <c r="M661" s="23"/>
      <c r="N661" s="24"/>
      <c r="O661" s="24"/>
      <c r="P661" s="25"/>
      <c r="Q661" s="25"/>
    </row>
    <row r="662" spans="1:17" s="20" customFormat="1" x14ac:dyDescent="0.25">
      <c r="A662" s="9"/>
      <c r="B662" s="28"/>
      <c r="C662" s="28"/>
      <c r="D662" s="28"/>
      <c r="E662" s="28"/>
      <c r="F662" s="31"/>
      <c r="G662" s="21"/>
      <c r="H662" s="22"/>
      <c r="I662" s="23"/>
      <c r="J662" s="24"/>
      <c r="K662" s="25"/>
      <c r="L662" s="23"/>
      <c r="M662" s="23"/>
      <c r="N662" s="24"/>
      <c r="O662" s="24"/>
      <c r="P662" s="25"/>
      <c r="Q662" s="25"/>
    </row>
    <row r="663" spans="1:17" s="20" customFormat="1" x14ac:dyDescent="0.25">
      <c r="A663" s="9"/>
      <c r="B663" s="28"/>
      <c r="C663" s="28"/>
      <c r="D663" s="28"/>
      <c r="E663" s="28"/>
      <c r="F663" s="31"/>
      <c r="G663" s="21"/>
      <c r="H663" s="22"/>
      <c r="I663" s="23"/>
      <c r="J663" s="24"/>
      <c r="K663" s="25"/>
      <c r="L663" s="23"/>
      <c r="M663" s="23"/>
      <c r="N663" s="24"/>
      <c r="O663" s="24"/>
      <c r="P663" s="25"/>
      <c r="Q663" s="25"/>
    </row>
    <row r="664" spans="1:17" s="20" customFormat="1" x14ac:dyDescent="0.25">
      <c r="A664" s="9"/>
      <c r="B664" s="28"/>
      <c r="C664" s="28"/>
      <c r="D664" s="28"/>
      <c r="E664" s="28"/>
      <c r="F664" s="31"/>
      <c r="G664" s="21"/>
      <c r="H664" s="22"/>
      <c r="I664" s="23"/>
      <c r="J664" s="24"/>
      <c r="K664" s="25"/>
      <c r="L664" s="23"/>
      <c r="M664" s="23"/>
      <c r="N664" s="24"/>
      <c r="O664" s="24"/>
      <c r="P664" s="25"/>
      <c r="Q664" s="25"/>
    </row>
    <row r="665" spans="1:17" s="20" customFormat="1" x14ac:dyDescent="0.25">
      <c r="A665" s="9"/>
      <c r="B665" s="28"/>
      <c r="C665" s="28"/>
      <c r="D665" s="28"/>
      <c r="E665" s="28"/>
      <c r="F665" s="31"/>
      <c r="G665" s="21"/>
      <c r="H665" s="22"/>
      <c r="I665" s="23"/>
      <c r="J665" s="24"/>
      <c r="K665" s="25"/>
      <c r="L665" s="23"/>
      <c r="M665" s="23"/>
      <c r="N665" s="24"/>
      <c r="O665" s="24"/>
      <c r="P665" s="25"/>
      <c r="Q665" s="25"/>
    </row>
    <row r="666" spans="1:17" s="20" customFormat="1" x14ac:dyDescent="0.25">
      <c r="A666" s="9"/>
      <c r="B666" s="28"/>
      <c r="C666" s="28"/>
      <c r="D666" s="28"/>
      <c r="E666" s="28"/>
      <c r="F666" s="31"/>
      <c r="G666" s="21"/>
      <c r="H666" s="22"/>
      <c r="I666" s="23"/>
      <c r="J666" s="24"/>
      <c r="K666" s="25"/>
      <c r="L666" s="23"/>
      <c r="M666" s="23"/>
      <c r="N666" s="24"/>
      <c r="O666" s="24"/>
      <c r="P666" s="25"/>
      <c r="Q666" s="25"/>
    </row>
    <row r="667" spans="1:17" s="20" customFormat="1" x14ac:dyDescent="0.25">
      <c r="A667" s="9"/>
      <c r="B667" s="28"/>
      <c r="C667" s="28"/>
      <c r="D667" s="28"/>
      <c r="E667" s="28"/>
      <c r="F667" s="31"/>
      <c r="G667" s="21"/>
      <c r="H667" s="22"/>
      <c r="I667" s="23"/>
      <c r="J667" s="24"/>
      <c r="K667" s="25"/>
      <c r="L667" s="23"/>
      <c r="M667" s="23"/>
      <c r="N667" s="24"/>
      <c r="O667" s="24"/>
      <c r="P667" s="25"/>
      <c r="Q667" s="25"/>
    </row>
    <row r="668" spans="1:17" s="20" customFormat="1" x14ac:dyDescent="0.25">
      <c r="A668" s="9"/>
      <c r="B668" s="28"/>
      <c r="C668" s="28"/>
      <c r="D668" s="28"/>
      <c r="E668" s="28"/>
      <c r="F668" s="31"/>
      <c r="G668" s="21"/>
      <c r="H668" s="22"/>
      <c r="I668" s="23"/>
      <c r="J668" s="24"/>
      <c r="K668" s="25"/>
      <c r="L668" s="23"/>
      <c r="M668" s="23"/>
      <c r="N668" s="24"/>
      <c r="O668" s="24"/>
      <c r="P668" s="25"/>
      <c r="Q668" s="25"/>
    </row>
    <row r="669" spans="1:17" s="20" customFormat="1" x14ac:dyDescent="0.25">
      <c r="A669" s="9"/>
      <c r="B669" s="28"/>
      <c r="C669" s="28"/>
      <c r="D669" s="28"/>
      <c r="E669" s="28"/>
      <c r="F669" s="31"/>
      <c r="G669" s="21"/>
      <c r="H669" s="22"/>
      <c r="I669" s="23"/>
      <c r="J669" s="24"/>
      <c r="K669" s="25"/>
      <c r="L669" s="23"/>
      <c r="M669" s="23"/>
      <c r="N669" s="24"/>
      <c r="O669" s="24"/>
      <c r="P669" s="25"/>
      <c r="Q669" s="25"/>
    </row>
    <row r="670" spans="1:17" s="20" customFormat="1" x14ac:dyDescent="0.25">
      <c r="A670" s="9"/>
      <c r="B670" s="28"/>
      <c r="C670" s="28"/>
      <c r="D670" s="28"/>
      <c r="E670" s="28"/>
      <c r="F670" s="31"/>
      <c r="G670" s="21"/>
      <c r="H670" s="22"/>
      <c r="I670" s="23"/>
      <c r="J670" s="24"/>
      <c r="K670" s="25"/>
      <c r="L670" s="23"/>
      <c r="M670" s="23"/>
      <c r="N670" s="24"/>
      <c r="O670" s="24"/>
      <c r="P670" s="25"/>
      <c r="Q670" s="25"/>
    </row>
    <row r="671" spans="1:17" s="20" customFormat="1" x14ac:dyDescent="0.25">
      <c r="A671" s="9"/>
      <c r="B671" s="28"/>
      <c r="C671" s="28"/>
      <c r="D671" s="28"/>
      <c r="E671" s="28"/>
      <c r="F671" s="31"/>
      <c r="G671" s="21"/>
      <c r="H671" s="22"/>
      <c r="I671" s="23"/>
      <c r="J671" s="24"/>
      <c r="K671" s="25"/>
      <c r="L671" s="23"/>
      <c r="M671" s="23"/>
      <c r="N671" s="24"/>
      <c r="O671" s="24"/>
      <c r="P671" s="25"/>
      <c r="Q671" s="25"/>
    </row>
    <row r="672" spans="1:17" s="20" customFormat="1" x14ac:dyDescent="0.25">
      <c r="A672" s="9"/>
      <c r="B672" s="28"/>
      <c r="C672" s="28"/>
      <c r="D672" s="28"/>
      <c r="E672" s="28"/>
      <c r="F672" s="31"/>
      <c r="G672" s="21"/>
      <c r="H672" s="22"/>
      <c r="I672" s="23"/>
      <c r="J672" s="24"/>
      <c r="K672" s="25"/>
      <c r="L672" s="23"/>
      <c r="M672" s="23"/>
      <c r="N672" s="24"/>
      <c r="O672" s="24"/>
      <c r="P672" s="25"/>
      <c r="Q672" s="25"/>
    </row>
    <row r="673" spans="1:17" s="20" customFormat="1" x14ac:dyDescent="0.25">
      <c r="A673" s="9"/>
      <c r="B673" s="28"/>
      <c r="C673" s="28"/>
      <c r="D673" s="28"/>
      <c r="E673" s="28"/>
      <c r="F673" s="31"/>
      <c r="G673" s="21"/>
      <c r="H673" s="22"/>
      <c r="I673" s="23"/>
      <c r="J673" s="24"/>
      <c r="K673" s="25"/>
      <c r="L673" s="23"/>
      <c r="M673" s="23"/>
      <c r="N673" s="24"/>
      <c r="O673" s="24"/>
      <c r="P673" s="25"/>
      <c r="Q673" s="25"/>
    </row>
    <row r="674" spans="1:17" s="20" customFormat="1" x14ac:dyDescent="0.25">
      <c r="A674" s="9"/>
      <c r="B674" s="28"/>
      <c r="C674" s="28"/>
      <c r="D674" s="28"/>
      <c r="E674" s="28"/>
      <c r="F674" s="31"/>
      <c r="G674" s="21"/>
      <c r="H674" s="22"/>
      <c r="I674" s="23"/>
      <c r="J674" s="24"/>
      <c r="K674" s="25"/>
      <c r="L674" s="23"/>
      <c r="M674" s="23"/>
      <c r="N674" s="24"/>
      <c r="O674" s="24"/>
      <c r="P674" s="25"/>
      <c r="Q674" s="25"/>
    </row>
    <row r="675" spans="1:17" s="20" customFormat="1" x14ac:dyDescent="0.25">
      <c r="A675" s="9"/>
      <c r="B675" s="28"/>
      <c r="C675" s="28"/>
      <c r="D675" s="28"/>
      <c r="E675" s="28"/>
      <c r="F675" s="31"/>
      <c r="G675" s="21"/>
      <c r="H675" s="22"/>
      <c r="I675" s="23"/>
      <c r="J675" s="24"/>
      <c r="K675" s="25"/>
      <c r="L675" s="23"/>
      <c r="M675" s="23"/>
      <c r="N675" s="24"/>
      <c r="O675" s="24"/>
      <c r="P675" s="25"/>
      <c r="Q675" s="25"/>
    </row>
    <row r="676" spans="1:17" s="20" customFormat="1" x14ac:dyDescent="0.25">
      <c r="A676" s="9"/>
      <c r="B676" s="28"/>
      <c r="C676" s="28"/>
      <c r="D676" s="28"/>
      <c r="E676" s="28"/>
      <c r="F676" s="31"/>
      <c r="G676" s="21"/>
      <c r="H676" s="22"/>
      <c r="I676" s="23"/>
      <c r="J676" s="24"/>
      <c r="K676" s="25"/>
      <c r="L676" s="23"/>
      <c r="M676" s="23"/>
      <c r="N676" s="24"/>
      <c r="O676" s="24"/>
      <c r="P676" s="25"/>
      <c r="Q676" s="25"/>
    </row>
    <row r="677" spans="1:17" s="20" customFormat="1" x14ac:dyDescent="0.25">
      <c r="A677" s="9"/>
      <c r="B677" s="28"/>
      <c r="C677" s="28"/>
      <c r="D677" s="28"/>
      <c r="E677" s="28"/>
      <c r="F677" s="31"/>
      <c r="G677" s="21"/>
      <c r="H677" s="22"/>
      <c r="I677" s="23"/>
      <c r="J677" s="24"/>
      <c r="K677" s="25"/>
      <c r="L677" s="23"/>
      <c r="M677" s="23"/>
      <c r="N677" s="24"/>
      <c r="O677" s="24"/>
      <c r="P677" s="25"/>
      <c r="Q677" s="25"/>
    </row>
    <row r="678" spans="1:17" s="20" customFormat="1" x14ac:dyDescent="0.25">
      <c r="A678" s="9"/>
      <c r="B678" s="28"/>
      <c r="C678" s="28"/>
      <c r="D678" s="28"/>
      <c r="E678" s="28"/>
      <c r="F678" s="31"/>
      <c r="G678" s="21"/>
      <c r="H678" s="22"/>
      <c r="I678" s="23"/>
      <c r="J678" s="24"/>
      <c r="K678" s="25"/>
      <c r="L678" s="23"/>
      <c r="M678" s="23"/>
      <c r="N678" s="24"/>
      <c r="O678" s="24"/>
      <c r="P678" s="25"/>
      <c r="Q678" s="25"/>
    </row>
    <row r="679" spans="1:17" s="20" customFormat="1" x14ac:dyDescent="0.25">
      <c r="A679" s="9"/>
      <c r="B679" s="28"/>
      <c r="C679" s="28"/>
      <c r="D679" s="28"/>
      <c r="E679" s="28"/>
      <c r="F679" s="31"/>
      <c r="G679" s="21"/>
      <c r="H679" s="22"/>
      <c r="I679" s="23"/>
      <c r="J679" s="24"/>
      <c r="K679" s="25"/>
      <c r="L679" s="23"/>
      <c r="M679" s="23"/>
      <c r="N679" s="24"/>
      <c r="O679" s="24"/>
      <c r="P679" s="25"/>
      <c r="Q679" s="25"/>
    </row>
    <row r="680" spans="1:17" s="20" customFormat="1" x14ac:dyDescent="0.25">
      <c r="A680" s="9"/>
      <c r="B680" s="28"/>
      <c r="C680" s="28"/>
      <c r="D680" s="28"/>
      <c r="E680" s="28"/>
      <c r="F680" s="31"/>
      <c r="G680" s="21"/>
      <c r="H680" s="22"/>
      <c r="I680" s="23"/>
      <c r="J680" s="24"/>
      <c r="K680" s="25"/>
      <c r="L680" s="23"/>
      <c r="M680" s="23"/>
      <c r="N680" s="24"/>
      <c r="O680" s="24"/>
      <c r="P680" s="25"/>
      <c r="Q680" s="25"/>
    </row>
    <row r="681" spans="1:17" s="20" customFormat="1" x14ac:dyDescent="0.25">
      <c r="A681" s="9"/>
      <c r="B681" s="28"/>
      <c r="C681" s="28"/>
      <c r="D681" s="28"/>
      <c r="E681" s="28"/>
      <c r="F681" s="31"/>
      <c r="G681" s="21"/>
      <c r="H681" s="22"/>
      <c r="I681" s="23"/>
      <c r="J681" s="24"/>
      <c r="K681" s="25"/>
      <c r="L681" s="23"/>
      <c r="M681" s="23"/>
      <c r="N681" s="24"/>
      <c r="O681" s="24"/>
      <c r="P681" s="25"/>
      <c r="Q681" s="25"/>
    </row>
    <row r="682" spans="1:17" s="20" customFormat="1" x14ac:dyDescent="0.25">
      <c r="A682" s="9"/>
      <c r="B682" s="28"/>
      <c r="C682" s="28"/>
      <c r="D682" s="28"/>
      <c r="E682" s="28"/>
      <c r="F682" s="31"/>
      <c r="G682" s="21"/>
      <c r="H682" s="22"/>
      <c r="I682" s="23"/>
      <c r="J682" s="24"/>
      <c r="K682" s="25"/>
      <c r="L682" s="23"/>
      <c r="M682" s="23"/>
      <c r="N682" s="24"/>
      <c r="O682" s="24"/>
      <c r="P682" s="25"/>
      <c r="Q682" s="25"/>
    </row>
    <row r="683" spans="1:17" s="20" customFormat="1" x14ac:dyDescent="0.25">
      <c r="A683" s="9"/>
      <c r="B683" s="28"/>
      <c r="C683" s="28"/>
      <c r="D683" s="28"/>
      <c r="E683" s="28"/>
      <c r="F683" s="31"/>
      <c r="G683" s="21"/>
      <c r="H683" s="22"/>
      <c r="I683" s="23"/>
      <c r="J683" s="24"/>
      <c r="K683" s="25"/>
      <c r="L683" s="23"/>
      <c r="M683" s="23"/>
      <c r="N683" s="24"/>
      <c r="O683" s="24"/>
      <c r="P683" s="25"/>
      <c r="Q683" s="25"/>
    </row>
    <row r="684" spans="1:17" s="20" customFormat="1" x14ac:dyDescent="0.25">
      <c r="A684" s="9"/>
      <c r="B684" s="28"/>
      <c r="C684" s="28"/>
      <c r="D684" s="28"/>
      <c r="E684" s="28"/>
      <c r="F684" s="31"/>
      <c r="G684" s="21"/>
      <c r="H684" s="22"/>
      <c r="I684" s="23"/>
      <c r="J684" s="24"/>
      <c r="K684" s="25"/>
      <c r="L684" s="23"/>
      <c r="M684" s="23"/>
      <c r="N684" s="24"/>
      <c r="O684" s="24"/>
      <c r="P684" s="25"/>
      <c r="Q684" s="25"/>
    </row>
    <row r="685" spans="1:17" s="20" customFormat="1" x14ac:dyDescent="0.25">
      <c r="A685" s="9"/>
      <c r="B685" s="28"/>
      <c r="C685" s="28"/>
      <c r="D685" s="28"/>
      <c r="E685" s="28"/>
      <c r="F685" s="31"/>
      <c r="G685" s="21"/>
      <c r="H685" s="22"/>
      <c r="I685" s="23"/>
      <c r="J685" s="24"/>
      <c r="K685" s="25"/>
      <c r="L685" s="23"/>
      <c r="M685" s="23"/>
      <c r="N685" s="24"/>
      <c r="O685" s="24"/>
      <c r="P685" s="25"/>
      <c r="Q685" s="25"/>
    </row>
    <row r="686" spans="1:17" s="20" customFormat="1" x14ac:dyDescent="0.25">
      <c r="A686" s="9"/>
      <c r="B686" s="28"/>
      <c r="C686" s="28"/>
      <c r="D686" s="28"/>
      <c r="E686" s="28"/>
      <c r="F686" s="31"/>
      <c r="G686" s="21"/>
      <c r="H686" s="22"/>
      <c r="I686" s="23"/>
      <c r="J686" s="24"/>
      <c r="K686" s="25"/>
      <c r="L686" s="23"/>
      <c r="M686" s="23"/>
      <c r="N686" s="24"/>
      <c r="O686" s="24"/>
      <c r="P686" s="25"/>
      <c r="Q686" s="25"/>
    </row>
    <row r="687" spans="1:17" s="20" customFormat="1" x14ac:dyDescent="0.25">
      <c r="A687" s="9"/>
      <c r="B687" s="28"/>
      <c r="C687" s="28"/>
      <c r="D687" s="28"/>
      <c r="E687" s="28"/>
      <c r="F687" s="31"/>
      <c r="G687" s="21"/>
      <c r="H687" s="22"/>
      <c r="I687" s="23"/>
      <c r="J687" s="24"/>
      <c r="K687" s="25"/>
      <c r="L687" s="23"/>
      <c r="M687" s="23"/>
      <c r="N687" s="24"/>
      <c r="O687" s="24"/>
      <c r="P687" s="25"/>
      <c r="Q687" s="25"/>
    </row>
    <row r="688" spans="1:17" s="20" customFormat="1" x14ac:dyDescent="0.25">
      <c r="A688" s="9"/>
      <c r="B688" s="28"/>
      <c r="C688" s="28"/>
      <c r="D688" s="28"/>
      <c r="E688" s="28"/>
      <c r="F688" s="31"/>
      <c r="G688" s="21"/>
      <c r="H688" s="22"/>
      <c r="I688" s="23"/>
      <c r="J688" s="24"/>
      <c r="K688" s="25"/>
      <c r="L688" s="23"/>
      <c r="M688" s="23"/>
      <c r="N688" s="24"/>
      <c r="O688" s="24"/>
      <c r="P688" s="25"/>
      <c r="Q688" s="25"/>
    </row>
    <row r="689" spans="1:17" s="20" customFormat="1" x14ac:dyDescent="0.25">
      <c r="A689" s="9"/>
      <c r="B689" s="28"/>
      <c r="C689" s="28"/>
      <c r="D689" s="28"/>
      <c r="E689" s="28"/>
      <c r="F689" s="31"/>
      <c r="G689" s="21"/>
      <c r="H689" s="22"/>
      <c r="I689" s="23"/>
      <c r="J689" s="24"/>
      <c r="K689" s="25"/>
      <c r="L689" s="23"/>
      <c r="M689" s="23"/>
      <c r="N689" s="24"/>
      <c r="O689" s="24"/>
      <c r="P689" s="25"/>
      <c r="Q689" s="25"/>
    </row>
    <row r="690" spans="1:17" s="20" customFormat="1" x14ac:dyDescent="0.25">
      <c r="A690" s="9"/>
      <c r="B690" s="28"/>
      <c r="C690" s="28"/>
      <c r="D690" s="28"/>
      <c r="E690" s="28"/>
      <c r="F690" s="31"/>
      <c r="G690" s="21"/>
      <c r="H690" s="22"/>
      <c r="I690" s="23"/>
      <c r="J690" s="24"/>
      <c r="K690" s="25"/>
      <c r="L690" s="23"/>
      <c r="M690" s="23"/>
      <c r="N690" s="24"/>
      <c r="O690" s="24"/>
      <c r="P690" s="25"/>
      <c r="Q690" s="25"/>
    </row>
    <row r="691" spans="1:17" s="20" customFormat="1" x14ac:dyDescent="0.25">
      <c r="A691" s="9"/>
      <c r="B691" s="28"/>
      <c r="C691" s="28"/>
      <c r="D691" s="28"/>
      <c r="E691" s="28"/>
      <c r="F691" s="31"/>
      <c r="G691" s="21"/>
      <c r="H691" s="22"/>
      <c r="I691" s="23"/>
      <c r="J691" s="24"/>
      <c r="K691" s="25"/>
      <c r="L691" s="23"/>
      <c r="M691" s="23"/>
      <c r="N691" s="24"/>
      <c r="O691" s="24"/>
      <c r="P691" s="25"/>
      <c r="Q691" s="25"/>
    </row>
    <row r="692" spans="1:17" s="20" customFormat="1" x14ac:dyDescent="0.25">
      <c r="A692" s="9"/>
      <c r="B692" s="28"/>
      <c r="C692" s="28"/>
      <c r="D692" s="28"/>
      <c r="E692" s="28"/>
      <c r="F692" s="31"/>
      <c r="G692" s="21"/>
      <c r="H692" s="22"/>
      <c r="I692" s="23"/>
      <c r="J692" s="24"/>
      <c r="K692" s="25"/>
      <c r="L692" s="23"/>
      <c r="M692" s="23"/>
      <c r="N692" s="24"/>
      <c r="O692" s="24"/>
      <c r="P692" s="25"/>
      <c r="Q692" s="25"/>
    </row>
    <row r="693" spans="1:17" s="20" customFormat="1" x14ac:dyDescent="0.25">
      <c r="A693" s="9"/>
      <c r="B693" s="28"/>
      <c r="C693" s="28"/>
      <c r="D693" s="28"/>
      <c r="E693" s="28"/>
      <c r="F693" s="31"/>
      <c r="G693" s="21"/>
      <c r="H693" s="22"/>
      <c r="I693" s="23"/>
      <c r="J693" s="24"/>
      <c r="K693" s="25"/>
      <c r="L693" s="23"/>
      <c r="M693" s="23"/>
      <c r="N693" s="24"/>
      <c r="O693" s="24"/>
      <c r="P693" s="25"/>
      <c r="Q693" s="25"/>
    </row>
    <row r="694" spans="1:17" s="20" customFormat="1" x14ac:dyDescent="0.25">
      <c r="A694" s="9"/>
      <c r="B694" s="28"/>
      <c r="C694" s="28"/>
      <c r="D694" s="28"/>
      <c r="E694" s="28"/>
      <c r="F694" s="31"/>
      <c r="G694" s="21"/>
      <c r="H694" s="22"/>
      <c r="I694" s="23"/>
      <c r="J694" s="24"/>
      <c r="K694" s="25"/>
      <c r="L694" s="23"/>
      <c r="M694" s="23"/>
      <c r="N694" s="24"/>
      <c r="O694" s="24"/>
      <c r="P694" s="25"/>
      <c r="Q694" s="25"/>
    </row>
    <row r="695" spans="1:17" s="20" customFormat="1" x14ac:dyDescent="0.25">
      <c r="A695" s="9"/>
      <c r="B695" s="28"/>
      <c r="C695" s="28"/>
      <c r="D695" s="28"/>
      <c r="E695" s="28"/>
      <c r="F695" s="31"/>
      <c r="G695" s="21"/>
      <c r="H695" s="22"/>
      <c r="I695" s="23"/>
      <c r="J695" s="24"/>
      <c r="K695" s="25"/>
      <c r="L695" s="23"/>
      <c r="M695" s="23"/>
      <c r="N695" s="24"/>
      <c r="O695" s="24"/>
      <c r="P695" s="25"/>
      <c r="Q695" s="25"/>
    </row>
    <row r="696" spans="1:17" s="20" customFormat="1" x14ac:dyDescent="0.25">
      <c r="A696" s="9"/>
      <c r="B696" s="28"/>
      <c r="C696" s="28"/>
      <c r="D696" s="28"/>
      <c r="E696" s="28"/>
      <c r="F696" s="31"/>
      <c r="G696" s="21"/>
      <c r="H696" s="22"/>
      <c r="I696" s="23"/>
      <c r="J696" s="24"/>
      <c r="K696" s="25"/>
      <c r="L696" s="23"/>
      <c r="M696" s="23"/>
      <c r="N696" s="24"/>
      <c r="O696" s="24"/>
      <c r="P696" s="25"/>
      <c r="Q696" s="25"/>
    </row>
    <row r="697" spans="1:17" s="20" customFormat="1" x14ac:dyDescent="0.25">
      <c r="A697" s="9"/>
      <c r="B697" s="28"/>
      <c r="C697" s="28"/>
      <c r="D697" s="28"/>
      <c r="E697" s="28"/>
      <c r="F697" s="31"/>
      <c r="G697" s="21"/>
      <c r="H697" s="22"/>
      <c r="I697" s="23"/>
      <c r="J697" s="24"/>
      <c r="K697" s="25"/>
      <c r="L697" s="23"/>
      <c r="M697" s="23"/>
      <c r="N697" s="24"/>
      <c r="O697" s="24"/>
      <c r="P697" s="25"/>
      <c r="Q697" s="25"/>
    </row>
    <row r="698" spans="1:17" s="20" customFormat="1" x14ac:dyDescent="0.25">
      <c r="A698" s="9"/>
      <c r="B698" s="28"/>
      <c r="C698" s="28"/>
      <c r="D698" s="28"/>
      <c r="E698" s="28"/>
      <c r="F698" s="31"/>
      <c r="G698" s="21"/>
      <c r="H698" s="22"/>
      <c r="I698" s="23"/>
      <c r="J698" s="24"/>
      <c r="K698" s="25"/>
      <c r="L698" s="23"/>
      <c r="M698" s="23"/>
      <c r="N698" s="24"/>
      <c r="O698" s="24"/>
      <c r="P698" s="25"/>
      <c r="Q698" s="25"/>
    </row>
    <row r="699" spans="1:17" s="20" customFormat="1" x14ac:dyDescent="0.25">
      <c r="A699" s="9"/>
      <c r="B699" s="28"/>
      <c r="C699" s="28"/>
      <c r="D699" s="28"/>
      <c r="E699" s="28"/>
      <c r="F699" s="31"/>
      <c r="G699" s="21"/>
      <c r="H699" s="22"/>
      <c r="I699" s="23"/>
      <c r="J699" s="24"/>
      <c r="K699" s="25"/>
      <c r="L699" s="23"/>
      <c r="M699" s="23"/>
      <c r="N699" s="24"/>
      <c r="O699" s="24"/>
      <c r="P699" s="25"/>
      <c r="Q699" s="25"/>
    </row>
    <row r="700" spans="1:17" s="20" customFormat="1" x14ac:dyDescent="0.25">
      <c r="A700" s="9"/>
      <c r="B700" s="28"/>
      <c r="C700" s="28"/>
      <c r="D700" s="28"/>
      <c r="E700" s="28"/>
      <c r="F700" s="31"/>
      <c r="G700" s="21"/>
      <c r="H700" s="22"/>
      <c r="I700" s="23"/>
      <c r="J700" s="24"/>
      <c r="K700" s="25"/>
      <c r="L700" s="23"/>
      <c r="M700" s="23"/>
      <c r="N700" s="24"/>
      <c r="O700" s="24"/>
      <c r="P700" s="25"/>
      <c r="Q700" s="25"/>
    </row>
    <row r="701" spans="1:17" s="20" customFormat="1" x14ac:dyDescent="0.25">
      <c r="A701" s="9"/>
      <c r="B701" s="28"/>
      <c r="C701" s="28"/>
      <c r="D701" s="28"/>
      <c r="E701" s="28"/>
      <c r="F701" s="31"/>
      <c r="G701" s="21"/>
      <c r="H701" s="22"/>
      <c r="I701" s="23"/>
      <c r="J701" s="24"/>
      <c r="K701" s="25"/>
      <c r="L701" s="23"/>
      <c r="M701" s="23"/>
      <c r="N701" s="24"/>
      <c r="O701" s="24"/>
      <c r="P701" s="25"/>
      <c r="Q701" s="25"/>
    </row>
    <row r="702" spans="1:17" s="20" customFormat="1" x14ac:dyDescent="0.25">
      <c r="A702" s="9"/>
      <c r="B702" s="28"/>
      <c r="C702" s="28"/>
      <c r="D702" s="28"/>
      <c r="E702" s="28"/>
      <c r="F702" s="31"/>
      <c r="G702" s="21"/>
      <c r="H702" s="22"/>
      <c r="I702" s="23"/>
      <c r="J702" s="24"/>
      <c r="K702" s="25"/>
      <c r="L702" s="23"/>
      <c r="M702" s="23"/>
      <c r="N702" s="24"/>
      <c r="O702" s="24"/>
      <c r="P702" s="25"/>
      <c r="Q702" s="25"/>
    </row>
    <row r="703" spans="1:17" s="20" customFormat="1" x14ac:dyDescent="0.25">
      <c r="A703" s="9"/>
      <c r="B703" s="28"/>
      <c r="C703" s="28"/>
      <c r="D703" s="28"/>
      <c r="E703" s="28"/>
      <c r="F703" s="31"/>
      <c r="G703" s="21"/>
      <c r="H703" s="22"/>
      <c r="I703" s="23"/>
      <c r="J703" s="24"/>
      <c r="K703" s="25"/>
      <c r="L703" s="23"/>
      <c r="M703" s="23"/>
      <c r="N703" s="24"/>
      <c r="O703" s="24"/>
      <c r="P703" s="25"/>
      <c r="Q703" s="25"/>
    </row>
    <row r="704" spans="1:17" s="20" customFormat="1" x14ac:dyDescent="0.25">
      <c r="A704" s="9"/>
      <c r="B704" s="28"/>
      <c r="C704" s="28"/>
      <c r="D704" s="28"/>
      <c r="E704" s="28"/>
      <c r="F704" s="31"/>
      <c r="G704" s="21"/>
      <c r="H704" s="22"/>
      <c r="I704" s="23"/>
      <c r="J704" s="24"/>
      <c r="K704" s="25"/>
      <c r="L704" s="23"/>
      <c r="M704" s="23"/>
      <c r="N704" s="24"/>
      <c r="O704" s="24"/>
      <c r="P704" s="25"/>
      <c r="Q704" s="25"/>
    </row>
    <row r="705" spans="1:17" s="20" customFormat="1" x14ac:dyDescent="0.25">
      <c r="A705" s="9"/>
      <c r="B705" s="28"/>
      <c r="C705" s="28"/>
      <c r="D705" s="28"/>
      <c r="E705" s="28"/>
      <c r="F705" s="31"/>
      <c r="G705" s="21"/>
      <c r="H705" s="22"/>
      <c r="I705" s="23"/>
      <c r="J705" s="24"/>
      <c r="K705" s="25"/>
      <c r="L705" s="23"/>
      <c r="M705" s="23"/>
      <c r="N705" s="24"/>
      <c r="O705" s="24"/>
      <c r="P705" s="25"/>
      <c r="Q705" s="25"/>
    </row>
    <row r="706" spans="1:17" s="20" customFormat="1" x14ac:dyDescent="0.25">
      <c r="A706" s="9"/>
      <c r="B706" s="28"/>
      <c r="C706" s="28"/>
      <c r="D706" s="28"/>
      <c r="E706" s="28"/>
      <c r="F706" s="31"/>
      <c r="G706" s="21"/>
      <c r="H706" s="22"/>
      <c r="I706" s="23"/>
      <c r="J706" s="24"/>
      <c r="K706" s="25"/>
      <c r="L706" s="23"/>
      <c r="M706" s="23"/>
      <c r="N706" s="24"/>
      <c r="O706" s="24"/>
      <c r="P706" s="25"/>
      <c r="Q706" s="25"/>
    </row>
    <row r="707" spans="1:17" s="20" customFormat="1" x14ac:dyDescent="0.25">
      <c r="A707" s="9"/>
      <c r="B707" s="28"/>
      <c r="C707" s="28"/>
      <c r="D707" s="28"/>
      <c r="E707" s="28"/>
      <c r="F707" s="31"/>
      <c r="G707" s="21"/>
      <c r="H707" s="22"/>
      <c r="I707" s="23"/>
      <c r="J707" s="24"/>
      <c r="K707" s="25"/>
      <c r="L707" s="23"/>
      <c r="M707" s="23"/>
      <c r="N707" s="24"/>
      <c r="O707" s="24"/>
      <c r="P707" s="25"/>
      <c r="Q707" s="25"/>
    </row>
    <row r="708" spans="1:17" s="20" customFormat="1" x14ac:dyDescent="0.25">
      <c r="A708" s="9"/>
      <c r="B708" s="28"/>
      <c r="C708" s="28"/>
      <c r="D708" s="28"/>
      <c r="E708" s="28"/>
      <c r="F708" s="31"/>
      <c r="G708" s="21"/>
      <c r="H708" s="22"/>
      <c r="I708" s="23"/>
      <c r="J708" s="24"/>
      <c r="K708" s="25"/>
      <c r="L708" s="23"/>
      <c r="M708" s="23"/>
      <c r="N708" s="24"/>
      <c r="O708" s="24"/>
      <c r="P708" s="25"/>
      <c r="Q708" s="25"/>
    </row>
    <row r="709" spans="1:17" s="20" customFormat="1" x14ac:dyDescent="0.25">
      <c r="A709" s="9"/>
      <c r="B709" s="28"/>
      <c r="C709" s="28"/>
      <c r="D709" s="28"/>
      <c r="E709" s="28"/>
      <c r="F709" s="31"/>
      <c r="G709" s="21"/>
      <c r="H709" s="22"/>
      <c r="I709" s="23"/>
      <c r="J709" s="24"/>
      <c r="K709" s="25"/>
      <c r="L709" s="23"/>
      <c r="M709" s="23"/>
      <c r="N709" s="24"/>
      <c r="O709" s="24"/>
      <c r="P709" s="25"/>
      <c r="Q709" s="25"/>
    </row>
    <row r="710" spans="1:17" s="20" customFormat="1" x14ac:dyDescent="0.25">
      <c r="A710" s="9"/>
      <c r="B710" s="28"/>
      <c r="C710" s="28"/>
      <c r="D710" s="28"/>
      <c r="E710" s="28"/>
      <c r="F710" s="31"/>
      <c r="G710" s="21"/>
      <c r="H710" s="22"/>
      <c r="I710" s="23"/>
      <c r="J710" s="24"/>
      <c r="K710" s="25"/>
      <c r="L710" s="23"/>
      <c r="M710" s="23"/>
      <c r="N710" s="24"/>
      <c r="O710" s="24"/>
      <c r="P710" s="25"/>
      <c r="Q710" s="25"/>
    </row>
    <row r="711" spans="1:17" s="20" customFormat="1" x14ac:dyDescent="0.25">
      <c r="A711" s="9"/>
      <c r="B711" s="28"/>
      <c r="C711" s="28"/>
      <c r="D711" s="28"/>
      <c r="E711" s="28"/>
      <c r="F711" s="31"/>
      <c r="G711" s="21"/>
      <c r="H711" s="22"/>
      <c r="I711" s="23"/>
      <c r="J711" s="24"/>
      <c r="K711" s="25"/>
      <c r="L711" s="23"/>
      <c r="M711" s="23"/>
      <c r="N711" s="24"/>
      <c r="O711" s="24"/>
      <c r="P711" s="25"/>
      <c r="Q711" s="25"/>
    </row>
    <row r="712" spans="1:17" s="20" customFormat="1" x14ac:dyDescent="0.25">
      <c r="A712" s="9"/>
      <c r="B712" s="28"/>
      <c r="C712" s="28"/>
      <c r="D712" s="28"/>
      <c r="E712" s="28"/>
      <c r="F712" s="31"/>
      <c r="G712" s="21"/>
      <c r="H712" s="22"/>
      <c r="I712" s="23"/>
      <c r="J712" s="24"/>
      <c r="K712" s="25"/>
      <c r="L712" s="23"/>
      <c r="M712" s="23"/>
      <c r="N712" s="24"/>
      <c r="O712" s="24"/>
      <c r="P712" s="25"/>
      <c r="Q712" s="25"/>
    </row>
    <row r="713" spans="1:17" s="20" customFormat="1" x14ac:dyDescent="0.25">
      <c r="A713" s="9"/>
      <c r="B713" s="28"/>
      <c r="C713" s="28"/>
      <c r="D713" s="28"/>
      <c r="E713" s="28"/>
      <c r="F713" s="31"/>
      <c r="G713" s="21"/>
      <c r="H713" s="22"/>
      <c r="I713" s="23"/>
      <c r="J713" s="24"/>
      <c r="K713" s="25"/>
      <c r="L713" s="23"/>
      <c r="M713" s="23"/>
      <c r="N713" s="24"/>
      <c r="O713" s="24"/>
      <c r="P713" s="25"/>
      <c r="Q713" s="25"/>
    </row>
    <row r="714" spans="1:17" s="20" customFormat="1" x14ac:dyDescent="0.25">
      <c r="A714" s="9"/>
      <c r="B714" s="28"/>
      <c r="C714" s="28"/>
      <c r="D714" s="28"/>
      <c r="E714" s="28"/>
      <c r="F714" s="31"/>
      <c r="G714" s="21"/>
      <c r="H714" s="22"/>
      <c r="I714" s="23"/>
      <c r="J714" s="24"/>
      <c r="K714" s="25"/>
      <c r="L714" s="23"/>
      <c r="M714" s="23"/>
      <c r="N714" s="24"/>
      <c r="O714" s="24"/>
      <c r="P714" s="25"/>
      <c r="Q714" s="25"/>
    </row>
    <row r="715" spans="1:17" s="20" customFormat="1" x14ac:dyDescent="0.25">
      <c r="A715" s="9"/>
      <c r="B715" s="28"/>
      <c r="C715" s="28"/>
      <c r="D715" s="28"/>
      <c r="E715" s="28"/>
      <c r="F715" s="31"/>
      <c r="G715" s="21"/>
      <c r="H715" s="22"/>
      <c r="I715" s="23"/>
      <c r="J715" s="24"/>
      <c r="K715" s="25"/>
      <c r="L715" s="23"/>
      <c r="M715" s="23"/>
      <c r="N715" s="24"/>
      <c r="O715" s="24"/>
      <c r="P715" s="25"/>
      <c r="Q715" s="25"/>
    </row>
    <row r="716" spans="1:17" s="20" customFormat="1" x14ac:dyDescent="0.25">
      <c r="A716" s="9"/>
      <c r="B716" s="28"/>
      <c r="C716" s="28"/>
      <c r="D716" s="28"/>
      <c r="E716" s="28"/>
      <c r="F716" s="31"/>
      <c r="G716" s="21"/>
      <c r="H716" s="22"/>
      <c r="I716" s="23"/>
      <c r="J716" s="24"/>
      <c r="K716" s="25"/>
      <c r="L716" s="23"/>
      <c r="M716" s="23"/>
      <c r="N716" s="24"/>
      <c r="O716" s="24"/>
      <c r="P716" s="25"/>
      <c r="Q716" s="25"/>
    </row>
    <row r="717" spans="1:17" s="20" customFormat="1" x14ac:dyDescent="0.25">
      <c r="A717" s="9"/>
      <c r="B717" s="28"/>
      <c r="C717" s="28"/>
      <c r="D717" s="28"/>
      <c r="E717" s="28"/>
      <c r="F717" s="31"/>
      <c r="G717" s="21"/>
      <c r="H717" s="22"/>
      <c r="I717" s="23"/>
      <c r="J717" s="24"/>
      <c r="K717" s="25"/>
      <c r="L717" s="23"/>
      <c r="M717" s="23"/>
      <c r="N717" s="24"/>
      <c r="O717" s="24"/>
      <c r="P717" s="25"/>
      <c r="Q717" s="25"/>
    </row>
    <row r="718" spans="1:17" s="20" customFormat="1" x14ac:dyDescent="0.25">
      <c r="A718" s="9"/>
      <c r="B718" s="28"/>
      <c r="C718" s="28"/>
      <c r="D718" s="28"/>
      <c r="E718" s="28"/>
      <c r="F718" s="31"/>
      <c r="G718" s="21"/>
      <c r="H718" s="22"/>
      <c r="I718" s="23"/>
      <c r="J718" s="24"/>
      <c r="K718" s="25"/>
      <c r="L718" s="23"/>
      <c r="M718" s="23"/>
      <c r="N718" s="24"/>
      <c r="O718" s="24"/>
      <c r="P718" s="25"/>
      <c r="Q718" s="25"/>
    </row>
    <row r="719" spans="1:17" s="20" customFormat="1" x14ac:dyDescent="0.25">
      <c r="A719" s="9"/>
      <c r="B719" s="28"/>
      <c r="C719" s="28"/>
      <c r="D719" s="28"/>
      <c r="E719" s="28"/>
      <c r="F719" s="31"/>
      <c r="G719" s="21"/>
      <c r="H719" s="22"/>
      <c r="I719" s="23"/>
      <c r="J719" s="24"/>
      <c r="K719" s="25"/>
      <c r="L719" s="23"/>
      <c r="M719" s="23"/>
      <c r="N719" s="24"/>
      <c r="O719" s="24"/>
      <c r="P719" s="25"/>
      <c r="Q719" s="25"/>
    </row>
    <row r="720" spans="1:17" s="20" customFormat="1" x14ac:dyDescent="0.25">
      <c r="A720" s="9"/>
      <c r="B720" s="28"/>
      <c r="C720" s="28"/>
      <c r="D720" s="28"/>
      <c r="E720" s="28"/>
      <c r="F720" s="31"/>
      <c r="G720" s="21"/>
      <c r="H720" s="22"/>
      <c r="I720" s="23"/>
      <c r="J720" s="24"/>
      <c r="K720" s="25"/>
      <c r="L720" s="23"/>
      <c r="M720" s="23"/>
      <c r="N720" s="24"/>
      <c r="O720" s="24"/>
      <c r="P720" s="25"/>
      <c r="Q720" s="25"/>
    </row>
    <row r="721" spans="1:17" s="20" customFormat="1" x14ac:dyDescent="0.25">
      <c r="A721" s="9"/>
      <c r="B721" s="28"/>
      <c r="C721" s="28"/>
      <c r="D721" s="28"/>
      <c r="E721" s="28"/>
      <c r="F721" s="31"/>
      <c r="G721" s="21"/>
      <c r="H721" s="22"/>
      <c r="I721" s="23"/>
      <c r="J721" s="24"/>
      <c r="K721" s="25"/>
      <c r="L721" s="23"/>
      <c r="M721" s="23"/>
      <c r="N721" s="24"/>
      <c r="O721" s="24"/>
      <c r="P721" s="25"/>
      <c r="Q721" s="25"/>
    </row>
    <row r="722" spans="1:17" s="20" customFormat="1" x14ac:dyDescent="0.25">
      <c r="A722" s="9"/>
      <c r="B722" s="28"/>
      <c r="C722" s="28"/>
      <c r="D722" s="28"/>
      <c r="E722" s="28"/>
      <c r="F722" s="31"/>
      <c r="G722" s="21"/>
      <c r="H722" s="22"/>
      <c r="I722" s="23"/>
      <c r="J722" s="24"/>
      <c r="K722" s="25"/>
      <c r="L722" s="23"/>
      <c r="M722" s="23"/>
      <c r="N722" s="24"/>
      <c r="O722" s="24"/>
      <c r="P722" s="25"/>
      <c r="Q722" s="25"/>
    </row>
    <row r="723" spans="1:17" s="20" customFormat="1" x14ac:dyDescent="0.25">
      <c r="A723" s="9"/>
      <c r="B723" s="28"/>
      <c r="C723" s="28"/>
      <c r="D723" s="28"/>
      <c r="E723" s="28"/>
      <c r="F723" s="31"/>
      <c r="G723" s="21"/>
      <c r="H723" s="22"/>
      <c r="I723" s="23"/>
      <c r="J723" s="24"/>
      <c r="K723" s="25"/>
      <c r="L723" s="23"/>
      <c r="M723" s="23"/>
      <c r="N723" s="24"/>
      <c r="O723" s="24"/>
      <c r="P723" s="25"/>
      <c r="Q723" s="25"/>
    </row>
    <row r="724" spans="1:17" s="20" customFormat="1" x14ac:dyDescent="0.25">
      <c r="A724" s="9"/>
      <c r="B724" s="28"/>
      <c r="C724" s="28"/>
      <c r="D724" s="28"/>
      <c r="E724" s="28"/>
      <c r="F724" s="31"/>
      <c r="G724" s="21"/>
      <c r="H724" s="22"/>
      <c r="I724" s="23"/>
      <c r="J724" s="24"/>
      <c r="K724" s="25"/>
      <c r="L724" s="23"/>
      <c r="M724" s="23"/>
      <c r="N724" s="24"/>
      <c r="O724" s="24"/>
      <c r="P724" s="25"/>
      <c r="Q724" s="25"/>
    </row>
    <row r="725" spans="1:17" s="20" customFormat="1" x14ac:dyDescent="0.25">
      <c r="A725" s="9"/>
      <c r="B725" s="28"/>
      <c r="C725" s="28"/>
      <c r="D725" s="28"/>
      <c r="E725" s="28"/>
      <c r="F725" s="31"/>
      <c r="G725" s="21"/>
      <c r="H725" s="22"/>
      <c r="I725" s="23"/>
      <c r="J725" s="24"/>
      <c r="K725" s="25"/>
      <c r="L725" s="23"/>
      <c r="M725" s="23"/>
      <c r="N725" s="24"/>
      <c r="O725" s="24"/>
      <c r="P725" s="25"/>
      <c r="Q725" s="25"/>
    </row>
    <row r="726" spans="1:17" s="20" customFormat="1" x14ac:dyDescent="0.25">
      <c r="A726" s="9"/>
      <c r="B726" s="28"/>
      <c r="C726" s="28"/>
      <c r="D726" s="28"/>
      <c r="E726" s="28"/>
      <c r="F726" s="31"/>
      <c r="G726" s="21"/>
      <c r="H726" s="22"/>
      <c r="I726" s="23"/>
      <c r="J726" s="24"/>
      <c r="K726" s="25"/>
      <c r="L726" s="23"/>
      <c r="M726" s="23"/>
      <c r="N726" s="24"/>
      <c r="O726" s="24"/>
      <c r="P726" s="25"/>
      <c r="Q726" s="25"/>
    </row>
    <row r="727" spans="1:17" s="20" customFormat="1" x14ac:dyDescent="0.25">
      <c r="A727" s="9"/>
      <c r="B727" s="28"/>
      <c r="C727" s="28"/>
      <c r="D727" s="28"/>
      <c r="E727" s="28"/>
      <c r="F727" s="31"/>
      <c r="G727" s="21"/>
      <c r="H727" s="22"/>
      <c r="I727" s="23"/>
      <c r="J727" s="24"/>
      <c r="K727" s="25"/>
      <c r="L727" s="23"/>
      <c r="M727" s="23"/>
      <c r="N727" s="24"/>
      <c r="O727" s="24"/>
      <c r="P727" s="25"/>
      <c r="Q727" s="25"/>
    </row>
    <row r="728" spans="1:17" s="20" customFormat="1" x14ac:dyDescent="0.25">
      <c r="A728" s="9"/>
      <c r="B728" s="28"/>
      <c r="C728" s="28"/>
      <c r="D728" s="28"/>
      <c r="E728" s="28"/>
      <c r="F728" s="31"/>
      <c r="G728" s="21"/>
      <c r="H728" s="22"/>
      <c r="I728" s="23"/>
      <c r="J728" s="24"/>
      <c r="K728" s="25"/>
      <c r="L728" s="23"/>
      <c r="M728" s="23"/>
      <c r="N728" s="24"/>
      <c r="O728" s="24"/>
      <c r="P728" s="25"/>
      <c r="Q728" s="25"/>
    </row>
    <row r="729" spans="1:17" s="20" customFormat="1" x14ac:dyDescent="0.25">
      <c r="A729" s="9"/>
      <c r="B729" s="28"/>
      <c r="C729" s="28"/>
      <c r="D729" s="28"/>
      <c r="E729" s="28"/>
      <c r="F729" s="31"/>
      <c r="G729" s="21"/>
      <c r="H729" s="22"/>
      <c r="I729" s="23"/>
      <c r="J729" s="24"/>
      <c r="K729" s="25"/>
      <c r="L729" s="23"/>
      <c r="M729" s="23"/>
      <c r="N729" s="24"/>
      <c r="O729" s="24"/>
      <c r="P729" s="25"/>
      <c r="Q729" s="25"/>
    </row>
    <row r="730" spans="1:17" s="20" customFormat="1" x14ac:dyDescent="0.25">
      <c r="A730" s="9"/>
      <c r="B730" s="28"/>
      <c r="C730" s="28"/>
      <c r="D730" s="28"/>
      <c r="E730" s="28"/>
      <c r="F730" s="31"/>
      <c r="G730" s="21"/>
      <c r="H730" s="22"/>
      <c r="I730" s="23"/>
      <c r="J730" s="24"/>
      <c r="K730" s="25"/>
      <c r="L730" s="23"/>
      <c r="M730" s="23"/>
      <c r="N730" s="24"/>
      <c r="O730" s="24"/>
      <c r="P730" s="25"/>
      <c r="Q730" s="25"/>
    </row>
    <row r="731" spans="1:17" s="20" customFormat="1" x14ac:dyDescent="0.25">
      <c r="A731" s="9"/>
      <c r="B731" s="28"/>
      <c r="C731" s="28"/>
      <c r="D731" s="28"/>
      <c r="E731" s="28"/>
      <c r="F731" s="31"/>
      <c r="G731" s="21"/>
      <c r="H731" s="22"/>
      <c r="I731" s="23"/>
      <c r="J731" s="24"/>
      <c r="K731" s="25"/>
      <c r="L731" s="23"/>
      <c r="M731" s="23"/>
      <c r="N731" s="24"/>
      <c r="O731" s="24"/>
      <c r="P731" s="25"/>
      <c r="Q731" s="25"/>
    </row>
    <row r="732" spans="1:17" s="20" customFormat="1" x14ac:dyDescent="0.25">
      <c r="A732" s="9"/>
      <c r="B732" s="28"/>
      <c r="C732" s="28"/>
      <c r="D732" s="28"/>
      <c r="E732" s="28"/>
      <c r="F732" s="31"/>
      <c r="G732" s="21"/>
      <c r="H732" s="22"/>
      <c r="I732" s="23"/>
      <c r="J732" s="24"/>
      <c r="K732" s="25"/>
      <c r="L732" s="23"/>
      <c r="M732" s="23"/>
      <c r="N732" s="24"/>
      <c r="O732" s="24"/>
      <c r="P732" s="25"/>
      <c r="Q732" s="25"/>
    </row>
    <row r="733" spans="1:17" s="20" customFormat="1" x14ac:dyDescent="0.25">
      <c r="A733" s="9"/>
      <c r="B733" s="28"/>
      <c r="C733" s="28"/>
      <c r="D733" s="28"/>
      <c r="E733" s="28"/>
      <c r="F733" s="31"/>
      <c r="G733" s="21"/>
      <c r="H733" s="22"/>
      <c r="I733" s="23"/>
      <c r="J733" s="24"/>
      <c r="K733" s="25"/>
      <c r="L733" s="23"/>
      <c r="M733" s="23"/>
      <c r="N733" s="24"/>
      <c r="O733" s="24"/>
      <c r="P733" s="25"/>
      <c r="Q733" s="25"/>
    </row>
    <row r="734" spans="1:17" s="20" customFormat="1" x14ac:dyDescent="0.25">
      <c r="A734" s="9"/>
      <c r="B734" s="28"/>
      <c r="C734" s="28"/>
      <c r="D734" s="28"/>
      <c r="E734" s="28"/>
      <c r="F734" s="31"/>
      <c r="G734" s="21"/>
      <c r="H734" s="22"/>
      <c r="I734" s="23"/>
      <c r="J734" s="24"/>
      <c r="K734" s="25"/>
      <c r="L734" s="23"/>
      <c r="M734" s="23"/>
      <c r="N734" s="24"/>
      <c r="O734" s="24"/>
      <c r="P734" s="25"/>
      <c r="Q734" s="25"/>
    </row>
    <row r="735" spans="1:17" s="20" customFormat="1" x14ac:dyDescent="0.25">
      <c r="A735" s="9"/>
      <c r="B735" s="28"/>
      <c r="C735" s="28"/>
      <c r="D735" s="28"/>
      <c r="E735" s="28"/>
      <c r="F735" s="31"/>
      <c r="G735" s="21"/>
      <c r="H735" s="22"/>
      <c r="I735" s="23"/>
      <c r="J735" s="24"/>
      <c r="K735" s="25"/>
      <c r="L735" s="23"/>
      <c r="M735" s="23"/>
      <c r="N735" s="24"/>
      <c r="O735" s="24"/>
      <c r="P735" s="25"/>
      <c r="Q735" s="25"/>
    </row>
    <row r="736" spans="1:17" s="20" customFormat="1" x14ac:dyDescent="0.25">
      <c r="A736" s="9"/>
      <c r="B736" s="28"/>
      <c r="C736" s="28"/>
      <c r="D736" s="28"/>
      <c r="E736" s="28"/>
      <c r="F736" s="31"/>
      <c r="G736" s="21"/>
      <c r="H736" s="22"/>
      <c r="I736" s="23"/>
      <c r="J736" s="24"/>
      <c r="K736" s="25"/>
      <c r="L736" s="23"/>
      <c r="M736" s="23"/>
      <c r="N736" s="24"/>
      <c r="O736" s="24"/>
      <c r="P736" s="25"/>
      <c r="Q736" s="25"/>
    </row>
    <row r="737" spans="1:17" s="20" customFormat="1" x14ac:dyDescent="0.25">
      <c r="A737" s="9"/>
      <c r="B737" s="28"/>
      <c r="C737" s="28"/>
      <c r="D737" s="28"/>
      <c r="E737" s="28"/>
      <c r="F737" s="31"/>
      <c r="G737" s="21"/>
      <c r="H737" s="22"/>
      <c r="I737" s="23"/>
      <c r="J737" s="24"/>
      <c r="K737" s="25"/>
      <c r="L737" s="23"/>
      <c r="M737" s="23"/>
      <c r="N737" s="24"/>
      <c r="O737" s="24"/>
      <c r="P737" s="25"/>
      <c r="Q737" s="25"/>
    </row>
    <row r="738" spans="1:17" s="20" customFormat="1" x14ac:dyDescent="0.25">
      <c r="A738" s="9"/>
      <c r="B738" s="28"/>
      <c r="C738" s="28"/>
      <c r="D738" s="28"/>
      <c r="E738" s="28"/>
      <c r="F738" s="31"/>
      <c r="G738" s="21"/>
      <c r="H738" s="22"/>
      <c r="I738" s="23"/>
      <c r="J738" s="24"/>
      <c r="K738" s="25"/>
      <c r="L738" s="23"/>
      <c r="M738" s="23"/>
      <c r="N738" s="24"/>
      <c r="O738" s="24"/>
      <c r="P738" s="25"/>
      <c r="Q738" s="25"/>
    </row>
    <row r="739" spans="1:17" s="20" customFormat="1" x14ac:dyDescent="0.25">
      <c r="A739" s="9"/>
      <c r="B739" s="28"/>
      <c r="C739" s="28"/>
      <c r="D739" s="28"/>
      <c r="E739" s="28"/>
      <c r="F739" s="31"/>
      <c r="G739" s="21"/>
      <c r="H739" s="22"/>
      <c r="I739" s="23"/>
      <c r="J739" s="24"/>
      <c r="K739" s="25"/>
      <c r="L739" s="23"/>
      <c r="M739" s="23"/>
      <c r="N739" s="24"/>
      <c r="O739" s="24"/>
      <c r="P739" s="25"/>
      <c r="Q739" s="25"/>
    </row>
    <row r="740" spans="1:17" s="20" customFormat="1" x14ac:dyDescent="0.25">
      <c r="A740" s="9"/>
      <c r="B740" s="28"/>
      <c r="C740" s="28"/>
      <c r="D740" s="28"/>
      <c r="E740" s="28"/>
      <c r="F740" s="31"/>
      <c r="G740" s="21"/>
      <c r="H740" s="22"/>
      <c r="I740" s="23"/>
      <c r="J740" s="24"/>
      <c r="K740" s="25"/>
      <c r="L740" s="23"/>
      <c r="M740" s="23"/>
      <c r="N740" s="24"/>
      <c r="O740" s="24"/>
      <c r="P740" s="25"/>
      <c r="Q740" s="25"/>
    </row>
    <row r="741" spans="1:17" s="20" customFormat="1" x14ac:dyDescent="0.25">
      <c r="A741" s="9"/>
      <c r="B741" s="28"/>
      <c r="C741" s="28"/>
      <c r="D741" s="28"/>
      <c r="E741" s="28"/>
      <c r="F741" s="31"/>
      <c r="G741" s="21"/>
      <c r="H741" s="22"/>
      <c r="I741" s="23"/>
      <c r="J741" s="24"/>
      <c r="K741" s="25"/>
      <c r="L741" s="23"/>
      <c r="M741" s="23"/>
      <c r="N741" s="24"/>
      <c r="O741" s="24"/>
      <c r="P741" s="25"/>
      <c r="Q741" s="25"/>
    </row>
    <row r="742" spans="1:17" s="20" customFormat="1" x14ac:dyDescent="0.25">
      <c r="A742" s="9"/>
      <c r="B742" s="28"/>
      <c r="C742" s="28"/>
      <c r="D742" s="28"/>
      <c r="E742" s="28"/>
      <c r="F742" s="31"/>
      <c r="G742" s="21"/>
      <c r="H742" s="22"/>
      <c r="I742" s="23"/>
      <c r="J742" s="24"/>
      <c r="K742" s="25"/>
      <c r="L742" s="23"/>
      <c r="M742" s="23"/>
      <c r="N742" s="24"/>
      <c r="O742" s="24"/>
      <c r="P742" s="25"/>
      <c r="Q742" s="25"/>
    </row>
    <row r="743" spans="1:17" s="20" customFormat="1" x14ac:dyDescent="0.25">
      <c r="A743" s="9"/>
      <c r="B743" s="28"/>
      <c r="C743" s="28"/>
      <c r="D743" s="28"/>
      <c r="E743" s="28"/>
      <c r="F743" s="31"/>
      <c r="G743" s="21"/>
      <c r="H743" s="22"/>
      <c r="I743" s="23"/>
      <c r="J743" s="24"/>
      <c r="K743" s="25"/>
      <c r="L743" s="23"/>
      <c r="M743" s="23"/>
      <c r="N743" s="24"/>
      <c r="O743" s="24"/>
      <c r="P743" s="25"/>
      <c r="Q743" s="25"/>
    </row>
    <row r="744" spans="1:17" s="20" customFormat="1" x14ac:dyDescent="0.25">
      <c r="A744" s="9"/>
      <c r="B744" s="28"/>
      <c r="C744" s="28"/>
      <c r="D744" s="28"/>
      <c r="E744" s="28"/>
      <c r="F744" s="31"/>
      <c r="G744" s="21"/>
      <c r="H744" s="22"/>
      <c r="I744" s="23"/>
      <c r="J744" s="24"/>
      <c r="K744" s="25"/>
      <c r="L744" s="23"/>
      <c r="M744" s="23"/>
      <c r="N744" s="24"/>
      <c r="O744" s="24"/>
      <c r="P744" s="25"/>
      <c r="Q744" s="25"/>
    </row>
    <row r="745" spans="1:17" s="20" customFormat="1" x14ac:dyDescent="0.25">
      <c r="A745" s="9"/>
      <c r="B745" s="28"/>
      <c r="C745" s="28"/>
      <c r="D745" s="28"/>
      <c r="E745" s="28"/>
      <c r="F745" s="31"/>
      <c r="G745" s="21"/>
      <c r="H745" s="22"/>
      <c r="I745" s="23"/>
      <c r="J745" s="24"/>
      <c r="K745" s="25"/>
      <c r="L745" s="23"/>
      <c r="M745" s="23"/>
      <c r="N745" s="24"/>
      <c r="O745" s="24"/>
      <c r="P745" s="25"/>
      <c r="Q745" s="25"/>
    </row>
    <row r="746" spans="1:17" s="20" customFormat="1" x14ac:dyDescent="0.25">
      <c r="A746" s="9"/>
      <c r="B746" s="28"/>
      <c r="C746" s="28"/>
      <c r="D746" s="28"/>
      <c r="E746" s="28"/>
      <c r="F746" s="31"/>
      <c r="G746" s="21"/>
      <c r="H746" s="22"/>
      <c r="I746" s="23"/>
      <c r="J746" s="24"/>
      <c r="K746" s="25"/>
      <c r="L746" s="23"/>
      <c r="M746" s="23"/>
      <c r="N746" s="24"/>
      <c r="O746" s="24"/>
      <c r="P746" s="25"/>
      <c r="Q746" s="25"/>
    </row>
    <row r="747" spans="1:17" s="20" customFormat="1" x14ac:dyDescent="0.25">
      <c r="A747" s="9"/>
      <c r="B747" s="28"/>
      <c r="C747" s="28"/>
      <c r="D747" s="28"/>
      <c r="E747" s="28"/>
      <c r="F747" s="31"/>
      <c r="G747" s="21"/>
      <c r="H747" s="22"/>
      <c r="I747" s="23"/>
      <c r="J747" s="24"/>
      <c r="K747" s="25"/>
      <c r="L747" s="23"/>
      <c r="M747" s="23"/>
      <c r="N747" s="24"/>
      <c r="O747" s="24"/>
      <c r="P747" s="25"/>
      <c r="Q747" s="25"/>
    </row>
    <row r="748" spans="1:17" s="20" customFormat="1" x14ac:dyDescent="0.25">
      <c r="A748" s="9"/>
      <c r="B748" s="28"/>
      <c r="C748" s="28"/>
      <c r="D748" s="28"/>
      <c r="E748" s="28"/>
      <c r="F748" s="31"/>
      <c r="G748" s="21"/>
      <c r="H748" s="22"/>
      <c r="I748" s="23"/>
      <c r="J748" s="24"/>
      <c r="K748" s="25"/>
      <c r="L748" s="23"/>
      <c r="M748" s="23"/>
      <c r="N748" s="24"/>
      <c r="O748" s="24"/>
      <c r="P748" s="25"/>
      <c r="Q748" s="25"/>
    </row>
    <row r="749" spans="1:17" s="20" customFormat="1" x14ac:dyDescent="0.25">
      <c r="A749" s="9"/>
      <c r="B749" s="28"/>
      <c r="C749" s="28"/>
      <c r="D749" s="28"/>
      <c r="E749" s="28"/>
      <c r="F749" s="31"/>
      <c r="G749" s="21"/>
      <c r="H749" s="22"/>
      <c r="I749" s="23"/>
      <c r="J749" s="24"/>
      <c r="K749" s="25"/>
      <c r="L749" s="23"/>
      <c r="M749" s="23"/>
      <c r="N749" s="24"/>
      <c r="O749" s="24"/>
      <c r="P749" s="25"/>
      <c r="Q749" s="25"/>
    </row>
    <row r="750" spans="1:17" s="20" customFormat="1" x14ac:dyDescent="0.25">
      <c r="A750" s="9"/>
      <c r="B750" s="28"/>
      <c r="C750" s="28"/>
      <c r="D750" s="28"/>
      <c r="E750" s="28"/>
      <c r="F750" s="31"/>
      <c r="G750" s="21"/>
      <c r="H750" s="22"/>
      <c r="I750" s="23"/>
      <c r="J750" s="24"/>
      <c r="K750" s="25"/>
      <c r="L750" s="23"/>
      <c r="M750" s="23"/>
      <c r="N750" s="24"/>
      <c r="O750" s="24"/>
      <c r="P750" s="25"/>
      <c r="Q750" s="25"/>
    </row>
    <row r="751" spans="1:17" s="20" customFormat="1" x14ac:dyDescent="0.25">
      <c r="A751" s="9"/>
      <c r="B751" s="28"/>
      <c r="C751" s="28"/>
      <c r="D751" s="28"/>
      <c r="E751" s="28"/>
      <c r="F751" s="31"/>
      <c r="G751" s="21"/>
      <c r="H751" s="22"/>
      <c r="I751" s="23"/>
      <c r="J751" s="24"/>
      <c r="K751" s="25"/>
      <c r="L751" s="23"/>
      <c r="M751" s="23"/>
      <c r="N751" s="24"/>
      <c r="O751" s="24"/>
      <c r="P751" s="25"/>
      <c r="Q751" s="25"/>
    </row>
    <row r="752" spans="1:17" s="20" customFormat="1" x14ac:dyDescent="0.25">
      <c r="A752" s="9"/>
      <c r="B752" s="28"/>
      <c r="C752" s="28"/>
      <c r="D752" s="28"/>
      <c r="E752" s="28"/>
      <c r="F752" s="31"/>
      <c r="G752" s="21"/>
      <c r="H752" s="22"/>
      <c r="I752" s="23"/>
      <c r="J752" s="24"/>
      <c r="K752" s="25"/>
      <c r="L752" s="23"/>
      <c r="M752" s="23"/>
      <c r="N752" s="24"/>
      <c r="O752" s="24"/>
      <c r="P752" s="25"/>
      <c r="Q752" s="25"/>
    </row>
    <row r="753" spans="1:17" s="20" customFormat="1" x14ac:dyDescent="0.25">
      <c r="A753" s="9"/>
      <c r="B753" s="28"/>
      <c r="C753" s="28"/>
      <c r="D753" s="28"/>
      <c r="E753" s="28"/>
      <c r="F753" s="31"/>
      <c r="G753" s="21"/>
      <c r="H753" s="22"/>
      <c r="I753" s="23"/>
      <c r="J753" s="24"/>
      <c r="K753" s="25"/>
      <c r="L753" s="23"/>
      <c r="M753" s="23"/>
      <c r="N753" s="24"/>
      <c r="O753" s="24"/>
      <c r="P753" s="25"/>
      <c r="Q753" s="25"/>
    </row>
    <row r="754" spans="1:17" s="20" customFormat="1" x14ac:dyDescent="0.25">
      <c r="A754" s="9"/>
      <c r="B754" s="28"/>
      <c r="C754" s="28"/>
      <c r="D754" s="28"/>
      <c r="E754" s="28"/>
      <c r="F754" s="31"/>
      <c r="G754" s="21"/>
      <c r="H754" s="22"/>
      <c r="I754" s="23"/>
      <c r="J754" s="24"/>
      <c r="K754" s="25"/>
      <c r="L754" s="23"/>
      <c r="M754" s="23"/>
      <c r="N754" s="24"/>
      <c r="O754" s="24"/>
      <c r="P754" s="25"/>
      <c r="Q754" s="25"/>
    </row>
    <row r="755" spans="1:17" s="20" customFormat="1" x14ac:dyDescent="0.25">
      <c r="A755" s="9"/>
      <c r="B755" s="28"/>
      <c r="C755" s="28"/>
      <c r="D755" s="28"/>
      <c r="E755" s="28"/>
      <c r="F755" s="31"/>
      <c r="G755" s="21"/>
      <c r="H755" s="22"/>
      <c r="I755" s="23"/>
      <c r="J755" s="24"/>
      <c r="K755" s="25"/>
      <c r="L755" s="23"/>
      <c r="M755" s="23"/>
      <c r="N755" s="24"/>
      <c r="O755" s="24"/>
      <c r="P755" s="25"/>
      <c r="Q755" s="25"/>
    </row>
    <row r="756" spans="1:17" s="20" customFormat="1" x14ac:dyDescent="0.25">
      <c r="A756" s="9"/>
      <c r="B756" s="28"/>
      <c r="C756" s="28"/>
      <c r="D756" s="28"/>
      <c r="E756" s="28"/>
      <c r="F756" s="31"/>
      <c r="G756" s="21"/>
      <c r="H756" s="22"/>
      <c r="I756" s="23"/>
      <c r="J756" s="24"/>
      <c r="K756" s="25"/>
      <c r="L756" s="23"/>
      <c r="M756" s="23"/>
      <c r="N756" s="24"/>
      <c r="O756" s="24"/>
      <c r="P756" s="25"/>
      <c r="Q756" s="25"/>
    </row>
    <row r="757" spans="1:17" s="20" customFormat="1" x14ac:dyDescent="0.25">
      <c r="A757" s="9"/>
      <c r="B757" s="28"/>
      <c r="C757" s="28"/>
      <c r="D757" s="28"/>
      <c r="E757" s="28"/>
      <c r="F757" s="31"/>
      <c r="G757" s="21"/>
      <c r="H757" s="22"/>
      <c r="I757" s="23"/>
      <c r="J757" s="24"/>
      <c r="K757" s="25"/>
      <c r="L757" s="23"/>
      <c r="M757" s="23"/>
      <c r="N757" s="24"/>
      <c r="O757" s="24"/>
      <c r="P757" s="25"/>
      <c r="Q757" s="25"/>
    </row>
    <row r="758" spans="1:17" s="20" customFormat="1" x14ac:dyDescent="0.25">
      <c r="A758" s="9"/>
      <c r="B758" s="28"/>
      <c r="C758" s="28"/>
      <c r="D758" s="28"/>
      <c r="E758" s="28"/>
      <c r="F758" s="31"/>
      <c r="G758" s="21"/>
      <c r="H758" s="22"/>
      <c r="I758" s="23"/>
      <c r="J758" s="24"/>
      <c r="K758" s="25"/>
      <c r="L758" s="23"/>
      <c r="M758" s="23"/>
      <c r="N758" s="24"/>
      <c r="O758" s="24"/>
      <c r="P758" s="25"/>
      <c r="Q758" s="25"/>
    </row>
    <row r="759" spans="1:17" s="20" customFormat="1" x14ac:dyDescent="0.25">
      <c r="A759" s="9"/>
      <c r="B759" s="28"/>
      <c r="C759" s="28"/>
      <c r="D759" s="28"/>
      <c r="E759" s="28"/>
      <c r="F759" s="31"/>
      <c r="G759" s="21"/>
      <c r="H759" s="22"/>
      <c r="I759" s="23"/>
      <c r="J759" s="24"/>
      <c r="K759" s="25"/>
      <c r="L759" s="23"/>
      <c r="M759" s="23"/>
      <c r="N759" s="24"/>
      <c r="O759" s="24"/>
      <c r="P759" s="25"/>
      <c r="Q759" s="25"/>
    </row>
    <row r="760" spans="1:17" s="20" customFormat="1" x14ac:dyDescent="0.25">
      <c r="A760" s="9"/>
      <c r="B760" s="28"/>
      <c r="C760" s="28"/>
      <c r="D760" s="28"/>
      <c r="E760" s="28"/>
      <c r="F760" s="31"/>
      <c r="G760" s="21"/>
      <c r="H760" s="22"/>
      <c r="I760" s="23"/>
      <c r="J760" s="24"/>
      <c r="K760" s="25"/>
      <c r="L760" s="23"/>
      <c r="M760" s="23"/>
      <c r="N760" s="24"/>
      <c r="O760" s="24"/>
      <c r="P760" s="25"/>
      <c r="Q760" s="25"/>
    </row>
    <row r="761" spans="1:17" s="20" customFormat="1" x14ac:dyDescent="0.25">
      <c r="A761" s="9"/>
      <c r="B761" s="28"/>
      <c r="C761" s="28"/>
      <c r="D761" s="28"/>
      <c r="E761" s="28"/>
      <c r="F761" s="31"/>
      <c r="G761" s="21"/>
      <c r="H761" s="22"/>
      <c r="I761" s="23"/>
      <c r="J761" s="24"/>
      <c r="K761" s="25"/>
      <c r="L761" s="23"/>
      <c r="M761" s="23"/>
      <c r="N761" s="24"/>
      <c r="O761" s="24"/>
      <c r="P761" s="25"/>
      <c r="Q761" s="25"/>
    </row>
    <row r="762" spans="1:17" s="20" customFormat="1" x14ac:dyDescent="0.25">
      <c r="A762" s="9"/>
      <c r="B762" s="28"/>
      <c r="C762" s="28"/>
      <c r="D762" s="28"/>
      <c r="E762" s="28"/>
      <c r="F762" s="31"/>
      <c r="G762" s="21"/>
      <c r="H762" s="22"/>
      <c r="I762" s="23"/>
      <c r="J762" s="24"/>
      <c r="K762" s="25"/>
      <c r="L762" s="23"/>
      <c r="M762" s="23"/>
      <c r="N762" s="24"/>
      <c r="O762" s="24"/>
      <c r="P762" s="25"/>
      <c r="Q762" s="25"/>
    </row>
    <row r="763" spans="1:17" s="20" customFormat="1" x14ac:dyDescent="0.25">
      <c r="A763" s="9"/>
      <c r="B763" s="28"/>
      <c r="C763" s="28"/>
      <c r="D763" s="28"/>
      <c r="E763" s="28"/>
      <c r="F763" s="31"/>
      <c r="G763" s="21"/>
      <c r="H763" s="22"/>
      <c r="I763" s="23"/>
      <c r="J763" s="24"/>
      <c r="K763" s="25"/>
      <c r="L763" s="23"/>
      <c r="M763" s="23"/>
      <c r="N763" s="24"/>
      <c r="O763" s="24"/>
      <c r="P763" s="25"/>
      <c r="Q763" s="25"/>
    </row>
    <row r="764" spans="1:17" s="20" customFormat="1" x14ac:dyDescent="0.25">
      <c r="A764" s="9"/>
      <c r="B764" s="28"/>
      <c r="C764" s="28"/>
      <c r="D764" s="28"/>
      <c r="E764" s="28"/>
      <c r="F764" s="31"/>
      <c r="G764" s="21"/>
      <c r="H764" s="22"/>
      <c r="I764" s="23"/>
      <c r="J764" s="24"/>
      <c r="K764" s="25"/>
      <c r="L764" s="23"/>
      <c r="M764" s="23"/>
      <c r="N764" s="24"/>
      <c r="O764" s="24"/>
      <c r="P764" s="25"/>
      <c r="Q764" s="25"/>
    </row>
    <row r="765" spans="1:17" s="20" customFormat="1" x14ac:dyDescent="0.25">
      <c r="A765" s="9"/>
      <c r="B765" s="28"/>
      <c r="C765" s="28"/>
      <c r="D765" s="28"/>
      <c r="E765" s="28"/>
      <c r="F765" s="31"/>
      <c r="G765" s="21"/>
      <c r="H765" s="22"/>
      <c r="I765" s="23"/>
      <c r="J765" s="24"/>
      <c r="K765" s="25"/>
      <c r="L765" s="23"/>
      <c r="M765" s="23"/>
      <c r="N765" s="24"/>
      <c r="O765" s="24"/>
      <c r="P765" s="25"/>
      <c r="Q765" s="25"/>
    </row>
    <row r="766" spans="1:17" s="20" customFormat="1" x14ac:dyDescent="0.25">
      <c r="A766" s="9"/>
      <c r="B766" s="28"/>
      <c r="C766" s="28"/>
      <c r="D766" s="28"/>
      <c r="E766" s="28"/>
      <c r="F766" s="31"/>
      <c r="G766" s="21"/>
      <c r="H766" s="22"/>
      <c r="I766" s="23"/>
      <c r="J766" s="24"/>
      <c r="K766" s="25"/>
      <c r="L766" s="23"/>
      <c r="M766" s="23"/>
      <c r="N766" s="24"/>
      <c r="O766" s="24"/>
      <c r="P766" s="25"/>
      <c r="Q766" s="25"/>
    </row>
    <row r="767" spans="1:17" s="20" customFormat="1" x14ac:dyDescent="0.25">
      <c r="A767" s="9"/>
      <c r="B767" s="28"/>
      <c r="C767" s="28"/>
      <c r="D767" s="28"/>
      <c r="E767" s="28"/>
      <c r="F767" s="31"/>
      <c r="G767" s="21"/>
      <c r="H767" s="22"/>
      <c r="I767" s="23"/>
      <c r="J767" s="24"/>
      <c r="K767" s="25"/>
      <c r="L767" s="23"/>
      <c r="M767" s="23"/>
      <c r="N767" s="24"/>
      <c r="O767" s="24"/>
      <c r="P767" s="25"/>
      <c r="Q767" s="25"/>
    </row>
    <row r="768" spans="1:17" s="20" customFormat="1" x14ac:dyDescent="0.25">
      <c r="A768" s="9"/>
      <c r="B768" s="28"/>
      <c r="C768" s="28"/>
      <c r="D768" s="28"/>
      <c r="E768" s="28"/>
      <c r="F768" s="31"/>
      <c r="G768" s="21"/>
      <c r="H768" s="22"/>
      <c r="I768" s="23"/>
      <c r="J768" s="24"/>
      <c r="K768" s="25"/>
      <c r="L768" s="23"/>
      <c r="M768" s="23"/>
      <c r="N768" s="24"/>
      <c r="O768" s="24"/>
      <c r="P768" s="25"/>
      <c r="Q768" s="25"/>
    </row>
    <row r="769" spans="1:17" s="20" customFormat="1" x14ac:dyDescent="0.25">
      <c r="A769" s="9"/>
      <c r="B769" s="28"/>
      <c r="C769" s="28"/>
      <c r="D769" s="28"/>
      <c r="E769" s="28"/>
      <c r="F769" s="31"/>
      <c r="G769" s="21"/>
      <c r="H769" s="22"/>
      <c r="I769" s="23"/>
      <c r="J769" s="24"/>
      <c r="K769" s="25"/>
      <c r="L769" s="23"/>
      <c r="M769" s="23"/>
      <c r="N769" s="24"/>
      <c r="O769" s="24"/>
      <c r="P769" s="25"/>
      <c r="Q769" s="25"/>
    </row>
    <row r="770" spans="1:17" s="20" customFormat="1" x14ac:dyDescent="0.25">
      <c r="A770" s="9"/>
      <c r="B770" s="28"/>
      <c r="C770" s="28"/>
      <c r="D770" s="28"/>
      <c r="E770" s="28"/>
      <c r="F770" s="31"/>
      <c r="G770" s="21"/>
      <c r="H770" s="22"/>
      <c r="I770" s="23"/>
      <c r="J770" s="24"/>
      <c r="K770" s="25"/>
      <c r="L770" s="23"/>
      <c r="M770" s="23"/>
      <c r="N770" s="24"/>
      <c r="O770" s="24"/>
      <c r="P770" s="25"/>
      <c r="Q770" s="25"/>
    </row>
    <row r="771" spans="1:17" s="20" customFormat="1" x14ac:dyDescent="0.25">
      <c r="A771" s="9"/>
      <c r="B771" s="28"/>
      <c r="C771" s="28"/>
      <c r="D771" s="28"/>
      <c r="E771" s="28"/>
      <c r="F771" s="31"/>
      <c r="G771" s="21"/>
      <c r="H771" s="22"/>
      <c r="I771" s="23"/>
      <c r="J771" s="24"/>
      <c r="K771" s="25"/>
      <c r="L771" s="23"/>
      <c r="M771" s="23"/>
      <c r="N771" s="24"/>
      <c r="O771" s="24"/>
      <c r="P771" s="25"/>
      <c r="Q771" s="25"/>
    </row>
    <row r="772" spans="1:17" s="20" customFormat="1" x14ac:dyDescent="0.25">
      <c r="A772" s="9"/>
      <c r="B772" s="28"/>
      <c r="C772" s="28"/>
      <c r="D772" s="28"/>
      <c r="E772" s="28"/>
      <c r="F772" s="31"/>
      <c r="G772" s="21"/>
      <c r="H772" s="22"/>
      <c r="I772" s="23"/>
      <c r="J772" s="24"/>
      <c r="K772" s="25"/>
      <c r="L772" s="23"/>
      <c r="M772" s="23"/>
      <c r="N772" s="24"/>
      <c r="O772" s="24"/>
      <c r="P772" s="25"/>
      <c r="Q772" s="25"/>
    </row>
    <row r="773" spans="1:17" s="20" customFormat="1" x14ac:dyDescent="0.25">
      <c r="A773" s="9"/>
      <c r="B773" s="28"/>
      <c r="C773" s="28"/>
      <c r="D773" s="28"/>
      <c r="E773" s="28"/>
      <c r="F773" s="31"/>
      <c r="G773" s="21"/>
      <c r="H773" s="22"/>
      <c r="I773" s="23"/>
      <c r="J773" s="24"/>
      <c r="K773" s="25"/>
      <c r="L773" s="23"/>
      <c r="M773" s="23"/>
      <c r="N773" s="24"/>
      <c r="O773" s="24"/>
      <c r="P773" s="25"/>
      <c r="Q773" s="25"/>
    </row>
    <row r="774" spans="1:17" s="20" customFormat="1" x14ac:dyDescent="0.25">
      <c r="A774" s="9"/>
      <c r="B774" s="28"/>
      <c r="C774" s="28"/>
      <c r="D774" s="28"/>
      <c r="E774" s="28"/>
      <c r="F774" s="31"/>
      <c r="G774" s="21"/>
      <c r="H774" s="22"/>
      <c r="I774" s="23"/>
      <c r="J774" s="24"/>
      <c r="K774" s="25"/>
      <c r="L774" s="23"/>
      <c r="M774" s="23"/>
      <c r="N774" s="24"/>
      <c r="O774" s="24"/>
      <c r="P774" s="25"/>
      <c r="Q774" s="25"/>
    </row>
    <row r="775" spans="1:17" s="20" customFormat="1" x14ac:dyDescent="0.25">
      <c r="A775" s="9"/>
      <c r="B775" s="28"/>
      <c r="C775" s="28"/>
      <c r="D775" s="28"/>
      <c r="E775" s="28"/>
      <c r="F775" s="31"/>
      <c r="G775" s="21"/>
      <c r="H775" s="22"/>
      <c r="I775" s="23"/>
      <c r="J775" s="24"/>
      <c r="K775" s="25"/>
      <c r="L775" s="23"/>
      <c r="M775" s="23"/>
      <c r="N775" s="24"/>
      <c r="O775" s="24"/>
      <c r="P775" s="25"/>
      <c r="Q775" s="25"/>
    </row>
    <row r="776" spans="1:17" s="20" customFormat="1" x14ac:dyDescent="0.25">
      <c r="A776" s="9"/>
      <c r="B776" s="28"/>
      <c r="C776" s="28"/>
      <c r="D776" s="28"/>
      <c r="E776" s="28"/>
      <c r="F776" s="31"/>
      <c r="G776" s="21"/>
      <c r="H776" s="22"/>
      <c r="I776" s="23"/>
      <c r="J776" s="24"/>
      <c r="K776" s="25"/>
      <c r="L776" s="23"/>
      <c r="M776" s="23"/>
      <c r="N776" s="24"/>
      <c r="O776" s="24"/>
      <c r="P776" s="25"/>
      <c r="Q776" s="25"/>
    </row>
    <row r="777" spans="1:17" s="20" customFormat="1" x14ac:dyDescent="0.25">
      <c r="A777" s="9"/>
      <c r="B777" s="28"/>
      <c r="C777" s="28"/>
      <c r="D777" s="28"/>
      <c r="E777" s="28"/>
      <c r="F777" s="31"/>
      <c r="G777" s="21"/>
      <c r="H777" s="22"/>
      <c r="I777" s="23"/>
      <c r="J777" s="24"/>
      <c r="K777" s="25"/>
      <c r="L777" s="23"/>
      <c r="M777" s="23"/>
      <c r="N777" s="24"/>
      <c r="O777" s="24"/>
      <c r="P777" s="25"/>
      <c r="Q777" s="25"/>
    </row>
    <row r="778" spans="1:17" s="20" customFormat="1" x14ac:dyDescent="0.25">
      <c r="A778" s="9"/>
      <c r="B778" s="28"/>
      <c r="C778" s="28"/>
      <c r="D778" s="28"/>
      <c r="E778" s="28"/>
      <c r="F778" s="31"/>
      <c r="G778" s="21"/>
      <c r="H778" s="22"/>
      <c r="I778" s="23"/>
      <c r="J778" s="24"/>
      <c r="K778" s="25"/>
      <c r="L778" s="23"/>
      <c r="M778" s="23"/>
      <c r="N778" s="24"/>
      <c r="O778" s="24"/>
      <c r="P778" s="25"/>
      <c r="Q778" s="25"/>
    </row>
    <row r="779" spans="1:17" s="20" customFormat="1" x14ac:dyDescent="0.25">
      <c r="A779" s="9"/>
      <c r="B779" s="28"/>
      <c r="C779" s="28"/>
      <c r="D779" s="28"/>
      <c r="E779" s="28"/>
      <c r="F779" s="31"/>
      <c r="G779" s="21"/>
      <c r="H779" s="22"/>
      <c r="I779" s="23"/>
      <c r="J779" s="24"/>
      <c r="K779" s="25"/>
      <c r="L779" s="23"/>
      <c r="M779" s="23"/>
      <c r="N779" s="24"/>
      <c r="O779" s="24"/>
      <c r="P779" s="25"/>
      <c r="Q779" s="25"/>
    </row>
    <row r="780" spans="1:17" s="20" customFormat="1" x14ac:dyDescent="0.25">
      <c r="A780" s="9"/>
      <c r="B780" s="28"/>
      <c r="C780" s="28"/>
      <c r="D780" s="28"/>
      <c r="E780" s="28"/>
      <c r="F780" s="31"/>
      <c r="G780" s="21"/>
      <c r="H780" s="22"/>
      <c r="I780" s="23"/>
      <c r="J780" s="24"/>
      <c r="K780" s="25"/>
      <c r="L780" s="23"/>
      <c r="M780" s="23"/>
      <c r="N780" s="24"/>
      <c r="O780" s="24"/>
      <c r="P780" s="25"/>
      <c r="Q780" s="25"/>
    </row>
    <row r="781" spans="1:17" s="20" customFormat="1" x14ac:dyDescent="0.25">
      <c r="A781" s="9"/>
      <c r="B781" s="28"/>
      <c r="C781" s="28"/>
      <c r="D781" s="28"/>
      <c r="E781" s="28"/>
      <c r="F781" s="31"/>
      <c r="G781" s="21"/>
      <c r="H781" s="22"/>
      <c r="I781" s="23"/>
      <c r="J781" s="24"/>
      <c r="K781" s="25"/>
      <c r="L781" s="23"/>
      <c r="M781" s="23"/>
      <c r="N781" s="24"/>
      <c r="O781" s="24"/>
      <c r="P781" s="25"/>
      <c r="Q781" s="25"/>
    </row>
    <row r="782" spans="1:17" s="20" customFormat="1" x14ac:dyDescent="0.25">
      <c r="A782" s="9"/>
      <c r="B782" s="28"/>
      <c r="C782" s="28"/>
      <c r="D782" s="28"/>
      <c r="E782" s="28"/>
      <c r="F782" s="31"/>
      <c r="G782" s="21"/>
      <c r="H782" s="22"/>
      <c r="I782" s="23"/>
      <c r="J782" s="24"/>
      <c r="K782" s="25"/>
      <c r="L782" s="23"/>
      <c r="M782" s="23"/>
      <c r="N782" s="24"/>
      <c r="O782" s="24"/>
      <c r="P782" s="25"/>
      <c r="Q782" s="25"/>
    </row>
    <row r="783" spans="1:17" s="20" customFormat="1" x14ac:dyDescent="0.25">
      <c r="A783" s="9"/>
      <c r="B783" s="28"/>
      <c r="C783" s="28"/>
      <c r="D783" s="28"/>
      <c r="E783" s="28"/>
      <c r="F783" s="31"/>
      <c r="G783" s="21"/>
      <c r="H783" s="22"/>
      <c r="I783" s="23"/>
      <c r="J783" s="24"/>
      <c r="K783" s="25"/>
      <c r="L783" s="23"/>
      <c r="M783" s="23"/>
      <c r="N783" s="24"/>
      <c r="O783" s="24"/>
      <c r="P783" s="25"/>
      <c r="Q783" s="25"/>
    </row>
    <row r="784" spans="1:17" s="20" customFormat="1" x14ac:dyDescent="0.25">
      <c r="A784" s="9"/>
      <c r="B784" s="28"/>
      <c r="C784" s="28"/>
      <c r="D784" s="28"/>
      <c r="E784" s="28"/>
      <c r="F784" s="31"/>
      <c r="G784" s="21"/>
      <c r="H784" s="22"/>
      <c r="I784" s="23"/>
      <c r="J784" s="24"/>
      <c r="K784" s="25"/>
      <c r="L784" s="23"/>
      <c r="M784" s="23"/>
      <c r="N784" s="24"/>
      <c r="O784" s="24"/>
      <c r="P784" s="25"/>
      <c r="Q784" s="25"/>
    </row>
    <row r="785" spans="1:17" s="20" customFormat="1" x14ac:dyDescent="0.25">
      <c r="A785" s="9"/>
      <c r="B785" s="28"/>
      <c r="C785" s="28"/>
      <c r="D785" s="28"/>
      <c r="E785" s="28"/>
      <c r="F785" s="31"/>
      <c r="G785" s="21"/>
      <c r="H785" s="22"/>
      <c r="I785" s="23"/>
      <c r="J785" s="24"/>
      <c r="K785" s="25"/>
      <c r="L785" s="23"/>
      <c r="M785" s="23"/>
      <c r="N785" s="24"/>
      <c r="O785" s="24"/>
      <c r="P785" s="25"/>
      <c r="Q785" s="25"/>
    </row>
    <row r="786" spans="1:17" s="20" customFormat="1" x14ac:dyDescent="0.25">
      <c r="A786" s="9"/>
      <c r="B786" s="28"/>
      <c r="C786" s="28"/>
      <c r="D786" s="28"/>
      <c r="E786" s="28"/>
      <c r="F786" s="31"/>
      <c r="G786" s="21"/>
      <c r="H786" s="22"/>
      <c r="I786" s="23"/>
      <c r="J786" s="24"/>
      <c r="K786" s="25"/>
      <c r="L786" s="23"/>
      <c r="M786" s="23"/>
      <c r="N786" s="24"/>
      <c r="O786" s="24"/>
      <c r="P786" s="25"/>
      <c r="Q786" s="25"/>
    </row>
    <row r="787" spans="1:17" s="20" customFormat="1" x14ac:dyDescent="0.25">
      <c r="A787" s="9"/>
      <c r="B787" s="28"/>
      <c r="C787" s="28"/>
      <c r="D787" s="28"/>
      <c r="E787" s="28"/>
      <c r="F787" s="31"/>
      <c r="G787" s="21"/>
      <c r="H787" s="22"/>
      <c r="I787" s="23"/>
      <c r="J787" s="24"/>
      <c r="K787" s="25"/>
      <c r="L787" s="23"/>
      <c r="M787" s="23"/>
      <c r="N787" s="24"/>
      <c r="O787" s="24"/>
      <c r="P787" s="25"/>
      <c r="Q787" s="25"/>
    </row>
    <row r="788" spans="1:17" s="20" customFormat="1" x14ac:dyDescent="0.25">
      <c r="A788" s="9"/>
      <c r="B788" s="28"/>
      <c r="C788" s="28"/>
      <c r="D788" s="28"/>
      <c r="E788" s="28"/>
      <c r="F788" s="31"/>
      <c r="G788" s="21"/>
      <c r="H788" s="22"/>
      <c r="I788" s="23"/>
      <c r="J788" s="24"/>
      <c r="K788" s="25"/>
      <c r="L788" s="23"/>
      <c r="M788" s="23"/>
      <c r="N788" s="24"/>
      <c r="O788" s="24"/>
      <c r="P788" s="25"/>
      <c r="Q788" s="25"/>
    </row>
    <row r="789" spans="1:17" s="20" customFormat="1" x14ac:dyDescent="0.25">
      <c r="A789" s="9"/>
      <c r="B789" s="28"/>
      <c r="C789" s="28"/>
      <c r="D789" s="28"/>
      <c r="E789" s="28"/>
      <c r="F789" s="31"/>
      <c r="G789" s="21"/>
      <c r="H789" s="22"/>
      <c r="I789" s="23"/>
      <c r="J789" s="24"/>
      <c r="K789" s="25"/>
      <c r="L789" s="23"/>
      <c r="M789" s="23"/>
      <c r="N789" s="24"/>
      <c r="O789" s="24"/>
      <c r="P789" s="25"/>
      <c r="Q789" s="25"/>
    </row>
    <row r="790" spans="1:17" s="20" customFormat="1" x14ac:dyDescent="0.25">
      <c r="A790" s="9"/>
      <c r="B790" s="28"/>
      <c r="C790" s="28"/>
      <c r="D790" s="28"/>
      <c r="E790" s="28"/>
      <c r="F790" s="31"/>
      <c r="G790" s="21"/>
      <c r="H790" s="22"/>
      <c r="I790" s="23"/>
      <c r="J790" s="24"/>
      <c r="K790" s="25"/>
      <c r="L790" s="23"/>
      <c r="M790" s="23"/>
      <c r="N790" s="24"/>
      <c r="O790" s="24"/>
      <c r="P790" s="25"/>
      <c r="Q790" s="25"/>
    </row>
    <row r="791" spans="1:17" s="20" customFormat="1" x14ac:dyDescent="0.25">
      <c r="A791" s="9"/>
      <c r="B791" s="28"/>
      <c r="C791" s="28"/>
      <c r="D791" s="28"/>
      <c r="E791" s="28"/>
      <c r="F791" s="31"/>
      <c r="G791" s="21"/>
      <c r="H791" s="22"/>
      <c r="I791" s="23"/>
      <c r="J791" s="24"/>
      <c r="K791" s="25"/>
      <c r="L791" s="23"/>
      <c r="M791" s="23"/>
      <c r="N791" s="24"/>
      <c r="O791" s="24"/>
      <c r="P791" s="25"/>
      <c r="Q791" s="25"/>
    </row>
    <row r="792" spans="1:17" s="20" customFormat="1" x14ac:dyDescent="0.25">
      <c r="A792" s="9"/>
      <c r="B792" s="28"/>
      <c r="C792" s="28"/>
      <c r="D792" s="28"/>
      <c r="E792" s="28"/>
      <c r="F792" s="31"/>
      <c r="G792" s="21"/>
      <c r="H792" s="22"/>
      <c r="I792" s="23"/>
      <c r="J792" s="24"/>
      <c r="K792" s="25"/>
      <c r="L792" s="23"/>
      <c r="M792" s="23"/>
      <c r="N792" s="24"/>
      <c r="O792" s="24"/>
      <c r="P792" s="25"/>
      <c r="Q792" s="25"/>
    </row>
    <row r="793" spans="1:17" s="20" customFormat="1" x14ac:dyDescent="0.25">
      <c r="A793" s="9"/>
      <c r="B793" s="28"/>
      <c r="C793" s="28"/>
      <c r="D793" s="28"/>
      <c r="E793" s="28"/>
      <c r="F793" s="31"/>
      <c r="G793" s="21"/>
      <c r="H793" s="22"/>
      <c r="I793" s="23"/>
      <c r="J793" s="24"/>
      <c r="K793" s="25"/>
      <c r="L793" s="23"/>
      <c r="M793" s="23"/>
      <c r="N793" s="24"/>
      <c r="O793" s="24"/>
      <c r="P793" s="25"/>
      <c r="Q793" s="25"/>
    </row>
    <row r="794" spans="1:17" s="20" customFormat="1" x14ac:dyDescent="0.25">
      <c r="A794" s="9"/>
      <c r="B794" s="28"/>
      <c r="C794" s="28"/>
      <c r="D794" s="28"/>
      <c r="E794" s="28"/>
      <c r="F794" s="31"/>
      <c r="G794" s="21"/>
      <c r="H794" s="22"/>
      <c r="I794" s="23"/>
      <c r="J794" s="24"/>
      <c r="K794" s="25"/>
      <c r="L794" s="23"/>
      <c r="M794" s="23"/>
      <c r="N794" s="24"/>
      <c r="O794" s="24"/>
      <c r="P794" s="25"/>
      <c r="Q794" s="25"/>
    </row>
    <row r="795" spans="1:17" s="20" customFormat="1" x14ac:dyDescent="0.25">
      <c r="A795" s="9"/>
      <c r="B795" s="28"/>
      <c r="C795" s="28"/>
      <c r="D795" s="28"/>
      <c r="E795" s="28"/>
      <c r="F795" s="31"/>
      <c r="G795" s="21"/>
      <c r="H795" s="22"/>
      <c r="I795" s="23"/>
      <c r="J795" s="24"/>
      <c r="K795" s="25"/>
      <c r="L795" s="23"/>
      <c r="M795" s="23"/>
      <c r="N795" s="24"/>
      <c r="O795" s="24"/>
      <c r="P795" s="25"/>
      <c r="Q795" s="25"/>
    </row>
    <row r="796" spans="1:17" s="20" customFormat="1" x14ac:dyDescent="0.25">
      <c r="A796" s="9"/>
      <c r="B796" s="28"/>
      <c r="C796" s="28"/>
      <c r="D796" s="28"/>
      <c r="E796" s="28"/>
      <c r="F796" s="31"/>
      <c r="G796" s="21"/>
      <c r="H796" s="22"/>
      <c r="I796" s="23"/>
      <c r="J796" s="24"/>
      <c r="K796" s="25"/>
      <c r="L796" s="23"/>
      <c r="M796" s="23"/>
      <c r="N796" s="24"/>
      <c r="O796" s="24"/>
      <c r="P796" s="25"/>
      <c r="Q796" s="25"/>
    </row>
    <row r="797" spans="1:17" s="20" customFormat="1" x14ac:dyDescent="0.25">
      <c r="A797" s="9"/>
      <c r="B797" s="28"/>
      <c r="C797" s="28"/>
      <c r="D797" s="28"/>
      <c r="E797" s="28"/>
      <c r="F797" s="31"/>
      <c r="G797" s="21"/>
      <c r="H797" s="22"/>
      <c r="I797" s="23"/>
      <c r="J797" s="24"/>
      <c r="K797" s="25"/>
      <c r="L797" s="23"/>
      <c r="M797" s="23"/>
      <c r="N797" s="24"/>
      <c r="O797" s="24"/>
      <c r="P797" s="25"/>
      <c r="Q797" s="25"/>
    </row>
    <row r="798" spans="1:17" s="20" customFormat="1" x14ac:dyDescent="0.25">
      <c r="A798" s="9"/>
      <c r="B798" s="28"/>
      <c r="C798" s="28"/>
      <c r="D798" s="28"/>
      <c r="E798" s="28"/>
      <c r="F798" s="31"/>
      <c r="G798" s="21"/>
      <c r="H798" s="22"/>
      <c r="I798" s="23"/>
      <c r="J798" s="24"/>
      <c r="K798" s="25"/>
      <c r="L798" s="23"/>
      <c r="M798" s="23"/>
      <c r="N798" s="24"/>
      <c r="O798" s="24"/>
      <c r="P798" s="25"/>
      <c r="Q798" s="25"/>
    </row>
    <row r="799" spans="1:17" s="20" customFormat="1" x14ac:dyDescent="0.25">
      <c r="A799" s="9"/>
      <c r="B799" s="28"/>
      <c r="C799" s="28"/>
      <c r="D799" s="28"/>
      <c r="E799" s="28"/>
      <c r="F799" s="31"/>
      <c r="G799" s="21"/>
      <c r="H799" s="22"/>
      <c r="I799" s="23"/>
      <c r="J799" s="24"/>
      <c r="K799" s="25"/>
      <c r="L799" s="23"/>
      <c r="M799" s="23"/>
      <c r="N799" s="24"/>
      <c r="O799" s="24"/>
      <c r="P799" s="25"/>
      <c r="Q799" s="25"/>
    </row>
    <row r="800" spans="1:17" s="20" customFormat="1" x14ac:dyDescent="0.25">
      <c r="A800" s="9"/>
      <c r="B800" s="28"/>
      <c r="C800" s="28"/>
      <c r="D800" s="28"/>
      <c r="E800" s="28"/>
      <c r="F800" s="31"/>
      <c r="G800" s="21"/>
      <c r="H800" s="22"/>
      <c r="I800" s="23"/>
      <c r="J800" s="24"/>
      <c r="K800" s="25"/>
      <c r="L800" s="23"/>
      <c r="M800" s="23"/>
      <c r="N800" s="24"/>
      <c r="O800" s="24"/>
      <c r="P800" s="25"/>
      <c r="Q800" s="25"/>
    </row>
    <row r="801" spans="1:17" s="20" customFormat="1" x14ac:dyDescent="0.25">
      <c r="A801" s="9"/>
      <c r="B801" s="28"/>
      <c r="C801" s="28"/>
      <c r="D801" s="28"/>
      <c r="E801" s="28"/>
      <c r="F801" s="31"/>
      <c r="G801" s="21"/>
      <c r="H801" s="22"/>
      <c r="I801" s="23"/>
      <c r="J801" s="24"/>
      <c r="K801" s="25"/>
      <c r="L801" s="23"/>
      <c r="M801" s="23"/>
      <c r="N801" s="24"/>
      <c r="O801" s="24"/>
      <c r="P801" s="25"/>
      <c r="Q801" s="25"/>
    </row>
    <row r="802" spans="1:17" s="20" customFormat="1" x14ac:dyDescent="0.25">
      <c r="A802" s="9"/>
      <c r="B802" s="28"/>
      <c r="C802" s="28"/>
      <c r="D802" s="28"/>
      <c r="E802" s="28"/>
      <c r="F802" s="31"/>
      <c r="G802" s="21"/>
      <c r="H802" s="22"/>
      <c r="I802" s="23"/>
      <c r="J802" s="24"/>
      <c r="K802" s="25"/>
      <c r="L802" s="23"/>
      <c r="M802" s="23"/>
      <c r="N802" s="24"/>
      <c r="O802" s="24"/>
      <c r="P802" s="25"/>
      <c r="Q802" s="25"/>
    </row>
    <row r="803" spans="1:17" s="20" customFormat="1" x14ac:dyDescent="0.25">
      <c r="A803" s="9"/>
      <c r="B803" s="28"/>
      <c r="C803" s="28"/>
      <c r="D803" s="28"/>
      <c r="E803" s="28"/>
      <c r="F803" s="31"/>
      <c r="G803" s="21"/>
      <c r="H803" s="22"/>
      <c r="I803" s="23"/>
      <c r="J803" s="24"/>
      <c r="K803" s="25"/>
      <c r="L803" s="23"/>
      <c r="M803" s="23"/>
      <c r="N803" s="24"/>
      <c r="O803" s="24"/>
      <c r="P803" s="25"/>
      <c r="Q803" s="25"/>
    </row>
    <row r="804" spans="1:17" s="20" customFormat="1" x14ac:dyDescent="0.25">
      <c r="A804" s="9"/>
      <c r="B804" s="28"/>
      <c r="C804" s="28"/>
      <c r="D804" s="28"/>
      <c r="E804" s="28"/>
      <c r="F804" s="31"/>
      <c r="G804" s="21"/>
      <c r="H804" s="22"/>
      <c r="I804" s="23"/>
      <c r="J804" s="24"/>
      <c r="K804" s="25"/>
      <c r="L804" s="23"/>
      <c r="M804" s="23"/>
      <c r="N804" s="24"/>
      <c r="O804" s="24"/>
      <c r="P804" s="25"/>
      <c r="Q804" s="25"/>
    </row>
    <row r="805" spans="1:17" s="20" customFormat="1" x14ac:dyDescent="0.25">
      <c r="A805" s="9"/>
      <c r="B805" s="28"/>
      <c r="C805" s="28"/>
      <c r="D805" s="28"/>
      <c r="E805" s="28"/>
      <c r="F805" s="31"/>
      <c r="G805" s="21"/>
      <c r="H805" s="22"/>
      <c r="I805" s="23"/>
      <c r="J805" s="24"/>
      <c r="K805" s="25"/>
      <c r="L805" s="23"/>
      <c r="M805" s="23"/>
      <c r="N805" s="24"/>
      <c r="O805" s="24"/>
      <c r="P805" s="25"/>
      <c r="Q805" s="25"/>
    </row>
    <row r="806" spans="1:17" s="20" customFormat="1" x14ac:dyDescent="0.25">
      <c r="A806" s="9"/>
      <c r="B806" s="28"/>
      <c r="C806" s="28"/>
      <c r="D806" s="28"/>
      <c r="E806" s="28"/>
      <c r="F806" s="31"/>
      <c r="G806" s="21"/>
      <c r="H806" s="22"/>
      <c r="I806" s="23"/>
      <c r="J806" s="24"/>
      <c r="K806" s="25"/>
      <c r="L806" s="23"/>
      <c r="M806" s="23"/>
      <c r="N806" s="24"/>
      <c r="O806" s="24"/>
      <c r="P806" s="25"/>
      <c r="Q806" s="25"/>
    </row>
    <row r="807" spans="1:17" s="20" customFormat="1" x14ac:dyDescent="0.25">
      <c r="A807" s="9"/>
      <c r="B807" s="28"/>
      <c r="C807" s="28"/>
      <c r="D807" s="28"/>
      <c r="E807" s="28"/>
      <c r="F807" s="31"/>
      <c r="G807" s="21"/>
      <c r="H807" s="22"/>
      <c r="I807" s="23"/>
      <c r="J807" s="24"/>
      <c r="K807" s="25"/>
      <c r="L807" s="23"/>
      <c r="M807" s="23"/>
      <c r="N807" s="24"/>
      <c r="O807" s="24"/>
      <c r="P807" s="25"/>
      <c r="Q807" s="25"/>
    </row>
    <row r="808" spans="1:17" s="20" customFormat="1" x14ac:dyDescent="0.25">
      <c r="A808" s="9"/>
      <c r="B808" s="28"/>
      <c r="C808" s="28"/>
      <c r="D808" s="28"/>
      <c r="E808" s="28"/>
      <c r="F808" s="31"/>
      <c r="G808" s="21"/>
      <c r="H808" s="22"/>
      <c r="I808" s="23"/>
      <c r="J808" s="24"/>
      <c r="K808" s="25"/>
      <c r="L808" s="23"/>
      <c r="M808" s="23"/>
      <c r="N808" s="24"/>
      <c r="O808" s="24"/>
      <c r="P808" s="25"/>
      <c r="Q808" s="25"/>
    </row>
    <row r="809" spans="1:17" s="20" customFormat="1" x14ac:dyDescent="0.25">
      <c r="A809" s="9"/>
      <c r="B809" s="28"/>
      <c r="C809" s="28"/>
      <c r="D809" s="28"/>
      <c r="E809" s="28"/>
      <c r="F809" s="31"/>
      <c r="G809" s="21"/>
      <c r="H809" s="22"/>
      <c r="I809" s="23"/>
      <c r="J809" s="24"/>
      <c r="K809" s="25"/>
      <c r="L809" s="23"/>
      <c r="M809" s="23"/>
      <c r="N809" s="24"/>
      <c r="O809" s="24"/>
      <c r="P809" s="25"/>
      <c r="Q809" s="25"/>
    </row>
    <row r="810" spans="1:17" s="20" customFormat="1" x14ac:dyDescent="0.25">
      <c r="A810" s="9"/>
      <c r="B810" s="28"/>
      <c r="C810" s="28"/>
      <c r="D810" s="28"/>
      <c r="E810" s="28"/>
      <c r="F810" s="31"/>
      <c r="G810" s="21"/>
      <c r="H810" s="22"/>
      <c r="I810" s="23"/>
      <c r="J810" s="24"/>
      <c r="K810" s="25"/>
      <c r="L810" s="23"/>
      <c r="M810" s="23"/>
      <c r="N810" s="24"/>
      <c r="O810" s="24"/>
      <c r="P810" s="25"/>
      <c r="Q810" s="25"/>
    </row>
    <row r="811" spans="1:17" s="20" customFormat="1" x14ac:dyDescent="0.25">
      <c r="A811" s="9"/>
      <c r="B811" s="28"/>
      <c r="C811" s="28"/>
      <c r="D811" s="28"/>
      <c r="E811" s="28"/>
      <c r="F811" s="31"/>
      <c r="G811" s="21"/>
      <c r="H811" s="22"/>
      <c r="I811" s="23"/>
      <c r="J811" s="24"/>
      <c r="K811" s="25"/>
      <c r="L811" s="23"/>
      <c r="M811" s="23"/>
      <c r="N811" s="24"/>
      <c r="O811" s="24"/>
      <c r="P811" s="25"/>
      <c r="Q811" s="25"/>
    </row>
    <row r="812" spans="1:17" s="20" customFormat="1" x14ac:dyDescent="0.25">
      <c r="A812" s="9"/>
      <c r="B812" s="28"/>
      <c r="C812" s="28"/>
      <c r="D812" s="28"/>
      <c r="E812" s="28"/>
      <c r="F812" s="31"/>
      <c r="G812" s="21"/>
      <c r="H812" s="22"/>
      <c r="I812" s="23"/>
      <c r="J812" s="24"/>
      <c r="K812" s="25"/>
      <c r="L812" s="23"/>
      <c r="M812" s="23"/>
      <c r="N812" s="24"/>
      <c r="O812" s="24"/>
      <c r="P812" s="25"/>
      <c r="Q812" s="25"/>
    </row>
    <row r="813" spans="1:17" s="20" customFormat="1" x14ac:dyDescent="0.25">
      <c r="A813" s="9"/>
      <c r="B813" s="28"/>
      <c r="C813" s="28"/>
      <c r="D813" s="28"/>
      <c r="E813" s="28"/>
      <c r="F813" s="31"/>
      <c r="G813" s="21"/>
      <c r="H813" s="22"/>
      <c r="I813" s="23"/>
      <c r="J813" s="24"/>
      <c r="K813" s="25"/>
      <c r="L813" s="23"/>
      <c r="M813" s="23"/>
      <c r="N813" s="24"/>
      <c r="O813" s="24"/>
      <c r="P813" s="25"/>
      <c r="Q813" s="25"/>
    </row>
    <row r="814" spans="1:17" s="20" customFormat="1" x14ac:dyDescent="0.25">
      <c r="A814" s="9"/>
      <c r="B814" s="28"/>
      <c r="C814" s="28"/>
      <c r="D814" s="28"/>
      <c r="E814" s="28"/>
      <c r="F814" s="31"/>
      <c r="G814" s="21"/>
      <c r="H814" s="22"/>
      <c r="I814" s="23"/>
      <c r="J814" s="24"/>
      <c r="K814" s="25"/>
      <c r="L814" s="23"/>
      <c r="M814" s="23"/>
      <c r="N814" s="24"/>
      <c r="O814" s="24"/>
      <c r="P814" s="25"/>
      <c r="Q814" s="25"/>
    </row>
    <row r="815" spans="1:17" s="20" customFormat="1" x14ac:dyDescent="0.25">
      <c r="A815" s="9"/>
      <c r="B815" s="28"/>
      <c r="C815" s="28"/>
      <c r="D815" s="28"/>
      <c r="E815" s="28"/>
      <c r="F815" s="31"/>
      <c r="G815" s="21"/>
      <c r="H815" s="22"/>
      <c r="I815" s="23"/>
      <c r="J815" s="24"/>
      <c r="K815" s="25"/>
      <c r="L815" s="23"/>
      <c r="M815" s="23"/>
      <c r="N815" s="24"/>
      <c r="O815" s="24"/>
      <c r="P815" s="25"/>
      <c r="Q815" s="25"/>
    </row>
    <row r="816" spans="1:17" s="20" customFormat="1" x14ac:dyDescent="0.25">
      <c r="A816" s="9"/>
      <c r="B816" s="28"/>
      <c r="C816" s="28"/>
      <c r="D816" s="28"/>
      <c r="E816" s="28"/>
      <c r="F816" s="31"/>
      <c r="G816" s="21"/>
      <c r="H816" s="22"/>
      <c r="I816" s="23"/>
      <c r="J816" s="24"/>
      <c r="K816" s="25"/>
      <c r="L816" s="23"/>
      <c r="M816" s="23"/>
      <c r="N816" s="24"/>
      <c r="O816" s="24"/>
      <c r="P816" s="25"/>
      <c r="Q816" s="25"/>
    </row>
    <row r="817" spans="1:17" s="20" customFormat="1" x14ac:dyDescent="0.25">
      <c r="A817" s="9"/>
      <c r="B817" s="28"/>
      <c r="C817" s="28"/>
      <c r="D817" s="28"/>
      <c r="E817" s="28"/>
      <c r="F817" s="31"/>
      <c r="G817" s="21"/>
      <c r="H817" s="22"/>
      <c r="I817" s="23"/>
      <c r="J817" s="24"/>
      <c r="K817" s="25"/>
      <c r="L817" s="23"/>
      <c r="M817" s="23"/>
      <c r="N817" s="24"/>
      <c r="O817" s="24"/>
      <c r="P817" s="25"/>
      <c r="Q817" s="25"/>
    </row>
    <row r="818" spans="1:17" s="20" customFormat="1" x14ac:dyDescent="0.25">
      <c r="A818" s="9"/>
      <c r="B818" s="28"/>
      <c r="C818" s="28"/>
      <c r="D818" s="28"/>
      <c r="E818" s="28"/>
      <c r="F818" s="31"/>
      <c r="G818" s="21"/>
      <c r="H818" s="22"/>
      <c r="I818" s="23"/>
      <c r="J818" s="24"/>
      <c r="K818" s="25"/>
      <c r="L818" s="23"/>
      <c r="M818" s="23"/>
      <c r="N818" s="24"/>
      <c r="O818" s="24"/>
      <c r="P818" s="25"/>
      <c r="Q818" s="25"/>
    </row>
    <row r="819" spans="1:17" s="20" customFormat="1" x14ac:dyDescent="0.25">
      <c r="A819" s="9"/>
      <c r="B819" s="28"/>
      <c r="C819" s="28"/>
      <c r="D819" s="28"/>
      <c r="E819" s="28"/>
      <c r="F819" s="31"/>
      <c r="G819" s="21"/>
      <c r="H819" s="22"/>
      <c r="I819" s="23"/>
      <c r="J819" s="24"/>
      <c r="K819" s="25"/>
      <c r="L819" s="23"/>
      <c r="M819" s="23"/>
      <c r="N819" s="24"/>
      <c r="O819" s="24"/>
      <c r="P819" s="25"/>
      <c r="Q819" s="25"/>
    </row>
    <row r="820" spans="1:17" s="20" customFormat="1" x14ac:dyDescent="0.25">
      <c r="A820" s="9"/>
      <c r="B820" s="28"/>
      <c r="C820" s="28"/>
      <c r="D820" s="28"/>
      <c r="E820" s="28"/>
      <c r="F820" s="31"/>
      <c r="G820" s="21"/>
      <c r="H820" s="22"/>
      <c r="I820" s="23"/>
      <c r="J820" s="24"/>
      <c r="K820" s="25"/>
      <c r="L820" s="23"/>
      <c r="M820" s="23"/>
      <c r="N820" s="24"/>
      <c r="O820" s="24"/>
      <c r="P820" s="25"/>
      <c r="Q820" s="25"/>
    </row>
    <row r="821" spans="1:17" s="20" customFormat="1" x14ac:dyDescent="0.25">
      <c r="A821" s="9"/>
      <c r="B821" s="28"/>
      <c r="C821" s="28"/>
      <c r="D821" s="28"/>
      <c r="E821" s="28"/>
      <c r="F821" s="31"/>
      <c r="G821" s="21"/>
      <c r="H821" s="22"/>
      <c r="I821" s="23"/>
      <c r="J821" s="24"/>
      <c r="K821" s="25"/>
      <c r="L821" s="23"/>
      <c r="M821" s="23"/>
      <c r="N821" s="24"/>
      <c r="O821" s="24"/>
      <c r="P821" s="25"/>
      <c r="Q821" s="25"/>
    </row>
    <row r="822" spans="1:17" s="20" customFormat="1" x14ac:dyDescent="0.25">
      <c r="A822" s="9"/>
      <c r="B822" s="28"/>
      <c r="C822" s="28"/>
      <c r="D822" s="28"/>
      <c r="E822" s="28"/>
      <c r="F822" s="31"/>
      <c r="G822" s="21"/>
      <c r="H822" s="22"/>
      <c r="I822" s="23"/>
      <c r="J822" s="24"/>
      <c r="K822" s="25"/>
      <c r="L822" s="23"/>
      <c r="M822" s="23"/>
      <c r="N822" s="24"/>
      <c r="O822" s="24"/>
      <c r="P822" s="25"/>
      <c r="Q822" s="25"/>
    </row>
    <row r="823" spans="1:17" s="20" customFormat="1" x14ac:dyDescent="0.25">
      <c r="A823" s="9"/>
      <c r="B823" s="28"/>
      <c r="C823" s="28"/>
      <c r="D823" s="28"/>
      <c r="E823" s="28"/>
      <c r="F823" s="31"/>
      <c r="G823" s="21"/>
      <c r="H823" s="22"/>
      <c r="I823" s="23"/>
      <c r="J823" s="24"/>
      <c r="K823" s="25"/>
      <c r="L823" s="23"/>
      <c r="M823" s="23"/>
      <c r="N823" s="24"/>
      <c r="O823" s="24"/>
      <c r="P823" s="25"/>
      <c r="Q823" s="25"/>
    </row>
    <row r="824" spans="1:17" s="20" customFormat="1" x14ac:dyDescent="0.25">
      <c r="A824" s="9"/>
      <c r="B824" s="28"/>
      <c r="C824" s="28"/>
      <c r="D824" s="28"/>
      <c r="E824" s="28"/>
      <c r="F824" s="31"/>
      <c r="G824" s="21"/>
      <c r="H824" s="22"/>
      <c r="I824" s="23"/>
      <c r="J824" s="24"/>
      <c r="K824" s="25"/>
      <c r="L824" s="23"/>
      <c r="M824" s="23"/>
      <c r="N824" s="24"/>
      <c r="O824" s="24"/>
      <c r="P824" s="25"/>
      <c r="Q824" s="25"/>
    </row>
    <row r="825" spans="1:17" s="20" customFormat="1" x14ac:dyDescent="0.25">
      <c r="A825" s="9"/>
      <c r="B825" s="28"/>
      <c r="C825" s="28"/>
      <c r="D825" s="28"/>
      <c r="E825" s="28"/>
      <c r="F825" s="31"/>
      <c r="G825" s="21"/>
      <c r="H825" s="22"/>
      <c r="I825" s="23"/>
      <c r="J825" s="24"/>
      <c r="K825" s="25"/>
      <c r="L825" s="23"/>
      <c r="M825" s="23"/>
      <c r="N825" s="24"/>
      <c r="O825" s="24"/>
      <c r="P825" s="25"/>
      <c r="Q825" s="25"/>
    </row>
    <row r="826" spans="1:17" s="20" customFormat="1" x14ac:dyDescent="0.25">
      <c r="A826" s="9"/>
      <c r="B826" s="28"/>
      <c r="C826" s="28"/>
      <c r="D826" s="28"/>
      <c r="E826" s="28"/>
      <c r="F826" s="31"/>
      <c r="G826" s="21"/>
      <c r="H826" s="22"/>
      <c r="I826" s="23"/>
      <c r="J826" s="24"/>
      <c r="K826" s="25"/>
      <c r="L826" s="23"/>
      <c r="M826" s="23"/>
      <c r="N826" s="24"/>
      <c r="O826" s="24"/>
      <c r="P826" s="25"/>
      <c r="Q826" s="25"/>
    </row>
    <row r="827" spans="1:17" s="20" customFormat="1" x14ac:dyDescent="0.25">
      <c r="A827" s="9"/>
      <c r="B827" s="28"/>
      <c r="C827" s="28"/>
      <c r="D827" s="28"/>
      <c r="E827" s="28"/>
      <c r="F827" s="31"/>
      <c r="G827" s="21"/>
      <c r="H827" s="22"/>
      <c r="I827" s="23"/>
      <c r="J827" s="24"/>
      <c r="K827" s="25"/>
      <c r="L827" s="23"/>
      <c r="M827" s="23"/>
      <c r="N827" s="24"/>
      <c r="O827" s="24"/>
      <c r="P827" s="25"/>
      <c r="Q827" s="25"/>
    </row>
    <row r="828" spans="1:17" s="20" customFormat="1" x14ac:dyDescent="0.25">
      <c r="A828" s="9"/>
      <c r="B828" s="28"/>
      <c r="C828" s="28"/>
      <c r="D828" s="28"/>
      <c r="E828" s="28"/>
      <c r="F828" s="31"/>
      <c r="G828" s="21"/>
      <c r="H828" s="22"/>
      <c r="I828" s="23"/>
      <c r="J828" s="24"/>
      <c r="K828" s="25"/>
      <c r="L828" s="23"/>
      <c r="M828" s="23"/>
      <c r="N828" s="24"/>
      <c r="O828" s="24"/>
      <c r="P828" s="25"/>
      <c r="Q828" s="25"/>
    </row>
    <row r="829" spans="1:17" s="20" customFormat="1" x14ac:dyDescent="0.25">
      <c r="A829" s="9"/>
      <c r="B829" s="28"/>
      <c r="C829" s="28"/>
      <c r="D829" s="28"/>
      <c r="E829" s="28"/>
      <c r="F829" s="31"/>
      <c r="G829" s="21"/>
      <c r="H829" s="22"/>
      <c r="I829" s="23"/>
      <c r="J829" s="24"/>
      <c r="K829" s="25"/>
      <c r="L829" s="23"/>
      <c r="M829" s="23"/>
      <c r="N829" s="24"/>
      <c r="O829" s="24"/>
      <c r="P829" s="25"/>
      <c r="Q829" s="25"/>
    </row>
    <row r="830" spans="1:17" s="20" customFormat="1" x14ac:dyDescent="0.25">
      <c r="A830" s="9"/>
      <c r="B830" s="28"/>
      <c r="C830" s="28"/>
      <c r="D830" s="28"/>
      <c r="E830" s="28"/>
      <c r="F830" s="31"/>
      <c r="G830" s="21"/>
      <c r="H830" s="22"/>
      <c r="I830" s="23"/>
      <c r="J830" s="24"/>
      <c r="K830" s="25"/>
      <c r="L830" s="23"/>
      <c r="M830" s="23"/>
      <c r="N830" s="24"/>
      <c r="O830" s="24"/>
      <c r="P830" s="25"/>
      <c r="Q830" s="25"/>
    </row>
    <row r="831" spans="1:17" s="20" customFormat="1" x14ac:dyDescent="0.25">
      <c r="A831" s="9"/>
      <c r="B831" s="28"/>
      <c r="C831" s="28"/>
      <c r="D831" s="28"/>
      <c r="E831" s="28"/>
      <c r="F831" s="31"/>
      <c r="G831" s="21"/>
      <c r="H831" s="22"/>
      <c r="I831" s="23"/>
      <c r="J831" s="24"/>
      <c r="K831" s="25"/>
      <c r="L831" s="23"/>
      <c r="M831" s="23"/>
      <c r="N831" s="24"/>
      <c r="O831" s="24"/>
      <c r="P831" s="25"/>
      <c r="Q831" s="25"/>
    </row>
    <row r="832" spans="1:17" s="20" customFormat="1" x14ac:dyDescent="0.25">
      <c r="A832" s="9"/>
      <c r="B832" s="28"/>
      <c r="C832" s="28"/>
      <c r="D832" s="28"/>
      <c r="E832" s="28"/>
      <c r="F832" s="31"/>
      <c r="G832" s="21"/>
      <c r="H832" s="22"/>
      <c r="I832" s="23"/>
      <c r="J832" s="24"/>
      <c r="K832" s="25"/>
      <c r="L832" s="23"/>
      <c r="M832" s="23"/>
      <c r="N832" s="24"/>
      <c r="O832" s="24"/>
      <c r="P832" s="25"/>
      <c r="Q832" s="25"/>
    </row>
    <row r="833" spans="1:17" s="20" customFormat="1" x14ac:dyDescent="0.25">
      <c r="A833" s="9"/>
      <c r="B833" s="28"/>
      <c r="C833" s="28"/>
      <c r="D833" s="28"/>
      <c r="E833" s="28"/>
      <c r="F833" s="31"/>
      <c r="G833" s="21"/>
      <c r="H833" s="22"/>
      <c r="I833" s="23"/>
      <c r="J833" s="24"/>
      <c r="K833" s="25"/>
      <c r="L833" s="23"/>
      <c r="M833" s="23"/>
      <c r="N833" s="24"/>
      <c r="O833" s="24"/>
      <c r="P833" s="25"/>
      <c r="Q833" s="25"/>
    </row>
    <row r="834" spans="1:17" s="20" customFormat="1" x14ac:dyDescent="0.25">
      <c r="A834" s="9"/>
      <c r="B834" s="28"/>
      <c r="C834" s="28"/>
      <c r="D834" s="28"/>
      <c r="E834" s="28"/>
      <c r="F834" s="31"/>
      <c r="G834" s="21"/>
      <c r="H834" s="22"/>
      <c r="I834" s="23"/>
      <c r="J834" s="24"/>
      <c r="K834" s="25"/>
      <c r="L834" s="23"/>
      <c r="M834" s="23"/>
      <c r="N834" s="24"/>
      <c r="O834" s="24"/>
      <c r="P834" s="25"/>
      <c r="Q834" s="25"/>
    </row>
    <row r="835" spans="1:17" s="20" customFormat="1" x14ac:dyDescent="0.25">
      <c r="A835" s="9"/>
      <c r="B835" s="28"/>
      <c r="C835" s="28"/>
      <c r="D835" s="28"/>
      <c r="E835" s="28"/>
      <c r="F835" s="31"/>
      <c r="G835" s="21"/>
      <c r="H835" s="22"/>
      <c r="I835" s="23"/>
      <c r="J835" s="24"/>
      <c r="K835" s="25"/>
      <c r="L835" s="23"/>
      <c r="M835" s="23"/>
      <c r="N835" s="24"/>
      <c r="O835" s="24"/>
      <c r="P835" s="25"/>
      <c r="Q835" s="25"/>
    </row>
    <row r="836" spans="1:17" s="20" customFormat="1" x14ac:dyDescent="0.25">
      <c r="A836" s="9"/>
      <c r="B836" s="28"/>
      <c r="C836" s="28"/>
      <c r="D836" s="28"/>
      <c r="E836" s="28"/>
      <c r="F836" s="31"/>
      <c r="G836" s="21"/>
      <c r="H836" s="22"/>
      <c r="I836" s="23"/>
      <c r="J836" s="24"/>
      <c r="K836" s="25"/>
      <c r="L836" s="23"/>
      <c r="M836" s="23"/>
      <c r="N836" s="24"/>
      <c r="O836" s="24"/>
      <c r="P836" s="25"/>
      <c r="Q836" s="25"/>
    </row>
    <row r="837" spans="1:17" s="20" customFormat="1" x14ac:dyDescent="0.25">
      <c r="A837" s="9"/>
      <c r="B837" s="28"/>
      <c r="C837" s="28"/>
      <c r="D837" s="28"/>
      <c r="E837" s="28"/>
      <c r="F837" s="31"/>
      <c r="G837" s="21"/>
      <c r="H837" s="22"/>
      <c r="I837" s="23"/>
      <c r="J837" s="24"/>
      <c r="K837" s="25"/>
      <c r="L837" s="23"/>
      <c r="M837" s="23"/>
      <c r="N837" s="24"/>
      <c r="O837" s="24"/>
      <c r="P837" s="25"/>
      <c r="Q837" s="25"/>
    </row>
    <row r="838" spans="1:17" s="20" customFormat="1" x14ac:dyDescent="0.25">
      <c r="A838" s="9"/>
      <c r="B838" s="28"/>
      <c r="C838" s="28"/>
      <c r="D838" s="28"/>
      <c r="E838" s="28"/>
      <c r="F838" s="31"/>
      <c r="G838" s="21"/>
      <c r="H838" s="22"/>
      <c r="I838" s="23"/>
      <c r="J838" s="24"/>
      <c r="K838" s="25"/>
      <c r="L838" s="23"/>
      <c r="M838" s="23"/>
      <c r="N838" s="24"/>
      <c r="O838" s="24"/>
      <c r="P838" s="25"/>
      <c r="Q838" s="25"/>
    </row>
    <row r="839" spans="1:17" s="20" customFormat="1" x14ac:dyDescent="0.25">
      <c r="A839" s="9"/>
      <c r="B839" s="28"/>
      <c r="C839" s="28"/>
      <c r="D839" s="28"/>
      <c r="E839" s="28"/>
      <c r="F839" s="31"/>
      <c r="G839" s="21"/>
      <c r="H839" s="22"/>
      <c r="I839" s="23"/>
      <c r="J839" s="24"/>
      <c r="K839" s="25"/>
      <c r="L839" s="23"/>
      <c r="M839" s="23"/>
      <c r="N839" s="24"/>
      <c r="O839" s="24"/>
      <c r="P839" s="25"/>
      <c r="Q839" s="25"/>
    </row>
    <row r="840" spans="1:17" s="20" customFormat="1" x14ac:dyDescent="0.25">
      <c r="A840" s="9"/>
      <c r="B840" s="28"/>
      <c r="C840" s="28"/>
      <c r="D840" s="28"/>
      <c r="E840" s="28"/>
      <c r="F840" s="31"/>
      <c r="G840" s="21"/>
      <c r="H840" s="22"/>
      <c r="I840" s="23"/>
      <c r="J840" s="24"/>
      <c r="K840" s="25"/>
      <c r="L840" s="23"/>
      <c r="M840" s="23"/>
      <c r="N840" s="24"/>
      <c r="O840" s="24"/>
      <c r="P840" s="25"/>
      <c r="Q840" s="25"/>
    </row>
    <row r="841" spans="1:17" s="20" customFormat="1" x14ac:dyDescent="0.25">
      <c r="A841" s="9"/>
      <c r="B841" s="28"/>
      <c r="C841" s="28"/>
      <c r="D841" s="28"/>
      <c r="E841" s="28"/>
      <c r="F841" s="31"/>
      <c r="G841" s="21"/>
      <c r="H841" s="22"/>
      <c r="I841" s="23"/>
      <c r="J841" s="24"/>
      <c r="K841" s="25"/>
      <c r="L841" s="23"/>
      <c r="M841" s="23"/>
      <c r="N841" s="24"/>
      <c r="O841" s="24"/>
      <c r="P841" s="25"/>
      <c r="Q841" s="25"/>
    </row>
    <row r="842" spans="1:17" s="20" customFormat="1" x14ac:dyDescent="0.25">
      <c r="A842" s="9"/>
      <c r="B842" s="28"/>
      <c r="C842" s="28"/>
      <c r="D842" s="28"/>
      <c r="E842" s="28"/>
      <c r="F842" s="31"/>
      <c r="G842" s="21"/>
      <c r="H842" s="22"/>
      <c r="I842" s="23"/>
      <c r="J842" s="24"/>
      <c r="K842" s="25"/>
      <c r="L842" s="23"/>
      <c r="M842" s="23"/>
      <c r="N842" s="24"/>
      <c r="O842" s="24"/>
      <c r="P842" s="25"/>
      <c r="Q842" s="25"/>
    </row>
    <row r="843" spans="1:17" s="20" customFormat="1" x14ac:dyDescent="0.25">
      <c r="A843" s="9"/>
      <c r="B843" s="28"/>
      <c r="C843" s="28"/>
      <c r="D843" s="28"/>
      <c r="E843" s="28"/>
      <c r="F843" s="31"/>
      <c r="G843" s="21"/>
      <c r="H843" s="22"/>
      <c r="I843" s="23"/>
      <c r="J843" s="24"/>
      <c r="K843" s="25"/>
      <c r="L843" s="23"/>
      <c r="M843" s="23"/>
      <c r="N843" s="24"/>
      <c r="O843" s="24"/>
      <c r="P843" s="25"/>
      <c r="Q843" s="25"/>
    </row>
    <row r="844" spans="1:17" s="20" customFormat="1" x14ac:dyDescent="0.25">
      <c r="A844" s="9"/>
      <c r="B844" s="28"/>
      <c r="C844" s="28"/>
      <c r="D844" s="28"/>
      <c r="E844" s="28"/>
      <c r="F844" s="31"/>
      <c r="G844" s="21"/>
      <c r="H844" s="22"/>
      <c r="I844" s="23"/>
      <c r="J844" s="24"/>
      <c r="K844" s="25"/>
      <c r="L844" s="23"/>
      <c r="M844" s="23"/>
      <c r="N844" s="24"/>
      <c r="O844" s="24"/>
      <c r="P844" s="25"/>
      <c r="Q844" s="25"/>
    </row>
    <row r="845" spans="1:17" s="20" customFormat="1" x14ac:dyDescent="0.25">
      <c r="A845" s="9"/>
      <c r="B845" s="28"/>
      <c r="C845" s="28"/>
      <c r="D845" s="28"/>
      <c r="E845" s="28"/>
      <c r="F845" s="31"/>
      <c r="G845" s="21"/>
      <c r="H845" s="22"/>
      <c r="I845" s="23"/>
      <c r="J845" s="24"/>
      <c r="K845" s="25"/>
      <c r="L845" s="23"/>
      <c r="M845" s="23"/>
      <c r="N845" s="24"/>
      <c r="O845" s="24"/>
      <c r="P845" s="25"/>
      <c r="Q845" s="25"/>
    </row>
    <row r="846" spans="1:17" s="20" customFormat="1" x14ac:dyDescent="0.25">
      <c r="A846" s="9"/>
      <c r="B846" s="28"/>
      <c r="C846" s="28"/>
      <c r="D846" s="28"/>
      <c r="E846" s="28"/>
      <c r="F846" s="31"/>
      <c r="G846" s="21"/>
      <c r="H846" s="22"/>
      <c r="I846" s="23"/>
      <c r="J846" s="24"/>
      <c r="K846" s="25"/>
      <c r="L846" s="23"/>
      <c r="M846" s="23"/>
      <c r="N846" s="24"/>
      <c r="O846" s="24"/>
      <c r="P846" s="25"/>
      <c r="Q846" s="25"/>
    </row>
    <row r="847" spans="1:17" s="20" customFormat="1" x14ac:dyDescent="0.25">
      <c r="A847" s="9"/>
      <c r="B847" s="28"/>
      <c r="C847" s="28"/>
      <c r="D847" s="28"/>
      <c r="E847" s="28"/>
      <c r="F847" s="31"/>
      <c r="G847" s="21"/>
      <c r="H847" s="22"/>
      <c r="I847" s="23"/>
      <c r="J847" s="24"/>
      <c r="K847" s="25"/>
      <c r="L847" s="23"/>
      <c r="M847" s="23"/>
      <c r="N847" s="24"/>
      <c r="O847" s="24"/>
      <c r="P847" s="25"/>
      <c r="Q847" s="25"/>
    </row>
    <row r="848" spans="1:17" s="20" customFormat="1" x14ac:dyDescent="0.25">
      <c r="A848" s="9"/>
      <c r="B848" s="28"/>
      <c r="C848" s="28"/>
      <c r="D848" s="28"/>
      <c r="E848" s="28"/>
      <c r="F848" s="31"/>
      <c r="G848" s="21"/>
      <c r="H848" s="22"/>
      <c r="I848" s="23"/>
      <c r="J848" s="24"/>
      <c r="K848" s="25"/>
      <c r="L848" s="23"/>
      <c r="M848" s="23"/>
      <c r="N848" s="24"/>
      <c r="O848" s="24"/>
      <c r="P848" s="25"/>
      <c r="Q848" s="25"/>
    </row>
    <row r="849" spans="1:17" s="20" customFormat="1" x14ac:dyDescent="0.25">
      <c r="A849" s="9"/>
      <c r="B849" s="28"/>
      <c r="C849" s="28"/>
      <c r="D849" s="28"/>
      <c r="E849" s="28"/>
      <c r="F849" s="31"/>
      <c r="G849" s="21"/>
      <c r="H849" s="22"/>
      <c r="I849" s="23"/>
      <c r="J849" s="24"/>
      <c r="K849" s="25"/>
      <c r="L849" s="23"/>
      <c r="M849" s="23"/>
      <c r="N849" s="24"/>
      <c r="O849" s="24"/>
      <c r="P849" s="25"/>
      <c r="Q849" s="25"/>
    </row>
    <row r="850" spans="1:17" s="20" customFormat="1" x14ac:dyDescent="0.25">
      <c r="A850" s="9"/>
      <c r="B850" s="28"/>
      <c r="C850" s="28"/>
      <c r="D850" s="28"/>
      <c r="E850" s="28"/>
      <c r="F850" s="31"/>
      <c r="G850" s="21"/>
      <c r="H850" s="22"/>
      <c r="I850" s="23"/>
      <c r="J850" s="24"/>
      <c r="K850" s="25"/>
      <c r="L850" s="23"/>
      <c r="M850" s="23"/>
      <c r="N850" s="24"/>
      <c r="O850" s="24"/>
      <c r="P850" s="25"/>
      <c r="Q850" s="25"/>
    </row>
    <row r="851" spans="1:17" s="20" customFormat="1" x14ac:dyDescent="0.25">
      <c r="A851" s="9"/>
      <c r="B851" s="28"/>
      <c r="C851" s="28"/>
      <c r="D851" s="28"/>
      <c r="E851" s="28"/>
      <c r="F851" s="31"/>
      <c r="G851" s="21"/>
      <c r="H851" s="22"/>
      <c r="I851" s="23"/>
      <c r="J851" s="24"/>
      <c r="K851" s="25"/>
      <c r="L851" s="23"/>
      <c r="M851" s="23"/>
      <c r="N851" s="24"/>
      <c r="O851" s="24"/>
      <c r="P851" s="25"/>
      <c r="Q851" s="25"/>
    </row>
    <row r="852" spans="1:17" s="20" customFormat="1" x14ac:dyDescent="0.25">
      <c r="A852" s="9"/>
      <c r="B852" s="28"/>
      <c r="C852" s="28"/>
      <c r="D852" s="28"/>
      <c r="E852" s="28"/>
      <c r="F852" s="31"/>
      <c r="G852" s="21"/>
      <c r="H852" s="22"/>
      <c r="I852" s="23"/>
      <c r="J852" s="24"/>
      <c r="K852" s="25"/>
      <c r="L852" s="23"/>
      <c r="M852" s="23"/>
      <c r="N852" s="24"/>
      <c r="O852" s="24"/>
      <c r="P852" s="25"/>
      <c r="Q852" s="25"/>
    </row>
    <row r="853" spans="1:17" s="20" customFormat="1" x14ac:dyDescent="0.25">
      <c r="A853" s="9"/>
      <c r="B853" s="28"/>
      <c r="C853" s="28"/>
      <c r="D853" s="28"/>
      <c r="E853" s="28"/>
      <c r="F853" s="31"/>
      <c r="G853" s="21"/>
      <c r="H853" s="22"/>
      <c r="I853" s="23"/>
      <c r="J853" s="24"/>
      <c r="K853" s="25"/>
      <c r="L853" s="23"/>
      <c r="M853" s="23"/>
      <c r="N853" s="24"/>
      <c r="O853" s="24"/>
      <c r="P853" s="25"/>
      <c r="Q853" s="25"/>
    </row>
    <row r="854" spans="1:17" s="20" customFormat="1" x14ac:dyDescent="0.25">
      <c r="A854" s="9"/>
      <c r="B854" s="28"/>
      <c r="C854" s="28"/>
      <c r="D854" s="28"/>
      <c r="E854" s="28"/>
      <c r="F854" s="31"/>
      <c r="G854" s="21"/>
      <c r="H854" s="22"/>
      <c r="I854" s="23"/>
      <c r="J854" s="24"/>
      <c r="K854" s="25"/>
      <c r="L854" s="23"/>
      <c r="M854" s="23"/>
      <c r="N854" s="24"/>
      <c r="O854" s="24"/>
      <c r="P854" s="25"/>
      <c r="Q854" s="25"/>
    </row>
    <row r="855" spans="1:17" s="20" customFormat="1" x14ac:dyDescent="0.25">
      <c r="A855" s="9"/>
      <c r="B855" s="28"/>
      <c r="C855" s="28"/>
      <c r="D855" s="28"/>
      <c r="E855" s="28"/>
      <c r="F855" s="31"/>
      <c r="G855" s="21"/>
      <c r="H855" s="22"/>
      <c r="I855" s="23"/>
      <c r="J855" s="24"/>
      <c r="K855" s="25"/>
      <c r="L855" s="23"/>
      <c r="M855" s="23"/>
      <c r="N855" s="24"/>
      <c r="O855" s="24"/>
      <c r="P855" s="25"/>
      <c r="Q855" s="25"/>
    </row>
    <row r="856" spans="1:17" s="20" customFormat="1" x14ac:dyDescent="0.25">
      <c r="A856" s="9"/>
      <c r="B856" s="28"/>
      <c r="C856" s="28"/>
      <c r="D856" s="28"/>
      <c r="E856" s="28"/>
      <c r="F856" s="31"/>
      <c r="G856" s="21"/>
      <c r="H856" s="22"/>
      <c r="I856" s="23"/>
      <c r="J856" s="24"/>
      <c r="K856" s="25"/>
      <c r="L856" s="23"/>
      <c r="M856" s="23"/>
      <c r="N856" s="24"/>
      <c r="O856" s="24"/>
      <c r="P856" s="25"/>
      <c r="Q856" s="25"/>
    </row>
    <row r="857" spans="1:17" s="20" customFormat="1" x14ac:dyDescent="0.25">
      <c r="A857" s="9"/>
      <c r="B857" s="28"/>
      <c r="C857" s="28"/>
      <c r="D857" s="28"/>
      <c r="E857" s="28"/>
      <c r="F857" s="31"/>
      <c r="G857" s="21"/>
      <c r="H857" s="22"/>
      <c r="I857" s="23"/>
      <c r="J857" s="24"/>
      <c r="K857" s="25"/>
      <c r="L857" s="23"/>
      <c r="M857" s="23"/>
      <c r="N857" s="24"/>
      <c r="O857" s="24"/>
      <c r="P857" s="25"/>
      <c r="Q857" s="25"/>
    </row>
    <row r="858" spans="1:17" s="20" customFormat="1" x14ac:dyDescent="0.25">
      <c r="A858" s="9"/>
      <c r="B858" s="28"/>
      <c r="C858" s="28"/>
      <c r="D858" s="28"/>
      <c r="E858" s="28"/>
      <c r="F858" s="31"/>
      <c r="G858" s="21"/>
      <c r="H858" s="22"/>
      <c r="I858" s="23"/>
      <c r="J858" s="24"/>
      <c r="K858" s="25"/>
      <c r="L858" s="23"/>
      <c r="M858" s="23"/>
      <c r="N858" s="24"/>
      <c r="O858" s="24"/>
      <c r="P858" s="25"/>
      <c r="Q858" s="25"/>
    </row>
    <row r="859" spans="1:17" s="20" customFormat="1" x14ac:dyDescent="0.25">
      <c r="A859" s="9"/>
      <c r="B859" s="28"/>
      <c r="C859" s="28"/>
      <c r="D859" s="28"/>
      <c r="E859" s="28"/>
      <c r="F859" s="31"/>
      <c r="G859" s="21"/>
      <c r="H859" s="22"/>
      <c r="I859" s="23"/>
      <c r="J859" s="24"/>
      <c r="K859" s="25"/>
      <c r="L859" s="23"/>
      <c r="M859" s="23"/>
      <c r="N859" s="24"/>
      <c r="O859" s="24"/>
      <c r="P859" s="25"/>
      <c r="Q859" s="25"/>
    </row>
    <row r="860" spans="1:17" s="20" customFormat="1" x14ac:dyDescent="0.25">
      <c r="A860" s="9"/>
      <c r="B860" s="28"/>
      <c r="C860" s="28"/>
      <c r="D860" s="28"/>
      <c r="E860" s="28"/>
      <c r="F860" s="31"/>
      <c r="G860" s="21"/>
      <c r="H860" s="22"/>
      <c r="I860" s="23"/>
      <c r="J860" s="24"/>
      <c r="K860" s="25"/>
      <c r="L860" s="23"/>
      <c r="M860" s="23"/>
      <c r="N860" s="24"/>
      <c r="O860" s="24"/>
      <c r="P860" s="25"/>
      <c r="Q860" s="25"/>
    </row>
    <row r="861" spans="1:17" s="20" customFormat="1" x14ac:dyDescent="0.25">
      <c r="A861" s="9"/>
      <c r="B861" s="28"/>
      <c r="C861" s="28"/>
      <c r="D861" s="28"/>
      <c r="E861" s="28"/>
      <c r="F861" s="31"/>
      <c r="G861" s="21"/>
      <c r="H861" s="22"/>
      <c r="I861" s="23"/>
      <c r="J861" s="24"/>
      <c r="K861" s="25"/>
      <c r="L861" s="23"/>
      <c r="M861" s="23"/>
      <c r="N861" s="24"/>
      <c r="O861" s="24"/>
      <c r="P861" s="25"/>
      <c r="Q861" s="25"/>
    </row>
    <row r="862" spans="1:17" s="20" customFormat="1" x14ac:dyDescent="0.25">
      <c r="A862" s="9"/>
      <c r="B862" s="28"/>
      <c r="C862" s="28"/>
      <c r="D862" s="28"/>
      <c r="E862" s="28"/>
      <c r="F862" s="31"/>
      <c r="G862" s="21"/>
      <c r="H862" s="22"/>
      <c r="I862" s="23"/>
      <c r="J862" s="24"/>
      <c r="K862" s="25"/>
      <c r="L862" s="23"/>
      <c r="M862" s="23"/>
      <c r="N862" s="24"/>
      <c r="O862" s="24"/>
      <c r="P862" s="25"/>
      <c r="Q862" s="25"/>
    </row>
    <row r="863" spans="1:17" s="20" customFormat="1" x14ac:dyDescent="0.25">
      <c r="A863" s="9"/>
      <c r="B863" s="28"/>
      <c r="C863" s="28"/>
      <c r="D863" s="28"/>
      <c r="E863" s="28"/>
      <c r="F863" s="31"/>
      <c r="G863" s="21"/>
      <c r="H863" s="22"/>
      <c r="I863" s="23"/>
      <c r="J863" s="24"/>
      <c r="K863" s="25"/>
      <c r="L863" s="23"/>
      <c r="M863" s="23"/>
      <c r="N863" s="24"/>
      <c r="O863" s="24"/>
      <c r="P863" s="25"/>
      <c r="Q863" s="25"/>
    </row>
    <row r="864" spans="1:17" s="20" customFormat="1" x14ac:dyDescent="0.25">
      <c r="A864" s="9"/>
      <c r="B864" s="28"/>
      <c r="C864" s="28"/>
      <c r="D864" s="28"/>
      <c r="E864" s="28"/>
      <c r="F864" s="31"/>
      <c r="G864" s="21"/>
      <c r="H864" s="22"/>
      <c r="I864" s="23"/>
      <c r="J864" s="24"/>
      <c r="K864" s="25"/>
      <c r="L864" s="23"/>
      <c r="M864" s="23"/>
      <c r="N864" s="24"/>
      <c r="O864" s="24"/>
      <c r="P864" s="25"/>
      <c r="Q864" s="25"/>
    </row>
    <row r="865" spans="1:17" s="20" customFormat="1" x14ac:dyDescent="0.25">
      <c r="A865" s="9"/>
      <c r="B865" s="28"/>
      <c r="C865" s="28"/>
      <c r="D865" s="28"/>
      <c r="E865" s="28"/>
      <c r="F865" s="31"/>
      <c r="G865" s="21"/>
      <c r="H865" s="22"/>
      <c r="I865" s="23"/>
      <c r="J865" s="24"/>
      <c r="K865" s="25"/>
      <c r="L865" s="23"/>
      <c r="M865" s="23"/>
      <c r="N865" s="24"/>
      <c r="O865" s="24"/>
      <c r="P865" s="25"/>
      <c r="Q865" s="25"/>
    </row>
    <row r="866" spans="1:17" s="20" customFormat="1" x14ac:dyDescent="0.25">
      <c r="A866" s="9"/>
      <c r="B866" s="28"/>
      <c r="C866" s="28"/>
      <c r="D866" s="28"/>
      <c r="E866" s="28"/>
      <c r="F866" s="31"/>
      <c r="G866" s="21"/>
      <c r="H866" s="22"/>
      <c r="I866" s="23"/>
      <c r="J866" s="24"/>
      <c r="K866" s="25"/>
      <c r="L866" s="23"/>
      <c r="M866" s="23"/>
      <c r="N866" s="24"/>
      <c r="O866" s="24"/>
      <c r="P866" s="25"/>
      <c r="Q866" s="25"/>
    </row>
    <row r="867" spans="1:17" s="20" customFormat="1" x14ac:dyDescent="0.25">
      <c r="A867" s="9"/>
      <c r="B867" s="28"/>
      <c r="C867" s="28"/>
      <c r="D867" s="28"/>
      <c r="E867" s="28"/>
      <c r="F867" s="31"/>
      <c r="G867" s="21"/>
      <c r="H867" s="22"/>
      <c r="I867" s="23"/>
      <c r="J867" s="24"/>
      <c r="K867" s="25"/>
      <c r="L867" s="23"/>
      <c r="M867" s="23"/>
      <c r="N867" s="24"/>
      <c r="O867" s="24"/>
      <c r="P867" s="25"/>
      <c r="Q867" s="25"/>
    </row>
    <row r="868" spans="1:17" s="20" customFormat="1" x14ac:dyDescent="0.25">
      <c r="A868" s="9"/>
      <c r="B868" s="28"/>
      <c r="C868" s="28"/>
      <c r="D868" s="28"/>
      <c r="E868" s="28"/>
      <c r="F868" s="31"/>
      <c r="G868" s="21"/>
      <c r="H868" s="22"/>
      <c r="I868" s="23"/>
      <c r="J868" s="24"/>
      <c r="K868" s="25"/>
      <c r="L868" s="23"/>
      <c r="M868" s="23"/>
      <c r="N868" s="24"/>
      <c r="O868" s="24"/>
      <c r="P868" s="25"/>
      <c r="Q868" s="25"/>
    </row>
    <row r="869" spans="1:17" s="20" customFormat="1" x14ac:dyDescent="0.25">
      <c r="A869" s="9"/>
      <c r="B869" s="28"/>
      <c r="C869" s="28"/>
      <c r="D869" s="28"/>
      <c r="E869" s="28"/>
      <c r="F869" s="31"/>
      <c r="G869" s="21"/>
      <c r="H869" s="22"/>
      <c r="I869" s="23"/>
      <c r="J869" s="24"/>
      <c r="K869" s="25"/>
      <c r="L869" s="23"/>
      <c r="M869" s="23"/>
      <c r="N869" s="24"/>
      <c r="O869" s="24"/>
      <c r="P869" s="25"/>
      <c r="Q869" s="25"/>
    </row>
    <row r="870" spans="1:17" s="20" customFormat="1" x14ac:dyDescent="0.25">
      <c r="A870" s="9"/>
      <c r="B870" s="28"/>
      <c r="C870" s="28"/>
      <c r="D870" s="28"/>
      <c r="E870" s="28"/>
      <c r="F870" s="31"/>
      <c r="G870" s="21"/>
      <c r="H870" s="22"/>
      <c r="I870" s="23"/>
      <c r="J870" s="24"/>
      <c r="K870" s="25"/>
      <c r="L870" s="23"/>
      <c r="M870" s="23"/>
      <c r="N870" s="24"/>
      <c r="O870" s="24"/>
      <c r="P870" s="25"/>
      <c r="Q870" s="25"/>
    </row>
    <row r="871" spans="1:17" s="20" customFormat="1" x14ac:dyDescent="0.25">
      <c r="A871" s="9"/>
      <c r="B871" s="28"/>
      <c r="C871" s="28"/>
      <c r="D871" s="28"/>
      <c r="E871" s="28"/>
      <c r="F871" s="31"/>
      <c r="G871" s="21"/>
      <c r="H871" s="22"/>
      <c r="I871" s="23"/>
      <c r="J871" s="24"/>
      <c r="K871" s="25"/>
      <c r="L871" s="23"/>
      <c r="M871" s="23"/>
      <c r="N871" s="24"/>
      <c r="O871" s="24"/>
      <c r="P871" s="25"/>
      <c r="Q871" s="25"/>
    </row>
    <row r="872" spans="1:17" s="20" customFormat="1" x14ac:dyDescent="0.25">
      <c r="A872" s="9"/>
      <c r="B872" s="28"/>
      <c r="C872" s="28"/>
      <c r="D872" s="28"/>
      <c r="E872" s="28"/>
      <c r="F872" s="31"/>
      <c r="G872" s="21"/>
      <c r="H872" s="22"/>
      <c r="I872" s="23"/>
      <c r="J872" s="24"/>
      <c r="K872" s="25"/>
      <c r="L872" s="23"/>
      <c r="M872" s="23"/>
      <c r="N872" s="24"/>
      <c r="O872" s="24"/>
      <c r="P872" s="25"/>
      <c r="Q872" s="25"/>
    </row>
    <row r="873" spans="1:17" s="20" customFormat="1" x14ac:dyDescent="0.25">
      <c r="A873" s="9"/>
      <c r="B873" s="28"/>
      <c r="C873" s="28"/>
      <c r="D873" s="28"/>
      <c r="E873" s="28"/>
      <c r="F873" s="31"/>
      <c r="G873" s="21"/>
      <c r="H873" s="22"/>
      <c r="I873" s="23"/>
      <c r="J873" s="24"/>
      <c r="K873" s="25"/>
      <c r="L873" s="23"/>
      <c r="M873" s="23"/>
      <c r="N873" s="24"/>
      <c r="O873" s="24"/>
      <c r="P873" s="25"/>
      <c r="Q873" s="25"/>
    </row>
    <row r="874" spans="1:17" s="20" customFormat="1" x14ac:dyDescent="0.25">
      <c r="A874" s="9"/>
      <c r="B874" s="28"/>
      <c r="C874" s="28"/>
      <c r="D874" s="28"/>
      <c r="E874" s="28"/>
      <c r="F874" s="31"/>
      <c r="G874" s="21"/>
      <c r="H874" s="22"/>
      <c r="I874" s="23"/>
      <c r="J874" s="24"/>
      <c r="K874" s="25"/>
      <c r="L874" s="23"/>
      <c r="M874" s="23"/>
      <c r="N874" s="24"/>
      <c r="O874" s="24"/>
      <c r="P874" s="25"/>
      <c r="Q874" s="25"/>
    </row>
    <row r="875" spans="1:17" s="20" customFormat="1" x14ac:dyDescent="0.25">
      <c r="A875" s="9"/>
      <c r="B875" s="28"/>
      <c r="C875" s="28"/>
      <c r="D875" s="28"/>
      <c r="E875" s="28"/>
      <c r="F875" s="31"/>
      <c r="G875" s="21"/>
      <c r="H875" s="22"/>
      <c r="I875" s="23"/>
      <c r="J875" s="24"/>
      <c r="K875" s="25"/>
      <c r="L875" s="23"/>
      <c r="M875" s="23"/>
      <c r="N875" s="24"/>
      <c r="O875" s="24"/>
      <c r="P875" s="25"/>
      <c r="Q875" s="25"/>
    </row>
    <row r="876" spans="1:17" s="20" customFormat="1" x14ac:dyDescent="0.25">
      <c r="A876" s="9"/>
      <c r="B876" s="28"/>
      <c r="C876" s="28"/>
      <c r="D876" s="28"/>
      <c r="E876" s="28"/>
      <c r="F876" s="31"/>
      <c r="G876" s="21"/>
      <c r="H876" s="22"/>
      <c r="I876" s="23"/>
      <c r="J876" s="24"/>
      <c r="K876" s="25"/>
      <c r="L876" s="23"/>
      <c r="M876" s="23"/>
      <c r="N876" s="24"/>
      <c r="O876" s="24"/>
      <c r="P876" s="25"/>
      <c r="Q876" s="25"/>
    </row>
    <row r="877" spans="1:17" s="20" customFormat="1" x14ac:dyDescent="0.25">
      <c r="A877" s="9"/>
      <c r="B877" s="28"/>
      <c r="C877" s="28"/>
      <c r="D877" s="28"/>
      <c r="E877" s="28"/>
      <c r="F877" s="31"/>
      <c r="G877" s="21"/>
      <c r="H877" s="22"/>
      <c r="I877" s="23"/>
      <c r="J877" s="24"/>
      <c r="K877" s="25"/>
      <c r="L877" s="23"/>
      <c r="M877" s="23"/>
      <c r="N877" s="24"/>
      <c r="O877" s="24"/>
      <c r="P877" s="25"/>
      <c r="Q877" s="25"/>
    </row>
    <row r="878" spans="1:17" s="20" customFormat="1" x14ac:dyDescent="0.25">
      <c r="A878" s="9"/>
      <c r="B878" s="28"/>
      <c r="C878" s="28"/>
      <c r="D878" s="28"/>
      <c r="E878" s="28"/>
      <c r="F878" s="31"/>
      <c r="G878" s="21"/>
      <c r="H878" s="22"/>
      <c r="I878" s="23"/>
      <c r="J878" s="24"/>
      <c r="K878" s="25"/>
      <c r="L878" s="23"/>
      <c r="M878" s="23"/>
      <c r="N878" s="24"/>
      <c r="O878" s="24"/>
      <c r="P878" s="25"/>
      <c r="Q878" s="25"/>
    </row>
    <row r="879" spans="1:17" s="20" customFormat="1" x14ac:dyDescent="0.25">
      <c r="A879" s="9"/>
      <c r="B879" s="28"/>
      <c r="C879" s="28"/>
      <c r="D879" s="28"/>
      <c r="E879" s="28"/>
      <c r="F879" s="31"/>
      <c r="G879" s="21"/>
      <c r="H879" s="22"/>
      <c r="I879" s="23"/>
      <c r="J879" s="24"/>
      <c r="K879" s="25"/>
      <c r="L879" s="23"/>
      <c r="M879" s="23"/>
      <c r="N879" s="24"/>
      <c r="O879" s="24"/>
      <c r="P879" s="25"/>
      <c r="Q879" s="25"/>
    </row>
    <row r="880" spans="1:17" s="20" customFormat="1" x14ac:dyDescent="0.25">
      <c r="A880" s="9"/>
      <c r="B880" s="28"/>
      <c r="C880" s="28"/>
      <c r="D880" s="28"/>
      <c r="E880" s="28"/>
      <c r="F880" s="31"/>
      <c r="G880" s="21"/>
      <c r="H880" s="22"/>
      <c r="I880" s="23"/>
      <c r="J880" s="24"/>
      <c r="K880" s="25"/>
      <c r="L880" s="23"/>
      <c r="M880" s="23"/>
      <c r="N880" s="24"/>
      <c r="O880" s="24"/>
      <c r="P880" s="25"/>
      <c r="Q880" s="25"/>
    </row>
    <row r="881" spans="1:17" s="20" customFormat="1" x14ac:dyDescent="0.25">
      <c r="A881" s="9"/>
      <c r="B881" s="28"/>
      <c r="C881" s="28"/>
      <c r="D881" s="28"/>
      <c r="E881" s="28"/>
      <c r="F881" s="31"/>
      <c r="G881" s="21"/>
      <c r="H881" s="22"/>
      <c r="I881" s="23"/>
      <c r="J881" s="24"/>
      <c r="K881" s="25"/>
      <c r="L881" s="23"/>
      <c r="M881" s="23"/>
      <c r="N881" s="24"/>
      <c r="O881" s="24"/>
      <c r="P881" s="25"/>
      <c r="Q881" s="25"/>
    </row>
    <row r="882" spans="1:17" s="20" customFormat="1" x14ac:dyDescent="0.25">
      <c r="A882" s="9"/>
      <c r="B882" s="28"/>
      <c r="C882" s="28"/>
      <c r="D882" s="28"/>
      <c r="E882" s="28"/>
      <c r="F882" s="31"/>
      <c r="G882" s="21"/>
      <c r="H882" s="22"/>
      <c r="I882" s="23"/>
      <c r="J882" s="24"/>
      <c r="K882" s="25"/>
      <c r="L882" s="23"/>
      <c r="M882" s="23"/>
      <c r="N882" s="24"/>
      <c r="O882" s="24"/>
      <c r="P882" s="25"/>
      <c r="Q882" s="25"/>
    </row>
    <row r="883" spans="1:17" s="20" customFormat="1" x14ac:dyDescent="0.25">
      <c r="A883" s="9"/>
      <c r="B883" s="28"/>
      <c r="C883" s="28"/>
      <c r="D883" s="28"/>
      <c r="E883" s="28"/>
      <c r="F883" s="31"/>
      <c r="G883" s="21"/>
      <c r="H883" s="22"/>
      <c r="I883" s="23"/>
      <c r="J883" s="24"/>
      <c r="K883" s="25"/>
      <c r="L883" s="23"/>
      <c r="M883" s="23"/>
      <c r="N883" s="24"/>
      <c r="O883" s="24"/>
      <c r="P883" s="25"/>
      <c r="Q883" s="25"/>
    </row>
    <row r="884" spans="1:17" s="20" customFormat="1" x14ac:dyDescent="0.25">
      <c r="A884" s="9"/>
      <c r="B884" s="28"/>
      <c r="C884" s="28"/>
      <c r="D884" s="28"/>
      <c r="E884" s="28"/>
      <c r="F884" s="31"/>
      <c r="G884" s="21"/>
      <c r="H884" s="22"/>
      <c r="I884" s="23"/>
      <c r="J884" s="24"/>
      <c r="K884" s="25"/>
      <c r="L884" s="23"/>
      <c r="M884" s="23"/>
      <c r="N884" s="24"/>
      <c r="O884" s="24"/>
      <c r="P884" s="25"/>
      <c r="Q884" s="25"/>
    </row>
    <row r="885" spans="1:17" s="20" customFormat="1" x14ac:dyDescent="0.25">
      <c r="A885" s="9"/>
      <c r="B885" s="28"/>
      <c r="C885" s="28"/>
      <c r="D885" s="28"/>
      <c r="E885" s="28"/>
      <c r="F885" s="31"/>
      <c r="G885" s="21"/>
      <c r="H885" s="22"/>
      <c r="I885" s="23"/>
      <c r="J885" s="24"/>
      <c r="K885" s="25"/>
      <c r="L885" s="23"/>
      <c r="M885" s="23"/>
      <c r="N885" s="24"/>
      <c r="O885" s="24"/>
      <c r="P885" s="25"/>
      <c r="Q885" s="25"/>
    </row>
    <row r="886" spans="1:17" s="20" customFormat="1" x14ac:dyDescent="0.25">
      <c r="A886" s="9"/>
      <c r="B886" s="28"/>
      <c r="C886" s="28"/>
      <c r="D886" s="28"/>
      <c r="E886" s="28"/>
      <c r="F886" s="31"/>
      <c r="G886" s="21"/>
      <c r="H886" s="22"/>
      <c r="I886" s="23"/>
      <c r="J886" s="24"/>
      <c r="K886" s="25"/>
      <c r="L886" s="23"/>
      <c r="M886" s="23"/>
      <c r="N886" s="24"/>
      <c r="O886" s="24"/>
      <c r="P886" s="25"/>
      <c r="Q886" s="25"/>
    </row>
    <row r="887" spans="1:17" s="20" customFormat="1" x14ac:dyDescent="0.25">
      <c r="A887" s="9"/>
      <c r="B887" s="28"/>
      <c r="C887" s="28"/>
      <c r="D887" s="28"/>
      <c r="E887" s="28"/>
      <c r="F887" s="31"/>
      <c r="G887" s="21"/>
      <c r="H887" s="22"/>
      <c r="I887" s="23"/>
      <c r="J887" s="24"/>
      <c r="K887" s="25"/>
      <c r="L887" s="23"/>
      <c r="M887" s="23"/>
      <c r="N887" s="24"/>
      <c r="O887" s="24"/>
      <c r="P887" s="25"/>
      <c r="Q887" s="25"/>
    </row>
    <row r="888" spans="1:17" s="20" customFormat="1" x14ac:dyDescent="0.25">
      <c r="A888" s="9"/>
      <c r="B888" s="28"/>
      <c r="C888" s="28"/>
      <c r="D888" s="28"/>
      <c r="E888" s="28"/>
      <c r="F888" s="31"/>
      <c r="G888" s="21"/>
      <c r="H888" s="22"/>
      <c r="I888" s="23"/>
      <c r="J888" s="24"/>
      <c r="K888" s="25"/>
      <c r="L888" s="23"/>
      <c r="M888" s="23"/>
      <c r="N888" s="24"/>
      <c r="O888" s="24"/>
      <c r="P888" s="25"/>
      <c r="Q888" s="25"/>
    </row>
    <row r="889" spans="1:17" s="20" customFormat="1" x14ac:dyDescent="0.25">
      <c r="A889" s="9"/>
      <c r="B889" s="28"/>
      <c r="C889" s="28"/>
      <c r="D889" s="28"/>
      <c r="E889" s="28"/>
      <c r="F889" s="31"/>
      <c r="G889" s="21"/>
      <c r="H889" s="22"/>
      <c r="I889" s="23"/>
      <c r="J889" s="24"/>
      <c r="K889" s="25"/>
      <c r="L889" s="23"/>
      <c r="M889" s="23"/>
      <c r="N889" s="24"/>
      <c r="O889" s="24"/>
      <c r="P889" s="25"/>
      <c r="Q889" s="25"/>
    </row>
    <row r="890" spans="1:17" s="20" customFormat="1" x14ac:dyDescent="0.25">
      <c r="A890" s="9"/>
      <c r="B890" s="28"/>
      <c r="C890" s="28"/>
      <c r="D890" s="28"/>
      <c r="E890" s="28"/>
      <c r="F890" s="31"/>
      <c r="G890" s="21"/>
      <c r="H890" s="22"/>
      <c r="I890" s="23"/>
      <c r="J890" s="24"/>
      <c r="K890" s="25"/>
      <c r="L890" s="23"/>
      <c r="M890" s="23"/>
      <c r="N890" s="24"/>
      <c r="O890" s="24"/>
      <c r="P890" s="25"/>
      <c r="Q890" s="25"/>
    </row>
    <row r="891" spans="1:17" s="20" customFormat="1" x14ac:dyDescent="0.25">
      <c r="A891" s="9"/>
      <c r="B891" s="28"/>
      <c r="C891" s="28"/>
      <c r="D891" s="28"/>
      <c r="E891" s="28"/>
      <c r="F891" s="31"/>
      <c r="G891" s="21"/>
      <c r="H891" s="22"/>
      <c r="I891" s="23"/>
      <c r="J891" s="24"/>
      <c r="K891" s="25"/>
      <c r="L891" s="23"/>
      <c r="M891" s="23"/>
      <c r="N891" s="24"/>
      <c r="O891" s="24"/>
      <c r="P891" s="25"/>
      <c r="Q891" s="25"/>
    </row>
    <row r="892" spans="1:17" s="20" customFormat="1" x14ac:dyDescent="0.25">
      <c r="A892" s="9"/>
      <c r="B892" s="28"/>
      <c r="C892" s="28"/>
      <c r="D892" s="28"/>
      <c r="E892" s="28"/>
      <c r="F892" s="31"/>
      <c r="G892" s="21"/>
      <c r="H892" s="22"/>
      <c r="I892" s="23"/>
      <c r="J892" s="24"/>
      <c r="K892" s="25"/>
      <c r="L892" s="23"/>
      <c r="M892" s="23"/>
      <c r="N892" s="24"/>
      <c r="O892" s="24"/>
      <c r="P892" s="25"/>
      <c r="Q892" s="25"/>
    </row>
    <row r="893" spans="1:17" s="20" customFormat="1" x14ac:dyDescent="0.25">
      <c r="A893" s="9"/>
      <c r="B893" s="28"/>
      <c r="C893" s="28"/>
      <c r="D893" s="28"/>
      <c r="E893" s="28"/>
      <c r="F893" s="31"/>
      <c r="G893" s="21"/>
      <c r="H893" s="22"/>
      <c r="I893" s="23"/>
      <c r="J893" s="24"/>
      <c r="K893" s="25"/>
      <c r="L893" s="23"/>
      <c r="M893" s="23"/>
      <c r="N893" s="24"/>
      <c r="O893" s="24"/>
      <c r="P893" s="25"/>
      <c r="Q893" s="25"/>
    </row>
    <row r="894" spans="1:17" s="20" customFormat="1" x14ac:dyDescent="0.25">
      <c r="A894" s="9"/>
      <c r="B894" s="28"/>
      <c r="C894" s="28"/>
      <c r="D894" s="28"/>
      <c r="E894" s="28"/>
      <c r="F894" s="31"/>
      <c r="G894" s="21"/>
      <c r="H894" s="22"/>
      <c r="I894" s="23"/>
      <c r="J894" s="24"/>
      <c r="K894" s="25"/>
      <c r="L894" s="23"/>
      <c r="M894" s="23"/>
      <c r="N894" s="24"/>
      <c r="O894" s="24"/>
      <c r="P894" s="25"/>
      <c r="Q894" s="25"/>
    </row>
    <row r="895" spans="1:17" s="20" customFormat="1" x14ac:dyDescent="0.25">
      <c r="A895" s="9"/>
      <c r="B895" s="28"/>
      <c r="C895" s="28"/>
      <c r="D895" s="28"/>
      <c r="E895" s="28"/>
      <c r="F895" s="31"/>
      <c r="G895" s="21"/>
      <c r="H895" s="22"/>
      <c r="I895" s="23"/>
      <c r="J895" s="24"/>
      <c r="K895" s="25"/>
      <c r="L895" s="23"/>
      <c r="M895" s="23"/>
      <c r="N895" s="24"/>
      <c r="O895" s="24"/>
      <c r="P895" s="25"/>
      <c r="Q895" s="25"/>
    </row>
    <row r="896" spans="1:17" s="20" customFormat="1" x14ac:dyDescent="0.25">
      <c r="A896" s="9"/>
      <c r="B896" s="28"/>
      <c r="C896" s="28"/>
      <c r="D896" s="28"/>
      <c r="E896" s="28"/>
      <c r="F896" s="31"/>
      <c r="G896" s="21"/>
      <c r="H896" s="22"/>
      <c r="I896" s="23"/>
      <c r="J896" s="24"/>
      <c r="K896" s="25"/>
      <c r="L896" s="23"/>
      <c r="M896" s="23"/>
      <c r="N896" s="24"/>
      <c r="O896" s="24"/>
      <c r="P896" s="25"/>
      <c r="Q896" s="25"/>
    </row>
    <row r="897" spans="1:17" s="20" customFormat="1" x14ac:dyDescent="0.25">
      <c r="A897" s="9"/>
      <c r="B897" s="28"/>
      <c r="C897" s="28"/>
      <c r="D897" s="28"/>
      <c r="E897" s="28"/>
      <c r="F897" s="31"/>
      <c r="G897" s="21"/>
      <c r="H897" s="22"/>
      <c r="I897" s="23"/>
      <c r="J897" s="24"/>
      <c r="K897" s="25"/>
      <c r="L897" s="23"/>
      <c r="M897" s="23"/>
      <c r="N897" s="24"/>
      <c r="O897" s="24"/>
      <c r="P897" s="25"/>
      <c r="Q897" s="25"/>
    </row>
    <row r="898" spans="1:17" s="20" customFormat="1" x14ac:dyDescent="0.25">
      <c r="A898" s="9"/>
      <c r="B898" s="28"/>
      <c r="C898" s="28"/>
      <c r="D898" s="28"/>
      <c r="E898" s="28"/>
      <c r="F898" s="31"/>
      <c r="G898" s="21"/>
      <c r="H898" s="22"/>
      <c r="I898" s="23"/>
      <c r="J898" s="24"/>
      <c r="K898" s="25"/>
      <c r="L898" s="23"/>
      <c r="M898" s="23"/>
      <c r="N898" s="24"/>
      <c r="O898" s="24"/>
      <c r="P898" s="25"/>
      <c r="Q898" s="25"/>
    </row>
    <row r="899" spans="1:17" s="20" customFormat="1" x14ac:dyDescent="0.25">
      <c r="A899" s="9"/>
      <c r="B899" s="28"/>
      <c r="C899" s="28"/>
      <c r="D899" s="28"/>
      <c r="E899" s="28"/>
      <c r="F899" s="31"/>
      <c r="G899" s="21"/>
      <c r="H899" s="22"/>
      <c r="I899" s="23"/>
      <c r="J899" s="24"/>
      <c r="K899" s="25"/>
      <c r="L899" s="23"/>
      <c r="M899" s="23"/>
      <c r="N899" s="24"/>
      <c r="O899" s="24"/>
      <c r="P899" s="25"/>
      <c r="Q899" s="25"/>
    </row>
    <row r="900" spans="1:17" s="20" customFormat="1" x14ac:dyDescent="0.25">
      <c r="A900" s="9"/>
      <c r="B900" s="28"/>
      <c r="C900" s="28"/>
      <c r="D900" s="28"/>
      <c r="E900" s="28"/>
      <c r="F900" s="31"/>
      <c r="G900" s="21"/>
      <c r="H900" s="22"/>
      <c r="I900" s="23"/>
      <c r="J900" s="24"/>
      <c r="K900" s="25"/>
      <c r="L900" s="23"/>
      <c r="M900" s="23"/>
      <c r="N900" s="24"/>
      <c r="O900" s="24"/>
      <c r="P900" s="25"/>
      <c r="Q900" s="25"/>
    </row>
    <row r="901" spans="1:17" s="20" customFormat="1" x14ac:dyDescent="0.25">
      <c r="A901" s="9"/>
      <c r="B901" s="28"/>
      <c r="C901" s="28"/>
      <c r="D901" s="28"/>
      <c r="E901" s="28"/>
      <c r="F901" s="31"/>
      <c r="G901" s="21"/>
      <c r="H901" s="22"/>
      <c r="I901" s="23"/>
      <c r="J901" s="24"/>
      <c r="K901" s="25"/>
      <c r="L901" s="23"/>
      <c r="M901" s="23"/>
      <c r="N901" s="24"/>
      <c r="O901" s="24"/>
      <c r="P901" s="25"/>
      <c r="Q901" s="25"/>
    </row>
    <row r="902" spans="1:17" s="20" customFormat="1" x14ac:dyDescent="0.25">
      <c r="A902" s="9"/>
      <c r="B902" s="28"/>
      <c r="C902" s="28"/>
      <c r="D902" s="28"/>
      <c r="E902" s="28"/>
      <c r="F902" s="31"/>
      <c r="G902" s="21"/>
      <c r="H902" s="22"/>
      <c r="I902" s="23"/>
      <c r="J902" s="24"/>
      <c r="K902" s="25"/>
      <c r="L902" s="23"/>
      <c r="M902" s="23"/>
      <c r="N902" s="24"/>
      <c r="O902" s="24"/>
      <c r="P902" s="25"/>
      <c r="Q902" s="25"/>
    </row>
    <row r="903" spans="1:17" s="20" customFormat="1" x14ac:dyDescent="0.25">
      <c r="A903" s="9"/>
      <c r="B903" s="28"/>
      <c r="C903" s="28"/>
      <c r="D903" s="28"/>
      <c r="E903" s="28"/>
      <c r="F903" s="31"/>
      <c r="G903" s="21"/>
      <c r="H903" s="22"/>
      <c r="I903" s="23"/>
      <c r="J903" s="24"/>
      <c r="K903" s="25"/>
      <c r="L903" s="23"/>
      <c r="M903" s="23"/>
      <c r="N903" s="24"/>
      <c r="O903" s="24"/>
      <c r="P903" s="25"/>
      <c r="Q903" s="25"/>
    </row>
    <row r="904" spans="1:17" s="20" customFormat="1" x14ac:dyDescent="0.25">
      <c r="A904" s="9"/>
      <c r="B904" s="28"/>
      <c r="C904" s="28"/>
      <c r="D904" s="28"/>
      <c r="E904" s="28"/>
      <c r="F904" s="31"/>
      <c r="G904" s="21"/>
      <c r="H904" s="22"/>
      <c r="I904" s="23"/>
      <c r="J904" s="24"/>
      <c r="K904" s="25"/>
      <c r="L904" s="23"/>
      <c r="M904" s="23"/>
      <c r="N904" s="24"/>
      <c r="O904" s="24"/>
      <c r="P904" s="25"/>
      <c r="Q904" s="25"/>
    </row>
    <row r="905" spans="1:17" s="20" customFormat="1" x14ac:dyDescent="0.25">
      <c r="A905" s="9"/>
      <c r="B905" s="28"/>
      <c r="C905" s="28"/>
      <c r="D905" s="28"/>
      <c r="E905" s="28"/>
      <c r="F905" s="31"/>
      <c r="G905" s="21"/>
      <c r="H905" s="22"/>
      <c r="I905" s="23"/>
      <c r="J905" s="24"/>
      <c r="K905" s="25"/>
      <c r="L905" s="23"/>
      <c r="M905" s="23"/>
      <c r="N905" s="24"/>
      <c r="O905" s="24"/>
      <c r="P905" s="25"/>
      <c r="Q905" s="25"/>
    </row>
    <row r="906" spans="1:17" s="20" customFormat="1" x14ac:dyDescent="0.25">
      <c r="A906" s="9"/>
      <c r="B906" s="28"/>
      <c r="C906" s="28"/>
      <c r="D906" s="28"/>
      <c r="E906" s="28"/>
      <c r="F906" s="31"/>
      <c r="G906" s="21"/>
      <c r="H906" s="22"/>
      <c r="I906" s="23"/>
      <c r="J906" s="24"/>
      <c r="K906" s="25"/>
      <c r="L906" s="23"/>
      <c r="M906" s="23"/>
      <c r="N906" s="24"/>
      <c r="O906" s="24"/>
      <c r="P906" s="25"/>
      <c r="Q906" s="25"/>
    </row>
    <row r="907" spans="1:17" s="20" customFormat="1" x14ac:dyDescent="0.25">
      <c r="A907" s="9"/>
      <c r="B907" s="28"/>
      <c r="C907" s="28"/>
      <c r="D907" s="28"/>
      <c r="E907" s="28"/>
      <c r="F907" s="31"/>
      <c r="G907" s="21"/>
      <c r="H907" s="22"/>
      <c r="I907" s="23"/>
      <c r="J907" s="24"/>
      <c r="K907" s="25"/>
      <c r="L907" s="23"/>
      <c r="M907" s="23"/>
      <c r="N907" s="24"/>
      <c r="O907" s="24"/>
      <c r="P907" s="25"/>
      <c r="Q907" s="25"/>
    </row>
    <row r="908" spans="1:17" s="20" customFormat="1" x14ac:dyDescent="0.25">
      <c r="A908" s="9"/>
      <c r="B908" s="28"/>
      <c r="C908" s="28"/>
      <c r="D908" s="28"/>
      <c r="E908" s="28"/>
      <c r="F908" s="31"/>
      <c r="G908" s="21"/>
      <c r="H908" s="22"/>
      <c r="I908" s="23"/>
      <c r="J908" s="24"/>
      <c r="K908" s="25"/>
      <c r="L908" s="23"/>
      <c r="M908" s="23"/>
      <c r="N908" s="24"/>
      <c r="O908" s="24"/>
      <c r="P908" s="25"/>
      <c r="Q908" s="25"/>
    </row>
    <row r="909" spans="1:17" s="20" customFormat="1" x14ac:dyDescent="0.25">
      <c r="A909" s="9"/>
      <c r="B909" s="28"/>
      <c r="C909" s="28"/>
      <c r="D909" s="28"/>
      <c r="E909" s="28"/>
      <c r="F909" s="31"/>
      <c r="G909" s="21"/>
      <c r="H909" s="22"/>
      <c r="I909" s="23"/>
      <c r="J909" s="24"/>
      <c r="K909" s="25"/>
      <c r="L909" s="23"/>
      <c r="M909" s="23"/>
      <c r="N909" s="24"/>
      <c r="O909" s="24"/>
      <c r="P909" s="25"/>
      <c r="Q909" s="25"/>
    </row>
    <row r="910" spans="1:17" s="20" customFormat="1" x14ac:dyDescent="0.25">
      <c r="A910" s="9"/>
      <c r="B910" s="28"/>
      <c r="C910" s="28"/>
      <c r="D910" s="28"/>
      <c r="E910" s="28"/>
      <c r="F910" s="31"/>
      <c r="G910" s="21"/>
      <c r="H910" s="22"/>
      <c r="I910" s="23"/>
      <c r="J910" s="24"/>
      <c r="K910" s="25"/>
      <c r="L910" s="23"/>
      <c r="M910" s="23"/>
      <c r="N910" s="24"/>
      <c r="O910" s="24"/>
      <c r="P910" s="25"/>
      <c r="Q910" s="25"/>
    </row>
    <row r="911" spans="1:17" s="20" customFormat="1" x14ac:dyDescent="0.25">
      <c r="A911" s="9"/>
      <c r="B911" s="28"/>
      <c r="C911" s="28"/>
      <c r="D911" s="28"/>
      <c r="E911" s="28"/>
      <c r="F911" s="31"/>
      <c r="G911" s="21"/>
      <c r="H911" s="22"/>
      <c r="I911" s="23"/>
      <c r="J911" s="24"/>
      <c r="K911" s="25"/>
      <c r="L911" s="23"/>
      <c r="M911" s="23"/>
      <c r="N911" s="24"/>
      <c r="O911" s="24"/>
      <c r="P911" s="25"/>
      <c r="Q911" s="25"/>
    </row>
    <row r="912" spans="1:17" s="20" customFormat="1" x14ac:dyDescent="0.25">
      <c r="A912" s="9"/>
      <c r="B912" s="28"/>
      <c r="C912" s="28"/>
      <c r="D912" s="28"/>
      <c r="E912" s="28"/>
      <c r="F912" s="31"/>
      <c r="G912" s="21"/>
      <c r="H912" s="22"/>
      <c r="I912" s="23"/>
      <c r="J912" s="24"/>
      <c r="K912" s="25"/>
      <c r="L912" s="23"/>
      <c r="M912" s="23"/>
      <c r="N912" s="24"/>
      <c r="O912" s="24"/>
      <c r="P912" s="25"/>
      <c r="Q912" s="25"/>
    </row>
    <row r="913" spans="1:17" s="20" customFormat="1" x14ac:dyDescent="0.25">
      <c r="A913" s="9"/>
      <c r="B913" s="28"/>
      <c r="C913" s="28"/>
      <c r="D913" s="28"/>
      <c r="E913" s="28"/>
      <c r="F913" s="31"/>
      <c r="G913" s="21"/>
      <c r="H913" s="22"/>
      <c r="I913" s="23"/>
      <c r="J913" s="24"/>
      <c r="K913" s="25"/>
      <c r="L913" s="23"/>
      <c r="M913" s="23"/>
      <c r="N913" s="24"/>
      <c r="O913" s="24"/>
      <c r="P913" s="25"/>
      <c r="Q913" s="25"/>
    </row>
    <row r="914" spans="1:17" s="20" customFormat="1" x14ac:dyDescent="0.25">
      <c r="A914" s="9"/>
      <c r="B914" s="28"/>
      <c r="C914" s="28"/>
      <c r="D914" s="28"/>
      <c r="E914" s="28"/>
      <c r="F914" s="31"/>
      <c r="G914" s="21"/>
      <c r="H914" s="22"/>
      <c r="I914" s="23"/>
      <c r="J914" s="24"/>
      <c r="K914" s="25"/>
      <c r="L914" s="23"/>
      <c r="M914" s="23"/>
      <c r="N914" s="24"/>
      <c r="O914" s="24"/>
      <c r="P914" s="25"/>
      <c r="Q914" s="25"/>
    </row>
    <row r="915" spans="1:17" s="20" customFormat="1" x14ac:dyDescent="0.25">
      <c r="A915" s="9"/>
      <c r="B915" s="28"/>
      <c r="C915" s="28"/>
      <c r="D915" s="28"/>
      <c r="E915" s="28"/>
      <c r="F915" s="31"/>
      <c r="G915" s="21"/>
      <c r="H915" s="22"/>
      <c r="I915" s="23"/>
      <c r="J915" s="24"/>
      <c r="K915" s="25"/>
      <c r="L915" s="23"/>
      <c r="M915" s="23"/>
      <c r="N915" s="24"/>
      <c r="O915" s="24"/>
      <c r="P915" s="25"/>
      <c r="Q915" s="25"/>
    </row>
    <row r="916" spans="1:17" s="20" customFormat="1" x14ac:dyDescent="0.25">
      <c r="A916" s="9"/>
      <c r="B916" s="28"/>
      <c r="C916" s="28"/>
      <c r="D916" s="28"/>
      <c r="E916" s="28"/>
      <c r="F916" s="31"/>
      <c r="G916" s="21"/>
      <c r="H916" s="22"/>
      <c r="I916" s="23"/>
      <c r="J916" s="24"/>
      <c r="K916" s="25"/>
      <c r="L916" s="23"/>
      <c r="M916" s="23"/>
      <c r="N916" s="24"/>
      <c r="O916" s="24"/>
      <c r="P916" s="25"/>
      <c r="Q916" s="25"/>
    </row>
    <row r="917" spans="1:17" s="20" customFormat="1" x14ac:dyDescent="0.25">
      <c r="A917" s="9"/>
      <c r="B917" s="28"/>
      <c r="C917" s="28"/>
      <c r="D917" s="28"/>
      <c r="E917" s="28"/>
      <c r="F917" s="31"/>
      <c r="G917" s="21"/>
      <c r="H917" s="22"/>
      <c r="I917" s="23"/>
      <c r="J917" s="24"/>
      <c r="K917" s="25"/>
      <c r="L917" s="23"/>
      <c r="M917" s="23"/>
      <c r="N917" s="24"/>
      <c r="O917" s="24"/>
      <c r="P917" s="25"/>
      <c r="Q917" s="25"/>
    </row>
    <row r="918" spans="1:17" s="20" customFormat="1" x14ac:dyDescent="0.25">
      <c r="A918" s="9"/>
      <c r="B918" s="28"/>
      <c r="C918" s="28"/>
      <c r="D918" s="28"/>
      <c r="E918" s="28"/>
      <c r="F918" s="31"/>
      <c r="G918" s="21"/>
      <c r="H918" s="22"/>
      <c r="I918" s="23"/>
      <c r="J918" s="24"/>
      <c r="K918" s="25"/>
      <c r="L918" s="23"/>
      <c r="M918" s="23"/>
      <c r="N918" s="24"/>
      <c r="O918" s="24"/>
      <c r="P918" s="25"/>
      <c r="Q918" s="25"/>
    </row>
    <row r="919" spans="1:17" s="20" customFormat="1" x14ac:dyDescent="0.25">
      <c r="A919" s="9"/>
      <c r="B919" s="28"/>
      <c r="C919" s="28"/>
      <c r="D919" s="28"/>
      <c r="E919" s="28"/>
      <c r="F919" s="31"/>
      <c r="G919" s="21"/>
      <c r="H919" s="22"/>
      <c r="I919" s="23"/>
      <c r="J919" s="24"/>
      <c r="K919" s="25"/>
      <c r="L919" s="23"/>
      <c r="M919" s="23"/>
      <c r="N919" s="24"/>
      <c r="O919" s="24"/>
      <c r="P919" s="25"/>
      <c r="Q919" s="25"/>
    </row>
    <row r="920" spans="1:17" s="20" customFormat="1" x14ac:dyDescent="0.25">
      <c r="A920" s="9"/>
      <c r="B920" s="28"/>
      <c r="C920" s="28"/>
      <c r="D920" s="28"/>
      <c r="E920" s="28"/>
      <c r="F920" s="31"/>
      <c r="G920" s="21"/>
      <c r="H920" s="22"/>
      <c r="I920" s="23"/>
      <c r="J920" s="24"/>
      <c r="K920" s="25"/>
      <c r="L920" s="23"/>
      <c r="M920" s="23"/>
      <c r="N920" s="24"/>
      <c r="O920" s="24"/>
      <c r="P920" s="25"/>
      <c r="Q920" s="25"/>
    </row>
    <row r="921" spans="1:17" s="20" customFormat="1" x14ac:dyDescent="0.25">
      <c r="A921" s="9"/>
      <c r="B921" s="28"/>
      <c r="C921" s="28"/>
      <c r="D921" s="28"/>
      <c r="E921" s="28"/>
      <c r="F921" s="31"/>
      <c r="G921" s="21"/>
      <c r="H921" s="22"/>
      <c r="I921" s="23"/>
      <c r="J921" s="24"/>
      <c r="K921" s="25"/>
      <c r="L921" s="23"/>
      <c r="M921" s="23"/>
      <c r="N921" s="24"/>
      <c r="O921" s="24"/>
      <c r="P921" s="25"/>
      <c r="Q921" s="25"/>
    </row>
    <row r="922" spans="1:17" s="20" customFormat="1" x14ac:dyDescent="0.25">
      <c r="A922" s="9"/>
      <c r="B922" s="28"/>
      <c r="C922" s="28"/>
      <c r="D922" s="28"/>
      <c r="E922" s="28"/>
      <c r="F922" s="31"/>
      <c r="G922" s="21"/>
      <c r="H922" s="22"/>
      <c r="I922" s="23"/>
      <c r="J922" s="24"/>
      <c r="K922" s="25"/>
      <c r="L922" s="23"/>
      <c r="M922" s="23"/>
      <c r="N922" s="24"/>
      <c r="O922" s="24"/>
      <c r="P922" s="25"/>
      <c r="Q922" s="25"/>
    </row>
    <row r="923" spans="1:17" s="20" customFormat="1" x14ac:dyDescent="0.25">
      <c r="A923" s="9"/>
      <c r="B923" s="28"/>
      <c r="C923" s="28"/>
      <c r="D923" s="28"/>
      <c r="E923" s="28"/>
      <c r="F923" s="31"/>
      <c r="G923" s="21"/>
      <c r="H923" s="22"/>
      <c r="I923" s="23"/>
      <c r="J923" s="24"/>
      <c r="K923" s="25"/>
      <c r="L923" s="23"/>
      <c r="M923" s="23"/>
      <c r="N923" s="24"/>
      <c r="O923" s="24"/>
      <c r="P923" s="25"/>
      <c r="Q923" s="25"/>
    </row>
    <row r="924" spans="1:17" s="20" customFormat="1" x14ac:dyDescent="0.25">
      <c r="A924" s="9"/>
      <c r="B924" s="28"/>
      <c r="C924" s="28"/>
      <c r="D924" s="28"/>
      <c r="E924" s="28"/>
      <c r="F924" s="31"/>
      <c r="G924" s="21"/>
      <c r="H924" s="22"/>
      <c r="I924" s="23"/>
      <c r="J924" s="24"/>
      <c r="K924" s="25"/>
      <c r="L924" s="23"/>
      <c r="M924" s="23"/>
      <c r="N924" s="24"/>
      <c r="O924" s="24"/>
      <c r="P924" s="25"/>
      <c r="Q924" s="25"/>
    </row>
    <row r="925" spans="1:17" s="20" customFormat="1" x14ac:dyDescent="0.25">
      <c r="A925" s="9"/>
      <c r="B925" s="28"/>
      <c r="C925" s="28"/>
      <c r="D925" s="28"/>
      <c r="E925" s="28"/>
      <c r="F925" s="31"/>
      <c r="G925" s="21"/>
      <c r="H925" s="22"/>
      <c r="I925" s="23"/>
      <c r="J925" s="24"/>
      <c r="K925" s="25"/>
      <c r="L925" s="23"/>
      <c r="M925" s="23"/>
      <c r="N925" s="24"/>
      <c r="O925" s="24"/>
      <c r="P925" s="25"/>
      <c r="Q925" s="25"/>
    </row>
    <row r="926" spans="1:17" s="20" customFormat="1" x14ac:dyDescent="0.25">
      <c r="A926" s="9"/>
      <c r="B926" s="28"/>
      <c r="C926" s="28"/>
      <c r="D926" s="28"/>
      <c r="E926" s="28"/>
      <c r="F926" s="31"/>
      <c r="G926" s="21"/>
      <c r="H926" s="22"/>
      <c r="I926" s="23"/>
      <c r="J926" s="24"/>
      <c r="K926" s="25"/>
      <c r="L926" s="23"/>
      <c r="M926" s="23"/>
      <c r="N926" s="24"/>
      <c r="O926" s="24"/>
      <c r="P926" s="25"/>
      <c r="Q926" s="25"/>
    </row>
    <row r="927" spans="1:17" s="20" customFormat="1" x14ac:dyDescent="0.25">
      <c r="A927" s="9"/>
      <c r="B927" s="28"/>
      <c r="C927" s="28"/>
      <c r="D927" s="28"/>
      <c r="E927" s="28"/>
      <c r="F927" s="31"/>
      <c r="G927" s="21"/>
      <c r="H927" s="22"/>
      <c r="I927" s="23"/>
      <c r="J927" s="24"/>
      <c r="K927" s="25"/>
      <c r="L927" s="23"/>
      <c r="M927" s="23"/>
      <c r="N927" s="24"/>
      <c r="O927" s="24"/>
      <c r="P927" s="25"/>
      <c r="Q927" s="25"/>
    </row>
    <row r="928" spans="1:17" s="20" customFormat="1" x14ac:dyDescent="0.25">
      <c r="A928" s="9"/>
      <c r="B928" s="28"/>
      <c r="C928" s="28"/>
      <c r="D928" s="28"/>
      <c r="E928" s="28"/>
      <c r="F928" s="31"/>
      <c r="G928" s="21"/>
      <c r="H928" s="22"/>
      <c r="I928" s="23"/>
      <c r="J928" s="24"/>
      <c r="K928" s="25"/>
      <c r="L928" s="23"/>
      <c r="M928" s="23"/>
      <c r="N928" s="24"/>
      <c r="O928" s="24"/>
      <c r="P928" s="25"/>
      <c r="Q928" s="25"/>
    </row>
    <row r="929" spans="1:17" s="20" customFormat="1" x14ac:dyDescent="0.25">
      <c r="A929" s="9"/>
      <c r="B929" s="28"/>
      <c r="C929" s="28"/>
      <c r="D929" s="28"/>
      <c r="E929" s="28"/>
      <c r="F929" s="31"/>
      <c r="G929" s="21"/>
      <c r="H929" s="22"/>
      <c r="I929" s="23"/>
      <c r="J929" s="24"/>
      <c r="K929" s="25"/>
      <c r="L929" s="23"/>
      <c r="M929" s="23"/>
      <c r="N929" s="24"/>
      <c r="O929" s="24"/>
      <c r="P929" s="25"/>
      <c r="Q929" s="25"/>
    </row>
    <row r="930" spans="1:17" s="20" customFormat="1" x14ac:dyDescent="0.25">
      <c r="A930" s="9"/>
      <c r="B930" s="28"/>
      <c r="C930" s="28"/>
      <c r="D930" s="28"/>
      <c r="E930" s="28"/>
      <c r="F930" s="31"/>
      <c r="G930" s="21"/>
      <c r="H930" s="22"/>
      <c r="I930" s="23"/>
      <c r="J930" s="24"/>
      <c r="K930" s="25"/>
      <c r="L930" s="23"/>
      <c r="M930" s="23"/>
      <c r="N930" s="24"/>
      <c r="O930" s="24"/>
      <c r="P930" s="25"/>
      <c r="Q930" s="25"/>
    </row>
    <row r="931" spans="1:17" s="20" customFormat="1" x14ac:dyDescent="0.25">
      <c r="A931" s="9"/>
      <c r="B931" s="28"/>
      <c r="C931" s="28"/>
      <c r="D931" s="28"/>
      <c r="E931" s="28"/>
      <c r="F931" s="31"/>
      <c r="G931" s="21"/>
      <c r="H931" s="22"/>
      <c r="I931" s="23"/>
      <c r="J931" s="24"/>
      <c r="K931" s="25"/>
      <c r="L931" s="23"/>
      <c r="M931" s="23"/>
      <c r="N931" s="24"/>
      <c r="O931" s="24"/>
      <c r="P931" s="25"/>
      <c r="Q931" s="25"/>
    </row>
    <row r="932" spans="1:17" s="20" customFormat="1" x14ac:dyDescent="0.25">
      <c r="A932" s="9"/>
      <c r="B932" s="28"/>
      <c r="C932" s="28"/>
      <c r="D932" s="28"/>
      <c r="E932" s="28"/>
      <c r="F932" s="31"/>
      <c r="G932" s="21"/>
      <c r="H932" s="22"/>
      <c r="I932" s="23"/>
      <c r="J932" s="24"/>
      <c r="K932" s="25"/>
      <c r="L932" s="23"/>
      <c r="M932" s="23"/>
      <c r="N932" s="24"/>
      <c r="O932" s="24"/>
      <c r="P932" s="25"/>
      <c r="Q932" s="25"/>
    </row>
    <row r="933" spans="1:17" s="20" customFormat="1" x14ac:dyDescent="0.25">
      <c r="A933" s="9"/>
      <c r="B933" s="28"/>
      <c r="C933" s="28"/>
      <c r="D933" s="28"/>
      <c r="E933" s="28"/>
      <c r="F933" s="31"/>
      <c r="G933" s="21"/>
      <c r="H933" s="22"/>
      <c r="I933" s="23"/>
      <c r="J933" s="24"/>
      <c r="K933" s="25"/>
      <c r="L933" s="23"/>
      <c r="M933" s="23"/>
      <c r="N933" s="24"/>
      <c r="O933" s="24"/>
      <c r="P933" s="25"/>
      <c r="Q933" s="25"/>
    </row>
    <row r="934" spans="1:17" s="20" customFormat="1" x14ac:dyDescent="0.25">
      <c r="A934" s="9"/>
      <c r="B934" s="28"/>
      <c r="C934" s="28"/>
      <c r="D934" s="28"/>
      <c r="E934" s="28"/>
      <c r="F934" s="31"/>
      <c r="G934" s="21"/>
      <c r="H934" s="22"/>
      <c r="I934" s="23"/>
      <c r="J934" s="24"/>
      <c r="K934" s="25"/>
      <c r="L934" s="23"/>
      <c r="M934" s="23"/>
      <c r="N934" s="24"/>
      <c r="O934" s="24"/>
      <c r="P934" s="25"/>
      <c r="Q934" s="25"/>
    </row>
    <row r="935" spans="1:17" s="20" customFormat="1" x14ac:dyDescent="0.25">
      <c r="A935" s="9"/>
      <c r="B935" s="28"/>
      <c r="C935" s="28"/>
      <c r="D935" s="28"/>
      <c r="E935" s="28"/>
      <c r="F935" s="31"/>
      <c r="G935" s="21"/>
      <c r="H935" s="22"/>
      <c r="I935" s="23"/>
      <c r="J935" s="24"/>
      <c r="K935" s="25"/>
      <c r="L935" s="23"/>
      <c r="M935" s="23"/>
      <c r="N935" s="24"/>
      <c r="O935" s="24"/>
      <c r="P935" s="25"/>
      <c r="Q935" s="25"/>
    </row>
    <row r="936" spans="1:17" s="20" customFormat="1" x14ac:dyDescent="0.25">
      <c r="A936" s="9"/>
      <c r="B936" s="28"/>
      <c r="C936" s="28"/>
      <c r="D936" s="28"/>
      <c r="E936" s="28"/>
      <c r="F936" s="31"/>
      <c r="G936" s="21"/>
      <c r="H936" s="22"/>
      <c r="I936" s="23"/>
      <c r="J936" s="24"/>
      <c r="K936" s="25"/>
      <c r="L936" s="23"/>
      <c r="M936" s="23"/>
      <c r="N936" s="24"/>
      <c r="O936" s="24"/>
      <c r="P936" s="25"/>
      <c r="Q936" s="25"/>
    </row>
    <row r="937" spans="1:17" s="20" customFormat="1" x14ac:dyDescent="0.25">
      <c r="A937" s="9"/>
      <c r="B937" s="28"/>
      <c r="C937" s="28"/>
      <c r="D937" s="28"/>
      <c r="E937" s="28"/>
      <c r="F937" s="31"/>
      <c r="G937" s="21"/>
      <c r="H937" s="22"/>
      <c r="I937" s="23"/>
      <c r="J937" s="24"/>
      <c r="K937" s="25"/>
      <c r="L937" s="23"/>
      <c r="M937" s="23"/>
      <c r="N937" s="24"/>
      <c r="O937" s="24"/>
      <c r="P937" s="25"/>
      <c r="Q937" s="25"/>
    </row>
    <row r="938" spans="1:17" s="20" customFormat="1" x14ac:dyDescent="0.25">
      <c r="A938" s="9"/>
      <c r="B938" s="28"/>
      <c r="C938" s="28"/>
      <c r="D938" s="28"/>
      <c r="E938" s="28"/>
      <c r="F938" s="31"/>
      <c r="G938" s="21"/>
      <c r="H938" s="22"/>
      <c r="I938" s="23"/>
      <c r="J938" s="24"/>
      <c r="K938" s="25"/>
      <c r="L938" s="23"/>
      <c r="M938" s="23"/>
      <c r="N938" s="24"/>
      <c r="O938" s="24"/>
      <c r="P938" s="25"/>
      <c r="Q938" s="25"/>
    </row>
    <row r="939" spans="1:17" s="20" customFormat="1" x14ac:dyDescent="0.25">
      <c r="A939" s="9"/>
      <c r="B939" s="28"/>
      <c r="C939" s="28"/>
      <c r="D939" s="28"/>
      <c r="E939" s="28"/>
      <c r="F939" s="31"/>
      <c r="G939" s="21"/>
      <c r="H939" s="22"/>
      <c r="I939" s="23"/>
      <c r="J939" s="24"/>
      <c r="K939" s="25"/>
      <c r="L939" s="23"/>
      <c r="M939" s="23"/>
      <c r="N939" s="24"/>
      <c r="O939" s="24"/>
      <c r="P939" s="25"/>
      <c r="Q939" s="25"/>
    </row>
    <row r="940" spans="1:17" s="20" customFormat="1" x14ac:dyDescent="0.25">
      <c r="A940" s="9"/>
      <c r="B940" s="28"/>
      <c r="C940" s="28"/>
      <c r="D940" s="28"/>
      <c r="E940" s="28"/>
      <c r="F940" s="31"/>
      <c r="G940" s="21"/>
      <c r="H940" s="22"/>
      <c r="I940" s="23"/>
      <c r="J940" s="24"/>
      <c r="K940" s="25"/>
      <c r="L940" s="23"/>
      <c r="M940" s="23"/>
      <c r="N940" s="24"/>
      <c r="O940" s="24"/>
      <c r="P940" s="25"/>
      <c r="Q940" s="25"/>
    </row>
    <row r="941" spans="1:17" s="20" customFormat="1" x14ac:dyDescent="0.25">
      <c r="A941" s="9"/>
      <c r="B941" s="28"/>
      <c r="C941" s="28"/>
      <c r="D941" s="28"/>
      <c r="E941" s="28"/>
      <c r="F941" s="31"/>
      <c r="G941" s="21"/>
      <c r="H941" s="22"/>
      <c r="I941" s="23"/>
      <c r="J941" s="24"/>
      <c r="K941" s="25"/>
      <c r="L941" s="23"/>
      <c r="M941" s="23"/>
      <c r="N941" s="24"/>
      <c r="O941" s="24"/>
      <c r="P941" s="25"/>
      <c r="Q941" s="25"/>
    </row>
    <row r="942" spans="1:17" s="20" customFormat="1" x14ac:dyDescent="0.25">
      <c r="A942" s="9"/>
      <c r="B942" s="28"/>
      <c r="C942" s="28"/>
      <c r="D942" s="28"/>
      <c r="E942" s="28"/>
      <c r="F942" s="31"/>
      <c r="G942" s="21"/>
      <c r="H942" s="22"/>
      <c r="I942" s="23"/>
      <c r="J942" s="24"/>
      <c r="K942" s="25"/>
      <c r="L942" s="23"/>
      <c r="M942" s="23"/>
      <c r="N942" s="24"/>
      <c r="O942" s="24"/>
      <c r="P942" s="25"/>
      <c r="Q942" s="25"/>
    </row>
    <row r="943" spans="1:17" s="20" customFormat="1" x14ac:dyDescent="0.25">
      <c r="A943" s="9"/>
      <c r="B943" s="28"/>
      <c r="C943" s="28"/>
      <c r="D943" s="28"/>
      <c r="E943" s="28"/>
      <c r="F943" s="31"/>
      <c r="G943" s="21"/>
      <c r="H943" s="22"/>
      <c r="I943" s="23"/>
      <c r="J943" s="24"/>
      <c r="K943" s="25"/>
      <c r="L943" s="23"/>
      <c r="M943" s="23"/>
      <c r="N943" s="24"/>
      <c r="O943" s="24"/>
      <c r="P943" s="25"/>
      <c r="Q943" s="25"/>
    </row>
    <row r="944" spans="1:17" s="20" customFormat="1" x14ac:dyDescent="0.25">
      <c r="A944" s="9"/>
      <c r="B944" s="28"/>
      <c r="C944" s="28"/>
      <c r="D944" s="28"/>
      <c r="E944" s="28"/>
      <c r="F944" s="31"/>
      <c r="G944" s="21"/>
      <c r="H944" s="22"/>
      <c r="I944" s="23"/>
      <c r="J944" s="24"/>
      <c r="K944" s="25"/>
      <c r="L944" s="23"/>
      <c r="M944" s="23"/>
      <c r="N944" s="24"/>
      <c r="O944" s="24"/>
      <c r="P944" s="25"/>
      <c r="Q944" s="25"/>
    </row>
    <row r="945" spans="1:17" s="20" customFormat="1" x14ac:dyDescent="0.25">
      <c r="A945" s="9"/>
      <c r="B945" s="28"/>
      <c r="C945" s="28"/>
      <c r="D945" s="28"/>
      <c r="E945" s="28"/>
      <c r="F945" s="31"/>
      <c r="G945" s="21"/>
      <c r="H945" s="22"/>
      <c r="I945" s="23"/>
      <c r="J945" s="24"/>
      <c r="K945" s="25"/>
      <c r="L945" s="23"/>
      <c r="M945" s="23"/>
      <c r="N945" s="24"/>
      <c r="O945" s="24"/>
      <c r="P945" s="25"/>
      <c r="Q945" s="25"/>
    </row>
    <row r="946" spans="1:17" s="20" customFormat="1" x14ac:dyDescent="0.25">
      <c r="A946" s="9"/>
      <c r="B946" s="28"/>
      <c r="C946" s="28"/>
      <c r="D946" s="28"/>
      <c r="E946" s="28"/>
      <c r="F946" s="31"/>
      <c r="G946" s="21"/>
      <c r="H946" s="22"/>
      <c r="I946" s="23"/>
      <c r="J946" s="24"/>
      <c r="K946" s="25"/>
      <c r="L946" s="23"/>
      <c r="M946" s="23"/>
      <c r="N946" s="24"/>
      <c r="O946" s="24"/>
      <c r="P946" s="25"/>
      <c r="Q946" s="25"/>
    </row>
    <row r="947" spans="1:17" s="20" customFormat="1" x14ac:dyDescent="0.25">
      <c r="A947" s="9"/>
      <c r="B947" s="28"/>
      <c r="C947" s="28"/>
      <c r="D947" s="28"/>
      <c r="E947" s="28"/>
      <c r="F947" s="31"/>
      <c r="G947" s="21"/>
      <c r="H947" s="22"/>
      <c r="I947" s="23"/>
      <c r="J947" s="24"/>
      <c r="K947" s="25"/>
      <c r="L947" s="23"/>
      <c r="M947" s="23"/>
      <c r="N947" s="24"/>
      <c r="O947" s="24"/>
      <c r="P947" s="25"/>
      <c r="Q947" s="25"/>
    </row>
    <row r="948" spans="1:17" s="20" customFormat="1" x14ac:dyDescent="0.25">
      <c r="A948" s="9"/>
      <c r="B948" s="28"/>
      <c r="C948" s="28"/>
      <c r="D948" s="28"/>
      <c r="E948" s="28"/>
      <c r="F948" s="31"/>
      <c r="G948" s="21"/>
      <c r="H948" s="22"/>
      <c r="I948" s="23"/>
      <c r="J948" s="24"/>
      <c r="K948" s="25"/>
      <c r="L948" s="23"/>
      <c r="M948" s="23"/>
      <c r="N948" s="24"/>
      <c r="O948" s="24"/>
      <c r="P948" s="25"/>
      <c r="Q948" s="25"/>
    </row>
    <row r="949" spans="1:17" s="20" customFormat="1" x14ac:dyDescent="0.25">
      <c r="A949" s="9"/>
      <c r="B949" s="28"/>
      <c r="C949" s="28"/>
      <c r="D949" s="28"/>
      <c r="E949" s="28"/>
      <c r="F949" s="31"/>
      <c r="G949" s="21"/>
      <c r="H949" s="22"/>
      <c r="I949" s="23"/>
      <c r="J949" s="24"/>
      <c r="K949" s="25"/>
      <c r="L949" s="23"/>
      <c r="M949" s="23"/>
      <c r="N949" s="24"/>
      <c r="O949" s="24"/>
      <c r="P949" s="25"/>
      <c r="Q949" s="25"/>
    </row>
    <row r="950" spans="1:17" s="20" customFormat="1" x14ac:dyDescent="0.25">
      <c r="A950" s="9"/>
      <c r="B950" s="28"/>
      <c r="C950" s="28"/>
      <c r="D950" s="28"/>
      <c r="E950" s="28"/>
      <c r="F950" s="31"/>
      <c r="G950" s="21"/>
      <c r="H950" s="22"/>
      <c r="I950" s="23"/>
      <c r="J950" s="24"/>
      <c r="K950" s="25"/>
      <c r="L950" s="23"/>
      <c r="M950" s="23"/>
      <c r="N950" s="24"/>
      <c r="O950" s="24"/>
      <c r="P950" s="25"/>
      <c r="Q950" s="25"/>
    </row>
    <row r="951" spans="1:17" s="20" customFormat="1" x14ac:dyDescent="0.25">
      <c r="A951" s="9"/>
      <c r="B951" s="28"/>
      <c r="C951" s="28"/>
      <c r="D951" s="28"/>
      <c r="E951" s="28"/>
      <c r="F951" s="31"/>
      <c r="G951" s="21"/>
      <c r="H951" s="22"/>
      <c r="I951" s="23"/>
      <c r="J951" s="24"/>
      <c r="K951" s="25"/>
      <c r="L951" s="23"/>
      <c r="M951" s="23"/>
      <c r="N951" s="24"/>
      <c r="O951" s="24"/>
      <c r="P951" s="25"/>
      <c r="Q951" s="25"/>
    </row>
    <row r="952" spans="1:17" s="20" customFormat="1" x14ac:dyDescent="0.25">
      <c r="A952" s="9"/>
      <c r="B952" s="28"/>
      <c r="C952" s="28"/>
      <c r="D952" s="28"/>
      <c r="E952" s="28"/>
      <c r="F952" s="31"/>
      <c r="G952" s="21"/>
      <c r="H952" s="22"/>
      <c r="I952" s="23"/>
      <c r="J952" s="24"/>
      <c r="K952" s="25"/>
      <c r="L952" s="23"/>
      <c r="M952" s="23"/>
      <c r="N952" s="24"/>
      <c r="O952" s="24"/>
      <c r="P952" s="25"/>
      <c r="Q952" s="25"/>
    </row>
    <row r="953" spans="1:17" s="20" customFormat="1" x14ac:dyDescent="0.25">
      <c r="A953" s="9"/>
      <c r="B953" s="28"/>
      <c r="C953" s="28"/>
      <c r="D953" s="28"/>
      <c r="E953" s="28"/>
      <c r="F953" s="31"/>
      <c r="G953" s="21"/>
      <c r="H953" s="22"/>
      <c r="I953" s="23"/>
      <c r="J953" s="24"/>
      <c r="K953" s="25"/>
      <c r="L953" s="23"/>
      <c r="M953" s="23"/>
      <c r="N953" s="24"/>
      <c r="O953" s="24"/>
      <c r="P953" s="25"/>
      <c r="Q953" s="25"/>
    </row>
    <row r="954" spans="1:17" s="20" customFormat="1" x14ac:dyDescent="0.25">
      <c r="A954" s="9"/>
      <c r="B954" s="28"/>
      <c r="C954" s="28"/>
      <c r="D954" s="28"/>
      <c r="E954" s="28"/>
      <c r="F954" s="31"/>
      <c r="G954" s="21"/>
      <c r="H954" s="22"/>
      <c r="I954" s="23"/>
      <c r="J954" s="24"/>
      <c r="K954" s="25"/>
      <c r="L954" s="23"/>
      <c r="M954" s="23"/>
      <c r="N954" s="24"/>
      <c r="O954" s="24"/>
      <c r="P954" s="25"/>
      <c r="Q954" s="25"/>
    </row>
    <row r="955" spans="1:17" s="20" customFormat="1" x14ac:dyDescent="0.25">
      <c r="A955" s="9"/>
      <c r="B955" s="28"/>
      <c r="C955" s="28"/>
      <c r="D955" s="28"/>
      <c r="E955" s="28"/>
      <c r="F955" s="31"/>
      <c r="G955" s="21"/>
      <c r="H955" s="22"/>
      <c r="I955" s="23"/>
      <c r="J955" s="24"/>
      <c r="K955" s="25"/>
      <c r="L955" s="23"/>
      <c r="M955" s="23"/>
      <c r="N955" s="24"/>
      <c r="O955" s="24"/>
      <c r="P955" s="25"/>
      <c r="Q955" s="25"/>
    </row>
    <row r="956" spans="1:17" s="20" customFormat="1" x14ac:dyDescent="0.25">
      <c r="A956" s="9"/>
      <c r="B956" s="28"/>
      <c r="C956" s="28"/>
      <c r="D956" s="28"/>
      <c r="E956" s="28"/>
      <c r="F956" s="31"/>
      <c r="G956" s="21"/>
      <c r="H956" s="22"/>
      <c r="I956" s="23"/>
      <c r="J956" s="24"/>
      <c r="K956" s="25"/>
      <c r="L956" s="23"/>
      <c r="M956" s="23"/>
      <c r="N956" s="24"/>
      <c r="O956" s="24"/>
      <c r="P956" s="25"/>
      <c r="Q956" s="25"/>
    </row>
    <row r="957" spans="1:17" s="20" customFormat="1" x14ac:dyDescent="0.25">
      <c r="A957" s="9"/>
      <c r="B957" s="28"/>
      <c r="C957" s="28"/>
      <c r="D957" s="28"/>
      <c r="E957" s="28"/>
      <c r="F957" s="31"/>
      <c r="G957" s="21"/>
      <c r="H957" s="22"/>
      <c r="I957" s="23"/>
      <c r="J957" s="24"/>
      <c r="K957" s="25"/>
      <c r="L957" s="23"/>
      <c r="M957" s="23"/>
      <c r="N957" s="24"/>
      <c r="O957" s="24"/>
      <c r="P957" s="25"/>
      <c r="Q957" s="25"/>
    </row>
    <row r="958" spans="1:17" s="20" customFormat="1" x14ac:dyDescent="0.25">
      <c r="A958" s="9"/>
      <c r="B958" s="28"/>
      <c r="C958" s="28"/>
      <c r="D958" s="28"/>
      <c r="E958" s="28"/>
      <c r="F958" s="31"/>
      <c r="G958" s="21"/>
      <c r="H958" s="22"/>
      <c r="I958" s="23"/>
      <c r="J958" s="24"/>
      <c r="K958" s="25"/>
      <c r="L958" s="23"/>
      <c r="M958" s="23"/>
      <c r="N958" s="24"/>
      <c r="O958" s="24"/>
      <c r="P958" s="25"/>
      <c r="Q958" s="25"/>
    </row>
    <row r="959" spans="1:17" s="20" customFormat="1" x14ac:dyDescent="0.25">
      <c r="A959" s="9"/>
      <c r="B959" s="28"/>
      <c r="C959" s="28"/>
      <c r="D959" s="28"/>
      <c r="E959" s="28"/>
      <c r="F959" s="31"/>
      <c r="G959" s="21"/>
      <c r="H959" s="22"/>
      <c r="I959" s="23"/>
      <c r="J959" s="24"/>
      <c r="K959" s="25"/>
      <c r="L959" s="23"/>
      <c r="M959" s="23"/>
      <c r="N959" s="24"/>
      <c r="O959" s="24"/>
      <c r="P959" s="25"/>
      <c r="Q959" s="25"/>
    </row>
    <row r="960" spans="1:17" s="20" customFormat="1" x14ac:dyDescent="0.25">
      <c r="A960" s="9"/>
      <c r="B960" s="28"/>
      <c r="C960" s="28"/>
      <c r="D960" s="28"/>
      <c r="E960" s="28"/>
      <c r="F960" s="31"/>
      <c r="G960" s="21"/>
      <c r="H960" s="22"/>
      <c r="I960" s="23"/>
      <c r="J960" s="24"/>
      <c r="K960" s="25"/>
      <c r="L960" s="23"/>
      <c r="M960" s="23"/>
      <c r="N960" s="24"/>
      <c r="O960" s="24"/>
      <c r="P960" s="25"/>
      <c r="Q960" s="25"/>
    </row>
    <row r="961" spans="1:17" s="20" customFormat="1" x14ac:dyDescent="0.25">
      <c r="A961" s="9"/>
      <c r="B961" s="28"/>
      <c r="C961" s="28"/>
      <c r="D961" s="28"/>
      <c r="E961" s="28"/>
      <c r="F961" s="31"/>
      <c r="G961" s="21"/>
      <c r="H961" s="22"/>
      <c r="I961" s="23"/>
      <c r="J961" s="24"/>
      <c r="K961" s="25"/>
      <c r="L961" s="23"/>
      <c r="M961" s="23"/>
      <c r="N961" s="24"/>
      <c r="O961" s="24"/>
      <c r="P961" s="25"/>
      <c r="Q961" s="25"/>
    </row>
    <row r="962" spans="1:17" s="20" customFormat="1" x14ac:dyDescent="0.25">
      <c r="A962" s="9"/>
      <c r="B962" s="28"/>
      <c r="C962" s="28"/>
      <c r="D962" s="28"/>
      <c r="E962" s="28"/>
      <c r="F962" s="31"/>
      <c r="G962" s="21"/>
      <c r="H962" s="22"/>
      <c r="I962" s="23"/>
      <c r="J962" s="24"/>
      <c r="K962" s="25"/>
      <c r="L962" s="23"/>
      <c r="M962" s="23"/>
      <c r="N962" s="24"/>
      <c r="O962" s="24"/>
      <c r="P962" s="25"/>
      <c r="Q962" s="25"/>
    </row>
    <row r="963" spans="1:17" s="20" customFormat="1" x14ac:dyDescent="0.25">
      <c r="A963" s="9"/>
      <c r="B963" s="28"/>
      <c r="C963" s="28"/>
      <c r="D963" s="28"/>
      <c r="E963" s="28"/>
      <c r="F963" s="31"/>
      <c r="G963" s="21"/>
      <c r="H963" s="22"/>
      <c r="I963" s="23"/>
      <c r="J963" s="24"/>
      <c r="K963" s="25"/>
      <c r="L963" s="23"/>
      <c r="M963" s="23"/>
      <c r="N963" s="24"/>
      <c r="O963" s="24"/>
      <c r="P963" s="25"/>
      <c r="Q963" s="25"/>
    </row>
    <row r="964" spans="1:17" s="20" customFormat="1" x14ac:dyDescent="0.25">
      <c r="A964" s="9"/>
      <c r="B964" s="28"/>
      <c r="C964" s="28"/>
      <c r="D964" s="28"/>
      <c r="E964" s="28"/>
      <c r="F964" s="31"/>
      <c r="G964" s="21"/>
      <c r="H964" s="22"/>
      <c r="I964" s="23"/>
      <c r="J964" s="24"/>
      <c r="K964" s="25"/>
      <c r="L964" s="23"/>
      <c r="M964" s="23"/>
      <c r="N964" s="24"/>
      <c r="O964" s="24"/>
      <c r="P964" s="25"/>
      <c r="Q964" s="25"/>
    </row>
    <row r="965" spans="1:17" s="20" customFormat="1" x14ac:dyDescent="0.25">
      <c r="A965" s="9"/>
      <c r="B965" s="28"/>
      <c r="C965" s="28"/>
      <c r="D965" s="28"/>
      <c r="E965" s="28"/>
      <c r="F965" s="31"/>
      <c r="G965" s="21"/>
      <c r="H965" s="22"/>
      <c r="I965" s="23"/>
      <c r="J965" s="24"/>
      <c r="K965" s="25"/>
      <c r="L965" s="23"/>
      <c r="M965" s="23"/>
      <c r="N965" s="24"/>
      <c r="O965" s="24"/>
      <c r="P965" s="25"/>
      <c r="Q965" s="25"/>
    </row>
    <row r="966" spans="1:17" s="20" customFormat="1" x14ac:dyDescent="0.25">
      <c r="A966" s="9"/>
      <c r="B966" s="28"/>
      <c r="C966" s="28"/>
      <c r="D966" s="28"/>
      <c r="E966" s="28"/>
      <c r="F966" s="31"/>
      <c r="G966" s="21"/>
      <c r="H966" s="22"/>
      <c r="I966" s="23"/>
      <c r="J966" s="24"/>
      <c r="K966" s="25"/>
      <c r="L966" s="23"/>
      <c r="M966" s="23"/>
      <c r="N966" s="24"/>
      <c r="O966" s="24"/>
      <c r="P966" s="25"/>
      <c r="Q966" s="25"/>
    </row>
    <row r="967" spans="1:17" s="20" customFormat="1" x14ac:dyDescent="0.25">
      <c r="A967" s="9"/>
      <c r="B967" s="28"/>
      <c r="C967" s="28"/>
      <c r="D967" s="28"/>
      <c r="E967" s="28"/>
      <c r="F967" s="31"/>
      <c r="G967" s="21"/>
      <c r="H967" s="22"/>
      <c r="I967" s="23"/>
      <c r="J967" s="24"/>
      <c r="K967" s="25"/>
      <c r="L967" s="23"/>
      <c r="M967" s="23"/>
      <c r="N967" s="24"/>
      <c r="O967" s="24"/>
      <c r="P967" s="25"/>
      <c r="Q967" s="25"/>
    </row>
    <row r="968" spans="1:17" s="20" customFormat="1" x14ac:dyDescent="0.25">
      <c r="A968" s="9"/>
      <c r="B968" s="28"/>
      <c r="C968" s="28"/>
      <c r="D968" s="28"/>
      <c r="E968" s="28"/>
      <c r="F968" s="31"/>
      <c r="G968" s="21"/>
      <c r="H968" s="22"/>
      <c r="I968" s="23"/>
      <c r="J968" s="24"/>
      <c r="K968" s="25"/>
      <c r="L968" s="23"/>
      <c r="M968" s="23"/>
      <c r="N968" s="24"/>
      <c r="O968" s="24"/>
      <c r="P968" s="25"/>
      <c r="Q968" s="25"/>
    </row>
    <row r="969" spans="1:17" s="20" customFormat="1" x14ac:dyDescent="0.25">
      <c r="A969" s="9"/>
      <c r="B969" s="28"/>
      <c r="C969" s="28"/>
      <c r="D969" s="28"/>
      <c r="E969" s="28"/>
      <c r="F969" s="31"/>
      <c r="G969" s="21"/>
      <c r="H969" s="22"/>
      <c r="I969" s="23"/>
      <c r="J969" s="24"/>
      <c r="K969" s="25"/>
      <c r="L969" s="23"/>
      <c r="M969" s="23"/>
      <c r="N969" s="24"/>
      <c r="O969" s="24"/>
      <c r="P969" s="25"/>
      <c r="Q969" s="25"/>
    </row>
    <row r="970" spans="1:17" s="20" customFormat="1" x14ac:dyDescent="0.25">
      <c r="A970" s="9"/>
      <c r="B970" s="28"/>
      <c r="C970" s="28"/>
      <c r="D970" s="28"/>
      <c r="E970" s="28"/>
      <c r="F970" s="31"/>
      <c r="G970" s="21"/>
      <c r="H970" s="22"/>
      <c r="I970" s="23"/>
      <c r="J970" s="24"/>
      <c r="K970" s="25"/>
      <c r="L970" s="23"/>
      <c r="M970" s="23"/>
      <c r="N970" s="24"/>
      <c r="O970" s="24"/>
      <c r="P970" s="25"/>
      <c r="Q970" s="25"/>
    </row>
    <row r="971" spans="1:17" s="20" customFormat="1" x14ac:dyDescent="0.25">
      <c r="A971" s="9"/>
      <c r="B971" s="28"/>
      <c r="C971" s="28"/>
      <c r="D971" s="28"/>
      <c r="E971" s="28"/>
      <c r="F971" s="31"/>
      <c r="G971" s="21"/>
      <c r="H971" s="22"/>
      <c r="I971" s="23"/>
      <c r="J971" s="24"/>
      <c r="K971" s="25"/>
      <c r="L971" s="23"/>
      <c r="M971" s="23"/>
      <c r="N971" s="24"/>
      <c r="O971" s="24"/>
      <c r="P971" s="25"/>
      <c r="Q971" s="25"/>
    </row>
    <row r="972" spans="1:17" s="20" customFormat="1" x14ac:dyDescent="0.25">
      <c r="A972" s="9"/>
      <c r="B972" s="28"/>
      <c r="C972" s="28"/>
      <c r="D972" s="28"/>
      <c r="E972" s="28"/>
      <c r="F972" s="31"/>
      <c r="G972" s="21"/>
      <c r="H972" s="22"/>
      <c r="I972" s="23"/>
      <c r="J972" s="24"/>
      <c r="K972" s="25"/>
      <c r="L972" s="23"/>
      <c r="M972" s="23"/>
      <c r="N972" s="24"/>
      <c r="O972" s="24"/>
      <c r="P972" s="25"/>
      <c r="Q972" s="25"/>
    </row>
    <row r="973" spans="1:17" s="20" customFormat="1" x14ac:dyDescent="0.25">
      <c r="A973" s="9"/>
      <c r="B973" s="28"/>
      <c r="C973" s="28"/>
      <c r="D973" s="28"/>
      <c r="E973" s="28"/>
      <c r="F973" s="31"/>
      <c r="G973" s="21"/>
      <c r="H973" s="22"/>
      <c r="I973" s="23"/>
      <c r="J973" s="24"/>
      <c r="K973" s="25"/>
      <c r="L973" s="23"/>
      <c r="M973" s="23"/>
      <c r="N973" s="24"/>
      <c r="O973" s="24"/>
      <c r="P973" s="25"/>
      <c r="Q973" s="25"/>
    </row>
    <row r="974" spans="1:17" s="20" customFormat="1" x14ac:dyDescent="0.25">
      <c r="A974" s="9"/>
      <c r="B974" s="28"/>
      <c r="C974" s="28"/>
      <c r="D974" s="28"/>
      <c r="E974" s="28"/>
      <c r="F974" s="31"/>
      <c r="G974" s="21"/>
      <c r="H974" s="22"/>
      <c r="I974" s="23"/>
      <c r="J974" s="24"/>
      <c r="K974" s="25"/>
      <c r="L974" s="23"/>
      <c r="M974" s="23"/>
      <c r="N974" s="24"/>
      <c r="O974" s="24"/>
      <c r="P974" s="25"/>
      <c r="Q974" s="25"/>
    </row>
    <row r="975" spans="1:17" s="20" customFormat="1" x14ac:dyDescent="0.25">
      <c r="A975" s="9"/>
      <c r="B975" s="28"/>
      <c r="C975" s="28"/>
      <c r="D975" s="28"/>
      <c r="E975" s="28"/>
      <c r="F975" s="31"/>
      <c r="G975" s="21"/>
      <c r="H975" s="22"/>
      <c r="I975" s="23"/>
      <c r="J975" s="24"/>
      <c r="K975" s="25"/>
      <c r="L975" s="23"/>
      <c r="M975" s="23"/>
      <c r="N975" s="24"/>
      <c r="O975" s="24"/>
      <c r="P975" s="25"/>
      <c r="Q975" s="25"/>
    </row>
    <row r="976" spans="1:17" s="20" customFormat="1" x14ac:dyDescent="0.25">
      <c r="A976" s="9"/>
      <c r="B976" s="28"/>
      <c r="C976" s="28"/>
      <c r="D976" s="28"/>
      <c r="E976" s="28"/>
      <c r="F976" s="31"/>
      <c r="G976" s="21"/>
      <c r="H976" s="22"/>
      <c r="I976" s="23"/>
      <c r="J976" s="24"/>
      <c r="K976" s="25"/>
      <c r="L976" s="23"/>
      <c r="M976" s="23"/>
      <c r="N976" s="24"/>
      <c r="O976" s="24"/>
      <c r="P976" s="25"/>
      <c r="Q976" s="25"/>
    </row>
    <row r="977" spans="1:17" s="20" customFormat="1" x14ac:dyDescent="0.25">
      <c r="A977" s="9"/>
      <c r="B977" s="28"/>
      <c r="C977" s="28"/>
      <c r="D977" s="28"/>
      <c r="E977" s="28"/>
      <c r="F977" s="31"/>
      <c r="G977" s="21"/>
      <c r="H977" s="22"/>
      <c r="I977" s="23"/>
      <c r="J977" s="24"/>
      <c r="K977" s="25"/>
      <c r="L977" s="23"/>
      <c r="M977" s="23"/>
      <c r="N977" s="24"/>
      <c r="O977" s="24"/>
      <c r="P977" s="25"/>
      <c r="Q977" s="25"/>
    </row>
    <row r="978" spans="1:17" s="20" customFormat="1" x14ac:dyDescent="0.25">
      <c r="A978" s="9"/>
      <c r="B978" s="28"/>
      <c r="C978" s="28"/>
      <c r="D978" s="28"/>
      <c r="E978" s="28"/>
      <c r="F978" s="31"/>
      <c r="G978" s="21"/>
      <c r="H978" s="22"/>
      <c r="I978" s="23"/>
      <c r="J978" s="24"/>
      <c r="K978" s="25"/>
      <c r="L978" s="23"/>
      <c r="M978" s="23"/>
      <c r="N978" s="24"/>
      <c r="O978" s="24"/>
      <c r="P978" s="25"/>
      <c r="Q978" s="25"/>
    </row>
    <row r="979" spans="1:17" s="20" customFormat="1" x14ac:dyDescent="0.25">
      <c r="A979" s="9"/>
      <c r="B979" s="28"/>
      <c r="C979" s="28"/>
      <c r="D979" s="28"/>
      <c r="E979" s="28"/>
      <c r="F979" s="31"/>
      <c r="G979" s="21"/>
      <c r="H979" s="22"/>
      <c r="I979" s="23"/>
      <c r="J979" s="24"/>
      <c r="K979" s="25"/>
      <c r="L979" s="23"/>
      <c r="M979" s="23"/>
      <c r="N979" s="24"/>
      <c r="O979" s="24"/>
      <c r="P979" s="25"/>
      <c r="Q979" s="25"/>
    </row>
    <row r="980" spans="1:17" s="20" customFormat="1" x14ac:dyDescent="0.25">
      <c r="A980" s="9"/>
      <c r="B980" s="28"/>
      <c r="C980" s="28"/>
      <c r="D980" s="28"/>
      <c r="E980" s="28"/>
      <c r="F980" s="31"/>
      <c r="G980" s="21"/>
      <c r="H980" s="22"/>
      <c r="I980" s="23"/>
      <c r="J980" s="24"/>
      <c r="K980" s="25"/>
      <c r="L980" s="23"/>
      <c r="M980" s="23"/>
      <c r="N980" s="24"/>
      <c r="O980" s="24"/>
      <c r="P980" s="25"/>
      <c r="Q980" s="25"/>
    </row>
    <row r="981" spans="1:17" s="20" customFormat="1" x14ac:dyDescent="0.25">
      <c r="A981" s="9"/>
      <c r="B981" s="28"/>
      <c r="C981" s="28"/>
      <c r="D981" s="28"/>
      <c r="E981" s="28"/>
      <c r="F981" s="31"/>
      <c r="G981" s="21"/>
      <c r="H981" s="22"/>
      <c r="I981" s="23"/>
      <c r="J981" s="24"/>
      <c r="K981" s="25"/>
      <c r="L981" s="23"/>
      <c r="M981" s="23"/>
      <c r="N981" s="24"/>
      <c r="O981" s="24"/>
      <c r="P981" s="25"/>
      <c r="Q981" s="25"/>
    </row>
    <row r="982" spans="1:17" s="20" customFormat="1" x14ac:dyDescent="0.25">
      <c r="A982" s="9"/>
      <c r="B982" s="28"/>
      <c r="C982" s="28"/>
      <c r="D982" s="28"/>
      <c r="E982" s="28"/>
      <c r="F982" s="31"/>
      <c r="G982" s="21"/>
      <c r="H982" s="22"/>
      <c r="I982" s="23"/>
      <c r="J982" s="24"/>
      <c r="K982" s="25"/>
      <c r="L982" s="23"/>
      <c r="M982" s="23"/>
      <c r="N982" s="24"/>
      <c r="O982" s="24"/>
      <c r="P982" s="25"/>
      <c r="Q982" s="25"/>
    </row>
    <row r="983" spans="1:17" s="20" customFormat="1" x14ac:dyDescent="0.25">
      <c r="A983" s="9"/>
      <c r="B983" s="28"/>
      <c r="C983" s="28"/>
      <c r="D983" s="28"/>
      <c r="E983" s="28"/>
      <c r="F983" s="31"/>
      <c r="G983" s="21"/>
      <c r="H983" s="22"/>
      <c r="I983" s="23"/>
      <c r="J983" s="24"/>
      <c r="K983" s="25"/>
      <c r="L983" s="23"/>
      <c r="M983" s="23"/>
      <c r="N983" s="24"/>
      <c r="O983" s="24"/>
      <c r="P983" s="25"/>
      <c r="Q983" s="25"/>
    </row>
    <row r="984" spans="1:17" s="20" customFormat="1" x14ac:dyDescent="0.25">
      <c r="A984" s="9"/>
      <c r="B984" s="28"/>
      <c r="C984" s="28"/>
      <c r="D984" s="28"/>
      <c r="E984" s="28"/>
      <c r="F984" s="31"/>
      <c r="G984" s="21"/>
      <c r="H984" s="22"/>
      <c r="I984" s="23"/>
      <c r="J984" s="24"/>
      <c r="K984" s="25"/>
      <c r="L984" s="23"/>
      <c r="M984" s="23"/>
      <c r="N984" s="24"/>
      <c r="O984" s="24"/>
      <c r="P984" s="25"/>
      <c r="Q984" s="25"/>
    </row>
    <row r="985" spans="1:17" s="20" customFormat="1" x14ac:dyDescent="0.25">
      <c r="A985" s="9"/>
      <c r="B985" s="28"/>
      <c r="C985" s="28"/>
      <c r="D985" s="28"/>
      <c r="E985" s="28"/>
      <c r="F985" s="31"/>
      <c r="G985" s="21"/>
      <c r="H985" s="22"/>
      <c r="I985" s="23"/>
      <c r="J985" s="24"/>
      <c r="K985" s="25"/>
      <c r="L985" s="23"/>
      <c r="M985" s="23"/>
      <c r="N985" s="24"/>
      <c r="O985" s="24"/>
      <c r="P985" s="25"/>
      <c r="Q985" s="25"/>
    </row>
    <row r="986" spans="1:17" s="20" customFormat="1" x14ac:dyDescent="0.25">
      <c r="A986" s="9"/>
      <c r="B986" s="28"/>
      <c r="C986" s="28"/>
      <c r="D986" s="28"/>
      <c r="E986" s="28"/>
      <c r="F986" s="31"/>
      <c r="G986" s="21"/>
      <c r="H986" s="22"/>
      <c r="I986" s="23"/>
      <c r="J986" s="24"/>
      <c r="K986" s="25"/>
      <c r="L986" s="23"/>
      <c r="M986" s="23"/>
      <c r="N986" s="24"/>
      <c r="O986" s="24"/>
      <c r="P986" s="25"/>
      <c r="Q986" s="25"/>
    </row>
    <row r="987" spans="1:17" s="20" customFormat="1" x14ac:dyDescent="0.25">
      <c r="A987" s="9"/>
      <c r="B987" s="28"/>
      <c r="C987" s="28"/>
      <c r="D987" s="28"/>
      <c r="E987" s="28"/>
      <c r="F987" s="31"/>
      <c r="G987" s="21"/>
      <c r="H987" s="22"/>
      <c r="I987" s="23"/>
      <c r="J987" s="24"/>
      <c r="K987" s="25"/>
      <c r="L987" s="23"/>
      <c r="M987" s="23"/>
      <c r="N987" s="24"/>
      <c r="O987" s="24"/>
      <c r="P987" s="25"/>
      <c r="Q987" s="25"/>
    </row>
    <row r="988" spans="1:17" s="20" customFormat="1" x14ac:dyDescent="0.25">
      <c r="A988" s="9"/>
      <c r="B988" s="28"/>
      <c r="C988" s="28"/>
      <c r="D988" s="28"/>
      <c r="E988" s="28"/>
      <c r="F988" s="31"/>
      <c r="G988" s="21"/>
      <c r="H988" s="22"/>
      <c r="I988" s="23"/>
      <c r="J988" s="24"/>
      <c r="K988" s="25"/>
      <c r="L988" s="23"/>
      <c r="M988" s="23"/>
      <c r="N988" s="24"/>
      <c r="O988" s="24"/>
      <c r="P988" s="25"/>
      <c r="Q988" s="25"/>
    </row>
    <row r="989" spans="1:17" s="20" customFormat="1" x14ac:dyDescent="0.25">
      <c r="A989" s="9"/>
      <c r="B989" s="28"/>
      <c r="C989" s="28"/>
      <c r="D989" s="28"/>
      <c r="E989" s="28"/>
      <c r="F989" s="31"/>
      <c r="G989" s="21"/>
      <c r="H989" s="22"/>
      <c r="I989" s="23"/>
      <c r="J989" s="24"/>
      <c r="K989" s="25"/>
      <c r="L989" s="23"/>
      <c r="M989" s="23"/>
      <c r="N989" s="24"/>
      <c r="O989" s="24"/>
      <c r="P989" s="25"/>
      <c r="Q989" s="25"/>
    </row>
    <row r="990" spans="1:17" s="20" customFormat="1" x14ac:dyDescent="0.25">
      <c r="A990" s="9"/>
      <c r="B990" s="28"/>
      <c r="C990" s="28"/>
      <c r="D990" s="28"/>
      <c r="E990" s="28"/>
      <c r="F990" s="31"/>
      <c r="G990" s="21"/>
      <c r="H990" s="22"/>
      <c r="I990" s="23"/>
      <c r="J990" s="24"/>
      <c r="K990" s="25"/>
      <c r="L990" s="23"/>
      <c r="M990" s="23"/>
      <c r="N990" s="24"/>
      <c r="O990" s="24"/>
      <c r="P990" s="25"/>
      <c r="Q990" s="25"/>
    </row>
    <row r="991" spans="1:17" s="20" customFormat="1" x14ac:dyDescent="0.25">
      <c r="A991" s="9"/>
      <c r="B991" s="28"/>
      <c r="C991" s="28"/>
      <c r="D991" s="28"/>
      <c r="E991" s="28"/>
      <c r="F991" s="31"/>
      <c r="G991" s="21"/>
      <c r="H991" s="22"/>
      <c r="I991" s="23"/>
      <c r="J991" s="24"/>
      <c r="K991" s="25"/>
      <c r="L991" s="23"/>
      <c r="M991" s="23"/>
      <c r="N991" s="24"/>
      <c r="O991" s="24"/>
      <c r="P991" s="25"/>
      <c r="Q991" s="25"/>
    </row>
    <row r="992" spans="1:17" s="20" customFormat="1" x14ac:dyDescent="0.25">
      <c r="A992" s="9"/>
      <c r="B992" s="28"/>
      <c r="C992" s="28"/>
      <c r="D992" s="28"/>
      <c r="E992" s="28"/>
      <c r="F992" s="31"/>
      <c r="G992" s="21"/>
      <c r="H992" s="22"/>
      <c r="I992" s="23"/>
      <c r="J992" s="24"/>
      <c r="K992" s="25"/>
      <c r="L992" s="23"/>
      <c r="M992" s="23"/>
      <c r="N992" s="24"/>
      <c r="O992" s="24"/>
      <c r="P992" s="25"/>
      <c r="Q992" s="25"/>
    </row>
    <row r="993" spans="1:17" s="20" customFormat="1" x14ac:dyDescent="0.25">
      <c r="A993" s="9"/>
      <c r="B993" s="28"/>
      <c r="C993" s="28"/>
      <c r="D993" s="28"/>
      <c r="E993" s="28"/>
      <c r="F993" s="31"/>
      <c r="G993" s="21"/>
      <c r="H993" s="22"/>
      <c r="I993" s="23"/>
      <c r="J993" s="24"/>
      <c r="K993" s="25"/>
      <c r="L993" s="23"/>
      <c r="M993" s="23"/>
      <c r="N993" s="24"/>
      <c r="O993" s="24"/>
      <c r="P993" s="25"/>
      <c r="Q993" s="25"/>
    </row>
    <row r="994" spans="1:17" s="20" customFormat="1" x14ac:dyDescent="0.25">
      <c r="A994" s="9"/>
      <c r="B994" s="28"/>
      <c r="C994" s="28"/>
      <c r="D994" s="28"/>
      <c r="E994" s="28"/>
      <c r="F994" s="31"/>
      <c r="G994" s="21"/>
      <c r="H994" s="22"/>
      <c r="I994" s="23"/>
      <c r="J994" s="24"/>
      <c r="K994" s="25"/>
      <c r="L994" s="23"/>
      <c r="M994" s="23"/>
      <c r="N994" s="24"/>
      <c r="O994" s="24"/>
      <c r="P994" s="25"/>
      <c r="Q994" s="25"/>
    </row>
    <row r="995" spans="1:17" s="20" customFormat="1" x14ac:dyDescent="0.25">
      <c r="A995" s="9"/>
      <c r="B995" s="28"/>
      <c r="C995" s="28"/>
      <c r="D995" s="28"/>
      <c r="E995" s="28"/>
      <c r="F995" s="31"/>
      <c r="G995" s="21"/>
      <c r="H995" s="22"/>
      <c r="I995" s="23"/>
      <c r="J995" s="24"/>
      <c r="K995" s="25"/>
      <c r="L995" s="23"/>
      <c r="M995" s="23"/>
      <c r="N995" s="24"/>
      <c r="O995" s="24"/>
      <c r="P995" s="25"/>
      <c r="Q995" s="25"/>
    </row>
    <row r="996" spans="1:17" s="20" customFormat="1" x14ac:dyDescent="0.25">
      <c r="A996" s="9"/>
      <c r="B996" s="28"/>
      <c r="C996" s="28"/>
      <c r="D996" s="28"/>
      <c r="E996" s="28"/>
      <c r="F996" s="31"/>
      <c r="G996" s="21"/>
      <c r="H996" s="22"/>
      <c r="I996" s="23"/>
      <c r="J996" s="24"/>
      <c r="K996" s="25"/>
      <c r="L996" s="23"/>
      <c r="M996" s="23"/>
      <c r="N996" s="24"/>
      <c r="O996" s="24"/>
      <c r="P996" s="25"/>
      <c r="Q996" s="25"/>
    </row>
    <row r="997" spans="1:17" s="20" customFormat="1" x14ac:dyDescent="0.25">
      <c r="A997" s="9"/>
      <c r="B997" s="28"/>
      <c r="C997" s="28"/>
      <c r="D997" s="28"/>
      <c r="E997" s="28"/>
      <c r="F997" s="31"/>
      <c r="G997" s="21"/>
      <c r="H997" s="22"/>
      <c r="I997" s="23"/>
      <c r="J997" s="24"/>
      <c r="K997" s="25"/>
      <c r="L997" s="23"/>
      <c r="M997" s="23"/>
      <c r="N997" s="24"/>
      <c r="O997" s="24"/>
      <c r="P997" s="25"/>
      <c r="Q997" s="25"/>
    </row>
    <row r="998" spans="1:17" s="20" customFormat="1" x14ac:dyDescent="0.25">
      <c r="A998" s="9"/>
      <c r="B998" s="28"/>
      <c r="C998" s="28"/>
      <c r="D998" s="28"/>
      <c r="E998" s="28"/>
      <c r="F998" s="31"/>
      <c r="G998" s="21"/>
      <c r="H998" s="22"/>
      <c r="I998" s="23"/>
      <c r="J998" s="24"/>
      <c r="K998" s="25"/>
      <c r="L998" s="23"/>
      <c r="M998" s="23"/>
      <c r="N998" s="24"/>
      <c r="O998" s="24"/>
      <c r="P998" s="25"/>
      <c r="Q998" s="25"/>
    </row>
    <row r="999" spans="1:17" s="20" customFormat="1" x14ac:dyDescent="0.25">
      <c r="A999" s="9"/>
      <c r="B999" s="28"/>
      <c r="C999" s="28"/>
      <c r="D999" s="28"/>
      <c r="E999" s="28"/>
      <c r="F999" s="31"/>
      <c r="G999" s="21"/>
      <c r="H999" s="22"/>
      <c r="I999" s="23"/>
      <c r="J999" s="24"/>
      <c r="K999" s="25"/>
      <c r="L999" s="23"/>
      <c r="M999" s="23"/>
      <c r="N999" s="24"/>
      <c r="O999" s="24"/>
      <c r="P999" s="25"/>
      <c r="Q999" s="25"/>
    </row>
    <row r="1000" spans="1:17" s="20" customFormat="1" x14ac:dyDescent="0.25">
      <c r="A1000" s="9"/>
      <c r="B1000" s="28"/>
      <c r="C1000" s="28"/>
      <c r="D1000" s="28"/>
      <c r="E1000" s="28"/>
      <c r="F1000" s="31"/>
      <c r="G1000" s="21"/>
      <c r="H1000" s="22"/>
      <c r="I1000" s="23"/>
      <c r="J1000" s="24"/>
      <c r="K1000" s="25"/>
      <c r="L1000" s="23"/>
      <c r="M1000" s="23"/>
      <c r="N1000" s="24"/>
      <c r="O1000" s="24"/>
      <c r="P1000" s="25"/>
      <c r="Q1000" s="25"/>
    </row>
    <row r="1001" spans="1:17" s="20" customFormat="1" x14ac:dyDescent="0.25">
      <c r="A1001" s="9"/>
      <c r="B1001" s="28"/>
      <c r="C1001" s="28"/>
      <c r="D1001" s="28"/>
      <c r="E1001" s="28"/>
      <c r="F1001" s="31"/>
      <c r="G1001" s="21"/>
      <c r="H1001" s="22"/>
      <c r="I1001" s="23"/>
      <c r="J1001" s="24"/>
      <c r="K1001" s="25"/>
      <c r="L1001" s="23"/>
      <c r="M1001" s="23"/>
      <c r="N1001" s="24"/>
      <c r="O1001" s="24"/>
      <c r="P1001" s="25"/>
      <c r="Q1001" s="25"/>
    </row>
    <row r="1002" spans="1:17" s="20" customFormat="1" x14ac:dyDescent="0.25">
      <c r="A1002" s="9"/>
      <c r="B1002" s="28"/>
      <c r="C1002" s="28"/>
      <c r="D1002" s="28"/>
      <c r="E1002" s="28"/>
      <c r="F1002" s="31"/>
      <c r="G1002" s="21"/>
      <c r="H1002" s="22"/>
      <c r="I1002" s="23"/>
      <c r="J1002" s="24"/>
      <c r="K1002" s="25"/>
      <c r="L1002" s="23"/>
      <c r="M1002" s="23"/>
      <c r="N1002" s="24"/>
      <c r="O1002" s="24"/>
      <c r="P1002" s="25"/>
      <c r="Q1002" s="25"/>
    </row>
    <row r="1003" spans="1:17" s="20" customFormat="1" x14ac:dyDescent="0.25">
      <c r="A1003" s="9"/>
      <c r="B1003" s="28"/>
      <c r="C1003" s="28"/>
      <c r="D1003" s="28"/>
      <c r="E1003" s="28"/>
      <c r="F1003" s="31"/>
      <c r="G1003" s="21"/>
      <c r="H1003" s="22"/>
      <c r="I1003" s="23"/>
      <c r="J1003" s="24"/>
      <c r="K1003" s="25"/>
      <c r="L1003" s="23"/>
      <c r="M1003" s="23"/>
      <c r="N1003" s="24"/>
      <c r="O1003" s="24"/>
      <c r="P1003" s="25"/>
      <c r="Q1003" s="25"/>
    </row>
    <row r="1004" spans="1:17" s="20" customFormat="1" x14ac:dyDescent="0.25">
      <c r="A1004" s="9"/>
      <c r="B1004" s="28"/>
      <c r="C1004" s="28"/>
      <c r="D1004" s="28"/>
      <c r="E1004" s="28"/>
      <c r="F1004" s="31"/>
      <c r="G1004" s="21"/>
      <c r="H1004" s="22"/>
      <c r="I1004" s="23"/>
      <c r="J1004" s="24"/>
      <c r="K1004" s="25"/>
      <c r="L1004" s="23"/>
      <c r="M1004" s="23"/>
      <c r="N1004" s="24"/>
      <c r="O1004" s="24"/>
      <c r="P1004" s="25"/>
      <c r="Q1004" s="25"/>
    </row>
    <row r="1005" spans="1:17" s="20" customFormat="1" x14ac:dyDescent="0.25">
      <c r="A1005" s="9"/>
      <c r="B1005" s="28"/>
      <c r="C1005" s="28"/>
      <c r="D1005" s="28"/>
      <c r="E1005" s="28"/>
      <c r="F1005" s="31"/>
      <c r="G1005" s="21"/>
      <c r="H1005" s="22"/>
      <c r="I1005" s="23"/>
      <c r="J1005" s="24"/>
      <c r="K1005" s="25"/>
      <c r="L1005" s="23"/>
      <c r="M1005" s="23"/>
      <c r="N1005" s="24"/>
      <c r="O1005" s="24"/>
      <c r="P1005" s="25"/>
      <c r="Q1005" s="25"/>
    </row>
    <row r="1006" spans="1:17" s="20" customFormat="1" x14ac:dyDescent="0.25">
      <c r="A1006" s="9"/>
      <c r="B1006" s="28"/>
      <c r="C1006" s="28"/>
      <c r="D1006" s="28"/>
      <c r="E1006" s="28"/>
      <c r="F1006" s="31"/>
      <c r="G1006" s="21"/>
      <c r="H1006" s="22"/>
      <c r="I1006" s="23"/>
      <c r="J1006" s="24"/>
      <c r="K1006" s="25"/>
      <c r="L1006" s="23"/>
      <c r="M1006" s="23"/>
      <c r="N1006" s="24"/>
      <c r="O1006" s="24"/>
      <c r="P1006" s="25"/>
      <c r="Q1006" s="25"/>
    </row>
    <row r="1007" spans="1:17" s="20" customFormat="1" x14ac:dyDescent="0.25">
      <c r="A1007" s="9"/>
      <c r="B1007" s="28"/>
      <c r="C1007" s="28"/>
      <c r="D1007" s="28"/>
      <c r="E1007" s="28"/>
      <c r="F1007" s="31"/>
      <c r="G1007" s="21"/>
      <c r="H1007" s="22"/>
      <c r="I1007" s="23"/>
      <c r="J1007" s="24"/>
      <c r="K1007" s="25"/>
      <c r="L1007" s="23"/>
      <c r="M1007" s="23"/>
      <c r="N1007" s="24"/>
      <c r="O1007" s="24"/>
      <c r="P1007" s="25"/>
      <c r="Q1007" s="25"/>
    </row>
    <row r="1008" spans="1:17" s="20" customFormat="1" x14ac:dyDescent="0.25">
      <c r="A1008" s="9"/>
      <c r="B1008" s="28"/>
      <c r="C1008" s="28"/>
      <c r="D1008" s="28"/>
      <c r="E1008" s="28"/>
      <c r="F1008" s="31"/>
      <c r="G1008" s="21"/>
      <c r="H1008" s="22"/>
      <c r="I1008" s="23"/>
      <c r="J1008" s="24"/>
      <c r="K1008" s="25"/>
      <c r="L1008" s="23"/>
      <c r="M1008" s="23"/>
      <c r="N1008" s="24"/>
      <c r="O1008" s="24"/>
      <c r="P1008" s="25"/>
      <c r="Q1008" s="25"/>
    </row>
    <row r="1009" spans="1:17" s="20" customFormat="1" x14ac:dyDescent="0.25">
      <c r="A1009" s="9"/>
      <c r="B1009" s="28"/>
      <c r="C1009" s="28"/>
      <c r="D1009" s="28"/>
      <c r="E1009" s="28"/>
      <c r="F1009" s="31"/>
      <c r="G1009" s="21"/>
      <c r="H1009" s="22"/>
      <c r="I1009" s="23"/>
      <c r="J1009" s="24"/>
      <c r="K1009" s="25"/>
      <c r="L1009" s="23"/>
      <c r="M1009" s="23"/>
      <c r="N1009" s="24"/>
      <c r="O1009" s="24"/>
      <c r="P1009" s="25"/>
      <c r="Q1009" s="25"/>
    </row>
    <row r="1010" spans="1:17" s="20" customFormat="1" x14ac:dyDescent="0.25">
      <c r="A1010" s="9"/>
      <c r="B1010" s="28"/>
      <c r="C1010" s="28"/>
      <c r="D1010" s="28"/>
      <c r="E1010" s="28"/>
      <c r="F1010" s="31"/>
      <c r="G1010" s="21"/>
      <c r="H1010" s="22"/>
      <c r="I1010" s="23"/>
      <c r="J1010" s="24"/>
      <c r="K1010" s="25"/>
      <c r="L1010" s="23"/>
      <c r="M1010" s="23"/>
      <c r="N1010" s="24"/>
      <c r="O1010" s="24"/>
      <c r="P1010" s="25"/>
      <c r="Q1010" s="25"/>
    </row>
    <row r="1011" spans="1:17" s="20" customFormat="1" x14ac:dyDescent="0.25">
      <c r="A1011" s="9"/>
      <c r="B1011" s="28"/>
      <c r="C1011" s="28"/>
      <c r="D1011" s="28"/>
      <c r="E1011" s="28"/>
      <c r="F1011" s="31"/>
      <c r="G1011" s="21"/>
      <c r="H1011" s="22"/>
      <c r="I1011" s="23"/>
      <c r="J1011" s="24"/>
      <c r="K1011" s="25"/>
      <c r="L1011" s="23"/>
      <c r="M1011" s="23"/>
      <c r="N1011" s="24"/>
      <c r="O1011" s="24"/>
      <c r="P1011" s="25"/>
      <c r="Q1011" s="25"/>
    </row>
    <row r="1012" spans="1:17" s="20" customFormat="1" x14ac:dyDescent="0.25">
      <c r="A1012" s="9"/>
      <c r="B1012" s="28"/>
      <c r="C1012" s="28"/>
      <c r="D1012" s="28"/>
      <c r="E1012" s="28"/>
      <c r="F1012" s="31"/>
      <c r="G1012" s="21"/>
      <c r="H1012" s="22"/>
      <c r="I1012" s="23"/>
      <c r="J1012" s="24"/>
      <c r="K1012" s="25"/>
      <c r="L1012" s="23"/>
      <c r="M1012" s="23"/>
      <c r="N1012" s="24"/>
      <c r="O1012" s="24"/>
      <c r="P1012" s="25"/>
      <c r="Q1012" s="25"/>
    </row>
    <row r="1013" spans="1:17" s="20" customFormat="1" x14ac:dyDescent="0.25">
      <c r="A1013" s="9"/>
      <c r="B1013" s="28"/>
      <c r="C1013" s="28"/>
      <c r="D1013" s="28"/>
      <c r="E1013" s="28"/>
      <c r="F1013" s="31"/>
      <c r="G1013" s="21"/>
      <c r="H1013" s="22"/>
      <c r="I1013" s="23"/>
      <c r="J1013" s="24"/>
      <c r="K1013" s="25"/>
      <c r="L1013" s="23"/>
      <c r="M1013" s="23"/>
      <c r="N1013" s="24"/>
      <c r="O1013" s="24"/>
      <c r="P1013" s="25"/>
      <c r="Q1013" s="25"/>
    </row>
    <row r="1014" spans="1:17" s="20" customFormat="1" x14ac:dyDescent="0.25">
      <c r="A1014" s="9"/>
      <c r="B1014" s="28"/>
      <c r="C1014" s="28"/>
      <c r="D1014" s="28"/>
      <c r="E1014" s="28"/>
      <c r="F1014" s="31"/>
      <c r="G1014" s="21"/>
      <c r="H1014" s="22"/>
      <c r="I1014" s="23"/>
      <c r="J1014" s="24"/>
      <c r="K1014" s="25"/>
      <c r="L1014" s="23"/>
      <c r="M1014" s="23"/>
      <c r="N1014" s="24"/>
      <c r="O1014" s="24"/>
      <c r="P1014" s="25"/>
      <c r="Q1014" s="25"/>
    </row>
    <row r="1015" spans="1:17" s="20" customFormat="1" x14ac:dyDescent="0.25">
      <c r="A1015" s="9"/>
      <c r="B1015" s="28"/>
      <c r="C1015" s="28"/>
      <c r="D1015" s="28"/>
      <c r="E1015" s="28"/>
      <c r="F1015" s="31"/>
      <c r="G1015" s="21"/>
      <c r="H1015" s="22"/>
      <c r="I1015" s="23"/>
      <c r="J1015" s="24"/>
      <c r="K1015" s="25"/>
      <c r="L1015" s="23"/>
      <c r="M1015" s="23"/>
      <c r="N1015" s="24"/>
      <c r="O1015" s="24"/>
      <c r="P1015" s="25"/>
      <c r="Q1015" s="25"/>
    </row>
    <row r="1016" spans="1:17" s="20" customFormat="1" x14ac:dyDescent="0.25">
      <c r="A1016" s="9"/>
      <c r="B1016" s="28"/>
      <c r="C1016" s="28"/>
      <c r="D1016" s="28"/>
      <c r="E1016" s="28"/>
      <c r="F1016" s="31"/>
      <c r="G1016" s="21"/>
      <c r="H1016" s="22"/>
      <c r="I1016" s="23"/>
      <c r="J1016" s="24"/>
      <c r="K1016" s="25"/>
      <c r="L1016" s="23"/>
      <c r="M1016" s="23"/>
      <c r="N1016" s="24"/>
      <c r="O1016" s="24"/>
      <c r="P1016" s="25"/>
      <c r="Q1016" s="25"/>
    </row>
    <row r="1017" spans="1:17" s="20" customFormat="1" x14ac:dyDescent="0.25">
      <c r="A1017" s="9"/>
      <c r="B1017" s="28"/>
      <c r="C1017" s="28"/>
      <c r="D1017" s="28"/>
      <c r="E1017" s="28"/>
      <c r="F1017" s="31"/>
      <c r="G1017" s="21"/>
      <c r="H1017" s="22"/>
      <c r="I1017" s="23"/>
      <c r="J1017" s="24"/>
      <c r="K1017" s="25"/>
      <c r="L1017" s="23"/>
      <c r="M1017" s="23"/>
      <c r="N1017" s="24"/>
      <c r="O1017" s="24"/>
      <c r="P1017" s="25"/>
      <c r="Q1017" s="25"/>
    </row>
    <row r="1018" spans="1:17" s="20" customFormat="1" x14ac:dyDescent="0.25">
      <c r="A1018" s="9"/>
      <c r="B1018" s="28"/>
      <c r="C1018" s="28"/>
      <c r="D1018" s="28"/>
      <c r="E1018" s="28"/>
      <c r="F1018" s="31"/>
      <c r="G1018" s="21"/>
      <c r="H1018" s="22"/>
      <c r="I1018" s="23"/>
      <c r="J1018" s="24"/>
      <c r="K1018" s="25"/>
      <c r="L1018" s="23"/>
      <c r="M1018" s="23"/>
      <c r="N1018" s="24"/>
      <c r="O1018" s="24"/>
      <c r="P1018" s="25"/>
      <c r="Q1018" s="25"/>
    </row>
    <row r="1019" spans="1:17" s="20" customFormat="1" x14ac:dyDescent="0.25">
      <c r="A1019" s="9"/>
      <c r="B1019" s="28"/>
      <c r="C1019" s="28"/>
      <c r="D1019" s="28"/>
      <c r="E1019" s="28"/>
      <c r="F1019" s="31"/>
      <c r="G1019" s="21"/>
      <c r="H1019" s="22"/>
      <c r="I1019" s="23"/>
      <c r="J1019" s="24"/>
      <c r="K1019" s="25"/>
      <c r="L1019" s="23"/>
      <c r="M1019" s="23"/>
      <c r="N1019" s="24"/>
      <c r="O1019" s="24"/>
      <c r="P1019" s="25"/>
      <c r="Q1019" s="25"/>
    </row>
    <row r="1020" spans="1:17" s="20" customFormat="1" x14ac:dyDescent="0.25">
      <c r="A1020" s="9"/>
      <c r="B1020" s="28"/>
      <c r="C1020" s="28"/>
      <c r="D1020" s="28"/>
      <c r="E1020" s="28"/>
      <c r="F1020" s="31"/>
      <c r="G1020" s="21"/>
      <c r="H1020" s="22"/>
      <c r="I1020" s="23"/>
      <c r="J1020" s="24"/>
      <c r="K1020" s="25"/>
      <c r="L1020" s="23"/>
      <c r="M1020" s="23"/>
      <c r="N1020" s="24"/>
      <c r="O1020" s="24"/>
      <c r="P1020" s="25"/>
      <c r="Q1020" s="25"/>
    </row>
    <row r="1021" spans="1:17" s="20" customFormat="1" x14ac:dyDescent="0.25">
      <c r="A1021" s="9"/>
      <c r="B1021" s="28"/>
      <c r="C1021" s="28"/>
      <c r="D1021" s="28"/>
      <c r="E1021" s="28"/>
      <c r="F1021" s="31"/>
      <c r="G1021" s="21"/>
      <c r="H1021" s="22"/>
      <c r="I1021" s="23"/>
      <c r="J1021" s="24"/>
      <c r="K1021" s="25"/>
      <c r="L1021" s="23"/>
      <c r="M1021" s="23"/>
      <c r="N1021" s="24"/>
      <c r="O1021" s="24"/>
      <c r="P1021" s="25"/>
      <c r="Q1021" s="25"/>
    </row>
    <row r="1022" spans="1:17" s="20" customFormat="1" x14ac:dyDescent="0.25">
      <c r="A1022" s="9"/>
      <c r="B1022" s="28"/>
      <c r="C1022" s="28"/>
      <c r="D1022" s="28"/>
      <c r="E1022" s="28"/>
      <c r="F1022" s="31"/>
      <c r="G1022" s="21"/>
      <c r="H1022" s="22"/>
      <c r="I1022" s="23"/>
      <c r="J1022" s="24"/>
      <c r="K1022" s="25"/>
      <c r="L1022" s="23"/>
      <c r="M1022" s="23"/>
      <c r="N1022" s="24"/>
      <c r="O1022" s="24"/>
      <c r="P1022" s="25"/>
      <c r="Q1022" s="25"/>
    </row>
    <row r="1023" spans="1:17" s="20" customFormat="1" x14ac:dyDescent="0.25">
      <c r="A1023" s="9"/>
      <c r="B1023" s="28"/>
      <c r="C1023" s="28"/>
      <c r="D1023" s="28"/>
      <c r="E1023" s="28"/>
      <c r="F1023" s="31"/>
      <c r="G1023" s="21"/>
      <c r="H1023" s="22"/>
      <c r="I1023" s="23"/>
      <c r="J1023" s="24"/>
      <c r="K1023" s="25"/>
      <c r="L1023" s="23"/>
      <c r="M1023" s="23"/>
      <c r="N1023" s="24"/>
      <c r="O1023" s="24"/>
      <c r="P1023" s="25"/>
      <c r="Q1023" s="25"/>
    </row>
    <row r="1024" spans="1:17" s="20" customFormat="1" x14ac:dyDescent="0.25">
      <c r="A1024" s="9"/>
      <c r="B1024" s="28"/>
      <c r="C1024" s="28"/>
      <c r="D1024" s="28"/>
      <c r="E1024" s="28"/>
      <c r="F1024" s="31"/>
      <c r="G1024" s="21"/>
      <c r="H1024" s="22"/>
      <c r="I1024" s="23"/>
      <c r="J1024" s="24"/>
      <c r="K1024" s="25"/>
      <c r="L1024" s="23"/>
      <c r="M1024" s="23"/>
      <c r="N1024" s="24"/>
      <c r="O1024" s="24"/>
      <c r="P1024" s="25"/>
      <c r="Q1024" s="25"/>
    </row>
    <row r="1025" spans="1:17" s="20" customFormat="1" x14ac:dyDescent="0.25">
      <c r="A1025" s="9"/>
      <c r="B1025" s="28"/>
      <c r="C1025" s="28"/>
      <c r="D1025" s="28"/>
      <c r="E1025" s="28"/>
      <c r="F1025" s="31"/>
      <c r="G1025" s="21"/>
      <c r="H1025" s="22"/>
      <c r="I1025" s="23"/>
      <c r="J1025" s="24"/>
      <c r="K1025" s="25"/>
      <c r="L1025" s="23"/>
      <c r="M1025" s="23"/>
      <c r="N1025" s="24"/>
      <c r="O1025" s="24"/>
      <c r="P1025" s="25"/>
      <c r="Q1025" s="25"/>
    </row>
    <row r="1026" spans="1:17" s="20" customFormat="1" x14ac:dyDescent="0.25">
      <c r="A1026" s="9"/>
      <c r="B1026" s="28"/>
      <c r="C1026" s="28"/>
      <c r="D1026" s="28"/>
      <c r="E1026" s="28"/>
      <c r="F1026" s="31"/>
      <c r="G1026" s="21"/>
      <c r="H1026" s="22"/>
      <c r="I1026" s="23"/>
      <c r="J1026" s="24"/>
      <c r="K1026" s="25"/>
      <c r="L1026" s="23"/>
      <c r="M1026" s="23"/>
      <c r="N1026" s="24"/>
      <c r="O1026" s="24"/>
      <c r="P1026" s="25"/>
      <c r="Q1026" s="25"/>
    </row>
    <row r="1027" spans="1:17" s="20" customFormat="1" x14ac:dyDescent="0.25">
      <c r="A1027" s="9"/>
      <c r="B1027" s="28"/>
      <c r="C1027" s="28"/>
      <c r="D1027" s="28"/>
      <c r="E1027" s="28"/>
      <c r="F1027" s="31"/>
      <c r="G1027" s="21"/>
      <c r="H1027" s="22"/>
      <c r="I1027" s="23"/>
      <c r="J1027" s="24"/>
      <c r="K1027" s="25"/>
      <c r="L1027" s="23"/>
      <c r="M1027" s="23"/>
      <c r="N1027" s="24"/>
      <c r="O1027" s="24"/>
      <c r="P1027" s="25"/>
      <c r="Q1027" s="25"/>
    </row>
    <row r="1028" spans="1:17" s="20" customFormat="1" x14ac:dyDescent="0.25">
      <c r="A1028" s="9"/>
      <c r="B1028" s="28"/>
      <c r="C1028" s="28"/>
      <c r="D1028" s="28"/>
      <c r="E1028" s="28"/>
      <c r="F1028" s="31"/>
      <c r="G1028" s="21"/>
      <c r="H1028" s="22"/>
      <c r="I1028" s="23"/>
      <c r="J1028" s="24"/>
      <c r="K1028" s="25"/>
      <c r="L1028" s="23"/>
      <c r="M1028" s="23"/>
      <c r="N1028" s="24"/>
      <c r="O1028" s="24"/>
      <c r="P1028" s="25"/>
      <c r="Q1028" s="25"/>
    </row>
    <row r="1029" spans="1:17" s="20" customFormat="1" x14ac:dyDescent="0.25">
      <c r="A1029" s="9"/>
      <c r="B1029" s="28"/>
      <c r="C1029" s="28"/>
      <c r="D1029" s="28"/>
      <c r="E1029" s="28"/>
      <c r="F1029" s="31"/>
      <c r="G1029" s="21"/>
      <c r="H1029" s="22"/>
      <c r="I1029" s="23"/>
      <c r="J1029" s="24"/>
      <c r="K1029" s="25"/>
      <c r="L1029" s="23"/>
      <c r="M1029" s="23"/>
      <c r="N1029" s="24"/>
      <c r="O1029" s="24"/>
      <c r="P1029" s="25"/>
      <c r="Q1029" s="25"/>
    </row>
    <row r="1030" spans="1:17" s="20" customFormat="1" x14ac:dyDescent="0.25">
      <c r="A1030" s="9"/>
      <c r="B1030" s="28"/>
      <c r="C1030" s="28"/>
      <c r="D1030" s="28"/>
      <c r="E1030" s="28"/>
      <c r="F1030" s="31"/>
      <c r="G1030" s="21"/>
      <c r="H1030" s="22"/>
      <c r="I1030" s="23"/>
      <c r="J1030" s="24"/>
      <c r="K1030" s="25"/>
      <c r="L1030" s="23"/>
      <c r="M1030" s="23"/>
      <c r="N1030" s="24"/>
      <c r="O1030" s="24"/>
      <c r="P1030" s="25"/>
      <c r="Q1030" s="25"/>
    </row>
    <row r="1031" spans="1:17" s="20" customFormat="1" x14ac:dyDescent="0.25">
      <c r="A1031" s="9"/>
      <c r="B1031" s="28"/>
      <c r="C1031" s="28"/>
      <c r="D1031" s="28"/>
      <c r="E1031" s="28"/>
      <c r="F1031" s="31"/>
      <c r="G1031" s="21"/>
      <c r="H1031" s="22"/>
      <c r="I1031" s="23"/>
      <c r="J1031" s="24"/>
      <c r="K1031" s="25"/>
      <c r="L1031" s="23"/>
      <c r="M1031" s="23"/>
      <c r="N1031" s="24"/>
      <c r="O1031" s="24"/>
      <c r="P1031" s="25"/>
      <c r="Q1031" s="25"/>
    </row>
    <row r="1032" spans="1:17" s="20" customFormat="1" x14ac:dyDescent="0.25">
      <c r="A1032" s="9"/>
      <c r="B1032" s="28"/>
      <c r="C1032" s="28"/>
      <c r="D1032" s="28"/>
      <c r="E1032" s="28"/>
      <c r="F1032" s="31"/>
      <c r="G1032" s="21"/>
      <c r="H1032" s="22"/>
      <c r="I1032" s="23"/>
      <c r="J1032" s="24"/>
      <c r="K1032" s="25"/>
      <c r="L1032" s="23"/>
      <c r="M1032" s="23"/>
      <c r="N1032" s="24"/>
      <c r="O1032" s="24"/>
      <c r="P1032" s="25"/>
      <c r="Q1032" s="25"/>
    </row>
    <row r="1033" spans="1:17" s="20" customFormat="1" x14ac:dyDescent="0.25">
      <c r="A1033" s="9"/>
      <c r="B1033" s="28"/>
      <c r="C1033" s="28"/>
      <c r="D1033" s="28"/>
      <c r="E1033" s="28"/>
      <c r="F1033" s="31"/>
      <c r="G1033" s="21"/>
      <c r="H1033" s="22"/>
      <c r="I1033" s="23"/>
      <c r="J1033" s="24"/>
      <c r="K1033" s="25"/>
      <c r="L1033" s="23"/>
      <c r="M1033" s="23"/>
      <c r="N1033" s="24"/>
      <c r="O1033" s="24"/>
      <c r="P1033" s="25"/>
      <c r="Q1033" s="25"/>
    </row>
    <row r="1034" spans="1:17" s="20" customFormat="1" x14ac:dyDescent="0.25">
      <c r="A1034" s="9"/>
      <c r="B1034" s="28"/>
      <c r="C1034" s="28"/>
      <c r="D1034" s="28"/>
      <c r="E1034" s="28"/>
      <c r="F1034" s="31"/>
      <c r="G1034" s="21"/>
      <c r="H1034" s="22"/>
      <c r="I1034" s="23"/>
      <c r="J1034" s="24"/>
      <c r="K1034" s="25"/>
      <c r="L1034" s="23"/>
      <c r="M1034" s="23"/>
      <c r="N1034" s="24"/>
      <c r="O1034" s="24"/>
      <c r="P1034" s="25"/>
      <c r="Q1034" s="25"/>
    </row>
    <row r="1035" spans="1:17" s="20" customFormat="1" x14ac:dyDescent="0.25">
      <c r="A1035" s="9"/>
      <c r="B1035" s="28"/>
      <c r="C1035" s="28"/>
      <c r="D1035" s="28"/>
      <c r="E1035" s="28"/>
      <c r="F1035" s="31"/>
      <c r="G1035" s="21"/>
      <c r="H1035" s="22"/>
      <c r="I1035" s="23"/>
      <c r="J1035" s="24"/>
      <c r="K1035" s="25"/>
      <c r="L1035" s="23"/>
      <c r="M1035" s="23"/>
      <c r="N1035" s="24"/>
      <c r="O1035" s="24"/>
      <c r="P1035" s="25"/>
      <c r="Q1035" s="25"/>
    </row>
    <row r="1036" spans="1:17" s="20" customFormat="1" x14ac:dyDescent="0.25">
      <c r="A1036" s="9"/>
      <c r="B1036" s="28"/>
      <c r="C1036" s="28"/>
      <c r="D1036" s="28"/>
      <c r="E1036" s="28"/>
      <c r="F1036" s="31"/>
      <c r="G1036" s="21"/>
      <c r="H1036" s="22"/>
      <c r="I1036" s="23"/>
      <c r="J1036" s="24"/>
      <c r="K1036" s="25"/>
      <c r="L1036" s="23"/>
      <c r="M1036" s="23"/>
      <c r="N1036" s="24"/>
      <c r="O1036" s="24"/>
      <c r="P1036" s="25"/>
      <c r="Q1036" s="25"/>
    </row>
    <row r="1037" spans="1:17" s="20" customFormat="1" x14ac:dyDescent="0.25">
      <c r="A1037" s="9"/>
      <c r="B1037" s="28"/>
      <c r="C1037" s="28"/>
      <c r="D1037" s="28"/>
      <c r="E1037" s="28"/>
      <c r="F1037" s="31"/>
      <c r="G1037" s="21"/>
      <c r="H1037" s="22"/>
      <c r="I1037" s="23"/>
      <c r="J1037" s="24"/>
      <c r="K1037" s="25"/>
      <c r="L1037" s="23"/>
      <c r="M1037" s="23"/>
      <c r="N1037" s="24"/>
      <c r="O1037" s="24"/>
      <c r="P1037" s="25"/>
      <c r="Q1037" s="25"/>
    </row>
    <row r="1038" spans="1:17" s="20" customFormat="1" x14ac:dyDescent="0.25">
      <c r="A1038" s="9"/>
      <c r="B1038" s="28"/>
      <c r="C1038" s="28"/>
      <c r="D1038" s="28"/>
      <c r="E1038" s="28"/>
      <c r="F1038" s="31"/>
      <c r="G1038" s="21"/>
      <c r="H1038" s="22"/>
      <c r="I1038" s="23"/>
      <c r="J1038" s="24"/>
      <c r="K1038" s="25"/>
      <c r="L1038" s="23"/>
      <c r="M1038" s="23"/>
      <c r="N1038" s="24"/>
      <c r="O1038" s="24"/>
      <c r="P1038" s="25"/>
      <c r="Q1038" s="25"/>
    </row>
    <row r="1039" spans="1:17" s="20" customFormat="1" x14ac:dyDescent="0.25">
      <c r="A1039" s="9"/>
      <c r="B1039" s="28"/>
      <c r="C1039" s="28"/>
      <c r="D1039" s="28"/>
      <c r="E1039" s="28"/>
      <c r="F1039" s="31"/>
      <c r="G1039" s="21"/>
      <c r="H1039" s="22"/>
      <c r="I1039" s="23"/>
      <c r="J1039" s="24"/>
      <c r="K1039" s="25"/>
      <c r="L1039" s="23"/>
      <c r="M1039" s="23"/>
      <c r="N1039" s="24"/>
      <c r="O1039" s="24"/>
      <c r="P1039" s="25"/>
      <c r="Q1039" s="25"/>
    </row>
    <row r="1040" spans="1:17" s="20" customFormat="1" x14ac:dyDescent="0.25">
      <c r="A1040" s="9"/>
      <c r="B1040" s="28"/>
      <c r="C1040" s="28"/>
      <c r="D1040" s="28"/>
      <c r="E1040" s="28"/>
      <c r="F1040" s="31"/>
      <c r="G1040" s="21"/>
      <c r="H1040" s="22"/>
      <c r="I1040" s="23"/>
      <c r="J1040" s="24"/>
      <c r="K1040" s="25"/>
      <c r="L1040" s="23"/>
      <c r="M1040" s="23"/>
      <c r="N1040" s="24"/>
      <c r="O1040" s="24"/>
      <c r="P1040" s="25"/>
      <c r="Q1040" s="25"/>
    </row>
    <row r="1041" spans="1:17" s="20" customFormat="1" x14ac:dyDescent="0.25">
      <c r="A1041" s="9"/>
      <c r="B1041" s="28"/>
      <c r="C1041" s="28"/>
      <c r="D1041" s="28"/>
      <c r="E1041" s="28"/>
      <c r="F1041" s="31"/>
      <c r="G1041" s="21"/>
      <c r="H1041" s="22"/>
      <c r="I1041" s="23"/>
      <c r="J1041" s="24"/>
      <c r="K1041" s="25"/>
      <c r="L1041" s="23"/>
      <c r="M1041" s="23"/>
      <c r="N1041" s="24"/>
      <c r="O1041" s="24"/>
      <c r="P1041" s="25"/>
      <c r="Q1041" s="25"/>
    </row>
    <row r="1042" spans="1:17" s="20" customFormat="1" x14ac:dyDescent="0.25">
      <c r="A1042" s="9"/>
      <c r="B1042" s="28"/>
      <c r="C1042" s="28"/>
      <c r="D1042" s="28"/>
      <c r="E1042" s="28"/>
      <c r="F1042" s="31"/>
      <c r="G1042" s="21"/>
      <c r="H1042" s="22"/>
      <c r="I1042" s="23"/>
      <c r="J1042" s="24"/>
      <c r="K1042" s="25"/>
      <c r="L1042" s="23"/>
      <c r="M1042" s="23"/>
      <c r="N1042" s="24"/>
      <c r="O1042" s="24"/>
      <c r="P1042" s="25"/>
      <c r="Q1042" s="25"/>
    </row>
    <row r="1043" spans="1:17" s="20" customFormat="1" x14ac:dyDescent="0.25">
      <c r="A1043" s="9"/>
      <c r="B1043" s="28"/>
      <c r="C1043" s="28"/>
      <c r="D1043" s="28"/>
      <c r="E1043" s="28"/>
      <c r="F1043" s="31"/>
      <c r="G1043" s="21"/>
      <c r="H1043" s="22"/>
      <c r="I1043" s="23"/>
      <c r="J1043" s="24"/>
      <c r="K1043" s="25"/>
      <c r="L1043" s="23"/>
      <c r="M1043" s="23"/>
      <c r="N1043" s="24"/>
      <c r="O1043" s="24"/>
      <c r="P1043" s="25"/>
      <c r="Q1043" s="25"/>
    </row>
    <row r="1044" spans="1:17" s="20" customFormat="1" x14ac:dyDescent="0.25">
      <c r="A1044" s="9"/>
      <c r="B1044" s="28"/>
      <c r="C1044" s="28"/>
      <c r="D1044" s="28"/>
      <c r="E1044" s="28"/>
      <c r="F1044" s="31"/>
      <c r="G1044" s="21"/>
      <c r="H1044" s="22"/>
      <c r="I1044" s="23"/>
      <c r="J1044" s="24"/>
      <c r="K1044" s="25"/>
      <c r="L1044" s="23"/>
      <c r="M1044" s="23"/>
      <c r="N1044" s="24"/>
      <c r="O1044" s="24"/>
      <c r="P1044" s="25"/>
      <c r="Q1044" s="25"/>
    </row>
    <row r="1045" spans="1:17" s="20" customFormat="1" x14ac:dyDescent="0.25">
      <c r="A1045" s="9"/>
      <c r="B1045" s="28"/>
      <c r="C1045" s="28"/>
      <c r="D1045" s="28"/>
      <c r="E1045" s="28"/>
      <c r="F1045" s="31"/>
      <c r="G1045" s="21"/>
      <c r="H1045" s="22"/>
      <c r="I1045" s="23"/>
      <c r="J1045" s="24"/>
      <c r="K1045" s="25"/>
      <c r="L1045" s="23"/>
      <c r="M1045" s="23"/>
      <c r="N1045" s="24"/>
      <c r="O1045" s="24"/>
      <c r="P1045" s="25"/>
      <c r="Q1045" s="25"/>
    </row>
    <row r="1046" spans="1:17" s="20" customFormat="1" x14ac:dyDescent="0.25">
      <c r="A1046" s="9"/>
      <c r="B1046" s="28"/>
      <c r="C1046" s="28"/>
      <c r="D1046" s="28"/>
      <c r="E1046" s="28"/>
      <c r="F1046" s="31"/>
      <c r="G1046" s="21"/>
      <c r="H1046" s="22"/>
      <c r="I1046" s="23"/>
      <c r="J1046" s="24"/>
      <c r="K1046" s="25"/>
      <c r="L1046" s="23"/>
      <c r="M1046" s="23"/>
      <c r="N1046" s="24"/>
      <c r="O1046" s="24"/>
      <c r="P1046" s="25"/>
      <c r="Q1046" s="25"/>
    </row>
    <row r="1047" spans="1:17" s="20" customFormat="1" x14ac:dyDescent="0.25">
      <c r="A1047" s="9"/>
      <c r="B1047" s="28"/>
      <c r="C1047" s="28"/>
      <c r="D1047" s="28"/>
      <c r="E1047" s="28"/>
      <c r="F1047" s="31"/>
      <c r="G1047" s="21"/>
      <c r="H1047" s="22"/>
      <c r="I1047" s="23"/>
      <c r="J1047" s="24"/>
      <c r="K1047" s="25"/>
      <c r="L1047" s="23"/>
      <c r="M1047" s="23"/>
      <c r="N1047" s="24"/>
      <c r="O1047" s="24"/>
      <c r="P1047" s="25"/>
      <c r="Q1047" s="25"/>
    </row>
    <row r="1048" spans="1:17" s="20" customFormat="1" x14ac:dyDescent="0.25">
      <c r="A1048" s="9"/>
      <c r="B1048" s="28"/>
      <c r="C1048" s="28"/>
      <c r="D1048" s="28"/>
      <c r="E1048" s="28"/>
      <c r="F1048" s="31"/>
      <c r="G1048" s="21"/>
      <c r="H1048" s="22"/>
      <c r="I1048" s="23"/>
      <c r="J1048" s="24"/>
      <c r="K1048" s="25"/>
      <c r="L1048" s="23"/>
      <c r="M1048" s="23"/>
      <c r="N1048" s="24"/>
      <c r="O1048" s="24"/>
      <c r="P1048" s="25"/>
      <c r="Q1048" s="25"/>
    </row>
    <row r="1049" spans="1:17" s="20" customFormat="1" x14ac:dyDescent="0.25">
      <c r="A1049" s="9"/>
      <c r="B1049" s="28"/>
      <c r="C1049" s="28"/>
      <c r="D1049" s="28"/>
      <c r="E1049" s="28"/>
      <c r="F1049" s="31"/>
      <c r="G1049" s="21"/>
      <c r="H1049" s="22"/>
      <c r="I1049" s="23"/>
      <c r="J1049" s="24"/>
      <c r="K1049" s="25"/>
      <c r="L1049" s="23"/>
      <c r="M1049" s="23"/>
      <c r="N1049" s="24"/>
      <c r="O1049" s="24"/>
      <c r="P1049" s="25"/>
      <c r="Q1049" s="25"/>
    </row>
    <row r="1050" spans="1:17" s="20" customFormat="1" x14ac:dyDescent="0.25">
      <c r="A1050" s="9"/>
      <c r="B1050" s="28"/>
      <c r="C1050" s="28"/>
      <c r="D1050" s="28"/>
      <c r="E1050" s="28"/>
      <c r="F1050" s="31"/>
      <c r="G1050" s="21"/>
      <c r="H1050" s="22"/>
      <c r="I1050" s="23"/>
      <c r="J1050" s="24"/>
      <c r="K1050" s="25"/>
      <c r="L1050" s="23"/>
      <c r="M1050" s="23"/>
      <c r="N1050" s="24"/>
      <c r="O1050" s="24"/>
      <c r="P1050" s="25"/>
      <c r="Q1050" s="25"/>
    </row>
    <row r="1051" spans="1:17" s="20" customFormat="1" x14ac:dyDescent="0.25">
      <c r="A1051" s="9"/>
      <c r="B1051" s="28"/>
      <c r="C1051" s="28"/>
      <c r="D1051" s="28"/>
      <c r="E1051" s="28"/>
      <c r="F1051" s="31"/>
      <c r="G1051" s="21"/>
      <c r="H1051" s="22"/>
      <c r="I1051" s="23"/>
      <c r="J1051" s="24"/>
      <c r="K1051" s="25"/>
      <c r="L1051" s="23"/>
      <c r="M1051" s="23"/>
      <c r="N1051" s="24"/>
      <c r="O1051" s="24"/>
      <c r="P1051" s="25"/>
      <c r="Q1051" s="25"/>
    </row>
    <row r="1052" spans="1:17" s="20" customFormat="1" x14ac:dyDescent="0.25">
      <c r="A1052" s="9"/>
      <c r="B1052" s="28"/>
      <c r="C1052" s="28"/>
      <c r="D1052" s="28"/>
      <c r="E1052" s="28"/>
      <c r="F1052" s="31"/>
      <c r="G1052" s="21"/>
      <c r="H1052" s="22"/>
      <c r="I1052" s="23"/>
      <c r="J1052" s="24"/>
      <c r="K1052" s="25"/>
      <c r="L1052" s="23"/>
      <c r="M1052" s="23"/>
      <c r="N1052" s="24"/>
      <c r="O1052" s="24"/>
      <c r="P1052" s="25"/>
      <c r="Q1052" s="25"/>
    </row>
    <row r="1053" spans="1:17" s="20" customFormat="1" x14ac:dyDescent="0.25">
      <c r="A1053" s="9"/>
      <c r="B1053" s="28"/>
      <c r="C1053" s="28"/>
      <c r="D1053" s="28"/>
      <c r="E1053" s="28"/>
      <c r="F1053" s="31"/>
      <c r="G1053" s="21"/>
      <c r="H1053" s="22"/>
      <c r="I1053" s="23"/>
      <c r="J1053" s="24"/>
      <c r="K1053" s="25"/>
      <c r="L1053" s="23"/>
      <c r="M1053" s="23"/>
      <c r="N1053" s="24"/>
      <c r="O1053" s="24"/>
      <c r="P1053" s="25"/>
      <c r="Q1053" s="25"/>
    </row>
    <row r="1054" spans="1:17" s="20" customFormat="1" x14ac:dyDescent="0.25">
      <c r="A1054" s="9"/>
      <c r="B1054" s="28"/>
      <c r="C1054" s="28"/>
      <c r="D1054" s="28"/>
      <c r="E1054" s="28"/>
      <c r="F1054" s="31"/>
      <c r="G1054" s="21"/>
      <c r="H1054" s="22"/>
      <c r="I1054" s="23"/>
      <c r="J1054" s="24"/>
      <c r="K1054" s="25"/>
      <c r="L1054" s="23"/>
      <c r="M1054" s="23"/>
      <c r="N1054" s="24"/>
      <c r="O1054" s="24"/>
      <c r="P1054" s="25"/>
      <c r="Q1054" s="25"/>
    </row>
    <row r="1055" spans="1:17" s="20" customFormat="1" x14ac:dyDescent="0.25">
      <c r="A1055" s="9"/>
      <c r="B1055" s="28"/>
      <c r="C1055" s="28"/>
      <c r="D1055" s="28"/>
      <c r="E1055" s="28"/>
      <c r="F1055" s="31"/>
      <c r="G1055" s="21"/>
      <c r="H1055" s="22"/>
      <c r="I1055" s="23"/>
      <c r="J1055" s="24"/>
      <c r="K1055" s="25"/>
      <c r="L1055" s="23"/>
      <c r="M1055" s="23"/>
      <c r="N1055" s="24"/>
      <c r="O1055" s="24"/>
      <c r="P1055" s="25"/>
      <c r="Q1055" s="25"/>
    </row>
    <row r="1056" spans="1:17" s="20" customFormat="1" x14ac:dyDescent="0.25">
      <c r="A1056" s="9"/>
      <c r="B1056" s="28"/>
      <c r="C1056" s="28"/>
      <c r="D1056" s="28"/>
      <c r="E1056" s="28"/>
      <c r="F1056" s="31"/>
      <c r="G1056" s="21"/>
      <c r="H1056" s="22"/>
      <c r="I1056" s="23"/>
      <c r="J1056" s="24"/>
      <c r="K1056" s="25"/>
      <c r="L1056" s="23"/>
      <c r="M1056" s="23"/>
      <c r="N1056" s="24"/>
      <c r="O1056" s="24"/>
      <c r="P1056" s="25"/>
      <c r="Q1056" s="25"/>
    </row>
    <row r="1057" spans="1:17" s="20" customFormat="1" x14ac:dyDescent="0.25">
      <c r="A1057" s="9"/>
      <c r="B1057" s="28"/>
      <c r="C1057" s="28"/>
      <c r="D1057" s="28"/>
      <c r="E1057" s="28"/>
      <c r="F1057" s="31"/>
      <c r="G1057" s="21"/>
      <c r="H1057" s="22"/>
      <c r="I1057" s="23"/>
      <c r="J1057" s="24"/>
      <c r="K1057" s="25"/>
      <c r="L1057" s="23"/>
      <c r="M1057" s="23"/>
      <c r="N1057" s="24"/>
      <c r="O1057" s="24"/>
      <c r="P1057" s="25"/>
      <c r="Q1057" s="25"/>
    </row>
    <row r="1058" spans="1:17" s="20" customFormat="1" x14ac:dyDescent="0.25">
      <c r="A1058" s="9"/>
      <c r="B1058" s="28"/>
      <c r="C1058" s="28"/>
      <c r="D1058" s="28"/>
      <c r="E1058" s="28"/>
      <c r="F1058" s="31"/>
      <c r="G1058" s="21"/>
      <c r="H1058" s="22"/>
      <c r="I1058" s="23"/>
      <c r="J1058" s="24"/>
      <c r="K1058" s="25"/>
      <c r="L1058" s="23"/>
      <c r="M1058" s="23"/>
      <c r="N1058" s="24"/>
      <c r="O1058" s="24"/>
      <c r="P1058" s="25"/>
      <c r="Q1058" s="25"/>
    </row>
    <row r="1059" spans="1:17" s="20" customFormat="1" x14ac:dyDescent="0.25">
      <c r="A1059" s="9"/>
      <c r="B1059" s="28"/>
      <c r="C1059" s="28"/>
      <c r="D1059" s="28"/>
      <c r="E1059" s="28"/>
      <c r="F1059" s="31"/>
      <c r="G1059" s="21"/>
      <c r="H1059" s="22"/>
      <c r="I1059" s="23"/>
      <c r="J1059" s="24"/>
      <c r="K1059" s="25"/>
      <c r="L1059" s="23"/>
      <c r="M1059" s="23"/>
      <c r="N1059" s="24"/>
      <c r="O1059" s="24"/>
      <c r="P1059" s="25"/>
      <c r="Q1059" s="25"/>
    </row>
    <row r="1060" spans="1:17" s="20" customFormat="1" x14ac:dyDescent="0.25">
      <c r="A1060" s="9"/>
      <c r="B1060" s="28"/>
      <c r="C1060" s="28"/>
      <c r="D1060" s="28"/>
      <c r="E1060" s="28"/>
      <c r="F1060" s="31"/>
      <c r="G1060" s="21"/>
      <c r="H1060" s="22"/>
      <c r="I1060" s="23"/>
      <c r="J1060" s="24"/>
      <c r="K1060" s="25"/>
      <c r="L1060" s="23"/>
      <c r="M1060" s="23"/>
      <c r="N1060" s="24"/>
      <c r="O1060" s="24"/>
      <c r="P1060" s="25"/>
      <c r="Q1060" s="25"/>
    </row>
    <row r="1061" spans="1:17" s="20" customFormat="1" x14ac:dyDescent="0.25">
      <c r="A1061" s="9"/>
      <c r="B1061" s="28"/>
      <c r="C1061" s="28"/>
      <c r="D1061" s="28"/>
      <c r="E1061" s="28"/>
      <c r="F1061" s="31"/>
      <c r="G1061" s="21"/>
      <c r="H1061" s="22"/>
      <c r="I1061" s="23"/>
      <c r="J1061" s="24"/>
      <c r="K1061" s="25"/>
      <c r="L1061" s="23"/>
      <c r="M1061" s="23"/>
      <c r="N1061" s="24"/>
      <c r="O1061" s="24"/>
      <c r="P1061" s="25"/>
      <c r="Q1061" s="25"/>
    </row>
    <row r="1062" spans="1:17" s="20" customFormat="1" x14ac:dyDescent="0.25">
      <c r="A1062" s="9"/>
      <c r="B1062" s="28"/>
      <c r="C1062" s="28"/>
      <c r="D1062" s="28"/>
      <c r="E1062" s="28"/>
      <c r="F1062" s="31"/>
      <c r="G1062" s="21"/>
      <c r="H1062" s="22"/>
      <c r="I1062" s="23"/>
      <c r="J1062" s="24"/>
      <c r="K1062" s="25"/>
      <c r="L1062" s="23"/>
      <c r="M1062" s="23"/>
      <c r="N1062" s="24"/>
      <c r="O1062" s="24"/>
      <c r="P1062" s="25"/>
      <c r="Q1062" s="25"/>
    </row>
    <row r="1063" spans="1:17" s="20" customFormat="1" x14ac:dyDescent="0.25">
      <c r="A1063" s="9"/>
      <c r="B1063" s="28"/>
      <c r="C1063" s="28"/>
      <c r="D1063" s="28"/>
      <c r="E1063" s="28"/>
      <c r="F1063" s="31"/>
      <c r="G1063" s="21"/>
      <c r="H1063" s="22"/>
      <c r="I1063" s="23"/>
      <c r="J1063" s="24"/>
      <c r="K1063" s="25"/>
      <c r="L1063" s="23"/>
      <c r="M1063" s="23"/>
      <c r="N1063" s="24"/>
      <c r="O1063" s="24"/>
      <c r="P1063" s="25"/>
      <c r="Q1063" s="25"/>
    </row>
    <row r="1064" spans="1:17" s="20" customFormat="1" x14ac:dyDescent="0.25">
      <c r="A1064" s="9"/>
      <c r="B1064" s="28"/>
      <c r="C1064" s="28"/>
      <c r="D1064" s="28"/>
      <c r="E1064" s="28"/>
      <c r="F1064" s="31"/>
      <c r="G1064" s="21"/>
      <c r="H1064" s="22"/>
      <c r="I1064" s="23"/>
      <c r="J1064" s="24"/>
      <c r="K1064" s="25"/>
      <c r="L1064" s="23"/>
      <c r="M1064" s="23"/>
      <c r="N1064" s="24"/>
      <c r="O1064" s="24"/>
      <c r="P1064" s="25"/>
      <c r="Q1064" s="25"/>
    </row>
    <row r="1065" spans="1:17" s="20" customFormat="1" x14ac:dyDescent="0.25">
      <c r="A1065" s="9"/>
      <c r="B1065" s="28"/>
      <c r="C1065" s="28"/>
      <c r="D1065" s="28"/>
      <c r="E1065" s="28"/>
      <c r="F1065" s="31"/>
      <c r="G1065" s="21"/>
      <c r="H1065" s="22"/>
      <c r="I1065" s="23"/>
      <c r="J1065" s="24"/>
      <c r="K1065" s="25"/>
      <c r="L1065" s="23"/>
      <c r="M1065" s="23"/>
      <c r="N1065" s="24"/>
      <c r="O1065" s="24"/>
      <c r="P1065" s="25"/>
      <c r="Q1065" s="25"/>
    </row>
    <row r="1066" spans="1:17" s="20" customFormat="1" x14ac:dyDescent="0.25">
      <c r="A1066" s="9"/>
      <c r="B1066" s="28"/>
      <c r="C1066" s="28"/>
      <c r="D1066" s="28"/>
      <c r="E1066" s="28"/>
      <c r="F1066" s="31"/>
      <c r="G1066" s="21"/>
      <c r="H1066" s="22"/>
      <c r="I1066" s="23"/>
      <c r="J1066" s="24"/>
      <c r="K1066" s="25"/>
      <c r="L1066" s="23"/>
      <c r="M1066" s="23"/>
      <c r="N1066" s="24"/>
      <c r="O1066" s="24"/>
      <c r="P1066" s="25"/>
      <c r="Q1066" s="25"/>
    </row>
    <row r="1067" spans="1:17" s="20" customFormat="1" x14ac:dyDescent="0.25">
      <c r="A1067" s="9"/>
      <c r="B1067" s="28"/>
      <c r="C1067" s="28"/>
      <c r="D1067" s="28"/>
      <c r="E1067" s="28"/>
      <c r="F1067" s="31"/>
      <c r="G1067" s="21"/>
      <c r="H1067" s="22"/>
      <c r="I1067" s="23"/>
      <c r="J1067" s="24"/>
      <c r="K1067" s="25"/>
      <c r="L1067" s="23"/>
      <c r="M1067" s="23"/>
      <c r="N1067" s="24"/>
      <c r="O1067" s="24"/>
      <c r="P1067" s="25"/>
      <c r="Q1067" s="25"/>
    </row>
    <row r="1068" spans="1:17" s="20" customFormat="1" x14ac:dyDescent="0.25">
      <c r="A1068" s="9"/>
      <c r="B1068" s="28"/>
      <c r="C1068" s="28"/>
      <c r="D1068" s="28"/>
      <c r="E1068" s="28"/>
      <c r="F1068" s="31"/>
      <c r="G1068" s="21"/>
      <c r="H1068" s="22"/>
      <c r="I1068" s="23"/>
      <c r="J1068" s="24"/>
      <c r="K1068" s="25"/>
      <c r="L1068" s="23"/>
      <c r="M1068" s="23"/>
      <c r="N1068" s="24"/>
      <c r="O1068" s="24"/>
      <c r="P1068" s="25"/>
      <c r="Q1068" s="25"/>
    </row>
    <row r="1069" spans="1:17" s="20" customFormat="1" x14ac:dyDescent="0.25">
      <c r="A1069" s="9"/>
      <c r="B1069" s="28"/>
      <c r="C1069" s="28"/>
      <c r="D1069" s="28"/>
      <c r="E1069" s="28"/>
      <c r="F1069" s="31"/>
      <c r="G1069" s="21"/>
      <c r="H1069" s="22"/>
      <c r="I1069" s="23"/>
      <c r="J1069" s="24"/>
      <c r="K1069" s="25"/>
      <c r="L1069" s="23"/>
      <c r="M1069" s="23"/>
      <c r="N1069" s="24"/>
      <c r="O1069" s="24"/>
      <c r="P1069" s="25"/>
      <c r="Q1069" s="25"/>
    </row>
    <row r="1070" spans="1:17" s="20" customFormat="1" x14ac:dyDescent="0.25">
      <c r="A1070" s="9"/>
      <c r="B1070" s="28"/>
      <c r="C1070" s="28"/>
      <c r="D1070" s="28"/>
      <c r="E1070" s="28"/>
      <c r="F1070" s="31"/>
      <c r="G1070" s="21"/>
      <c r="H1070" s="22"/>
      <c r="I1070" s="23"/>
      <c r="J1070" s="24"/>
      <c r="K1070" s="25"/>
      <c r="L1070" s="23"/>
      <c r="M1070" s="23"/>
      <c r="N1070" s="24"/>
      <c r="O1070" s="24"/>
      <c r="P1070" s="25"/>
      <c r="Q1070" s="25"/>
    </row>
    <row r="1071" spans="1:17" s="20" customFormat="1" x14ac:dyDescent="0.25">
      <c r="A1071" s="9"/>
      <c r="B1071" s="28"/>
      <c r="C1071" s="28"/>
      <c r="D1071" s="28"/>
      <c r="E1071" s="28"/>
      <c r="F1071" s="31"/>
      <c r="G1071" s="21"/>
      <c r="H1071" s="22"/>
      <c r="I1071" s="23"/>
      <c r="J1071" s="24"/>
      <c r="K1071" s="25"/>
      <c r="L1071" s="23"/>
      <c r="M1071" s="23"/>
      <c r="N1071" s="24"/>
      <c r="O1071" s="24"/>
      <c r="P1071" s="25"/>
      <c r="Q1071" s="25"/>
    </row>
    <row r="1072" spans="1:17" s="20" customFormat="1" x14ac:dyDescent="0.25">
      <c r="A1072" s="9"/>
      <c r="B1072" s="28"/>
      <c r="C1072" s="28"/>
      <c r="D1072" s="28"/>
      <c r="E1072" s="28"/>
      <c r="F1072" s="31"/>
      <c r="G1072" s="21"/>
      <c r="H1072" s="22"/>
      <c r="I1072" s="23"/>
      <c r="J1072" s="24"/>
      <c r="K1072" s="25"/>
      <c r="L1072" s="23"/>
      <c r="M1072" s="23"/>
      <c r="N1072" s="24"/>
      <c r="O1072" s="24"/>
      <c r="P1072" s="25"/>
      <c r="Q1072" s="25"/>
    </row>
    <row r="1073" spans="1:17" s="20" customFormat="1" x14ac:dyDescent="0.25">
      <c r="A1073" s="9"/>
      <c r="B1073" s="28"/>
      <c r="C1073" s="28"/>
      <c r="D1073" s="28"/>
      <c r="E1073" s="28"/>
      <c r="F1073" s="31"/>
      <c r="G1073" s="21"/>
      <c r="H1073" s="22"/>
      <c r="I1073" s="23"/>
      <c r="J1073" s="24"/>
      <c r="K1073" s="25"/>
      <c r="L1073" s="23"/>
      <c r="M1073" s="23"/>
      <c r="N1073" s="24"/>
      <c r="O1073" s="24"/>
      <c r="P1073" s="25"/>
      <c r="Q1073" s="25"/>
    </row>
    <row r="1074" spans="1:17" s="20" customFormat="1" x14ac:dyDescent="0.25">
      <c r="A1074" s="9"/>
      <c r="B1074" s="28"/>
      <c r="C1074" s="28"/>
      <c r="D1074" s="28"/>
      <c r="E1074" s="28"/>
      <c r="F1074" s="31"/>
      <c r="G1074" s="21"/>
      <c r="H1074" s="22"/>
      <c r="I1074" s="23"/>
      <c r="J1074" s="24"/>
      <c r="K1074" s="25"/>
      <c r="L1074" s="23"/>
      <c r="M1074" s="23"/>
      <c r="N1074" s="24"/>
      <c r="O1074" s="24"/>
      <c r="P1074" s="25"/>
      <c r="Q1074" s="25"/>
    </row>
    <row r="1075" spans="1:17" s="20" customFormat="1" x14ac:dyDescent="0.25">
      <c r="A1075" s="9"/>
      <c r="B1075" s="28"/>
      <c r="C1075" s="28"/>
      <c r="D1075" s="28"/>
      <c r="E1075" s="28"/>
      <c r="F1075" s="31"/>
      <c r="G1075" s="21"/>
      <c r="H1075" s="22"/>
      <c r="I1075" s="23"/>
      <c r="J1075" s="24"/>
      <c r="K1075" s="25"/>
      <c r="L1075" s="23"/>
      <c r="M1075" s="23"/>
      <c r="N1075" s="24"/>
      <c r="O1075" s="24"/>
      <c r="P1075" s="25"/>
      <c r="Q1075" s="25"/>
    </row>
    <row r="1076" spans="1:17" s="20" customFormat="1" x14ac:dyDescent="0.25">
      <c r="A1076" s="9"/>
      <c r="B1076" s="28"/>
      <c r="C1076" s="28"/>
      <c r="D1076" s="28"/>
      <c r="E1076" s="28"/>
      <c r="F1076" s="31"/>
      <c r="G1076" s="21"/>
      <c r="H1076" s="22"/>
      <c r="I1076" s="23"/>
      <c r="J1076" s="24"/>
      <c r="K1076" s="25"/>
      <c r="L1076" s="23"/>
      <c r="M1076" s="23"/>
      <c r="N1076" s="24"/>
      <c r="O1076" s="24"/>
      <c r="P1076" s="25"/>
      <c r="Q1076" s="25"/>
    </row>
    <row r="1077" spans="1:17" s="20" customFormat="1" x14ac:dyDescent="0.25">
      <c r="A1077" s="9"/>
      <c r="B1077" s="28"/>
      <c r="C1077" s="28"/>
      <c r="D1077" s="28"/>
      <c r="E1077" s="28"/>
      <c r="F1077" s="31"/>
      <c r="G1077" s="21"/>
      <c r="H1077" s="22"/>
      <c r="I1077" s="23"/>
      <c r="J1077" s="24"/>
      <c r="K1077" s="25"/>
      <c r="L1077" s="23"/>
      <c r="M1077" s="23"/>
      <c r="N1077" s="24"/>
      <c r="O1077" s="24"/>
      <c r="P1077" s="25"/>
      <c r="Q1077" s="25"/>
    </row>
    <row r="1078" spans="1:17" s="20" customFormat="1" x14ac:dyDescent="0.25">
      <c r="A1078" s="9"/>
      <c r="B1078" s="28"/>
      <c r="C1078" s="28"/>
      <c r="D1078" s="28"/>
      <c r="E1078" s="28"/>
      <c r="F1078" s="31"/>
      <c r="G1078" s="21"/>
      <c r="H1078" s="22"/>
      <c r="I1078" s="23"/>
      <c r="J1078" s="24"/>
      <c r="K1078" s="25"/>
      <c r="L1078" s="23"/>
      <c r="M1078" s="23"/>
      <c r="N1078" s="24"/>
      <c r="O1078" s="24"/>
      <c r="P1078" s="25"/>
      <c r="Q1078" s="25"/>
    </row>
    <row r="1079" spans="1:17" s="20" customFormat="1" x14ac:dyDescent="0.25">
      <c r="A1079" s="9"/>
      <c r="B1079" s="28"/>
      <c r="C1079" s="28"/>
      <c r="D1079" s="28"/>
      <c r="E1079" s="28"/>
      <c r="F1079" s="31"/>
      <c r="G1079" s="21"/>
      <c r="H1079" s="22"/>
      <c r="I1079" s="23"/>
      <c r="J1079" s="24"/>
      <c r="K1079" s="25"/>
      <c r="L1079" s="23"/>
      <c r="M1079" s="23"/>
      <c r="N1079" s="24"/>
      <c r="O1079" s="24"/>
      <c r="P1079" s="25"/>
      <c r="Q1079" s="25"/>
    </row>
    <row r="1080" spans="1:17" s="20" customFormat="1" x14ac:dyDescent="0.25">
      <c r="A1080" s="9"/>
      <c r="B1080" s="28"/>
      <c r="C1080" s="28"/>
      <c r="D1080" s="28"/>
      <c r="E1080" s="28"/>
      <c r="F1080" s="31"/>
      <c r="G1080" s="21"/>
      <c r="H1080" s="22"/>
      <c r="I1080" s="23"/>
      <c r="J1080" s="24"/>
      <c r="K1080" s="25"/>
      <c r="L1080" s="23"/>
      <c r="M1080" s="23"/>
      <c r="N1080" s="24"/>
      <c r="O1080" s="24"/>
      <c r="P1080" s="25"/>
      <c r="Q1080" s="25"/>
    </row>
    <row r="1081" spans="1:17" s="20" customFormat="1" x14ac:dyDescent="0.25">
      <c r="A1081" s="9"/>
      <c r="B1081" s="28"/>
      <c r="C1081" s="28"/>
      <c r="D1081" s="28"/>
      <c r="E1081" s="28"/>
      <c r="F1081" s="31"/>
      <c r="G1081" s="21"/>
      <c r="H1081" s="22"/>
      <c r="I1081" s="23"/>
      <c r="J1081" s="24"/>
      <c r="K1081" s="25"/>
      <c r="L1081" s="23"/>
      <c r="M1081" s="23"/>
      <c r="N1081" s="24"/>
      <c r="O1081" s="24"/>
      <c r="P1081" s="25"/>
      <c r="Q1081" s="25"/>
    </row>
    <row r="1082" spans="1:17" s="20" customFormat="1" x14ac:dyDescent="0.25">
      <c r="A1082" s="9"/>
      <c r="B1082" s="28"/>
      <c r="C1082" s="28"/>
      <c r="D1082" s="28"/>
      <c r="E1082" s="28"/>
      <c r="F1082" s="31"/>
      <c r="G1082" s="21"/>
      <c r="H1082" s="22"/>
      <c r="I1082" s="23"/>
      <c r="J1082" s="24"/>
      <c r="K1082" s="25"/>
      <c r="L1082" s="23"/>
      <c r="M1082" s="23"/>
      <c r="N1082" s="24"/>
      <c r="O1082" s="24"/>
      <c r="P1082" s="25"/>
      <c r="Q1082" s="25"/>
    </row>
    <row r="1083" spans="1:17" s="20" customFormat="1" x14ac:dyDescent="0.25">
      <c r="A1083" s="9"/>
      <c r="B1083" s="28"/>
      <c r="C1083" s="28"/>
      <c r="D1083" s="28"/>
      <c r="E1083" s="28"/>
      <c r="F1083" s="31"/>
      <c r="G1083" s="21"/>
      <c r="H1083" s="22"/>
      <c r="I1083" s="23"/>
      <c r="J1083" s="24"/>
      <c r="K1083" s="25"/>
      <c r="L1083" s="23"/>
      <c r="M1083" s="23"/>
      <c r="N1083" s="24"/>
      <c r="O1083" s="24"/>
      <c r="P1083" s="25"/>
      <c r="Q1083" s="25"/>
    </row>
    <row r="1084" spans="1:17" s="20" customFormat="1" x14ac:dyDescent="0.25">
      <c r="A1084" s="9"/>
      <c r="B1084" s="28"/>
      <c r="C1084" s="28"/>
      <c r="D1084" s="28"/>
      <c r="E1084" s="28"/>
      <c r="F1084" s="31"/>
      <c r="G1084" s="21"/>
      <c r="H1084" s="22"/>
      <c r="I1084" s="23"/>
      <c r="J1084" s="24"/>
      <c r="K1084" s="25"/>
      <c r="L1084" s="23"/>
      <c r="M1084" s="23"/>
      <c r="N1084" s="24"/>
      <c r="O1084" s="24"/>
      <c r="P1084" s="25"/>
      <c r="Q1084" s="25"/>
    </row>
    <row r="1085" spans="1:17" s="20" customFormat="1" x14ac:dyDescent="0.25">
      <c r="A1085" s="9"/>
      <c r="B1085" s="28"/>
      <c r="C1085" s="28"/>
      <c r="D1085" s="28"/>
      <c r="E1085" s="28"/>
      <c r="F1085" s="31"/>
      <c r="G1085" s="21"/>
      <c r="H1085" s="22"/>
      <c r="I1085" s="23"/>
      <c r="J1085" s="24"/>
      <c r="K1085" s="25"/>
      <c r="L1085" s="23"/>
      <c r="M1085" s="23"/>
      <c r="N1085" s="24"/>
      <c r="O1085" s="24"/>
      <c r="P1085" s="25"/>
      <c r="Q1085" s="25"/>
    </row>
    <row r="1086" spans="1:17" s="20" customFormat="1" x14ac:dyDescent="0.25">
      <c r="A1086" s="9"/>
      <c r="B1086" s="28"/>
      <c r="C1086" s="28"/>
      <c r="D1086" s="28"/>
      <c r="E1086" s="28"/>
      <c r="F1086" s="31"/>
      <c r="G1086" s="21"/>
      <c r="H1086" s="22"/>
      <c r="I1086" s="23"/>
      <c r="J1086" s="24"/>
      <c r="K1086" s="25"/>
      <c r="L1086" s="23"/>
      <c r="M1086" s="23"/>
      <c r="N1086" s="24"/>
      <c r="O1086" s="24"/>
      <c r="P1086" s="25"/>
      <c r="Q1086" s="25"/>
    </row>
    <row r="1087" spans="1:17" s="20" customFormat="1" x14ac:dyDescent="0.25">
      <c r="A1087" s="9"/>
      <c r="B1087" s="28"/>
      <c r="C1087" s="28"/>
      <c r="D1087" s="28"/>
      <c r="E1087" s="28"/>
      <c r="F1087" s="31"/>
      <c r="G1087" s="21"/>
      <c r="H1087" s="22"/>
      <c r="I1087" s="23"/>
      <c r="J1087" s="24"/>
      <c r="K1087" s="25"/>
      <c r="L1087" s="23"/>
      <c r="M1087" s="23"/>
      <c r="N1087" s="24"/>
      <c r="O1087" s="24"/>
      <c r="P1087" s="25"/>
      <c r="Q1087" s="25"/>
    </row>
    <row r="1088" spans="1:17" s="20" customFormat="1" x14ac:dyDescent="0.25">
      <c r="A1088" s="9"/>
      <c r="B1088" s="28"/>
      <c r="C1088" s="28"/>
      <c r="D1088" s="28"/>
      <c r="E1088" s="28"/>
      <c r="F1088" s="31"/>
      <c r="G1088" s="21"/>
      <c r="H1088" s="22"/>
      <c r="I1088" s="23"/>
      <c r="J1088" s="24"/>
      <c r="K1088" s="25"/>
      <c r="L1088" s="23"/>
      <c r="M1088" s="23"/>
      <c r="N1088" s="24"/>
      <c r="O1088" s="24"/>
      <c r="P1088" s="25"/>
      <c r="Q1088" s="25"/>
    </row>
    <row r="1089" spans="1:17" s="20" customFormat="1" x14ac:dyDescent="0.25">
      <c r="A1089" s="9"/>
      <c r="B1089" s="28"/>
      <c r="C1089" s="28"/>
      <c r="D1089" s="28"/>
      <c r="E1089" s="28"/>
      <c r="F1089" s="31"/>
      <c r="G1089" s="21"/>
      <c r="H1089" s="22"/>
      <c r="I1089" s="23"/>
      <c r="J1089" s="24"/>
      <c r="K1089" s="25"/>
      <c r="L1089" s="23"/>
      <c r="M1089" s="23"/>
      <c r="N1089" s="24"/>
      <c r="O1089" s="24"/>
      <c r="P1089" s="25"/>
      <c r="Q1089" s="25"/>
    </row>
    <row r="1090" spans="1:17" s="20" customFormat="1" x14ac:dyDescent="0.25">
      <c r="A1090" s="9"/>
      <c r="B1090" s="28"/>
      <c r="C1090" s="28"/>
      <c r="D1090" s="28"/>
      <c r="E1090" s="28"/>
      <c r="F1090" s="31"/>
      <c r="G1090" s="21"/>
      <c r="H1090" s="22"/>
      <c r="I1090" s="23"/>
      <c r="J1090" s="24"/>
      <c r="K1090" s="25"/>
      <c r="L1090" s="23"/>
      <c r="M1090" s="23"/>
      <c r="N1090" s="24"/>
      <c r="O1090" s="24"/>
      <c r="P1090" s="25"/>
      <c r="Q1090" s="25"/>
    </row>
    <row r="1091" spans="1:17" s="20" customFormat="1" x14ac:dyDescent="0.25">
      <c r="A1091" s="9"/>
      <c r="B1091" s="28"/>
      <c r="C1091" s="28"/>
      <c r="D1091" s="28"/>
      <c r="E1091" s="28"/>
      <c r="F1091" s="31"/>
      <c r="G1091" s="21"/>
      <c r="H1091" s="22"/>
      <c r="I1091" s="23"/>
      <c r="J1091" s="24"/>
      <c r="K1091" s="25"/>
      <c r="L1091" s="23"/>
      <c r="M1091" s="23"/>
      <c r="N1091" s="24"/>
      <c r="O1091" s="24"/>
      <c r="P1091" s="25"/>
      <c r="Q1091" s="25"/>
    </row>
    <row r="1092" spans="1:17" s="20" customFormat="1" x14ac:dyDescent="0.25">
      <c r="A1092" s="9"/>
      <c r="B1092" s="28"/>
      <c r="C1092" s="28"/>
      <c r="D1092" s="28"/>
      <c r="E1092" s="28"/>
      <c r="F1092" s="31"/>
      <c r="G1092" s="21"/>
      <c r="H1092" s="22"/>
      <c r="I1092" s="23"/>
      <c r="J1092" s="24"/>
      <c r="K1092" s="25"/>
      <c r="L1092" s="23"/>
      <c r="M1092" s="23"/>
      <c r="N1092" s="24"/>
      <c r="O1092" s="24"/>
      <c r="P1092" s="25"/>
      <c r="Q1092" s="25"/>
    </row>
    <row r="1093" spans="1:17" s="20" customFormat="1" x14ac:dyDescent="0.25">
      <c r="A1093" s="9"/>
      <c r="B1093" s="28"/>
      <c r="C1093" s="28"/>
      <c r="D1093" s="28"/>
      <c r="E1093" s="28"/>
      <c r="F1093" s="31"/>
      <c r="G1093" s="21"/>
      <c r="H1093" s="22"/>
      <c r="I1093" s="23"/>
      <c r="J1093" s="24"/>
      <c r="K1093" s="25"/>
      <c r="L1093" s="23"/>
      <c r="M1093" s="23"/>
      <c r="N1093" s="24"/>
      <c r="O1093" s="24"/>
      <c r="P1093" s="25"/>
      <c r="Q1093" s="25"/>
    </row>
    <row r="1094" spans="1:17" s="20" customFormat="1" x14ac:dyDescent="0.25">
      <c r="A1094" s="9"/>
      <c r="B1094" s="28"/>
      <c r="C1094" s="28"/>
      <c r="D1094" s="28"/>
      <c r="E1094" s="28"/>
      <c r="F1094" s="31"/>
      <c r="G1094" s="21"/>
      <c r="H1094" s="22"/>
      <c r="I1094" s="23"/>
      <c r="J1094" s="24"/>
      <c r="K1094" s="25"/>
      <c r="L1094" s="23"/>
      <c r="M1094" s="23"/>
      <c r="N1094" s="24"/>
      <c r="O1094" s="24"/>
      <c r="P1094" s="25"/>
      <c r="Q1094" s="25"/>
    </row>
    <row r="1095" spans="1:17" s="20" customFormat="1" x14ac:dyDescent="0.25">
      <c r="A1095" s="9"/>
      <c r="B1095" s="28"/>
      <c r="C1095" s="28"/>
      <c r="D1095" s="28"/>
      <c r="E1095" s="28"/>
      <c r="F1095" s="31"/>
      <c r="G1095" s="21"/>
      <c r="H1095" s="22"/>
      <c r="I1095" s="23"/>
      <c r="J1095" s="24"/>
      <c r="K1095" s="25"/>
      <c r="L1095" s="23"/>
      <c r="M1095" s="23"/>
      <c r="N1095" s="24"/>
      <c r="O1095" s="24"/>
      <c r="P1095" s="25"/>
      <c r="Q1095" s="25"/>
    </row>
    <row r="1096" spans="1:17" s="20" customFormat="1" x14ac:dyDescent="0.25">
      <c r="A1096" s="9"/>
      <c r="B1096" s="28"/>
      <c r="C1096" s="28"/>
      <c r="D1096" s="28"/>
      <c r="E1096" s="28"/>
      <c r="F1096" s="31"/>
      <c r="G1096" s="21"/>
      <c r="H1096" s="22"/>
      <c r="I1096" s="23"/>
      <c r="J1096" s="24"/>
      <c r="K1096" s="25"/>
      <c r="L1096" s="23"/>
      <c r="M1096" s="23"/>
      <c r="N1096" s="24"/>
      <c r="O1096" s="24"/>
      <c r="P1096" s="25"/>
      <c r="Q1096" s="25"/>
    </row>
    <row r="1097" spans="1:17" s="20" customFormat="1" x14ac:dyDescent="0.25">
      <c r="A1097" s="9"/>
      <c r="B1097" s="28"/>
      <c r="C1097" s="28"/>
      <c r="D1097" s="28"/>
      <c r="E1097" s="28"/>
      <c r="F1097" s="31"/>
      <c r="G1097" s="21"/>
      <c r="H1097" s="22"/>
      <c r="I1097" s="23"/>
      <c r="J1097" s="24"/>
      <c r="K1097" s="25"/>
      <c r="L1097" s="23"/>
      <c r="M1097" s="23"/>
      <c r="N1097" s="24"/>
      <c r="O1097" s="24"/>
      <c r="P1097" s="25"/>
      <c r="Q1097" s="25"/>
    </row>
    <row r="1098" spans="1:17" s="20" customFormat="1" x14ac:dyDescent="0.25">
      <c r="A1098" s="9"/>
      <c r="B1098" s="28"/>
      <c r="C1098" s="28"/>
      <c r="D1098" s="28"/>
      <c r="E1098" s="28"/>
      <c r="F1098" s="31"/>
      <c r="G1098" s="21"/>
      <c r="H1098" s="22"/>
      <c r="I1098" s="23"/>
      <c r="J1098" s="24"/>
      <c r="K1098" s="25"/>
      <c r="L1098" s="23"/>
      <c r="M1098" s="23"/>
      <c r="N1098" s="24"/>
      <c r="O1098" s="24"/>
      <c r="P1098" s="25"/>
      <c r="Q1098" s="25"/>
    </row>
    <row r="1099" spans="1:17" s="20" customFormat="1" x14ac:dyDescent="0.25">
      <c r="A1099" s="9"/>
      <c r="B1099" s="28"/>
      <c r="C1099" s="28"/>
      <c r="D1099" s="28"/>
      <c r="E1099" s="28"/>
      <c r="F1099" s="31"/>
      <c r="G1099" s="21"/>
      <c r="H1099" s="22"/>
      <c r="I1099" s="23"/>
      <c r="J1099" s="24"/>
      <c r="K1099" s="25"/>
      <c r="L1099" s="23"/>
      <c r="M1099" s="23"/>
      <c r="N1099" s="24"/>
      <c r="O1099" s="24"/>
      <c r="P1099" s="25"/>
      <c r="Q1099" s="25"/>
    </row>
    <row r="1100" spans="1:17" s="20" customFormat="1" x14ac:dyDescent="0.25">
      <c r="A1100" s="9"/>
      <c r="B1100" s="28"/>
      <c r="C1100" s="28"/>
      <c r="D1100" s="28"/>
      <c r="E1100" s="28"/>
      <c r="F1100" s="31"/>
      <c r="G1100" s="21"/>
      <c r="H1100" s="22"/>
      <c r="I1100" s="23"/>
      <c r="J1100" s="24"/>
      <c r="K1100" s="25"/>
      <c r="L1100" s="23"/>
      <c r="M1100" s="23"/>
      <c r="N1100" s="24"/>
      <c r="O1100" s="24"/>
      <c r="P1100" s="25"/>
      <c r="Q1100" s="25"/>
    </row>
    <row r="1101" spans="1:17" s="20" customFormat="1" x14ac:dyDescent="0.25">
      <c r="A1101" s="9"/>
      <c r="B1101" s="28"/>
      <c r="C1101" s="28"/>
      <c r="D1101" s="28"/>
      <c r="E1101" s="28"/>
      <c r="F1101" s="31"/>
      <c r="G1101" s="21"/>
      <c r="H1101" s="22"/>
      <c r="I1101" s="23"/>
      <c r="J1101" s="24"/>
      <c r="K1101" s="25"/>
      <c r="L1101" s="23"/>
      <c r="M1101" s="23"/>
      <c r="N1101" s="24"/>
      <c r="O1101" s="24"/>
      <c r="P1101" s="25"/>
      <c r="Q1101" s="25"/>
    </row>
    <row r="1102" spans="1:17" s="20" customFormat="1" x14ac:dyDescent="0.25">
      <c r="A1102" s="9"/>
      <c r="B1102" s="28"/>
      <c r="C1102" s="28"/>
      <c r="D1102" s="28"/>
      <c r="E1102" s="28"/>
      <c r="F1102" s="31"/>
      <c r="G1102" s="21"/>
      <c r="H1102" s="22"/>
      <c r="I1102" s="23"/>
      <c r="J1102" s="24"/>
      <c r="K1102" s="25"/>
      <c r="L1102" s="23"/>
      <c r="M1102" s="23"/>
      <c r="N1102" s="24"/>
      <c r="O1102" s="24"/>
      <c r="P1102" s="25"/>
      <c r="Q1102" s="25"/>
    </row>
    <row r="1103" spans="1:17" s="20" customFormat="1" x14ac:dyDescent="0.25">
      <c r="A1103" s="9"/>
      <c r="B1103" s="28"/>
      <c r="C1103" s="28"/>
      <c r="D1103" s="28"/>
      <c r="E1103" s="28"/>
      <c r="F1103" s="31"/>
      <c r="G1103" s="21"/>
      <c r="H1103" s="22"/>
      <c r="I1103" s="23"/>
      <c r="J1103" s="24"/>
      <c r="K1103" s="25"/>
      <c r="L1103" s="23"/>
      <c r="M1103" s="23"/>
      <c r="N1103" s="24"/>
      <c r="O1103" s="24"/>
      <c r="P1103" s="25"/>
      <c r="Q1103" s="25"/>
    </row>
    <row r="1104" spans="1:17" s="20" customFormat="1" x14ac:dyDescent="0.25">
      <c r="A1104" s="9"/>
      <c r="B1104" s="28"/>
      <c r="C1104" s="28"/>
      <c r="D1104" s="28"/>
      <c r="E1104" s="28"/>
      <c r="F1104" s="31"/>
      <c r="G1104" s="21"/>
      <c r="H1104" s="22"/>
      <c r="I1104" s="23"/>
      <c r="J1104" s="24"/>
      <c r="K1104" s="25"/>
      <c r="L1104" s="23"/>
      <c r="M1104" s="23"/>
      <c r="N1104" s="24"/>
      <c r="O1104" s="24"/>
      <c r="P1104" s="25"/>
      <c r="Q1104" s="25"/>
    </row>
    <row r="1105" spans="1:17" s="20" customFormat="1" x14ac:dyDescent="0.25">
      <c r="A1105" s="9"/>
      <c r="B1105" s="28"/>
      <c r="C1105" s="28"/>
      <c r="D1105" s="28"/>
      <c r="E1105" s="28"/>
      <c r="F1105" s="31"/>
      <c r="G1105" s="21"/>
      <c r="H1105" s="22"/>
      <c r="I1105" s="23"/>
      <c r="J1105" s="24"/>
      <c r="K1105" s="25"/>
      <c r="L1105" s="23"/>
      <c r="M1105" s="23"/>
      <c r="N1105" s="24"/>
      <c r="O1105" s="24"/>
      <c r="P1105" s="25"/>
      <c r="Q1105" s="25"/>
    </row>
    <row r="1106" spans="1:17" s="20" customFormat="1" x14ac:dyDescent="0.25">
      <c r="A1106" s="9"/>
      <c r="B1106" s="28"/>
      <c r="C1106" s="28"/>
      <c r="D1106" s="28"/>
      <c r="E1106" s="28"/>
      <c r="F1106" s="31"/>
      <c r="G1106" s="21"/>
      <c r="H1106" s="22"/>
      <c r="I1106" s="23"/>
      <c r="J1106" s="24"/>
      <c r="K1106" s="25"/>
      <c r="L1106" s="23"/>
      <c r="M1106" s="23"/>
      <c r="N1106" s="24"/>
      <c r="O1106" s="24"/>
      <c r="P1106" s="25"/>
      <c r="Q1106" s="25"/>
    </row>
    <row r="1107" spans="1:17" s="20" customFormat="1" x14ac:dyDescent="0.25">
      <c r="A1107" s="9"/>
      <c r="B1107" s="28"/>
      <c r="C1107" s="28"/>
      <c r="D1107" s="28"/>
      <c r="E1107" s="28"/>
      <c r="F1107" s="31"/>
      <c r="G1107" s="21"/>
      <c r="H1107" s="22"/>
      <c r="I1107" s="23"/>
      <c r="J1107" s="24"/>
      <c r="K1107" s="25"/>
      <c r="L1107" s="23"/>
      <c r="M1107" s="23"/>
      <c r="N1107" s="24"/>
      <c r="O1107" s="24"/>
      <c r="P1107" s="25"/>
      <c r="Q1107" s="25"/>
    </row>
    <row r="1108" spans="1:17" s="20" customFormat="1" x14ac:dyDescent="0.25">
      <c r="A1108" s="9"/>
      <c r="B1108" s="28"/>
      <c r="C1108" s="28"/>
      <c r="D1108" s="28"/>
      <c r="E1108" s="28"/>
      <c r="F1108" s="31"/>
      <c r="G1108" s="21"/>
      <c r="H1108" s="22"/>
      <c r="I1108" s="23"/>
      <c r="J1108" s="24"/>
      <c r="K1108" s="25"/>
      <c r="L1108" s="23"/>
      <c r="M1108" s="23"/>
      <c r="N1108" s="24"/>
      <c r="O1108" s="24"/>
      <c r="P1108" s="25"/>
      <c r="Q1108" s="25"/>
    </row>
    <row r="1109" spans="1:17" s="20" customFormat="1" x14ac:dyDescent="0.25">
      <c r="A1109" s="9"/>
      <c r="B1109" s="28"/>
      <c r="C1109" s="28"/>
      <c r="D1109" s="28"/>
      <c r="E1109" s="28"/>
      <c r="F1109" s="31"/>
      <c r="G1109" s="21"/>
      <c r="H1109" s="22"/>
      <c r="I1109" s="23"/>
      <c r="J1109" s="24"/>
      <c r="K1109" s="25"/>
      <c r="L1109" s="23"/>
      <c r="M1109" s="23"/>
      <c r="N1109" s="24"/>
      <c r="O1109" s="24"/>
      <c r="P1109" s="25"/>
      <c r="Q1109" s="25"/>
    </row>
    <row r="1110" spans="1:17" s="20" customFormat="1" x14ac:dyDescent="0.25">
      <c r="A1110" s="9"/>
      <c r="B1110" s="28"/>
      <c r="C1110" s="28"/>
      <c r="D1110" s="28"/>
      <c r="E1110" s="28"/>
      <c r="F1110" s="31"/>
      <c r="G1110" s="21"/>
      <c r="H1110" s="22"/>
      <c r="I1110" s="23"/>
      <c r="J1110" s="24"/>
      <c r="K1110" s="25"/>
      <c r="L1110" s="23"/>
      <c r="M1110" s="23"/>
      <c r="N1110" s="24"/>
      <c r="O1110" s="24"/>
      <c r="P1110" s="25"/>
      <c r="Q1110" s="25"/>
    </row>
    <row r="1111" spans="1:17" s="20" customFormat="1" x14ac:dyDescent="0.25">
      <c r="A1111" s="9"/>
      <c r="B1111" s="28"/>
      <c r="C1111" s="28"/>
      <c r="D1111" s="28"/>
      <c r="E1111" s="28"/>
      <c r="F1111" s="31"/>
      <c r="G1111" s="21"/>
      <c r="H1111" s="22"/>
      <c r="I1111" s="23"/>
      <c r="J1111" s="24"/>
      <c r="K1111" s="25"/>
      <c r="L1111" s="23"/>
      <c r="M1111" s="23"/>
      <c r="N1111" s="24"/>
      <c r="O1111" s="24"/>
      <c r="P1111" s="25"/>
      <c r="Q1111" s="25"/>
    </row>
    <row r="1112" spans="1:17" s="20" customFormat="1" x14ac:dyDescent="0.25">
      <c r="A1112" s="9"/>
      <c r="B1112" s="28"/>
      <c r="C1112" s="28"/>
      <c r="D1112" s="28"/>
      <c r="E1112" s="28"/>
      <c r="F1112" s="31"/>
      <c r="G1112" s="21"/>
      <c r="H1112" s="22"/>
      <c r="I1112" s="23"/>
      <c r="J1112" s="24"/>
      <c r="K1112" s="25"/>
      <c r="L1112" s="23"/>
      <c r="M1112" s="23"/>
      <c r="N1112" s="24"/>
      <c r="O1112" s="24"/>
      <c r="P1112" s="25"/>
      <c r="Q1112" s="25"/>
    </row>
    <row r="1113" spans="1:17" s="20" customFormat="1" x14ac:dyDescent="0.25">
      <c r="A1113" s="9"/>
      <c r="B1113" s="28"/>
      <c r="C1113" s="28"/>
      <c r="D1113" s="28"/>
      <c r="E1113" s="28"/>
      <c r="F1113" s="31"/>
      <c r="G1113" s="21"/>
      <c r="H1113" s="22"/>
      <c r="I1113" s="23"/>
      <c r="J1113" s="24"/>
      <c r="K1113" s="25"/>
      <c r="L1113" s="23"/>
      <c r="M1113" s="23"/>
      <c r="N1113" s="24"/>
      <c r="O1113" s="24"/>
      <c r="P1113" s="25"/>
      <c r="Q1113" s="25"/>
    </row>
    <row r="1114" spans="1:17" s="20" customFormat="1" x14ac:dyDescent="0.25">
      <c r="A1114" s="9"/>
      <c r="B1114" s="28"/>
      <c r="C1114" s="28"/>
      <c r="D1114" s="28"/>
      <c r="E1114" s="28"/>
      <c r="F1114" s="31"/>
      <c r="G1114" s="21"/>
      <c r="H1114" s="22"/>
      <c r="I1114" s="23"/>
      <c r="J1114" s="24"/>
      <c r="K1114" s="25"/>
      <c r="L1114" s="23"/>
      <c r="M1114" s="23"/>
      <c r="N1114" s="24"/>
      <c r="O1114" s="24"/>
      <c r="P1114" s="25"/>
      <c r="Q1114" s="25"/>
    </row>
    <row r="1115" spans="1:17" s="20" customFormat="1" x14ac:dyDescent="0.25">
      <c r="A1115" s="9"/>
      <c r="B1115" s="28"/>
      <c r="C1115" s="28"/>
      <c r="D1115" s="28"/>
      <c r="E1115" s="28"/>
      <c r="F1115" s="31"/>
      <c r="G1115" s="21"/>
      <c r="H1115" s="22"/>
      <c r="I1115" s="23"/>
      <c r="J1115" s="24"/>
      <c r="K1115" s="25"/>
      <c r="L1115" s="23"/>
      <c r="M1115" s="23"/>
      <c r="N1115" s="24"/>
      <c r="O1115" s="24"/>
      <c r="P1115" s="25"/>
      <c r="Q1115" s="25"/>
    </row>
    <row r="1116" spans="1:17" s="20" customFormat="1" x14ac:dyDescent="0.25">
      <c r="A1116" s="9"/>
      <c r="B1116" s="28"/>
      <c r="C1116" s="28"/>
      <c r="D1116" s="28"/>
      <c r="E1116" s="28"/>
      <c r="F1116" s="31"/>
      <c r="G1116" s="21"/>
      <c r="H1116" s="22"/>
      <c r="I1116" s="23"/>
      <c r="J1116" s="24"/>
      <c r="K1116" s="25"/>
      <c r="L1116" s="23"/>
      <c r="M1116" s="23"/>
      <c r="N1116" s="24"/>
      <c r="O1116" s="24"/>
      <c r="P1116" s="25"/>
      <c r="Q1116" s="25"/>
    </row>
    <row r="1117" spans="1:17" s="20" customFormat="1" x14ac:dyDescent="0.25">
      <c r="A1117" s="9"/>
      <c r="B1117" s="28"/>
      <c r="C1117" s="28"/>
      <c r="D1117" s="28"/>
      <c r="E1117" s="28"/>
      <c r="F1117" s="31"/>
      <c r="G1117" s="21"/>
      <c r="H1117" s="22"/>
      <c r="I1117" s="23"/>
      <c r="J1117" s="24"/>
      <c r="K1117" s="25"/>
      <c r="L1117" s="23"/>
      <c r="M1117" s="23"/>
      <c r="N1117" s="24"/>
      <c r="O1117" s="24"/>
      <c r="P1117" s="25"/>
      <c r="Q1117" s="25"/>
    </row>
    <row r="1118" spans="1:17" s="20" customFormat="1" x14ac:dyDescent="0.25">
      <c r="A1118" s="9"/>
      <c r="B1118" s="28"/>
      <c r="C1118" s="28"/>
      <c r="D1118" s="28"/>
      <c r="E1118" s="28"/>
      <c r="F1118" s="31"/>
      <c r="G1118" s="21"/>
      <c r="H1118" s="22"/>
      <c r="I1118" s="23"/>
      <c r="J1118" s="24"/>
      <c r="K1118" s="25"/>
      <c r="L1118" s="23"/>
      <c r="M1118" s="23"/>
      <c r="N1118" s="24"/>
      <c r="O1118" s="24"/>
      <c r="P1118" s="25"/>
      <c r="Q1118" s="25"/>
    </row>
    <row r="1119" spans="1:17" s="20" customFormat="1" x14ac:dyDescent="0.25">
      <c r="A1119" s="9"/>
      <c r="B1119" s="28"/>
      <c r="C1119" s="28"/>
      <c r="D1119" s="28"/>
      <c r="E1119" s="28"/>
      <c r="F1119" s="31"/>
      <c r="G1119" s="21"/>
      <c r="H1119" s="22"/>
      <c r="I1119" s="23"/>
      <c r="J1119" s="24"/>
      <c r="K1119" s="25"/>
      <c r="L1119" s="23"/>
      <c r="M1119" s="23"/>
      <c r="N1119" s="24"/>
      <c r="O1119" s="24"/>
      <c r="P1119" s="25"/>
      <c r="Q1119" s="25"/>
    </row>
    <row r="1120" spans="1:17" s="20" customFormat="1" x14ac:dyDescent="0.25">
      <c r="A1120" s="9"/>
      <c r="B1120" s="28"/>
      <c r="C1120" s="28"/>
      <c r="D1120" s="28"/>
      <c r="E1120" s="28"/>
      <c r="F1120" s="31"/>
      <c r="G1120" s="21"/>
      <c r="H1120" s="22"/>
      <c r="I1120" s="23"/>
      <c r="J1120" s="24"/>
      <c r="K1120" s="25"/>
      <c r="L1120" s="23"/>
      <c r="M1120" s="23"/>
      <c r="N1120" s="24"/>
      <c r="O1120" s="24"/>
      <c r="P1120" s="25"/>
      <c r="Q1120" s="25"/>
    </row>
    <row r="1121" spans="1:17" s="20" customFormat="1" x14ac:dyDescent="0.25">
      <c r="A1121" s="9"/>
      <c r="B1121" s="28"/>
      <c r="C1121" s="28"/>
      <c r="D1121" s="28"/>
      <c r="E1121" s="28"/>
      <c r="F1121" s="31"/>
      <c r="G1121" s="21"/>
      <c r="H1121" s="22"/>
      <c r="I1121" s="23"/>
      <c r="J1121" s="24"/>
      <c r="K1121" s="25"/>
      <c r="L1121" s="23"/>
      <c r="M1121" s="23"/>
      <c r="N1121" s="24"/>
      <c r="O1121" s="24"/>
      <c r="P1121" s="25"/>
      <c r="Q1121" s="25"/>
    </row>
    <row r="1122" spans="1:17" s="20" customFormat="1" x14ac:dyDescent="0.25">
      <c r="A1122" s="9"/>
      <c r="B1122" s="28"/>
      <c r="C1122" s="28"/>
      <c r="D1122" s="28"/>
      <c r="E1122" s="28"/>
      <c r="F1122" s="31"/>
      <c r="G1122" s="21"/>
      <c r="H1122" s="22"/>
      <c r="I1122" s="23"/>
      <c r="J1122" s="24"/>
      <c r="K1122" s="25"/>
      <c r="L1122" s="23"/>
      <c r="M1122" s="23"/>
      <c r="N1122" s="24"/>
      <c r="O1122" s="24"/>
      <c r="P1122" s="25"/>
      <c r="Q1122" s="25"/>
    </row>
    <row r="1123" spans="1:17" s="20" customFormat="1" x14ac:dyDescent="0.25">
      <c r="A1123" s="9"/>
      <c r="B1123" s="28"/>
      <c r="C1123" s="28"/>
      <c r="D1123" s="28"/>
      <c r="E1123" s="28"/>
      <c r="F1123" s="31"/>
      <c r="G1123" s="21"/>
      <c r="H1123" s="22"/>
      <c r="I1123" s="23"/>
      <c r="J1123" s="24"/>
      <c r="K1123" s="25"/>
      <c r="L1123" s="23"/>
      <c r="M1123" s="23"/>
      <c r="N1123" s="24"/>
      <c r="O1123" s="24"/>
      <c r="P1123" s="25"/>
      <c r="Q1123" s="25"/>
    </row>
    <row r="1124" spans="1:17" s="20" customFormat="1" x14ac:dyDescent="0.25">
      <c r="A1124" s="9"/>
      <c r="B1124" s="28"/>
      <c r="C1124" s="28"/>
      <c r="D1124" s="28"/>
      <c r="E1124" s="28"/>
      <c r="F1124" s="31"/>
      <c r="G1124" s="21"/>
      <c r="H1124" s="22"/>
      <c r="I1124" s="23"/>
      <c r="J1124" s="24"/>
      <c r="K1124" s="25"/>
      <c r="L1124" s="23"/>
      <c r="M1124" s="23"/>
      <c r="N1124" s="24"/>
      <c r="O1124" s="24"/>
      <c r="P1124" s="25"/>
      <c r="Q1124" s="25"/>
    </row>
    <row r="1125" spans="1:17" s="20" customFormat="1" x14ac:dyDescent="0.25">
      <c r="A1125" s="9"/>
      <c r="B1125" s="28"/>
      <c r="C1125" s="28"/>
      <c r="D1125" s="28"/>
      <c r="E1125" s="28"/>
      <c r="F1125" s="31"/>
      <c r="G1125" s="21"/>
      <c r="H1125" s="22"/>
      <c r="I1125" s="23"/>
      <c r="J1125" s="24"/>
      <c r="K1125" s="25"/>
      <c r="L1125" s="23"/>
      <c r="M1125" s="23"/>
      <c r="N1125" s="24"/>
      <c r="O1125" s="24"/>
      <c r="P1125" s="25"/>
      <c r="Q1125" s="25"/>
    </row>
    <row r="1126" spans="1:17" s="20" customFormat="1" x14ac:dyDescent="0.25">
      <c r="A1126" s="9"/>
      <c r="B1126" s="28"/>
      <c r="C1126" s="28"/>
      <c r="D1126" s="28"/>
      <c r="E1126" s="28"/>
      <c r="F1126" s="31"/>
      <c r="G1126" s="21"/>
      <c r="H1126" s="22"/>
      <c r="I1126" s="23"/>
      <c r="J1126" s="24"/>
      <c r="K1126" s="25"/>
      <c r="L1126" s="23"/>
      <c r="M1126" s="23"/>
      <c r="N1126" s="24"/>
      <c r="O1126" s="24"/>
      <c r="P1126" s="25"/>
      <c r="Q1126" s="25"/>
    </row>
    <row r="1127" spans="1:17" s="20" customFormat="1" x14ac:dyDescent="0.25">
      <c r="A1127" s="9"/>
      <c r="B1127" s="28"/>
      <c r="C1127" s="28"/>
      <c r="D1127" s="28"/>
      <c r="E1127" s="28"/>
      <c r="F1127" s="31"/>
      <c r="G1127" s="21"/>
      <c r="H1127" s="22"/>
      <c r="I1127" s="23"/>
      <c r="J1127" s="24"/>
      <c r="K1127" s="25"/>
      <c r="L1127" s="23"/>
      <c r="M1127" s="23"/>
      <c r="N1127" s="24"/>
      <c r="O1127" s="24"/>
      <c r="P1127" s="25"/>
      <c r="Q1127" s="25"/>
    </row>
    <row r="1128" spans="1:17" s="20" customFormat="1" x14ac:dyDescent="0.25">
      <c r="A1128" s="9"/>
      <c r="B1128" s="28"/>
      <c r="C1128" s="28"/>
      <c r="D1128" s="28"/>
      <c r="E1128" s="28"/>
      <c r="F1128" s="31"/>
      <c r="G1128" s="21"/>
      <c r="H1128" s="22"/>
      <c r="I1128" s="23"/>
      <c r="J1128" s="24"/>
      <c r="K1128" s="25"/>
      <c r="L1128" s="23"/>
      <c r="M1128" s="23"/>
      <c r="N1128" s="24"/>
      <c r="O1128" s="24"/>
      <c r="P1128" s="25"/>
      <c r="Q1128" s="25"/>
    </row>
    <row r="1129" spans="1:17" s="20" customFormat="1" x14ac:dyDescent="0.25">
      <c r="A1129" s="9"/>
      <c r="B1129" s="28"/>
      <c r="C1129" s="28"/>
      <c r="D1129" s="28"/>
      <c r="E1129" s="28"/>
      <c r="F1129" s="31"/>
      <c r="G1129" s="21"/>
      <c r="H1129" s="22"/>
      <c r="I1129" s="23"/>
      <c r="J1129" s="24"/>
      <c r="K1129" s="25"/>
      <c r="L1129" s="23"/>
      <c r="M1129" s="23"/>
      <c r="N1129" s="24"/>
      <c r="O1129" s="24"/>
      <c r="P1129" s="25"/>
      <c r="Q1129" s="25"/>
    </row>
    <row r="1130" spans="1:17" s="20" customFormat="1" x14ac:dyDescent="0.25">
      <c r="A1130" s="9"/>
      <c r="B1130" s="28"/>
      <c r="C1130" s="28"/>
      <c r="D1130" s="28"/>
      <c r="E1130" s="28"/>
      <c r="F1130" s="31"/>
      <c r="G1130" s="21"/>
      <c r="H1130" s="22"/>
      <c r="I1130" s="23"/>
      <c r="J1130" s="24"/>
      <c r="K1130" s="25"/>
      <c r="L1130" s="23"/>
      <c r="M1130" s="23"/>
      <c r="N1130" s="24"/>
      <c r="O1130" s="24"/>
      <c r="P1130" s="25"/>
      <c r="Q1130" s="25"/>
    </row>
    <row r="1131" spans="1:17" s="20" customFormat="1" x14ac:dyDescent="0.25">
      <c r="A1131" s="9"/>
      <c r="B1131" s="28"/>
      <c r="C1131" s="28"/>
      <c r="D1131" s="28"/>
      <c r="E1131" s="28"/>
      <c r="F1131" s="31"/>
      <c r="G1131" s="21"/>
      <c r="H1131" s="22"/>
      <c r="I1131" s="23"/>
      <c r="J1131" s="24"/>
      <c r="K1131" s="25"/>
      <c r="L1131" s="23"/>
      <c r="M1131" s="23"/>
      <c r="N1131" s="24"/>
      <c r="O1131" s="24"/>
      <c r="P1131" s="25"/>
      <c r="Q1131" s="25"/>
    </row>
    <row r="1132" spans="1:17" s="20" customFormat="1" x14ac:dyDescent="0.25">
      <c r="A1132" s="9"/>
      <c r="B1132" s="28"/>
      <c r="C1132" s="28"/>
      <c r="D1132" s="28"/>
      <c r="E1132" s="28"/>
      <c r="F1132" s="31"/>
      <c r="G1132" s="21"/>
      <c r="H1132" s="22"/>
      <c r="I1132" s="23"/>
      <c r="J1132" s="24"/>
      <c r="K1132" s="25"/>
      <c r="L1132" s="23"/>
      <c r="M1132" s="23"/>
      <c r="N1132" s="24"/>
      <c r="O1132" s="24"/>
      <c r="P1132" s="25"/>
      <c r="Q1132" s="25"/>
    </row>
    <row r="1133" spans="1:17" s="20" customFormat="1" x14ac:dyDescent="0.25">
      <c r="A1133" s="9"/>
      <c r="B1133" s="28"/>
      <c r="C1133" s="28"/>
      <c r="D1133" s="28"/>
      <c r="E1133" s="28"/>
      <c r="F1133" s="31"/>
      <c r="G1133" s="21"/>
      <c r="H1133" s="22"/>
      <c r="I1133" s="23"/>
      <c r="J1133" s="24"/>
      <c r="K1133" s="25"/>
      <c r="L1133" s="23"/>
      <c r="M1133" s="23"/>
      <c r="N1133" s="24"/>
      <c r="O1133" s="24"/>
      <c r="P1133" s="25"/>
      <c r="Q1133" s="25"/>
    </row>
    <row r="1134" spans="1:17" s="20" customFormat="1" x14ac:dyDescent="0.25">
      <c r="A1134" s="9"/>
      <c r="B1134" s="28"/>
      <c r="C1134" s="28"/>
      <c r="D1134" s="28"/>
      <c r="E1134" s="28"/>
      <c r="F1134" s="31"/>
      <c r="G1134" s="21"/>
      <c r="H1134" s="22"/>
      <c r="I1134" s="23"/>
      <c r="J1134" s="24"/>
      <c r="K1134" s="25"/>
      <c r="L1134" s="23"/>
      <c r="M1134" s="23"/>
      <c r="N1134" s="24"/>
      <c r="O1134" s="24"/>
      <c r="P1134" s="25"/>
      <c r="Q1134" s="25"/>
    </row>
    <row r="1135" spans="1:17" s="20" customFormat="1" x14ac:dyDescent="0.25">
      <c r="A1135" s="9"/>
      <c r="B1135" s="28"/>
      <c r="C1135" s="28"/>
      <c r="D1135" s="28"/>
      <c r="E1135" s="28"/>
      <c r="F1135" s="31"/>
      <c r="G1135" s="21"/>
      <c r="H1135" s="22"/>
      <c r="I1135" s="23"/>
      <c r="J1135" s="24"/>
      <c r="K1135" s="25"/>
      <c r="L1135" s="23"/>
      <c r="M1135" s="23"/>
      <c r="N1135" s="24"/>
      <c r="O1135" s="24"/>
      <c r="P1135" s="25"/>
      <c r="Q1135" s="25"/>
    </row>
    <row r="1136" spans="1:17" s="20" customFormat="1" x14ac:dyDescent="0.25">
      <c r="A1136" s="9"/>
      <c r="B1136" s="28"/>
      <c r="C1136" s="28"/>
      <c r="D1136" s="28"/>
      <c r="E1136" s="28"/>
      <c r="F1136" s="31"/>
      <c r="G1136" s="21"/>
      <c r="H1136" s="22"/>
      <c r="I1136" s="23"/>
      <c r="J1136" s="24"/>
      <c r="K1136" s="25"/>
      <c r="L1136" s="23"/>
      <c r="M1136" s="23"/>
      <c r="N1136" s="24"/>
      <c r="O1136" s="24"/>
      <c r="P1136" s="25"/>
      <c r="Q1136" s="25"/>
    </row>
    <row r="1137" spans="1:17" s="20" customFormat="1" x14ac:dyDescent="0.25">
      <c r="A1137" s="9"/>
      <c r="B1137" s="28"/>
      <c r="C1137" s="28"/>
      <c r="D1137" s="28"/>
      <c r="E1137" s="28"/>
      <c r="F1137" s="31"/>
      <c r="G1137" s="21"/>
      <c r="H1137" s="22"/>
      <c r="I1137" s="23"/>
      <c r="J1137" s="24"/>
      <c r="K1137" s="25"/>
      <c r="L1137" s="23"/>
      <c r="M1137" s="23"/>
      <c r="N1137" s="24"/>
      <c r="O1137" s="24"/>
      <c r="P1137" s="25"/>
      <c r="Q1137" s="25"/>
    </row>
    <row r="1138" spans="1:17" s="20" customFormat="1" x14ac:dyDescent="0.25">
      <c r="A1138" s="9"/>
      <c r="B1138" s="28"/>
      <c r="C1138" s="28"/>
      <c r="D1138" s="28"/>
      <c r="E1138" s="28"/>
      <c r="F1138" s="31"/>
      <c r="G1138" s="21"/>
      <c r="H1138" s="22"/>
      <c r="I1138" s="23"/>
      <c r="J1138" s="24"/>
      <c r="K1138" s="25"/>
      <c r="L1138" s="23"/>
      <c r="M1138" s="23"/>
      <c r="N1138" s="24"/>
      <c r="O1138" s="24"/>
      <c r="P1138" s="25"/>
      <c r="Q1138" s="25"/>
    </row>
    <row r="1139" spans="1:17" s="20" customFormat="1" x14ac:dyDescent="0.25">
      <c r="A1139" s="9"/>
      <c r="B1139" s="28"/>
      <c r="C1139" s="28"/>
      <c r="D1139" s="28"/>
      <c r="E1139" s="28"/>
      <c r="F1139" s="31"/>
      <c r="G1139" s="21"/>
      <c r="H1139" s="22"/>
      <c r="I1139" s="23"/>
      <c r="J1139" s="24"/>
      <c r="K1139" s="25"/>
      <c r="L1139" s="23"/>
      <c r="M1139" s="23"/>
      <c r="N1139" s="24"/>
      <c r="O1139" s="24"/>
      <c r="P1139" s="25"/>
      <c r="Q1139" s="25"/>
    </row>
    <row r="1140" spans="1:17" s="20" customFormat="1" x14ac:dyDescent="0.25">
      <c r="A1140" s="9"/>
      <c r="B1140" s="28"/>
      <c r="C1140" s="28"/>
      <c r="D1140" s="28"/>
      <c r="E1140" s="28"/>
      <c r="F1140" s="31"/>
      <c r="G1140" s="21"/>
      <c r="H1140" s="22"/>
      <c r="I1140" s="23"/>
      <c r="J1140" s="24"/>
      <c r="K1140" s="25"/>
      <c r="L1140" s="23"/>
      <c r="M1140" s="23"/>
      <c r="N1140" s="24"/>
      <c r="O1140" s="24"/>
      <c r="P1140" s="25"/>
      <c r="Q1140" s="25"/>
    </row>
    <row r="1141" spans="1:17" s="20" customFormat="1" x14ac:dyDescent="0.25">
      <c r="A1141" s="9"/>
      <c r="B1141" s="28"/>
      <c r="C1141" s="28"/>
      <c r="D1141" s="28"/>
      <c r="E1141" s="28"/>
      <c r="F1141" s="31"/>
      <c r="G1141" s="21"/>
      <c r="H1141" s="22"/>
      <c r="I1141" s="23"/>
      <c r="J1141" s="24"/>
      <c r="K1141" s="25"/>
      <c r="L1141" s="23"/>
      <c r="M1141" s="23"/>
      <c r="N1141" s="24"/>
      <c r="O1141" s="24"/>
      <c r="P1141" s="25"/>
      <c r="Q1141" s="25"/>
    </row>
    <row r="1142" spans="1:17" s="20" customFormat="1" x14ac:dyDescent="0.25">
      <c r="A1142" s="9"/>
      <c r="B1142" s="28"/>
      <c r="C1142" s="28"/>
      <c r="D1142" s="28"/>
      <c r="E1142" s="28"/>
      <c r="F1142" s="31"/>
      <c r="G1142" s="21"/>
      <c r="H1142" s="22"/>
      <c r="I1142" s="23"/>
      <c r="J1142" s="24"/>
      <c r="K1142" s="25"/>
      <c r="L1142" s="23"/>
      <c r="M1142" s="23"/>
      <c r="N1142" s="24"/>
      <c r="O1142" s="24"/>
      <c r="P1142" s="25"/>
      <c r="Q1142" s="25"/>
    </row>
    <row r="1143" spans="1:17" s="20" customFormat="1" x14ac:dyDescent="0.25">
      <c r="A1143" s="9"/>
      <c r="B1143" s="28"/>
      <c r="C1143" s="28"/>
      <c r="D1143" s="28"/>
      <c r="E1143" s="28"/>
      <c r="F1143" s="31"/>
      <c r="G1143" s="21"/>
      <c r="H1143" s="22"/>
      <c r="I1143" s="23"/>
      <c r="J1143" s="24"/>
      <c r="K1143" s="25"/>
      <c r="L1143" s="23"/>
      <c r="M1143" s="23"/>
      <c r="N1143" s="24"/>
      <c r="O1143" s="24"/>
      <c r="P1143" s="25"/>
      <c r="Q1143" s="25"/>
    </row>
    <row r="1144" spans="1:17" s="20" customFormat="1" x14ac:dyDescent="0.25">
      <c r="A1144" s="9"/>
      <c r="B1144" s="28"/>
      <c r="C1144" s="28"/>
      <c r="D1144" s="28"/>
      <c r="E1144" s="28"/>
      <c r="F1144" s="31"/>
      <c r="G1144" s="21"/>
      <c r="H1144" s="22"/>
      <c r="I1144" s="23"/>
      <c r="J1144" s="24"/>
      <c r="K1144" s="25"/>
      <c r="L1144" s="23"/>
      <c r="M1144" s="23"/>
      <c r="N1144" s="24"/>
      <c r="O1144" s="24"/>
      <c r="P1144" s="25"/>
      <c r="Q1144" s="25"/>
    </row>
    <row r="1145" spans="1:17" s="20" customFormat="1" x14ac:dyDescent="0.25">
      <c r="A1145" s="9"/>
      <c r="B1145" s="28"/>
      <c r="C1145" s="28"/>
      <c r="D1145" s="28"/>
      <c r="E1145" s="28"/>
      <c r="F1145" s="31"/>
      <c r="G1145" s="21"/>
      <c r="H1145" s="22"/>
      <c r="I1145" s="23"/>
      <c r="J1145" s="24"/>
      <c r="K1145" s="25"/>
      <c r="L1145" s="23"/>
      <c r="M1145" s="23"/>
      <c r="N1145" s="24"/>
      <c r="O1145" s="24"/>
      <c r="P1145" s="25"/>
      <c r="Q1145" s="25"/>
    </row>
    <row r="1146" spans="1:17" s="20" customFormat="1" x14ac:dyDescent="0.25">
      <c r="A1146" s="9"/>
      <c r="B1146" s="28"/>
      <c r="C1146" s="28"/>
      <c r="D1146" s="28"/>
      <c r="E1146" s="28"/>
      <c r="F1146" s="31"/>
      <c r="G1146" s="21"/>
      <c r="H1146" s="22"/>
      <c r="I1146" s="23"/>
      <c r="J1146" s="24"/>
      <c r="K1146" s="25"/>
      <c r="L1146" s="23"/>
      <c r="M1146" s="23"/>
      <c r="N1146" s="24"/>
      <c r="O1146" s="24"/>
      <c r="P1146" s="25"/>
      <c r="Q1146" s="25"/>
    </row>
    <row r="1147" spans="1:17" s="20" customFormat="1" x14ac:dyDescent="0.25">
      <c r="A1147" s="9"/>
      <c r="B1147" s="28"/>
      <c r="C1147" s="28"/>
      <c r="D1147" s="28"/>
      <c r="E1147" s="28"/>
      <c r="F1147" s="31"/>
      <c r="G1147" s="21"/>
      <c r="H1147" s="22"/>
      <c r="I1147" s="23"/>
      <c r="J1147" s="24"/>
      <c r="K1147" s="25"/>
      <c r="L1147" s="23"/>
      <c r="M1147" s="23"/>
      <c r="N1147" s="24"/>
      <c r="O1147" s="24"/>
      <c r="P1147" s="25"/>
      <c r="Q1147" s="25"/>
    </row>
    <row r="1148" spans="1:17" s="20" customFormat="1" x14ac:dyDescent="0.25">
      <c r="A1148" s="9"/>
      <c r="B1148" s="28"/>
      <c r="C1148" s="28"/>
      <c r="D1148" s="28"/>
      <c r="E1148" s="28"/>
      <c r="F1148" s="31"/>
      <c r="G1148" s="21"/>
      <c r="H1148" s="22"/>
      <c r="I1148" s="23"/>
      <c r="J1148" s="24"/>
      <c r="K1148" s="25"/>
      <c r="L1148" s="23"/>
      <c r="M1148" s="23"/>
      <c r="N1148" s="24"/>
      <c r="O1148" s="24"/>
      <c r="P1148" s="25"/>
      <c r="Q1148" s="25"/>
    </row>
    <row r="1149" spans="1:17" s="20" customFormat="1" x14ac:dyDescent="0.25">
      <c r="A1149" s="9"/>
      <c r="B1149" s="28"/>
      <c r="C1149" s="28"/>
      <c r="D1149" s="28"/>
      <c r="E1149" s="28"/>
      <c r="F1149" s="31"/>
      <c r="G1149" s="21"/>
      <c r="H1149" s="22"/>
      <c r="I1149" s="23"/>
      <c r="J1149" s="24"/>
      <c r="K1149" s="25"/>
      <c r="L1149" s="23"/>
      <c r="M1149" s="23"/>
      <c r="N1149" s="24"/>
      <c r="O1149" s="24"/>
      <c r="P1149" s="25"/>
      <c r="Q1149" s="25"/>
    </row>
    <row r="1150" spans="1:17" s="20" customFormat="1" x14ac:dyDescent="0.25">
      <c r="A1150" s="9"/>
      <c r="B1150" s="28"/>
      <c r="C1150" s="28"/>
      <c r="D1150" s="28"/>
      <c r="E1150" s="28"/>
      <c r="F1150" s="31"/>
      <c r="G1150" s="21"/>
      <c r="H1150" s="22"/>
      <c r="I1150" s="23"/>
      <c r="J1150" s="24"/>
      <c r="K1150" s="25"/>
      <c r="L1150" s="23"/>
      <c r="M1150" s="23"/>
      <c r="N1150" s="24"/>
      <c r="O1150" s="24"/>
      <c r="P1150" s="25"/>
      <c r="Q1150" s="25"/>
    </row>
    <row r="1151" spans="1:17" s="20" customFormat="1" x14ac:dyDescent="0.25">
      <c r="A1151" s="9"/>
      <c r="B1151" s="28"/>
      <c r="C1151" s="28"/>
      <c r="D1151" s="28"/>
      <c r="E1151" s="28"/>
      <c r="F1151" s="31"/>
      <c r="G1151" s="21"/>
      <c r="H1151" s="22"/>
      <c r="I1151" s="23"/>
      <c r="J1151" s="24"/>
      <c r="K1151" s="25"/>
      <c r="L1151" s="23"/>
      <c r="M1151" s="23"/>
      <c r="N1151" s="24"/>
      <c r="O1151" s="24"/>
      <c r="P1151" s="25"/>
      <c r="Q1151" s="25"/>
    </row>
    <row r="1152" spans="1:17" s="20" customFormat="1" x14ac:dyDescent="0.25">
      <c r="A1152" s="9"/>
      <c r="B1152" s="28"/>
      <c r="C1152" s="28"/>
      <c r="D1152" s="28"/>
      <c r="E1152" s="28"/>
      <c r="F1152" s="31"/>
      <c r="G1152" s="21"/>
      <c r="H1152" s="22"/>
      <c r="I1152" s="23"/>
      <c r="J1152" s="24"/>
      <c r="K1152" s="25"/>
      <c r="L1152" s="23"/>
      <c r="M1152" s="23"/>
      <c r="N1152" s="24"/>
      <c r="O1152" s="24"/>
      <c r="P1152" s="25"/>
      <c r="Q1152" s="25"/>
    </row>
    <row r="1153" spans="1:17" s="20" customFormat="1" x14ac:dyDescent="0.25">
      <c r="A1153" s="9"/>
      <c r="B1153" s="28"/>
      <c r="C1153" s="28"/>
      <c r="D1153" s="28"/>
      <c r="E1153" s="28"/>
      <c r="F1153" s="31"/>
      <c r="G1153" s="21"/>
      <c r="H1153" s="22"/>
      <c r="I1153" s="23"/>
      <c r="J1153" s="24"/>
      <c r="K1153" s="25"/>
      <c r="L1153" s="23"/>
      <c r="M1153" s="23"/>
      <c r="N1153" s="24"/>
      <c r="O1153" s="24"/>
      <c r="P1153" s="25"/>
      <c r="Q1153" s="25"/>
    </row>
    <row r="1154" spans="1:17" s="20" customFormat="1" x14ac:dyDescent="0.25">
      <c r="A1154" s="9"/>
      <c r="B1154" s="28"/>
      <c r="C1154" s="28"/>
      <c r="D1154" s="28"/>
      <c r="E1154" s="28"/>
      <c r="F1154" s="31"/>
      <c r="G1154" s="21"/>
      <c r="H1154" s="22"/>
      <c r="I1154" s="23"/>
      <c r="J1154" s="24"/>
      <c r="K1154" s="25"/>
      <c r="L1154" s="23"/>
      <c r="M1154" s="23"/>
      <c r="N1154" s="24"/>
      <c r="O1154" s="24"/>
      <c r="P1154" s="25"/>
      <c r="Q1154" s="25"/>
    </row>
    <row r="1155" spans="1:17" s="20" customFormat="1" x14ac:dyDescent="0.25">
      <c r="A1155" s="9"/>
      <c r="B1155" s="28"/>
      <c r="C1155" s="28"/>
      <c r="D1155" s="28"/>
      <c r="E1155" s="28"/>
      <c r="F1155" s="31"/>
      <c r="G1155" s="21"/>
      <c r="H1155" s="22"/>
      <c r="I1155" s="23"/>
      <c r="J1155" s="24"/>
      <c r="K1155" s="25"/>
      <c r="L1155" s="23"/>
      <c r="M1155" s="23"/>
      <c r="N1155" s="24"/>
      <c r="O1155" s="24"/>
      <c r="P1155" s="25"/>
      <c r="Q1155" s="25"/>
    </row>
    <row r="1156" spans="1:17" s="20" customFormat="1" x14ac:dyDescent="0.25">
      <c r="A1156" s="9"/>
      <c r="B1156" s="28"/>
      <c r="C1156" s="28"/>
      <c r="D1156" s="28"/>
      <c r="E1156" s="28"/>
      <c r="F1156" s="31"/>
      <c r="G1156" s="21"/>
      <c r="H1156" s="22"/>
      <c r="I1156" s="23"/>
      <c r="J1156" s="24"/>
      <c r="K1156" s="25"/>
      <c r="L1156" s="23"/>
      <c r="M1156" s="23"/>
      <c r="N1156" s="24"/>
      <c r="O1156" s="24"/>
      <c r="P1156" s="25"/>
      <c r="Q1156" s="25"/>
    </row>
    <row r="1157" spans="1:17" s="20" customFormat="1" x14ac:dyDescent="0.25">
      <c r="A1157" s="9"/>
      <c r="B1157" s="28"/>
      <c r="C1157" s="28"/>
      <c r="D1157" s="28"/>
      <c r="E1157" s="28"/>
      <c r="F1157" s="31"/>
      <c r="G1157" s="21"/>
      <c r="H1157" s="22"/>
      <c r="I1157" s="23"/>
      <c r="J1157" s="24"/>
      <c r="K1157" s="25"/>
      <c r="L1157" s="23"/>
      <c r="M1157" s="23"/>
      <c r="N1157" s="24"/>
      <c r="O1157" s="24"/>
      <c r="P1157" s="25"/>
      <c r="Q1157" s="25"/>
    </row>
    <row r="1158" spans="1:17" s="20" customFormat="1" x14ac:dyDescent="0.25">
      <c r="A1158" s="9"/>
      <c r="B1158" s="28"/>
      <c r="C1158" s="28"/>
      <c r="D1158" s="28"/>
      <c r="E1158" s="28"/>
      <c r="F1158" s="31"/>
      <c r="G1158" s="21"/>
      <c r="H1158" s="22"/>
      <c r="I1158" s="23"/>
      <c r="J1158" s="24"/>
      <c r="K1158" s="25"/>
      <c r="L1158" s="23"/>
      <c r="M1158" s="23"/>
      <c r="N1158" s="24"/>
      <c r="O1158" s="24"/>
      <c r="P1158" s="25"/>
      <c r="Q1158" s="25"/>
    </row>
    <row r="1159" spans="1:17" s="20" customFormat="1" x14ac:dyDescent="0.25">
      <c r="A1159" s="9"/>
      <c r="B1159" s="28"/>
      <c r="C1159" s="28"/>
      <c r="D1159" s="28"/>
      <c r="E1159" s="28"/>
      <c r="F1159" s="31"/>
      <c r="G1159" s="21"/>
      <c r="H1159" s="22"/>
      <c r="I1159" s="23"/>
      <c r="J1159" s="24"/>
      <c r="K1159" s="25"/>
      <c r="L1159" s="23"/>
      <c r="M1159" s="23"/>
      <c r="N1159" s="24"/>
      <c r="O1159" s="24"/>
      <c r="P1159" s="25"/>
      <c r="Q1159" s="25"/>
    </row>
    <row r="1160" spans="1:17" s="20" customFormat="1" x14ac:dyDescent="0.25">
      <c r="A1160" s="9"/>
      <c r="B1160" s="28"/>
      <c r="C1160" s="28"/>
      <c r="D1160" s="28"/>
      <c r="E1160" s="28"/>
      <c r="F1160" s="31"/>
      <c r="G1160" s="21"/>
      <c r="H1160" s="22"/>
      <c r="I1160" s="23"/>
      <c r="J1160" s="24"/>
      <c r="K1160" s="25"/>
      <c r="L1160" s="23"/>
      <c r="M1160" s="23"/>
      <c r="N1160" s="24"/>
      <c r="O1160" s="24"/>
      <c r="P1160" s="25"/>
      <c r="Q1160" s="25"/>
    </row>
    <row r="1161" spans="1:17" s="20" customFormat="1" x14ac:dyDescent="0.25">
      <c r="A1161" s="9"/>
      <c r="B1161" s="28"/>
      <c r="C1161" s="28"/>
      <c r="D1161" s="28"/>
      <c r="E1161" s="28"/>
      <c r="F1161" s="31"/>
      <c r="G1161" s="21"/>
      <c r="H1161" s="22"/>
      <c r="I1161" s="23"/>
      <c r="J1161" s="24"/>
      <c r="K1161" s="25"/>
      <c r="L1161" s="23"/>
      <c r="M1161" s="23"/>
      <c r="N1161" s="24"/>
      <c r="O1161" s="24"/>
      <c r="P1161" s="25"/>
      <c r="Q1161" s="25"/>
    </row>
    <row r="1162" spans="1:17" s="20" customFormat="1" x14ac:dyDescent="0.25">
      <c r="A1162" s="9"/>
      <c r="B1162" s="28"/>
      <c r="C1162" s="28"/>
      <c r="D1162" s="28"/>
      <c r="E1162" s="28"/>
      <c r="F1162" s="31"/>
      <c r="G1162" s="21"/>
      <c r="H1162" s="22"/>
      <c r="I1162" s="23"/>
      <c r="J1162" s="24"/>
      <c r="K1162" s="25"/>
      <c r="L1162" s="23"/>
      <c r="M1162" s="23"/>
      <c r="N1162" s="24"/>
      <c r="O1162" s="24"/>
      <c r="P1162" s="25"/>
      <c r="Q1162" s="25"/>
    </row>
    <row r="1163" spans="1:17" s="20" customFormat="1" x14ac:dyDescent="0.25">
      <c r="A1163" s="9"/>
      <c r="B1163" s="28"/>
      <c r="C1163" s="28"/>
      <c r="D1163" s="28"/>
      <c r="E1163" s="28"/>
      <c r="F1163" s="31"/>
      <c r="G1163" s="21"/>
      <c r="H1163" s="22"/>
      <c r="I1163" s="23"/>
      <c r="J1163" s="24"/>
      <c r="K1163" s="25"/>
      <c r="L1163" s="23"/>
      <c r="M1163" s="23"/>
      <c r="N1163" s="24"/>
      <c r="O1163" s="24"/>
      <c r="P1163" s="25"/>
      <c r="Q1163" s="25"/>
    </row>
    <row r="1164" spans="1:17" s="20" customFormat="1" x14ac:dyDescent="0.25">
      <c r="A1164" s="9"/>
      <c r="B1164" s="28"/>
      <c r="C1164" s="28"/>
      <c r="D1164" s="28"/>
      <c r="E1164" s="28"/>
      <c r="F1164" s="31"/>
      <c r="G1164" s="21"/>
      <c r="H1164" s="22"/>
      <c r="I1164" s="23"/>
      <c r="J1164" s="24"/>
      <c r="K1164" s="25"/>
      <c r="L1164" s="23"/>
      <c r="M1164" s="23"/>
      <c r="N1164" s="24"/>
      <c r="O1164" s="24"/>
      <c r="P1164" s="25"/>
      <c r="Q1164" s="25"/>
    </row>
    <row r="1165" spans="1:17" s="20" customFormat="1" x14ac:dyDescent="0.25">
      <c r="A1165" s="9"/>
      <c r="B1165" s="28"/>
      <c r="C1165" s="28"/>
      <c r="D1165" s="28"/>
      <c r="E1165" s="28"/>
      <c r="F1165" s="31"/>
      <c r="G1165" s="21"/>
      <c r="H1165" s="22"/>
      <c r="I1165" s="23"/>
      <c r="J1165" s="24"/>
      <c r="K1165" s="25"/>
      <c r="L1165" s="23"/>
      <c r="M1165" s="23"/>
      <c r="N1165" s="24"/>
      <c r="O1165" s="24"/>
      <c r="P1165" s="25"/>
      <c r="Q1165" s="25"/>
    </row>
    <row r="1166" spans="1:17" s="20" customFormat="1" x14ac:dyDescent="0.25">
      <c r="A1166" s="9"/>
      <c r="B1166" s="28"/>
      <c r="C1166" s="28"/>
      <c r="D1166" s="28"/>
      <c r="E1166" s="28"/>
      <c r="F1166" s="31"/>
      <c r="G1166" s="21"/>
      <c r="H1166" s="22"/>
      <c r="I1166" s="23"/>
      <c r="J1166" s="24"/>
      <c r="K1166" s="25"/>
      <c r="L1166" s="23"/>
      <c r="M1166" s="23"/>
      <c r="N1166" s="24"/>
      <c r="O1166" s="24"/>
      <c r="P1166" s="25"/>
      <c r="Q1166" s="25"/>
    </row>
    <row r="1167" spans="1:17" s="20" customFormat="1" x14ac:dyDescent="0.25">
      <c r="A1167" s="9"/>
      <c r="B1167" s="28"/>
      <c r="C1167" s="28"/>
      <c r="D1167" s="28"/>
      <c r="E1167" s="28"/>
      <c r="F1167" s="31"/>
      <c r="G1167" s="21"/>
      <c r="H1167" s="22"/>
      <c r="I1167" s="23"/>
      <c r="J1167" s="24"/>
      <c r="K1167" s="25"/>
      <c r="L1167" s="23"/>
      <c r="M1167" s="23"/>
      <c r="N1167" s="24"/>
      <c r="O1167" s="24"/>
      <c r="P1167" s="25"/>
      <c r="Q1167" s="25"/>
    </row>
    <row r="1168" spans="1:17" s="20" customFormat="1" x14ac:dyDescent="0.25">
      <c r="A1168" s="9"/>
      <c r="B1168" s="28"/>
      <c r="C1168" s="28"/>
      <c r="D1168" s="28"/>
      <c r="E1168" s="28"/>
      <c r="F1168" s="31"/>
      <c r="G1168" s="21"/>
      <c r="H1168" s="22"/>
      <c r="I1168" s="23"/>
      <c r="J1168" s="24"/>
      <c r="K1168" s="25"/>
      <c r="L1168" s="23"/>
      <c r="M1168" s="23"/>
      <c r="N1168" s="24"/>
      <c r="O1168" s="24"/>
      <c r="P1168" s="25"/>
      <c r="Q1168" s="25"/>
    </row>
    <row r="1169" spans="1:17" s="20" customFormat="1" x14ac:dyDescent="0.25">
      <c r="A1169" s="9"/>
      <c r="B1169" s="28"/>
      <c r="C1169" s="28"/>
      <c r="D1169" s="28"/>
      <c r="E1169" s="28"/>
      <c r="F1169" s="31"/>
      <c r="G1169" s="21"/>
      <c r="H1169" s="22"/>
      <c r="I1169" s="23"/>
      <c r="J1169" s="24"/>
      <c r="K1169" s="25"/>
      <c r="L1169" s="23"/>
      <c r="M1169" s="23"/>
      <c r="N1169" s="24"/>
      <c r="O1169" s="24"/>
      <c r="P1169" s="25"/>
      <c r="Q1169" s="25"/>
    </row>
    <row r="1170" spans="1:17" s="20" customFormat="1" x14ac:dyDescent="0.25">
      <c r="A1170" s="9"/>
      <c r="B1170" s="28"/>
      <c r="C1170" s="28"/>
      <c r="D1170" s="28"/>
      <c r="E1170" s="28"/>
      <c r="F1170" s="31"/>
      <c r="G1170" s="21"/>
      <c r="H1170" s="22"/>
      <c r="I1170" s="23"/>
      <c r="J1170" s="24"/>
      <c r="K1170" s="25"/>
      <c r="L1170" s="23"/>
      <c r="M1170" s="23"/>
      <c r="N1170" s="24"/>
      <c r="O1170" s="24"/>
      <c r="P1170" s="25"/>
      <c r="Q1170" s="25"/>
    </row>
    <row r="1171" spans="1:17" s="20" customFormat="1" x14ac:dyDescent="0.25">
      <c r="A1171" s="9"/>
      <c r="B1171" s="28"/>
      <c r="C1171" s="28"/>
      <c r="D1171" s="28"/>
      <c r="E1171" s="28"/>
      <c r="F1171" s="31"/>
      <c r="G1171" s="21"/>
      <c r="H1171" s="22"/>
      <c r="I1171" s="23"/>
      <c r="J1171" s="24"/>
      <c r="K1171" s="25"/>
      <c r="L1171" s="23"/>
      <c r="M1171" s="23"/>
      <c r="N1171" s="24"/>
      <c r="O1171" s="24"/>
      <c r="P1171" s="25"/>
      <c r="Q1171" s="25"/>
    </row>
    <row r="1172" spans="1:17" s="20" customFormat="1" x14ac:dyDescent="0.25">
      <c r="A1172" s="9"/>
      <c r="B1172" s="28"/>
      <c r="C1172" s="28"/>
      <c r="D1172" s="28"/>
      <c r="E1172" s="28"/>
      <c r="F1172" s="31"/>
      <c r="G1172" s="21"/>
      <c r="H1172" s="22"/>
      <c r="I1172" s="23"/>
      <c r="J1172" s="24"/>
      <c r="K1172" s="25"/>
      <c r="L1172" s="23"/>
      <c r="M1172" s="23"/>
      <c r="N1172" s="24"/>
      <c r="O1172" s="24"/>
      <c r="P1172" s="25"/>
      <c r="Q1172" s="25"/>
    </row>
    <row r="1173" spans="1:17" s="20" customFormat="1" x14ac:dyDescent="0.25">
      <c r="A1173" s="9"/>
      <c r="B1173" s="28"/>
      <c r="C1173" s="28"/>
      <c r="D1173" s="28"/>
      <c r="E1173" s="28"/>
      <c r="F1173" s="31"/>
      <c r="G1173" s="21"/>
      <c r="H1173" s="22"/>
      <c r="I1173" s="23"/>
      <c r="J1173" s="24"/>
      <c r="K1173" s="25"/>
      <c r="L1173" s="23"/>
      <c r="M1173" s="23"/>
      <c r="N1173" s="24"/>
      <c r="O1173" s="24"/>
      <c r="P1173" s="25"/>
      <c r="Q1173" s="25"/>
    </row>
    <row r="1174" spans="1:17" s="20" customFormat="1" x14ac:dyDescent="0.25">
      <c r="A1174" s="9"/>
      <c r="B1174" s="28"/>
      <c r="C1174" s="28"/>
      <c r="D1174" s="28"/>
      <c r="E1174" s="28"/>
      <c r="F1174" s="31"/>
      <c r="G1174" s="21"/>
      <c r="H1174" s="22"/>
      <c r="I1174" s="23"/>
      <c r="J1174" s="24"/>
      <c r="K1174" s="25"/>
      <c r="L1174" s="23"/>
      <c r="M1174" s="23"/>
      <c r="N1174" s="24"/>
      <c r="O1174" s="24"/>
      <c r="P1174" s="25"/>
      <c r="Q1174" s="25"/>
    </row>
    <row r="1175" spans="1:17" s="20" customFormat="1" x14ac:dyDescent="0.25">
      <c r="A1175" s="9"/>
      <c r="B1175" s="28"/>
      <c r="C1175" s="28"/>
      <c r="D1175" s="28"/>
      <c r="E1175" s="28"/>
      <c r="F1175" s="31"/>
      <c r="G1175" s="21"/>
      <c r="H1175" s="22"/>
      <c r="I1175" s="23"/>
      <c r="J1175" s="24"/>
      <c r="K1175" s="25"/>
      <c r="L1175" s="23"/>
      <c r="M1175" s="23"/>
      <c r="N1175" s="24"/>
      <c r="O1175" s="24"/>
      <c r="P1175" s="25"/>
      <c r="Q1175" s="25"/>
    </row>
    <row r="1176" spans="1:17" s="20" customFormat="1" x14ac:dyDescent="0.25">
      <c r="A1176" s="9"/>
      <c r="B1176" s="28"/>
      <c r="C1176" s="28"/>
      <c r="D1176" s="28"/>
      <c r="E1176" s="28"/>
      <c r="F1176" s="31"/>
      <c r="G1176" s="21"/>
      <c r="H1176" s="22"/>
      <c r="I1176" s="23"/>
      <c r="J1176" s="24"/>
      <c r="K1176" s="25"/>
      <c r="L1176" s="23"/>
      <c r="M1176" s="23"/>
      <c r="N1176" s="24"/>
      <c r="O1176" s="24"/>
      <c r="P1176" s="25"/>
      <c r="Q1176" s="25"/>
    </row>
    <row r="1177" spans="1:17" s="20" customFormat="1" x14ac:dyDescent="0.25">
      <c r="A1177" s="9"/>
      <c r="B1177" s="28"/>
      <c r="C1177" s="28"/>
      <c r="D1177" s="28"/>
      <c r="E1177" s="28"/>
      <c r="F1177" s="31"/>
      <c r="G1177" s="21"/>
      <c r="H1177" s="22"/>
      <c r="I1177" s="23"/>
      <c r="J1177" s="24"/>
      <c r="K1177" s="25"/>
      <c r="L1177" s="23"/>
      <c r="M1177" s="23"/>
      <c r="N1177" s="24"/>
      <c r="O1177" s="24"/>
      <c r="P1177" s="25"/>
      <c r="Q1177" s="25"/>
    </row>
    <row r="1178" spans="1:17" s="20" customFormat="1" x14ac:dyDescent="0.25">
      <c r="A1178" s="9"/>
      <c r="B1178" s="28"/>
      <c r="C1178" s="28"/>
      <c r="D1178" s="28"/>
      <c r="E1178" s="28"/>
      <c r="F1178" s="31"/>
      <c r="G1178" s="21"/>
      <c r="H1178" s="22"/>
      <c r="I1178" s="23"/>
      <c r="J1178" s="24"/>
      <c r="K1178" s="25"/>
      <c r="L1178" s="23"/>
      <c r="M1178" s="23"/>
      <c r="N1178" s="24"/>
      <c r="O1178" s="24"/>
      <c r="P1178" s="25"/>
      <c r="Q1178" s="25"/>
    </row>
    <row r="1179" spans="1:17" s="20" customFormat="1" x14ac:dyDescent="0.25">
      <c r="A1179" s="9"/>
      <c r="B1179" s="28"/>
      <c r="C1179" s="28"/>
      <c r="D1179" s="28"/>
      <c r="E1179" s="28"/>
      <c r="F1179" s="31"/>
      <c r="G1179" s="21"/>
      <c r="H1179" s="22"/>
      <c r="I1179" s="23"/>
      <c r="J1179" s="24"/>
      <c r="K1179" s="25"/>
      <c r="L1179" s="23"/>
      <c r="M1179" s="23"/>
      <c r="N1179" s="24"/>
      <c r="O1179" s="24"/>
      <c r="P1179" s="25"/>
      <c r="Q1179" s="25"/>
    </row>
    <row r="1180" spans="1:17" s="20" customFormat="1" x14ac:dyDescent="0.25">
      <c r="A1180" s="9"/>
      <c r="B1180" s="28"/>
      <c r="C1180" s="28"/>
      <c r="D1180" s="28"/>
      <c r="E1180" s="28"/>
      <c r="F1180" s="31"/>
      <c r="G1180" s="21"/>
      <c r="H1180" s="22"/>
      <c r="I1180" s="23"/>
      <c r="J1180" s="24"/>
      <c r="K1180" s="25"/>
      <c r="L1180" s="23"/>
      <c r="M1180" s="23"/>
      <c r="N1180" s="24"/>
      <c r="O1180" s="24"/>
      <c r="P1180" s="25"/>
      <c r="Q1180" s="25"/>
    </row>
    <row r="1181" spans="1:17" s="20" customFormat="1" x14ac:dyDescent="0.25">
      <c r="A1181" s="9"/>
      <c r="B1181" s="28"/>
      <c r="C1181" s="28"/>
      <c r="D1181" s="28"/>
      <c r="E1181" s="28"/>
      <c r="F1181" s="31"/>
      <c r="G1181" s="21"/>
      <c r="H1181" s="22"/>
      <c r="I1181" s="23"/>
      <c r="J1181" s="24"/>
      <c r="K1181" s="25"/>
      <c r="L1181" s="23"/>
      <c r="M1181" s="23"/>
      <c r="N1181" s="24"/>
      <c r="O1181" s="24"/>
      <c r="P1181" s="25"/>
      <c r="Q1181" s="25"/>
    </row>
    <row r="1182" spans="1:17" s="20" customFormat="1" x14ac:dyDescent="0.25">
      <c r="A1182" s="9"/>
      <c r="B1182" s="28"/>
      <c r="C1182" s="28"/>
      <c r="D1182" s="28"/>
      <c r="E1182" s="28"/>
      <c r="F1182" s="31"/>
      <c r="G1182" s="21"/>
      <c r="H1182" s="22"/>
      <c r="I1182" s="23"/>
      <c r="J1182" s="24"/>
      <c r="K1182" s="25"/>
      <c r="L1182" s="23"/>
      <c r="M1182" s="23"/>
      <c r="N1182" s="24"/>
      <c r="O1182" s="24"/>
      <c r="P1182" s="25"/>
      <c r="Q1182" s="25"/>
    </row>
    <row r="1183" spans="1:17" s="20" customFormat="1" x14ac:dyDescent="0.25">
      <c r="A1183" s="9"/>
      <c r="B1183" s="28"/>
      <c r="C1183" s="28"/>
      <c r="D1183" s="28"/>
      <c r="E1183" s="28"/>
      <c r="F1183" s="31"/>
      <c r="G1183" s="21"/>
      <c r="H1183" s="22"/>
      <c r="I1183" s="23"/>
      <c r="J1183" s="24"/>
      <c r="K1183" s="25"/>
      <c r="L1183" s="23"/>
      <c r="M1183" s="23"/>
      <c r="N1183" s="24"/>
      <c r="O1183" s="24"/>
      <c r="P1183" s="25"/>
      <c r="Q1183" s="25"/>
    </row>
    <row r="1184" spans="1:17" s="20" customFormat="1" x14ac:dyDescent="0.25">
      <c r="A1184" s="9"/>
      <c r="B1184" s="28"/>
      <c r="C1184" s="28"/>
      <c r="D1184" s="28"/>
      <c r="E1184" s="28"/>
      <c r="F1184" s="31"/>
      <c r="G1184" s="21"/>
      <c r="H1184" s="22"/>
      <c r="I1184" s="23"/>
      <c r="J1184" s="24"/>
      <c r="K1184" s="25"/>
      <c r="L1184" s="23"/>
      <c r="M1184" s="23"/>
      <c r="N1184" s="24"/>
      <c r="O1184" s="24"/>
      <c r="P1184" s="25"/>
      <c r="Q1184" s="25"/>
    </row>
    <row r="1185" spans="1:17" s="20" customFormat="1" x14ac:dyDescent="0.25">
      <c r="A1185" s="9"/>
      <c r="B1185" s="28"/>
      <c r="C1185" s="28"/>
      <c r="D1185" s="28"/>
      <c r="E1185" s="28"/>
      <c r="F1185" s="31"/>
      <c r="G1185" s="21"/>
      <c r="H1185" s="22"/>
      <c r="I1185" s="23"/>
      <c r="J1185" s="24"/>
      <c r="K1185" s="25"/>
      <c r="L1185" s="23"/>
      <c r="M1185" s="23"/>
      <c r="N1185" s="24"/>
      <c r="O1185" s="24"/>
      <c r="P1185" s="25"/>
      <c r="Q1185" s="25"/>
    </row>
    <row r="1186" spans="1:17" s="20" customFormat="1" x14ac:dyDescent="0.25">
      <c r="A1186" s="9"/>
      <c r="B1186" s="28"/>
      <c r="C1186" s="28"/>
      <c r="D1186" s="28"/>
      <c r="E1186" s="28"/>
      <c r="F1186" s="31"/>
      <c r="G1186" s="21"/>
      <c r="H1186" s="22"/>
      <c r="I1186" s="23"/>
      <c r="J1186" s="24"/>
      <c r="K1186" s="25"/>
      <c r="L1186" s="23"/>
      <c r="M1186" s="23"/>
      <c r="N1186" s="24"/>
      <c r="O1186" s="24"/>
      <c r="P1186" s="25"/>
      <c r="Q1186" s="25"/>
    </row>
    <row r="1187" spans="1:17" s="20" customFormat="1" x14ac:dyDescent="0.25">
      <c r="A1187" s="9"/>
      <c r="B1187" s="28"/>
      <c r="C1187" s="28"/>
      <c r="D1187" s="28"/>
      <c r="E1187" s="28"/>
      <c r="F1187" s="31"/>
      <c r="G1187" s="21"/>
      <c r="H1187" s="22"/>
      <c r="I1187" s="23"/>
      <c r="J1187" s="24"/>
      <c r="K1187" s="25"/>
      <c r="L1187" s="23"/>
      <c r="M1187" s="23"/>
      <c r="N1187" s="24"/>
      <c r="O1187" s="24"/>
      <c r="P1187" s="25"/>
      <c r="Q1187" s="25"/>
    </row>
    <row r="1188" spans="1:17" s="20" customFormat="1" x14ac:dyDescent="0.25">
      <c r="A1188" s="9"/>
      <c r="B1188" s="28"/>
      <c r="C1188" s="28"/>
      <c r="D1188" s="28"/>
      <c r="E1188" s="28"/>
      <c r="F1188" s="31"/>
      <c r="G1188" s="21"/>
      <c r="H1188" s="22"/>
      <c r="I1188" s="23"/>
      <c r="J1188" s="24"/>
      <c r="K1188" s="25"/>
      <c r="L1188" s="23"/>
      <c r="M1188" s="23"/>
      <c r="N1188" s="24"/>
      <c r="O1188" s="24"/>
      <c r="P1188" s="25"/>
      <c r="Q1188" s="25"/>
    </row>
    <row r="1189" spans="1:17" s="20" customFormat="1" x14ac:dyDescent="0.25">
      <c r="A1189" s="9"/>
      <c r="B1189" s="28"/>
      <c r="C1189" s="28"/>
      <c r="D1189" s="28"/>
      <c r="E1189" s="28"/>
      <c r="F1189" s="31"/>
      <c r="G1189" s="21"/>
      <c r="H1189" s="22"/>
      <c r="I1189" s="23"/>
      <c r="J1189" s="24"/>
      <c r="K1189" s="25"/>
      <c r="L1189" s="23"/>
      <c r="M1189" s="23"/>
      <c r="N1189" s="24"/>
      <c r="O1189" s="24"/>
      <c r="P1189" s="25"/>
      <c r="Q1189" s="25"/>
    </row>
    <row r="1190" spans="1:17" s="20" customFormat="1" x14ac:dyDescent="0.25">
      <c r="A1190" s="9"/>
      <c r="B1190" s="28"/>
      <c r="C1190" s="28"/>
      <c r="D1190" s="28"/>
      <c r="E1190" s="28"/>
      <c r="F1190" s="31"/>
      <c r="G1190" s="21"/>
      <c r="H1190" s="22"/>
      <c r="I1190" s="23"/>
      <c r="J1190" s="24"/>
      <c r="K1190" s="25"/>
      <c r="L1190" s="23"/>
      <c r="M1190" s="23"/>
      <c r="N1190" s="24"/>
      <c r="O1190" s="24"/>
      <c r="P1190" s="25"/>
      <c r="Q1190" s="25"/>
    </row>
    <row r="1191" spans="1:17" s="20" customFormat="1" x14ac:dyDescent="0.25">
      <c r="A1191" s="9"/>
      <c r="B1191" s="28"/>
      <c r="C1191" s="28"/>
      <c r="D1191" s="28"/>
      <c r="E1191" s="28"/>
      <c r="F1191" s="31"/>
      <c r="G1191" s="21"/>
      <c r="H1191" s="22"/>
      <c r="I1191" s="23"/>
      <c r="J1191" s="24"/>
      <c r="K1191" s="25"/>
      <c r="L1191" s="23"/>
      <c r="M1191" s="23"/>
      <c r="N1191" s="24"/>
      <c r="O1191" s="24"/>
      <c r="P1191" s="25"/>
      <c r="Q1191" s="25"/>
    </row>
    <row r="1192" spans="1:17" s="20" customFormat="1" x14ac:dyDescent="0.25">
      <c r="A1192" s="9"/>
      <c r="B1192" s="28"/>
      <c r="C1192" s="28"/>
      <c r="D1192" s="28"/>
      <c r="E1192" s="28"/>
      <c r="F1192" s="31"/>
      <c r="G1192" s="21"/>
      <c r="H1192" s="22"/>
      <c r="I1192" s="23"/>
      <c r="J1192" s="24"/>
      <c r="K1192" s="25"/>
      <c r="L1192" s="23"/>
      <c r="M1192" s="23"/>
      <c r="N1192" s="24"/>
      <c r="O1192" s="24"/>
      <c r="P1192" s="25"/>
      <c r="Q1192" s="25"/>
    </row>
    <row r="1193" spans="1:17" s="20" customFormat="1" x14ac:dyDescent="0.25">
      <c r="A1193" s="9"/>
      <c r="B1193" s="28"/>
      <c r="C1193" s="28"/>
      <c r="D1193" s="28"/>
      <c r="E1193" s="28"/>
      <c r="F1193" s="31"/>
      <c r="G1193" s="21"/>
      <c r="H1193" s="22"/>
      <c r="I1193" s="23"/>
      <c r="J1193" s="24"/>
      <c r="K1193" s="25"/>
      <c r="L1193" s="23"/>
      <c r="M1193" s="23"/>
      <c r="N1193" s="24"/>
      <c r="O1193" s="24"/>
      <c r="P1193" s="25"/>
      <c r="Q1193" s="25"/>
    </row>
    <row r="1194" spans="1:17" s="20" customFormat="1" x14ac:dyDescent="0.25">
      <c r="A1194" s="9"/>
      <c r="B1194" s="28"/>
      <c r="C1194" s="28"/>
      <c r="D1194" s="28"/>
      <c r="E1194" s="28"/>
      <c r="F1194" s="31"/>
      <c r="G1194" s="21"/>
      <c r="H1194" s="22"/>
      <c r="I1194" s="23"/>
      <c r="J1194" s="24"/>
      <c r="K1194" s="25"/>
      <c r="L1194" s="23"/>
      <c r="M1194" s="23"/>
      <c r="N1194" s="24"/>
      <c r="O1194" s="24"/>
      <c r="P1194" s="25"/>
      <c r="Q1194" s="25"/>
    </row>
    <row r="1195" spans="1:17" s="20" customFormat="1" x14ac:dyDescent="0.25">
      <c r="A1195" s="9"/>
      <c r="B1195" s="28"/>
      <c r="C1195" s="28"/>
      <c r="D1195" s="28"/>
      <c r="E1195" s="28"/>
      <c r="F1195" s="31"/>
      <c r="G1195" s="21"/>
      <c r="H1195" s="22"/>
      <c r="I1195" s="23"/>
      <c r="J1195" s="24"/>
      <c r="K1195" s="25"/>
      <c r="L1195" s="23"/>
      <c r="M1195" s="23"/>
      <c r="N1195" s="24"/>
      <c r="O1195" s="24"/>
      <c r="P1195" s="25"/>
      <c r="Q1195" s="25"/>
    </row>
    <row r="1196" spans="1:17" s="20" customFormat="1" x14ac:dyDescent="0.25">
      <c r="A1196" s="9"/>
      <c r="B1196" s="28"/>
      <c r="C1196" s="28"/>
      <c r="D1196" s="28"/>
      <c r="E1196" s="28"/>
      <c r="F1196" s="31"/>
      <c r="G1196" s="21"/>
      <c r="H1196" s="22"/>
      <c r="I1196" s="23"/>
      <c r="J1196" s="24"/>
      <c r="K1196" s="25"/>
      <c r="L1196" s="23"/>
      <c r="M1196" s="23"/>
      <c r="N1196" s="24"/>
      <c r="O1196" s="24"/>
      <c r="P1196" s="25"/>
      <c r="Q1196" s="25"/>
    </row>
    <row r="1197" spans="1:17" s="20" customFormat="1" x14ac:dyDescent="0.25">
      <c r="A1197" s="9"/>
      <c r="B1197" s="28"/>
      <c r="C1197" s="28"/>
      <c r="D1197" s="28"/>
      <c r="E1197" s="28"/>
      <c r="F1197" s="31"/>
      <c r="G1197" s="21"/>
      <c r="H1197" s="22"/>
      <c r="I1197" s="23"/>
      <c r="J1197" s="24"/>
      <c r="K1197" s="25"/>
      <c r="L1197" s="23"/>
      <c r="M1197" s="23"/>
      <c r="N1197" s="24"/>
      <c r="O1197" s="24"/>
      <c r="P1197" s="25"/>
      <c r="Q1197" s="25"/>
    </row>
    <row r="1198" spans="1:17" s="20" customFormat="1" x14ac:dyDescent="0.25">
      <c r="A1198" s="9"/>
      <c r="B1198" s="28"/>
      <c r="C1198" s="28"/>
      <c r="D1198" s="28"/>
      <c r="E1198" s="28"/>
      <c r="F1198" s="31"/>
      <c r="G1198" s="21"/>
      <c r="H1198" s="22"/>
      <c r="I1198" s="23"/>
      <c r="J1198" s="24"/>
      <c r="K1198" s="25"/>
      <c r="L1198" s="23"/>
      <c r="M1198" s="23"/>
      <c r="N1198" s="24"/>
      <c r="O1198" s="24"/>
      <c r="P1198" s="25"/>
      <c r="Q1198" s="25"/>
    </row>
    <row r="1199" spans="1:17" s="20" customFormat="1" x14ac:dyDescent="0.25">
      <c r="A1199" s="9"/>
      <c r="B1199" s="28"/>
      <c r="C1199" s="28"/>
      <c r="D1199" s="28"/>
      <c r="E1199" s="28"/>
      <c r="F1199" s="31"/>
      <c r="G1199" s="21"/>
      <c r="H1199" s="22"/>
      <c r="I1199" s="23"/>
      <c r="J1199" s="24"/>
      <c r="K1199" s="25"/>
      <c r="L1199" s="23"/>
      <c r="M1199" s="23"/>
      <c r="N1199" s="24"/>
      <c r="O1199" s="24"/>
      <c r="P1199" s="25"/>
      <c r="Q1199" s="25"/>
    </row>
    <row r="1200" spans="1:17" s="20" customFormat="1" x14ac:dyDescent="0.25">
      <c r="A1200" s="9"/>
      <c r="B1200" s="28"/>
      <c r="C1200" s="28"/>
      <c r="D1200" s="28"/>
      <c r="E1200" s="28"/>
      <c r="F1200" s="31"/>
      <c r="G1200" s="21"/>
      <c r="H1200" s="22"/>
      <c r="I1200" s="23"/>
      <c r="J1200" s="24"/>
      <c r="K1200" s="25"/>
      <c r="L1200" s="23"/>
      <c r="M1200" s="23"/>
      <c r="N1200" s="24"/>
      <c r="O1200" s="24"/>
      <c r="P1200" s="25"/>
      <c r="Q1200" s="25"/>
    </row>
    <row r="1201" spans="1:17" s="20" customFormat="1" x14ac:dyDescent="0.25">
      <c r="A1201" s="9"/>
      <c r="B1201" s="28"/>
      <c r="C1201" s="28"/>
      <c r="D1201" s="28"/>
      <c r="E1201" s="28"/>
      <c r="F1201" s="31"/>
      <c r="G1201" s="21"/>
      <c r="H1201" s="22"/>
      <c r="I1201" s="23"/>
      <c r="J1201" s="24"/>
      <c r="K1201" s="25"/>
      <c r="L1201" s="23"/>
      <c r="M1201" s="23"/>
      <c r="N1201" s="24"/>
      <c r="O1201" s="24"/>
      <c r="P1201" s="25"/>
      <c r="Q1201" s="25"/>
    </row>
    <row r="1202" spans="1:17" s="20" customFormat="1" x14ac:dyDescent="0.25">
      <c r="A1202" s="9"/>
      <c r="B1202" s="28"/>
      <c r="C1202" s="28"/>
      <c r="D1202" s="28"/>
      <c r="E1202" s="28"/>
      <c r="F1202" s="31"/>
      <c r="G1202" s="21"/>
      <c r="H1202" s="22"/>
      <c r="I1202" s="23"/>
      <c r="J1202" s="24"/>
      <c r="K1202" s="25"/>
      <c r="L1202" s="23"/>
      <c r="M1202" s="23"/>
      <c r="N1202" s="24"/>
      <c r="O1202" s="24"/>
      <c r="P1202" s="25"/>
      <c r="Q1202" s="25"/>
    </row>
    <row r="1203" spans="1:17" s="20" customFormat="1" x14ac:dyDescent="0.25">
      <c r="A1203" s="9"/>
      <c r="B1203" s="28"/>
      <c r="C1203" s="28"/>
      <c r="D1203" s="28"/>
      <c r="E1203" s="28"/>
      <c r="F1203" s="31"/>
      <c r="G1203" s="21"/>
      <c r="H1203" s="22"/>
      <c r="I1203" s="23"/>
      <c r="J1203" s="24"/>
      <c r="K1203" s="25"/>
      <c r="L1203" s="23"/>
      <c r="M1203" s="23"/>
      <c r="N1203" s="24"/>
      <c r="O1203" s="24"/>
      <c r="P1203" s="25"/>
      <c r="Q1203" s="25"/>
    </row>
    <row r="1204" spans="1:17" s="20" customFormat="1" x14ac:dyDescent="0.25">
      <c r="A1204" s="9"/>
      <c r="B1204" s="28"/>
      <c r="C1204" s="28"/>
      <c r="D1204" s="28"/>
      <c r="E1204" s="28"/>
      <c r="F1204" s="31"/>
      <c r="G1204" s="21"/>
      <c r="H1204" s="22"/>
      <c r="I1204" s="23"/>
      <c r="J1204" s="24"/>
      <c r="K1204" s="25"/>
      <c r="L1204" s="23"/>
      <c r="M1204" s="23"/>
      <c r="N1204" s="24"/>
      <c r="O1204" s="24"/>
      <c r="P1204" s="25"/>
      <c r="Q1204" s="25"/>
    </row>
    <row r="1205" spans="1:17" s="20" customFormat="1" x14ac:dyDescent="0.25">
      <c r="A1205" s="9"/>
      <c r="B1205" s="28"/>
      <c r="C1205" s="28"/>
      <c r="D1205" s="28"/>
      <c r="E1205" s="28"/>
      <c r="F1205" s="31"/>
      <c r="G1205" s="21"/>
      <c r="H1205" s="22"/>
      <c r="I1205" s="23"/>
      <c r="J1205" s="24"/>
      <c r="K1205" s="25"/>
      <c r="L1205" s="23"/>
      <c r="M1205" s="23"/>
      <c r="N1205" s="24"/>
      <c r="O1205" s="24"/>
      <c r="P1205" s="25"/>
      <c r="Q1205" s="25"/>
    </row>
    <row r="1206" spans="1:17" s="20" customFormat="1" x14ac:dyDescent="0.25">
      <c r="A1206" s="9"/>
      <c r="B1206" s="28"/>
      <c r="C1206" s="28"/>
      <c r="D1206" s="28"/>
      <c r="E1206" s="28"/>
      <c r="F1206" s="31"/>
      <c r="G1206" s="21"/>
      <c r="H1206" s="22"/>
      <c r="I1206" s="23"/>
      <c r="J1206" s="24"/>
      <c r="K1206" s="25"/>
      <c r="L1206" s="23"/>
      <c r="M1206" s="23"/>
      <c r="N1206" s="24"/>
      <c r="O1206" s="24"/>
      <c r="P1206" s="25"/>
      <c r="Q1206" s="25"/>
    </row>
    <row r="1207" spans="1:17" s="20" customFormat="1" x14ac:dyDescent="0.25">
      <c r="A1207" s="9"/>
      <c r="B1207" s="28"/>
      <c r="C1207" s="28"/>
      <c r="D1207" s="28"/>
      <c r="E1207" s="28"/>
      <c r="F1207" s="31"/>
      <c r="G1207" s="21"/>
      <c r="H1207" s="22"/>
      <c r="I1207" s="23"/>
      <c r="J1207" s="24"/>
      <c r="K1207" s="25"/>
      <c r="L1207" s="23"/>
      <c r="M1207" s="23"/>
      <c r="N1207" s="24"/>
      <c r="O1207" s="24"/>
      <c r="P1207" s="25"/>
      <c r="Q1207" s="25"/>
    </row>
    <row r="1208" spans="1:17" s="20" customFormat="1" x14ac:dyDescent="0.25">
      <c r="A1208" s="9"/>
      <c r="B1208" s="28"/>
      <c r="C1208" s="28"/>
      <c r="D1208" s="28"/>
      <c r="E1208" s="28"/>
      <c r="F1208" s="31"/>
      <c r="G1208" s="21"/>
      <c r="H1208" s="22"/>
      <c r="I1208" s="23"/>
      <c r="J1208" s="24"/>
      <c r="K1208" s="25"/>
      <c r="L1208" s="23"/>
      <c r="M1208" s="23"/>
      <c r="N1208" s="24"/>
      <c r="O1208" s="24"/>
      <c r="P1208" s="25"/>
      <c r="Q1208" s="25"/>
    </row>
    <row r="1209" spans="1:17" s="20" customFormat="1" x14ac:dyDescent="0.25">
      <c r="A1209" s="9"/>
      <c r="B1209" s="28"/>
      <c r="C1209" s="28"/>
      <c r="D1209" s="28"/>
      <c r="E1209" s="28"/>
      <c r="F1209" s="31"/>
      <c r="G1209" s="21"/>
      <c r="H1209" s="22"/>
      <c r="I1209" s="23"/>
      <c r="J1209" s="24"/>
      <c r="K1209" s="25"/>
      <c r="L1209" s="23"/>
      <c r="M1209" s="23"/>
      <c r="N1209" s="24"/>
      <c r="O1209" s="24"/>
      <c r="P1209" s="25"/>
      <c r="Q1209" s="25"/>
    </row>
    <row r="1210" spans="1:17" s="20" customFormat="1" x14ac:dyDescent="0.25">
      <c r="A1210" s="9"/>
      <c r="B1210" s="28"/>
      <c r="C1210" s="28"/>
      <c r="D1210" s="28"/>
      <c r="E1210" s="28"/>
      <c r="F1210" s="31"/>
      <c r="G1210" s="21"/>
      <c r="H1210" s="22"/>
      <c r="I1210" s="23"/>
      <c r="J1210" s="24"/>
      <c r="K1210" s="25"/>
      <c r="L1210" s="23"/>
      <c r="M1210" s="23"/>
      <c r="N1210" s="24"/>
      <c r="O1210" s="24"/>
      <c r="P1210" s="25"/>
      <c r="Q1210" s="25"/>
    </row>
    <row r="1211" spans="1:17" s="20" customFormat="1" x14ac:dyDescent="0.25">
      <c r="A1211" s="9"/>
      <c r="B1211" s="28"/>
      <c r="C1211" s="28"/>
      <c r="D1211" s="28"/>
      <c r="E1211" s="28"/>
      <c r="F1211" s="31"/>
      <c r="G1211" s="21"/>
      <c r="H1211" s="22"/>
      <c r="I1211" s="23"/>
      <c r="J1211" s="24"/>
      <c r="K1211" s="25"/>
      <c r="L1211" s="23"/>
      <c r="M1211" s="23"/>
      <c r="N1211" s="24"/>
      <c r="O1211" s="24"/>
      <c r="P1211" s="25"/>
      <c r="Q1211" s="25"/>
    </row>
    <row r="1212" spans="1:17" s="20" customFormat="1" x14ac:dyDescent="0.25">
      <c r="A1212" s="9"/>
      <c r="B1212" s="28"/>
      <c r="C1212" s="28"/>
      <c r="D1212" s="28"/>
      <c r="E1212" s="28"/>
      <c r="F1212" s="31"/>
      <c r="G1212" s="21"/>
      <c r="H1212" s="22"/>
      <c r="I1212" s="23"/>
      <c r="J1212" s="24"/>
      <c r="K1212" s="25"/>
      <c r="L1212" s="23"/>
      <c r="M1212" s="23"/>
      <c r="N1212" s="24"/>
      <c r="O1212" s="24"/>
      <c r="P1212" s="25"/>
      <c r="Q1212" s="25"/>
    </row>
    <row r="1213" spans="1:17" s="20" customFormat="1" x14ac:dyDescent="0.25">
      <c r="A1213" s="9"/>
      <c r="B1213" s="28"/>
      <c r="C1213" s="28"/>
      <c r="D1213" s="28"/>
      <c r="E1213" s="28"/>
      <c r="F1213" s="31"/>
      <c r="G1213" s="21"/>
      <c r="H1213" s="22"/>
      <c r="I1213" s="23"/>
      <c r="J1213" s="24"/>
      <c r="K1213" s="25"/>
      <c r="L1213" s="23"/>
      <c r="M1213" s="23"/>
      <c r="N1213" s="24"/>
      <c r="O1213" s="24"/>
      <c r="P1213" s="25"/>
      <c r="Q1213" s="25"/>
    </row>
    <row r="1214" spans="1:17" s="20" customFormat="1" x14ac:dyDescent="0.25">
      <c r="A1214" s="9"/>
      <c r="B1214" s="28"/>
      <c r="C1214" s="28"/>
      <c r="D1214" s="28"/>
      <c r="E1214" s="28"/>
      <c r="F1214" s="31"/>
      <c r="G1214" s="21"/>
      <c r="H1214" s="22"/>
      <c r="I1214" s="23"/>
      <c r="J1214" s="24"/>
      <c r="K1214" s="25"/>
      <c r="L1214" s="23"/>
      <c r="M1214" s="23"/>
      <c r="N1214" s="24"/>
      <c r="O1214" s="24"/>
      <c r="P1214" s="25"/>
      <c r="Q1214" s="25"/>
    </row>
    <row r="1215" spans="1:17" s="20" customFormat="1" x14ac:dyDescent="0.25">
      <c r="A1215" s="9"/>
      <c r="B1215" s="28"/>
      <c r="C1215" s="28"/>
      <c r="D1215" s="28"/>
      <c r="E1215" s="28"/>
      <c r="F1215" s="31"/>
      <c r="G1215" s="21"/>
      <c r="H1215" s="22"/>
      <c r="I1215" s="23"/>
      <c r="J1215" s="24"/>
      <c r="K1215" s="25"/>
      <c r="L1215" s="23"/>
      <c r="M1215" s="23"/>
      <c r="N1215" s="24"/>
      <c r="O1215" s="24"/>
      <c r="P1215" s="25"/>
      <c r="Q1215" s="25"/>
    </row>
    <row r="1216" spans="1:17" s="20" customFormat="1" x14ac:dyDescent="0.25">
      <c r="A1216" s="9"/>
      <c r="B1216" s="28"/>
      <c r="C1216" s="28"/>
      <c r="D1216" s="28"/>
      <c r="E1216" s="28"/>
      <c r="F1216" s="31"/>
      <c r="G1216" s="21"/>
      <c r="H1216" s="22"/>
      <c r="I1216" s="23"/>
      <c r="J1216" s="24"/>
      <c r="K1216" s="25"/>
      <c r="L1216" s="23"/>
      <c r="M1216" s="23"/>
      <c r="N1216" s="24"/>
      <c r="O1216" s="24"/>
      <c r="P1216" s="25"/>
      <c r="Q1216" s="25"/>
    </row>
    <row r="1217" spans="1:17" s="20" customFormat="1" x14ac:dyDescent="0.25">
      <c r="A1217" s="9"/>
      <c r="B1217" s="28"/>
      <c r="C1217" s="28"/>
      <c r="D1217" s="28"/>
      <c r="E1217" s="28"/>
      <c r="F1217" s="31"/>
      <c r="G1217" s="21"/>
      <c r="H1217" s="22"/>
      <c r="I1217" s="23"/>
      <c r="J1217" s="24"/>
      <c r="K1217" s="25"/>
      <c r="L1217" s="23"/>
      <c r="M1217" s="23"/>
      <c r="N1217" s="24"/>
      <c r="O1217" s="24"/>
      <c r="P1217" s="25"/>
      <c r="Q1217" s="25"/>
    </row>
    <row r="1218" spans="1:17" s="20" customFormat="1" x14ac:dyDescent="0.25">
      <c r="A1218" s="9"/>
      <c r="B1218" s="28"/>
      <c r="C1218" s="28"/>
      <c r="D1218" s="28"/>
      <c r="E1218" s="28"/>
      <c r="F1218" s="31"/>
      <c r="G1218" s="21"/>
      <c r="H1218" s="22"/>
      <c r="I1218" s="23"/>
      <c r="J1218" s="24"/>
      <c r="K1218" s="25"/>
      <c r="L1218" s="23"/>
      <c r="M1218" s="23"/>
      <c r="N1218" s="24"/>
      <c r="O1218" s="24"/>
      <c r="P1218" s="25"/>
      <c r="Q1218" s="25"/>
    </row>
    <row r="1219" spans="1:17" s="20" customFormat="1" x14ac:dyDescent="0.25">
      <c r="A1219" s="9"/>
      <c r="B1219" s="28"/>
      <c r="C1219" s="28"/>
      <c r="D1219" s="28"/>
      <c r="E1219" s="28"/>
      <c r="F1219" s="31"/>
      <c r="G1219" s="21"/>
      <c r="H1219" s="22"/>
      <c r="I1219" s="23"/>
      <c r="J1219" s="24"/>
      <c r="K1219" s="25"/>
      <c r="L1219" s="23"/>
      <c r="M1219" s="23"/>
      <c r="N1219" s="24"/>
      <c r="O1219" s="24"/>
      <c r="P1219" s="25"/>
      <c r="Q1219" s="25"/>
    </row>
    <row r="1220" spans="1:17" s="20" customFormat="1" x14ac:dyDescent="0.25">
      <c r="A1220" s="9"/>
      <c r="B1220" s="28"/>
      <c r="C1220" s="28"/>
      <c r="D1220" s="28"/>
      <c r="E1220" s="28"/>
      <c r="F1220" s="31"/>
      <c r="G1220" s="21"/>
      <c r="H1220" s="22"/>
      <c r="I1220" s="23"/>
      <c r="J1220" s="24"/>
      <c r="K1220" s="25"/>
      <c r="L1220" s="23"/>
      <c r="M1220" s="23"/>
      <c r="N1220" s="24"/>
      <c r="O1220" s="24"/>
      <c r="P1220" s="25"/>
      <c r="Q1220" s="25"/>
    </row>
    <row r="1221" spans="1:17" s="20" customFormat="1" x14ac:dyDescent="0.25">
      <c r="A1221" s="9"/>
      <c r="B1221" s="28"/>
      <c r="C1221" s="28"/>
      <c r="D1221" s="28"/>
      <c r="E1221" s="28"/>
      <c r="F1221" s="31"/>
      <c r="G1221" s="21"/>
      <c r="H1221" s="22"/>
      <c r="I1221" s="23"/>
      <c r="J1221" s="24"/>
      <c r="K1221" s="25"/>
      <c r="L1221" s="23"/>
      <c r="M1221" s="23"/>
      <c r="N1221" s="24"/>
      <c r="O1221" s="24"/>
      <c r="P1221" s="25"/>
      <c r="Q1221" s="25"/>
    </row>
    <row r="1222" spans="1:17" s="20" customFormat="1" x14ac:dyDescent="0.25">
      <c r="A1222" s="9"/>
      <c r="B1222" s="28"/>
      <c r="C1222" s="28"/>
      <c r="D1222" s="28"/>
      <c r="E1222" s="28"/>
      <c r="F1222" s="31"/>
      <c r="G1222" s="21"/>
      <c r="H1222" s="22"/>
      <c r="I1222" s="23"/>
      <c r="J1222" s="24"/>
      <c r="K1222" s="25"/>
      <c r="L1222" s="23"/>
      <c r="M1222" s="23"/>
      <c r="N1222" s="24"/>
      <c r="O1222" s="24"/>
      <c r="P1222" s="25"/>
      <c r="Q1222" s="25"/>
    </row>
    <row r="1223" spans="1:17" s="20" customFormat="1" x14ac:dyDescent="0.25">
      <c r="A1223" s="9"/>
      <c r="B1223" s="28"/>
      <c r="C1223" s="28"/>
      <c r="D1223" s="28"/>
      <c r="E1223" s="28"/>
      <c r="F1223" s="31"/>
      <c r="G1223" s="21"/>
      <c r="H1223" s="22"/>
      <c r="I1223" s="23"/>
      <c r="J1223" s="24"/>
      <c r="K1223" s="25"/>
      <c r="L1223" s="23"/>
      <c r="M1223" s="23"/>
      <c r="N1223" s="24"/>
      <c r="O1223" s="24"/>
      <c r="P1223" s="25"/>
      <c r="Q1223" s="25"/>
    </row>
    <row r="1224" spans="1:17" s="20" customFormat="1" x14ac:dyDescent="0.25">
      <c r="A1224" s="9"/>
      <c r="B1224" s="28"/>
      <c r="C1224" s="28"/>
      <c r="D1224" s="28"/>
      <c r="E1224" s="28"/>
      <c r="F1224" s="31"/>
      <c r="G1224" s="21"/>
      <c r="H1224" s="22"/>
      <c r="I1224" s="23"/>
      <c r="J1224" s="24"/>
      <c r="K1224" s="25"/>
      <c r="L1224" s="23"/>
      <c r="M1224" s="23"/>
      <c r="N1224" s="24"/>
      <c r="O1224" s="24"/>
      <c r="P1224" s="25"/>
      <c r="Q1224" s="25"/>
    </row>
    <row r="1225" spans="1:17" s="20" customFormat="1" x14ac:dyDescent="0.25">
      <c r="A1225" s="9"/>
      <c r="B1225" s="28"/>
      <c r="C1225" s="28"/>
      <c r="D1225" s="28"/>
      <c r="E1225" s="28"/>
      <c r="F1225" s="31"/>
      <c r="G1225" s="21"/>
      <c r="H1225" s="22"/>
      <c r="I1225" s="23"/>
      <c r="J1225" s="24"/>
      <c r="K1225" s="25"/>
      <c r="L1225" s="23"/>
      <c r="M1225" s="23"/>
      <c r="N1225" s="24"/>
      <c r="O1225" s="24"/>
      <c r="P1225" s="25"/>
      <c r="Q1225" s="25"/>
    </row>
    <row r="1226" spans="1:17" s="20" customFormat="1" x14ac:dyDescent="0.25">
      <c r="A1226" s="9"/>
      <c r="B1226" s="28"/>
      <c r="C1226" s="28"/>
      <c r="D1226" s="28"/>
      <c r="E1226" s="28"/>
      <c r="F1226" s="31"/>
      <c r="G1226" s="21"/>
      <c r="H1226" s="22"/>
      <c r="I1226" s="23"/>
      <c r="J1226" s="24"/>
      <c r="K1226" s="25"/>
      <c r="L1226" s="23"/>
      <c r="M1226" s="23"/>
      <c r="N1226" s="24"/>
      <c r="O1226" s="24"/>
      <c r="P1226" s="25"/>
      <c r="Q1226" s="25"/>
    </row>
    <row r="1227" spans="1:17" s="20" customFormat="1" x14ac:dyDescent="0.25">
      <c r="A1227" s="9"/>
      <c r="B1227" s="28"/>
      <c r="C1227" s="28"/>
      <c r="D1227" s="28"/>
      <c r="E1227" s="28"/>
      <c r="F1227" s="31"/>
      <c r="G1227" s="21"/>
      <c r="H1227" s="22"/>
      <c r="I1227" s="23"/>
      <c r="J1227" s="24"/>
      <c r="K1227" s="25"/>
      <c r="L1227" s="23"/>
      <c r="M1227" s="23"/>
      <c r="N1227" s="24"/>
      <c r="O1227" s="24"/>
      <c r="P1227" s="25"/>
      <c r="Q1227" s="25"/>
    </row>
    <row r="1228" spans="1:17" s="20" customFormat="1" x14ac:dyDescent="0.25">
      <c r="A1228" s="9"/>
      <c r="B1228" s="28"/>
      <c r="C1228" s="28"/>
      <c r="D1228" s="28"/>
      <c r="E1228" s="28"/>
      <c r="F1228" s="31"/>
      <c r="G1228" s="21"/>
      <c r="H1228" s="22"/>
      <c r="I1228" s="23"/>
      <c r="J1228" s="24"/>
      <c r="K1228" s="25"/>
      <c r="L1228" s="23"/>
      <c r="M1228" s="23"/>
      <c r="N1228" s="24"/>
      <c r="O1228" s="24"/>
      <c r="P1228" s="25"/>
      <c r="Q1228" s="25"/>
    </row>
    <row r="1229" spans="1:17" s="20" customFormat="1" x14ac:dyDescent="0.25">
      <c r="A1229" s="9"/>
      <c r="B1229" s="28"/>
      <c r="C1229" s="28"/>
      <c r="D1229" s="28"/>
      <c r="E1229" s="28"/>
      <c r="F1229" s="31"/>
      <c r="G1229" s="21"/>
      <c r="H1229" s="22"/>
      <c r="I1229" s="23"/>
      <c r="J1229" s="24"/>
      <c r="K1229" s="25"/>
      <c r="L1229" s="23"/>
      <c r="M1229" s="23"/>
      <c r="N1229" s="24"/>
      <c r="O1229" s="24"/>
      <c r="P1229" s="25"/>
      <c r="Q1229" s="25"/>
    </row>
    <row r="1230" spans="1:17" s="20" customFormat="1" x14ac:dyDescent="0.25">
      <c r="A1230" s="9"/>
      <c r="B1230" s="28"/>
      <c r="C1230" s="28"/>
      <c r="D1230" s="28"/>
      <c r="E1230" s="28"/>
      <c r="F1230" s="31"/>
      <c r="G1230" s="21"/>
      <c r="H1230" s="22"/>
      <c r="I1230" s="23"/>
      <c r="J1230" s="24"/>
      <c r="K1230" s="25"/>
      <c r="L1230" s="23"/>
      <c r="M1230" s="23"/>
      <c r="N1230" s="24"/>
      <c r="O1230" s="24"/>
      <c r="P1230" s="25"/>
      <c r="Q1230" s="25"/>
    </row>
    <row r="1231" spans="1:17" s="20" customFormat="1" x14ac:dyDescent="0.25">
      <c r="A1231" s="9"/>
      <c r="B1231" s="28"/>
      <c r="C1231" s="28"/>
      <c r="D1231" s="28"/>
      <c r="E1231" s="28"/>
      <c r="F1231" s="31"/>
      <c r="G1231" s="21"/>
      <c r="H1231" s="22"/>
      <c r="I1231" s="23"/>
      <c r="J1231" s="24"/>
      <c r="K1231" s="25"/>
      <c r="L1231" s="23"/>
      <c r="M1231" s="23"/>
      <c r="N1231" s="24"/>
      <c r="O1231" s="24"/>
      <c r="P1231" s="25"/>
      <c r="Q1231" s="25"/>
    </row>
    <row r="1232" spans="1:17" s="20" customFormat="1" x14ac:dyDescent="0.25">
      <c r="A1232" s="9"/>
      <c r="B1232" s="28"/>
      <c r="C1232" s="28"/>
      <c r="D1232" s="28"/>
      <c r="E1232" s="28"/>
      <c r="F1232" s="31"/>
      <c r="G1232" s="21"/>
      <c r="H1232" s="22"/>
      <c r="I1232" s="23"/>
      <c r="J1232" s="24"/>
      <c r="K1232" s="25"/>
      <c r="L1232" s="23"/>
      <c r="M1232" s="23"/>
      <c r="N1232" s="24"/>
      <c r="O1232" s="24"/>
      <c r="P1232" s="25"/>
      <c r="Q1232" s="25"/>
    </row>
    <row r="1233" spans="1:17" s="20" customFormat="1" x14ac:dyDescent="0.25">
      <c r="A1233" s="9"/>
      <c r="B1233" s="28"/>
      <c r="C1233" s="28"/>
      <c r="D1233" s="28"/>
      <c r="E1233" s="28"/>
      <c r="F1233" s="31"/>
      <c r="G1233" s="21"/>
      <c r="H1233" s="22"/>
      <c r="I1233" s="23"/>
      <c r="J1233" s="24"/>
      <c r="K1233" s="25"/>
      <c r="L1233" s="23"/>
      <c r="M1233" s="23"/>
      <c r="N1233" s="24"/>
      <c r="O1233" s="24"/>
      <c r="P1233" s="25"/>
      <c r="Q1233" s="25"/>
    </row>
    <row r="1234" spans="1:17" s="20" customFormat="1" x14ac:dyDescent="0.25">
      <c r="A1234" s="9"/>
      <c r="B1234" s="28"/>
      <c r="C1234" s="28"/>
      <c r="D1234" s="28"/>
      <c r="E1234" s="28"/>
      <c r="F1234" s="31"/>
      <c r="G1234" s="21"/>
      <c r="H1234" s="22"/>
      <c r="I1234" s="23"/>
      <c r="J1234" s="24"/>
      <c r="K1234" s="25"/>
      <c r="L1234" s="23"/>
      <c r="M1234" s="23"/>
      <c r="N1234" s="24"/>
      <c r="O1234" s="24"/>
      <c r="P1234" s="25"/>
      <c r="Q1234" s="25"/>
    </row>
    <row r="1235" spans="1:17" s="20" customFormat="1" x14ac:dyDescent="0.25">
      <c r="A1235" s="9"/>
      <c r="B1235" s="28"/>
      <c r="C1235" s="28"/>
      <c r="D1235" s="28"/>
      <c r="E1235" s="28"/>
      <c r="F1235" s="31"/>
      <c r="G1235" s="21"/>
      <c r="H1235" s="22"/>
      <c r="I1235" s="23"/>
      <c r="J1235" s="24"/>
      <c r="K1235" s="25"/>
      <c r="L1235" s="23"/>
      <c r="M1235" s="23"/>
      <c r="N1235" s="24"/>
      <c r="O1235" s="24"/>
      <c r="P1235" s="25"/>
      <c r="Q1235" s="25"/>
    </row>
    <row r="1236" spans="1:17" s="20" customFormat="1" x14ac:dyDescent="0.25">
      <c r="A1236" s="9"/>
      <c r="B1236" s="28"/>
      <c r="C1236" s="28"/>
      <c r="D1236" s="28"/>
      <c r="E1236" s="28"/>
      <c r="F1236" s="31"/>
      <c r="G1236" s="21"/>
      <c r="H1236" s="22"/>
      <c r="I1236" s="23"/>
      <c r="J1236" s="24"/>
      <c r="K1236" s="25"/>
      <c r="L1236" s="23"/>
      <c r="M1236" s="23"/>
      <c r="N1236" s="24"/>
      <c r="O1236" s="24"/>
      <c r="P1236" s="25"/>
      <c r="Q1236" s="25"/>
    </row>
    <row r="1237" spans="1:17" s="20" customFormat="1" x14ac:dyDescent="0.25">
      <c r="A1237" s="9"/>
      <c r="B1237" s="28"/>
      <c r="C1237" s="28"/>
      <c r="D1237" s="28"/>
      <c r="E1237" s="28"/>
      <c r="F1237" s="31"/>
      <c r="G1237" s="21"/>
      <c r="H1237" s="22"/>
      <c r="I1237" s="23"/>
      <c r="J1237" s="24"/>
      <c r="K1237" s="25"/>
      <c r="L1237" s="23"/>
      <c r="M1237" s="23"/>
      <c r="N1237" s="24"/>
      <c r="O1237" s="24"/>
      <c r="P1237" s="25"/>
      <c r="Q1237" s="25"/>
    </row>
    <row r="1238" spans="1:17" s="20" customFormat="1" x14ac:dyDescent="0.25">
      <c r="A1238" s="9"/>
      <c r="B1238" s="28"/>
      <c r="C1238" s="28"/>
      <c r="D1238" s="28"/>
      <c r="E1238" s="28"/>
      <c r="F1238" s="31"/>
      <c r="G1238" s="21"/>
      <c r="H1238" s="22"/>
      <c r="I1238" s="23"/>
      <c r="J1238" s="24"/>
      <c r="K1238" s="25"/>
      <c r="L1238" s="23"/>
      <c r="M1238" s="23"/>
      <c r="N1238" s="24"/>
      <c r="O1238" s="24"/>
      <c r="P1238" s="25"/>
      <c r="Q1238" s="25"/>
    </row>
    <row r="1239" spans="1:17" s="20" customFormat="1" x14ac:dyDescent="0.25">
      <c r="A1239" s="9"/>
      <c r="B1239" s="28"/>
      <c r="C1239" s="28"/>
      <c r="D1239" s="28"/>
      <c r="E1239" s="28"/>
      <c r="F1239" s="31"/>
      <c r="G1239" s="21"/>
      <c r="H1239" s="22"/>
      <c r="I1239" s="23"/>
      <c r="J1239" s="24"/>
      <c r="K1239" s="25"/>
      <c r="L1239" s="23"/>
      <c r="M1239" s="23"/>
      <c r="N1239" s="24"/>
      <c r="O1239" s="24"/>
      <c r="P1239" s="25"/>
      <c r="Q1239" s="25"/>
    </row>
    <row r="1240" spans="1:17" s="20" customFormat="1" x14ac:dyDescent="0.25">
      <c r="A1240" s="9"/>
      <c r="B1240" s="28"/>
      <c r="C1240" s="28"/>
      <c r="D1240" s="28"/>
      <c r="E1240" s="28"/>
      <c r="F1240" s="31"/>
      <c r="G1240" s="21"/>
      <c r="H1240" s="22"/>
      <c r="I1240" s="23"/>
      <c r="J1240" s="24"/>
      <c r="K1240" s="25"/>
      <c r="L1240" s="23"/>
      <c r="M1240" s="23"/>
      <c r="N1240" s="24"/>
      <c r="O1240" s="24"/>
      <c r="P1240" s="25"/>
      <c r="Q1240" s="25"/>
    </row>
    <row r="1241" spans="1:17" s="20" customFormat="1" x14ac:dyDescent="0.25">
      <c r="A1241" s="9"/>
      <c r="B1241" s="28"/>
      <c r="C1241" s="28"/>
      <c r="D1241" s="28"/>
      <c r="E1241" s="28"/>
      <c r="F1241" s="31"/>
      <c r="G1241" s="21"/>
      <c r="H1241" s="22"/>
      <c r="I1241" s="23"/>
      <c r="J1241" s="24"/>
      <c r="K1241" s="25"/>
      <c r="L1241" s="23"/>
      <c r="M1241" s="23"/>
      <c r="N1241" s="24"/>
      <c r="O1241" s="24"/>
      <c r="P1241" s="25"/>
      <c r="Q1241" s="25"/>
    </row>
    <row r="1242" spans="1:17" s="20" customFormat="1" x14ac:dyDescent="0.25">
      <c r="A1242" s="9"/>
      <c r="B1242" s="28"/>
      <c r="C1242" s="28"/>
      <c r="D1242" s="28"/>
      <c r="E1242" s="28"/>
      <c r="F1242" s="31"/>
      <c r="G1242" s="21"/>
      <c r="H1242" s="22"/>
      <c r="I1242" s="23"/>
      <c r="J1242" s="24"/>
      <c r="K1242" s="25"/>
      <c r="L1242" s="23"/>
      <c r="M1242" s="23"/>
      <c r="N1242" s="24"/>
      <c r="O1242" s="24"/>
      <c r="P1242" s="25"/>
      <c r="Q1242" s="25"/>
    </row>
    <row r="1243" spans="1:17" s="20" customFormat="1" x14ac:dyDescent="0.25">
      <c r="A1243" s="9"/>
      <c r="B1243" s="28"/>
      <c r="C1243" s="28"/>
      <c r="D1243" s="28"/>
      <c r="E1243" s="28"/>
      <c r="F1243" s="31"/>
      <c r="G1243" s="21"/>
      <c r="H1243" s="22"/>
      <c r="I1243" s="23"/>
      <c r="J1243" s="24"/>
      <c r="K1243" s="25"/>
      <c r="L1243" s="23"/>
      <c r="M1243" s="23"/>
      <c r="N1243" s="24"/>
      <c r="O1243" s="24"/>
      <c r="P1243" s="25"/>
      <c r="Q1243" s="25"/>
    </row>
    <row r="1244" spans="1:17" s="20" customFormat="1" x14ac:dyDescent="0.25">
      <c r="A1244" s="9"/>
      <c r="B1244" s="28"/>
      <c r="C1244" s="28"/>
      <c r="D1244" s="28"/>
      <c r="E1244" s="28"/>
      <c r="F1244" s="31"/>
      <c r="G1244" s="21"/>
      <c r="H1244" s="22"/>
      <c r="I1244" s="23"/>
      <c r="J1244" s="24"/>
      <c r="K1244" s="25"/>
      <c r="L1244" s="23"/>
      <c r="M1244" s="23"/>
      <c r="N1244" s="24"/>
      <c r="O1244" s="24"/>
      <c r="P1244" s="25"/>
      <c r="Q1244" s="25"/>
    </row>
    <row r="1245" spans="1:17" s="20" customFormat="1" x14ac:dyDescent="0.25">
      <c r="A1245" s="9"/>
      <c r="B1245" s="28"/>
      <c r="C1245" s="28"/>
      <c r="D1245" s="28"/>
      <c r="E1245" s="28"/>
      <c r="F1245" s="31"/>
      <c r="G1245" s="21"/>
      <c r="H1245" s="22"/>
      <c r="I1245" s="23"/>
      <c r="J1245" s="24"/>
      <c r="K1245" s="25"/>
      <c r="L1245" s="23"/>
      <c r="M1245" s="23"/>
      <c r="N1245" s="24"/>
      <c r="O1245" s="24"/>
      <c r="P1245" s="25"/>
      <c r="Q1245" s="25"/>
    </row>
    <row r="1246" spans="1:17" s="20" customFormat="1" x14ac:dyDescent="0.25">
      <c r="A1246" s="9"/>
      <c r="B1246" s="28"/>
      <c r="C1246" s="28"/>
      <c r="D1246" s="28"/>
      <c r="E1246" s="28"/>
      <c r="F1246" s="31"/>
      <c r="G1246" s="21"/>
      <c r="H1246" s="22"/>
      <c r="I1246" s="23"/>
      <c r="J1246" s="24"/>
      <c r="K1246" s="25"/>
      <c r="L1246" s="23"/>
      <c r="M1246" s="23"/>
      <c r="N1246" s="24"/>
      <c r="O1246" s="24"/>
      <c r="P1246" s="25"/>
      <c r="Q1246" s="25"/>
    </row>
    <row r="1247" spans="1:17" s="20" customFormat="1" x14ac:dyDescent="0.25">
      <c r="A1247" s="9"/>
      <c r="B1247" s="28"/>
      <c r="C1247" s="28"/>
      <c r="D1247" s="28"/>
      <c r="E1247" s="28"/>
      <c r="F1247" s="31"/>
      <c r="G1247" s="21"/>
      <c r="H1247" s="22"/>
      <c r="I1247" s="23"/>
      <c r="J1247" s="24"/>
      <c r="K1247" s="25"/>
      <c r="L1247" s="23"/>
      <c r="M1247" s="23"/>
      <c r="N1247" s="24"/>
      <c r="O1247" s="24"/>
      <c r="P1247" s="25"/>
      <c r="Q1247" s="25"/>
    </row>
    <row r="1248" spans="1:17" s="20" customFormat="1" x14ac:dyDescent="0.25">
      <c r="A1248" s="9"/>
      <c r="B1248" s="28"/>
      <c r="C1248" s="28"/>
      <c r="D1248" s="28"/>
      <c r="E1248" s="28"/>
      <c r="F1248" s="31"/>
      <c r="G1248" s="21"/>
      <c r="H1248" s="22"/>
      <c r="I1248" s="23"/>
      <c r="J1248" s="24"/>
      <c r="K1248" s="25"/>
      <c r="L1248" s="23"/>
      <c r="M1248" s="23"/>
      <c r="N1248" s="24"/>
      <c r="O1248" s="24"/>
      <c r="P1248" s="25"/>
      <c r="Q1248" s="25"/>
    </row>
    <row r="1249" spans="1:17" s="20" customFormat="1" x14ac:dyDescent="0.25">
      <c r="A1249" s="9"/>
      <c r="B1249" s="28"/>
      <c r="C1249" s="28"/>
      <c r="D1249" s="28"/>
      <c r="E1249" s="28"/>
      <c r="F1249" s="31"/>
      <c r="G1249" s="21"/>
      <c r="H1249" s="22"/>
      <c r="I1249" s="23"/>
      <c r="J1249" s="24"/>
      <c r="K1249" s="25"/>
      <c r="L1249" s="23"/>
      <c r="M1249" s="23"/>
      <c r="N1249" s="24"/>
      <c r="O1249" s="24"/>
      <c r="P1249" s="25"/>
      <c r="Q1249" s="25"/>
    </row>
    <row r="1250" spans="1:17" s="20" customFormat="1" x14ac:dyDescent="0.25">
      <c r="A1250" s="9"/>
      <c r="B1250" s="28"/>
      <c r="C1250" s="28"/>
      <c r="D1250" s="28"/>
      <c r="E1250" s="28"/>
      <c r="F1250" s="31"/>
      <c r="G1250" s="21"/>
      <c r="H1250" s="22"/>
      <c r="I1250" s="23"/>
      <c r="J1250" s="24"/>
      <c r="K1250" s="25"/>
      <c r="L1250" s="23"/>
      <c r="M1250" s="23"/>
      <c r="N1250" s="24"/>
      <c r="O1250" s="24"/>
      <c r="P1250" s="25"/>
      <c r="Q1250" s="25"/>
    </row>
    <row r="1251" spans="1:17" s="20" customFormat="1" x14ac:dyDescent="0.25">
      <c r="A1251" s="9"/>
      <c r="B1251" s="28"/>
      <c r="C1251" s="28"/>
      <c r="D1251" s="28"/>
      <c r="E1251" s="28"/>
      <c r="F1251" s="31"/>
      <c r="G1251" s="21"/>
      <c r="H1251" s="22"/>
      <c r="I1251" s="23"/>
      <c r="J1251" s="24"/>
      <c r="K1251" s="25"/>
      <c r="L1251" s="23"/>
      <c r="M1251" s="23"/>
      <c r="N1251" s="24"/>
      <c r="O1251" s="24"/>
      <c r="P1251" s="25"/>
      <c r="Q1251" s="25"/>
    </row>
    <row r="1252" spans="1:17" s="20" customFormat="1" x14ac:dyDescent="0.25">
      <c r="A1252" s="9"/>
      <c r="B1252" s="28"/>
      <c r="C1252" s="28"/>
      <c r="D1252" s="28"/>
      <c r="E1252" s="28"/>
      <c r="F1252" s="31"/>
      <c r="G1252" s="21"/>
      <c r="H1252" s="22"/>
      <c r="I1252" s="23"/>
      <c r="J1252" s="24"/>
      <c r="K1252" s="25"/>
      <c r="L1252" s="23"/>
      <c r="M1252" s="23"/>
      <c r="N1252" s="24"/>
      <c r="O1252" s="24"/>
      <c r="P1252" s="25"/>
      <c r="Q1252" s="25"/>
    </row>
    <row r="1253" spans="1:17" s="20" customFormat="1" x14ac:dyDescent="0.25">
      <c r="A1253" s="9"/>
      <c r="B1253" s="28"/>
      <c r="C1253" s="28"/>
      <c r="D1253" s="28"/>
      <c r="E1253" s="28"/>
      <c r="F1253" s="31"/>
      <c r="G1253" s="21"/>
      <c r="H1253" s="22"/>
      <c r="I1253" s="23"/>
      <c r="J1253" s="24"/>
      <c r="K1253" s="25"/>
      <c r="L1253" s="23"/>
      <c r="M1253" s="23"/>
      <c r="N1253" s="24"/>
      <c r="O1253" s="24"/>
      <c r="P1253" s="25"/>
      <c r="Q1253" s="25"/>
    </row>
    <row r="1254" spans="1:17" s="20" customFormat="1" x14ac:dyDescent="0.25">
      <c r="A1254" s="9"/>
      <c r="B1254" s="28"/>
      <c r="C1254" s="28"/>
      <c r="D1254" s="28"/>
      <c r="E1254" s="28"/>
      <c r="F1254" s="31"/>
      <c r="G1254" s="21"/>
      <c r="H1254" s="22"/>
      <c r="I1254" s="23"/>
      <c r="J1254" s="24"/>
      <c r="K1254" s="25"/>
      <c r="L1254" s="23"/>
      <c r="M1254" s="23"/>
      <c r="N1254" s="24"/>
      <c r="O1254" s="24"/>
      <c r="P1254" s="25"/>
      <c r="Q1254" s="25"/>
    </row>
    <row r="1255" spans="1:17" s="20" customFormat="1" x14ac:dyDescent="0.25">
      <c r="A1255" s="9"/>
      <c r="B1255" s="28"/>
      <c r="C1255" s="28"/>
      <c r="D1255" s="28"/>
      <c r="E1255" s="28"/>
      <c r="F1255" s="31"/>
      <c r="G1255" s="21"/>
      <c r="H1255" s="22"/>
      <c r="I1255" s="23"/>
      <c r="J1255" s="24"/>
      <c r="K1255" s="25"/>
      <c r="L1255" s="23"/>
      <c r="M1255" s="23"/>
      <c r="N1255" s="24"/>
      <c r="O1255" s="24"/>
      <c r="P1255" s="25"/>
      <c r="Q1255" s="25"/>
    </row>
    <row r="1256" spans="1:17" s="20" customFormat="1" x14ac:dyDescent="0.25">
      <c r="A1256" s="9"/>
      <c r="B1256" s="28"/>
      <c r="C1256" s="28"/>
      <c r="D1256" s="28"/>
      <c r="E1256" s="28"/>
      <c r="F1256" s="31"/>
      <c r="G1256" s="21"/>
      <c r="H1256" s="22"/>
      <c r="I1256" s="23"/>
      <c r="J1256" s="24"/>
      <c r="K1256" s="25"/>
      <c r="L1256" s="23"/>
      <c r="M1256" s="23"/>
      <c r="N1256" s="24"/>
      <c r="O1256" s="24"/>
      <c r="P1256" s="25"/>
      <c r="Q1256" s="25"/>
    </row>
    <row r="1257" spans="1:17" s="20" customFormat="1" x14ac:dyDescent="0.25">
      <c r="A1257" s="9"/>
      <c r="B1257" s="28"/>
      <c r="C1257" s="28"/>
      <c r="D1257" s="28"/>
      <c r="E1257" s="28"/>
      <c r="F1257" s="31"/>
      <c r="G1257" s="21"/>
      <c r="H1257" s="22"/>
      <c r="I1257" s="23"/>
      <c r="J1257" s="24"/>
      <c r="K1257" s="25"/>
      <c r="L1257" s="23"/>
      <c r="M1257" s="23"/>
      <c r="N1257" s="24"/>
      <c r="O1257" s="24"/>
      <c r="P1257" s="25"/>
      <c r="Q1257" s="25"/>
    </row>
    <row r="1258" spans="1:17" s="20" customFormat="1" x14ac:dyDescent="0.25">
      <c r="A1258" s="9"/>
      <c r="B1258" s="28"/>
      <c r="C1258" s="28"/>
      <c r="D1258" s="28"/>
      <c r="E1258" s="28"/>
      <c r="F1258" s="31"/>
      <c r="G1258" s="21"/>
      <c r="H1258" s="22"/>
      <c r="I1258" s="23"/>
      <c r="J1258" s="24"/>
      <c r="K1258" s="25"/>
      <c r="L1258" s="23"/>
      <c r="M1258" s="23"/>
      <c r="N1258" s="24"/>
      <c r="O1258" s="24"/>
      <c r="P1258" s="25"/>
      <c r="Q1258" s="25"/>
    </row>
    <row r="1259" spans="1:17" s="20" customFormat="1" x14ac:dyDescent="0.25">
      <c r="A1259" s="9"/>
      <c r="B1259" s="28"/>
      <c r="C1259" s="28"/>
      <c r="D1259" s="28"/>
      <c r="E1259" s="28"/>
      <c r="F1259" s="31"/>
      <c r="G1259" s="21"/>
      <c r="H1259" s="22"/>
      <c r="I1259" s="23"/>
      <c r="J1259" s="24"/>
      <c r="K1259" s="25"/>
      <c r="L1259" s="23"/>
      <c r="M1259" s="23"/>
      <c r="N1259" s="24"/>
      <c r="O1259" s="24"/>
      <c r="P1259" s="25"/>
      <c r="Q1259" s="25"/>
    </row>
    <row r="1260" spans="1:17" s="20" customFormat="1" x14ac:dyDescent="0.25">
      <c r="A1260" s="9"/>
      <c r="B1260" s="28"/>
      <c r="C1260" s="28"/>
      <c r="D1260" s="28"/>
      <c r="E1260" s="28"/>
      <c r="F1260" s="31"/>
      <c r="G1260" s="21"/>
      <c r="H1260" s="22"/>
      <c r="I1260" s="23"/>
      <c r="J1260" s="24"/>
      <c r="K1260" s="25"/>
      <c r="L1260" s="23"/>
      <c r="M1260" s="23"/>
      <c r="N1260" s="24"/>
      <c r="O1260" s="24"/>
      <c r="P1260" s="25"/>
      <c r="Q1260" s="25"/>
    </row>
    <row r="1261" spans="1:17" s="20" customFormat="1" x14ac:dyDescent="0.25">
      <c r="A1261" s="9"/>
      <c r="B1261" s="28"/>
      <c r="C1261" s="28"/>
      <c r="D1261" s="28"/>
      <c r="E1261" s="28"/>
      <c r="F1261" s="31"/>
      <c r="G1261" s="21"/>
      <c r="H1261" s="22"/>
      <c r="I1261" s="23"/>
      <c r="J1261" s="24"/>
      <c r="K1261" s="25"/>
      <c r="L1261" s="23"/>
      <c r="M1261" s="23"/>
      <c r="N1261" s="24"/>
      <c r="O1261" s="24"/>
      <c r="P1261" s="25"/>
      <c r="Q1261" s="25"/>
    </row>
    <row r="1262" spans="1:17" s="20" customFormat="1" x14ac:dyDescent="0.25">
      <c r="A1262" s="9"/>
      <c r="B1262" s="28"/>
      <c r="C1262" s="28"/>
      <c r="D1262" s="28"/>
      <c r="E1262" s="28"/>
      <c r="F1262" s="31"/>
      <c r="G1262" s="21"/>
      <c r="H1262" s="22"/>
      <c r="I1262" s="23"/>
      <c r="J1262" s="24"/>
      <c r="K1262" s="25"/>
      <c r="L1262" s="23"/>
      <c r="M1262" s="23"/>
      <c r="N1262" s="24"/>
      <c r="O1262" s="24"/>
      <c r="P1262" s="25"/>
      <c r="Q1262" s="25"/>
    </row>
    <row r="1263" spans="1:17" s="20" customFormat="1" x14ac:dyDescent="0.25">
      <c r="A1263" s="9"/>
      <c r="B1263" s="28"/>
      <c r="C1263" s="28"/>
      <c r="D1263" s="28"/>
      <c r="E1263" s="28"/>
      <c r="F1263" s="31"/>
      <c r="G1263" s="21"/>
      <c r="H1263" s="22"/>
      <c r="I1263" s="23"/>
      <c r="J1263" s="24"/>
      <c r="K1263" s="25"/>
      <c r="L1263" s="23"/>
      <c r="M1263" s="23"/>
      <c r="N1263" s="24"/>
      <c r="O1263" s="24"/>
      <c r="P1263" s="25"/>
      <c r="Q1263" s="25"/>
    </row>
    <row r="1264" spans="1:17" s="20" customFormat="1" x14ac:dyDescent="0.25">
      <c r="A1264" s="9"/>
      <c r="B1264" s="28"/>
      <c r="C1264" s="28"/>
      <c r="D1264" s="28"/>
      <c r="E1264" s="28"/>
      <c r="F1264" s="31"/>
      <c r="G1264" s="21"/>
      <c r="H1264" s="22"/>
      <c r="I1264" s="23"/>
      <c r="J1264" s="24"/>
      <c r="K1264" s="25"/>
      <c r="L1264" s="23"/>
      <c r="M1264" s="23"/>
      <c r="N1264" s="24"/>
      <c r="O1264" s="24"/>
      <c r="P1264" s="25"/>
      <c r="Q1264" s="25"/>
    </row>
    <row r="1265" spans="1:17" s="20" customFormat="1" x14ac:dyDescent="0.25">
      <c r="A1265" s="9"/>
      <c r="B1265" s="28"/>
      <c r="C1265" s="28"/>
      <c r="D1265" s="28"/>
      <c r="E1265" s="28"/>
      <c r="F1265" s="31"/>
      <c r="G1265" s="21"/>
      <c r="H1265" s="22"/>
      <c r="I1265" s="23"/>
      <c r="J1265" s="24"/>
      <c r="K1265" s="25"/>
      <c r="L1265" s="23"/>
      <c r="M1265" s="23"/>
      <c r="N1265" s="24"/>
      <c r="O1265" s="24"/>
      <c r="P1265" s="25"/>
      <c r="Q1265" s="25"/>
    </row>
    <row r="1266" spans="1:17" s="20" customFormat="1" x14ac:dyDescent="0.25">
      <c r="A1266" s="9"/>
      <c r="B1266" s="28"/>
      <c r="C1266" s="28"/>
      <c r="D1266" s="28"/>
      <c r="E1266" s="28"/>
      <c r="F1266" s="31"/>
      <c r="G1266" s="21"/>
      <c r="H1266" s="22"/>
      <c r="I1266" s="23"/>
      <c r="J1266" s="24"/>
      <c r="K1266" s="25"/>
      <c r="L1266" s="23"/>
      <c r="M1266" s="23"/>
      <c r="N1266" s="24"/>
      <c r="O1266" s="24"/>
      <c r="P1266" s="25"/>
      <c r="Q1266" s="25"/>
    </row>
    <row r="1267" spans="1:17" s="20" customFormat="1" x14ac:dyDescent="0.25">
      <c r="A1267" s="9"/>
      <c r="B1267" s="28"/>
      <c r="C1267" s="28"/>
      <c r="D1267" s="28"/>
      <c r="E1267" s="28"/>
      <c r="F1267" s="31"/>
      <c r="G1267" s="21"/>
      <c r="H1267" s="22"/>
      <c r="I1267" s="23"/>
      <c r="J1267" s="24"/>
      <c r="K1267" s="25"/>
      <c r="L1267" s="23"/>
      <c r="M1267" s="23"/>
      <c r="N1267" s="24"/>
      <c r="O1267" s="24"/>
      <c r="P1267" s="25"/>
      <c r="Q1267" s="25"/>
    </row>
    <row r="1268" spans="1:17" s="20" customFormat="1" x14ac:dyDescent="0.25">
      <c r="A1268" s="9"/>
      <c r="B1268" s="28"/>
      <c r="C1268" s="28"/>
      <c r="D1268" s="28"/>
      <c r="E1268" s="28"/>
      <c r="F1268" s="31"/>
      <c r="G1268" s="21"/>
      <c r="H1268" s="22"/>
      <c r="I1268" s="23"/>
      <c r="J1268" s="24"/>
      <c r="K1268" s="25"/>
      <c r="L1268" s="23"/>
      <c r="M1268" s="23"/>
      <c r="N1268" s="24"/>
      <c r="O1268" s="24"/>
      <c r="P1268" s="25"/>
      <c r="Q1268" s="25"/>
    </row>
    <row r="1269" spans="1:17" s="20" customFormat="1" x14ac:dyDescent="0.25">
      <c r="A1269" s="9"/>
      <c r="B1269" s="28"/>
      <c r="C1269" s="28"/>
      <c r="D1269" s="28"/>
      <c r="E1269" s="28"/>
      <c r="F1269" s="31"/>
      <c r="G1269" s="21"/>
      <c r="H1269" s="22"/>
      <c r="I1269" s="23"/>
      <c r="J1269" s="24"/>
      <c r="K1269" s="25"/>
      <c r="L1269" s="23"/>
      <c r="M1269" s="23"/>
      <c r="N1269" s="24"/>
      <c r="O1269" s="24"/>
      <c r="P1269" s="25"/>
      <c r="Q1269" s="25"/>
    </row>
    <row r="1270" spans="1:17" s="20" customFormat="1" x14ac:dyDescent="0.25">
      <c r="A1270" s="9"/>
      <c r="B1270" s="28"/>
      <c r="C1270" s="28"/>
      <c r="D1270" s="28"/>
      <c r="E1270" s="28"/>
      <c r="F1270" s="31"/>
      <c r="G1270" s="21"/>
      <c r="H1270" s="22"/>
      <c r="I1270" s="23"/>
      <c r="J1270" s="24"/>
      <c r="K1270" s="25"/>
      <c r="L1270" s="23"/>
      <c r="M1270" s="23"/>
      <c r="N1270" s="24"/>
      <c r="O1270" s="24"/>
      <c r="P1270" s="25"/>
      <c r="Q1270" s="25"/>
    </row>
    <row r="1271" spans="1:17" s="20" customFormat="1" x14ac:dyDescent="0.25">
      <c r="A1271" s="9"/>
      <c r="B1271" s="28"/>
      <c r="C1271" s="28"/>
      <c r="D1271" s="28"/>
      <c r="E1271" s="28"/>
      <c r="F1271" s="31"/>
      <c r="G1271" s="21"/>
      <c r="H1271" s="22"/>
      <c r="I1271" s="23"/>
      <c r="J1271" s="24"/>
      <c r="K1271" s="25"/>
      <c r="L1271" s="23"/>
      <c r="M1271" s="23"/>
      <c r="N1271" s="24"/>
      <c r="O1271" s="24"/>
      <c r="P1271" s="25"/>
      <c r="Q1271" s="25"/>
    </row>
    <row r="1272" spans="1:17" s="20" customFormat="1" x14ac:dyDescent="0.25">
      <c r="A1272" s="9"/>
      <c r="B1272" s="28"/>
      <c r="C1272" s="28"/>
      <c r="D1272" s="28"/>
      <c r="E1272" s="28"/>
      <c r="F1272" s="31"/>
      <c r="G1272" s="21"/>
      <c r="H1272" s="22"/>
      <c r="I1272" s="23"/>
      <c r="J1272" s="24"/>
      <c r="K1272" s="25"/>
      <c r="L1272" s="23"/>
      <c r="M1272" s="23"/>
      <c r="N1272" s="24"/>
      <c r="O1272" s="24"/>
      <c r="P1272" s="25"/>
      <c r="Q1272" s="25"/>
    </row>
    <row r="1273" spans="1:17" s="20" customFormat="1" x14ac:dyDescent="0.25">
      <c r="A1273" s="9"/>
      <c r="B1273" s="28"/>
      <c r="C1273" s="28"/>
      <c r="D1273" s="28"/>
      <c r="E1273" s="28"/>
      <c r="F1273" s="31"/>
      <c r="G1273" s="21"/>
      <c r="H1273" s="22"/>
      <c r="I1273" s="23"/>
      <c r="J1273" s="24"/>
      <c r="K1273" s="25"/>
      <c r="L1273" s="23"/>
      <c r="M1273" s="23"/>
      <c r="N1273" s="24"/>
      <c r="O1273" s="24"/>
      <c r="P1273" s="25"/>
      <c r="Q1273" s="25"/>
    </row>
    <row r="1274" spans="1:17" s="20" customFormat="1" x14ac:dyDescent="0.25">
      <c r="A1274" s="9"/>
      <c r="B1274" s="28"/>
      <c r="C1274" s="28"/>
      <c r="D1274" s="28"/>
      <c r="E1274" s="28"/>
      <c r="F1274" s="31"/>
      <c r="G1274" s="21"/>
      <c r="H1274" s="22"/>
      <c r="I1274" s="23"/>
      <c r="J1274" s="24"/>
      <c r="K1274" s="25"/>
      <c r="L1274" s="23"/>
      <c r="M1274" s="23"/>
      <c r="N1274" s="24"/>
      <c r="O1274" s="24"/>
      <c r="P1274" s="25"/>
      <c r="Q1274" s="25"/>
    </row>
    <row r="1275" spans="1:17" s="20" customFormat="1" x14ac:dyDescent="0.25">
      <c r="A1275" s="9"/>
      <c r="B1275" s="28"/>
      <c r="C1275" s="28"/>
      <c r="D1275" s="28"/>
      <c r="E1275" s="28"/>
      <c r="F1275" s="31"/>
      <c r="G1275" s="21"/>
      <c r="H1275" s="22"/>
      <c r="I1275" s="23"/>
      <c r="J1275" s="24"/>
      <c r="K1275" s="25"/>
      <c r="L1275" s="23"/>
      <c r="M1275" s="23"/>
      <c r="N1275" s="24"/>
      <c r="O1275" s="24"/>
      <c r="P1275" s="25"/>
      <c r="Q1275" s="25"/>
    </row>
    <row r="1276" spans="1:17" s="20" customFormat="1" x14ac:dyDescent="0.25">
      <c r="A1276" s="9"/>
      <c r="B1276" s="28"/>
      <c r="C1276" s="28"/>
      <c r="D1276" s="28"/>
      <c r="E1276" s="28"/>
      <c r="F1276" s="31"/>
      <c r="G1276" s="21"/>
      <c r="H1276" s="22"/>
      <c r="I1276" s="23"/>
      <c r="J1276" s="24"/>
      <c r="K1276" s="25"/>
      <c r="L1276" s="23"/>
      <c r="M1276" s="23"/>
      <c r="N1276" s="24"/>
      <c r="O1276" s="24"/>
      <c r="P1276" s="25"/>
      <c r="Q1276" s="25"/>
    </row>
    <row r="1277" spans="1:17" s="20" customFormat="1" x14ac:dyDescent="0.25">
      <c r="A1277" s="9"/>
      <c r="B1277" s="28"/>
      <c r="C1277" s="28"/>
      <c r="D1277" s="28"/>
      <c r="E1277" s="28"/>
      <c r="F1277" s="31"/>
      <c r="G1277" s="21"/>
      <c r="H1277" s="22"/>
      <c r="I1277" s="23"/>
      <c r="J1277" s="24"/>
      <c r="K1277" s="25"/>
      <c r="L1277" s="23"/>
      <c r="M1277" s="23"/>
      <c r="N1277" s="24"/>
      <c r="O1277" s="24"/>
      <c r="P1277" s="25"/>
      <c r="Q1277" s="25"/>
    </row>
    <row r="1278" spans="1:17" s="20" customFormat="1" x14ac:dyDescent="0.25">
      <c r="A1278" s="9"/>
      <c r="B1278" s="28"/>
      <c r="C1278" s="28"/>
      <c r="D1278" s="28"/>
      <c r="E1278" s="28"/>
      <c r="F1278" s="31"/>
      <c r="G1278" s="21"/>
      <c r="H1278" s="22"/>
      <c r="I1278" s="23"/>
      <c r="J1278" s="24"/>
      <c r="K1278" s="25"/>
      <c r="L1278" s="23"/>
      <c r="M1278" s="23"/>
      <c r="N1278" s="24"/>
      <c r="O1278" s="24"/>
      <c r="P1278" s="25"/>
      <c r="Q1278" s="25"/>
    </row>
    <row r="1279" spans="1:17" s="20" customFormat="1" x14ac:dyDescent="0.25">
      <c r="A1279" s="9"/>
      <c r="B1279" s="28"/>
      <c r="C1279" s="28"/>
      <c r="D1279" s="28"/>
      <c r="E1279" s="28"/>
      <c r="F1279" s="31"/>
      <c r="G1279" s="21"/>
      <c r="H1279" s="22"/>
      <c r="I1279" s="23"/>
      <c r="J1279" s="24"/>
      <c r="K1279" s="25"/>
      <c r="L1279" s="23"/>
      <c r="M1279" s="23"/>
      <c r="N1279" s="24"/>
      <c r="O1279" s="24"/>
      <c r="P1279" s="25"/>
      <c r="Q1279" s="25"/>
    </row>
    <row r="1280" spans="1:17" s="20" customFormat="1" x14ac:dyDescent="0.25">
      <c r="A1280" s="9"/>
      <c r="B1280" s="28"/>
      <c r="C1280" s="28"/>
      <c r="D1280" s="28"/>
      <c r="E1280" s="28"/>
      <c r="F1280" s="31"/>
      <c r="G1280" s="21"/>
      <c r="H1280" s="22"/>
      <c r="I1280" s="23"/>
      <c r="J1280" s="24"/>
      <c r="K1280" s="25"/>
      <c r="L1280" s="23"/>
      <c r="M1280" s="23"/>
      <c r="N1280" s="24"/>
      <c r="O1280" s="24"/>
      <c r="P1280" s="25"/>
      <c r="Q1280" s="25"/>
    </row>
    <row r="1281" spans="1:17" s="20" customFormat="1" x14ac:dyDescent="0.25">
      <c r="A1281" s="9"/>
      <c r="B1281" s="28"/>
      <c r="C1281" s="28"/>
      <c r="D1281" s="28"/>
      <c r="E1281" s="28"/>
      <c r="F1281" s="31"/>
      <c r="G1281" s="21"/>
      <c r="H1281" s="22"/>
      <c r="I1281" s="23"/>
      <c r="J1281" s="24"/>
      <c r="K1281" s="25"/>
      <c r="L1281" s="23"/>
      <c r="M1281" s="23"/>
      <c r="N1281" s="24"/>
      <c r="O1281" s="24"/>
      <c r="P1281" s="25"/>
      <c r="Q1281" s="25"/>
    </row>
    <row r="1282" spans="1:17" s="20" customFormat="1" x14ac:dyDescent="0.25">
      <c r="A1282" s="9"/>
      <c r="B1282" s="28"/>
      <c r="C1282" s="28"/>
      <c r="D1282" s="28"/>
      <c r="E1282" s="28"/>
      <c r="F1282" s="31"/>
      <c r="G1282" s="21"/>
      <c r="H1282" s="22"/>
      <c r="I1282" s="23"/>
      <c r="J1282" s="24"/>
      <c r="K1282" s="25"/>
      <c r="L1282" s="23"/>
      <c r="M1282" s="23"/>
      <c r="N1282" s="24"/>
      <c r="O1282" s="24"/>
      <c r="P1282" s="25"/>
      <c r="Q1282" s="25"/>
    </row>
    <row r="1283" spans="1:17" s="20" customFormat="1" x14ac:dyDescent="0.25">
      <c r="A1283" s="9"/>
      <c r="B1283" s="28"/>
      <c r="C1283" s="28"/>
      <c r="D1283" s="28"/>
      <c r="E1283" s="28"/>
      <c r="F1283" s="31"/>
      <c r="G1283" s="21"/>
      <c r="H1283" s="22"/>
      <c r="I1283" s="23"/>
      <c r="J1283" s="24"/>
      <c r="K1283" s="25"/>
      <c r="L1283" s="23"/>
      <c r="M1283" s="23"/>
      <c r="N1283" s="24"/>
      <c r="O1283" s="24"/>
      <c r="P1283" s="25"/>
      <c r="Q1283" s="25"/>
    </row>
    <row r="1284" spans="1:17" s="20" customFormat="1" x14ac:dyDescent="0.25">
      <c r="A1284" s="9"/>
      <c r="B1284" s="28"/>
      <c r="C1284" s="28"/>
      <c r="D1284" s="28"/>
      <c r="E1284" s="28"/>
      <c r="F1284" s="31"/>
      <c r="G1284" s="21"/>
      <c r="H1284" s="22"/>
      <c r="I1284" s="23"/>
      <c r="J1284" s="24"/>
      <c r="K1284" s="25"/>
      <c r="L1284" s="23"/>
      <c r="M1284" s="23"/>
      <c r="N1284" s="24"/>
      <c r="O1284" s="24"/>
      <c r="P1284" s="25"/>
      <c r="Q1284" s="25"/>
    </row>
    <row r="1285" spans="1:17" s="20" customFormat="1" x14ac:dyDescent="0.25">
      <c r="A1285" s="9"/>
      <c r="B1285" s="28"/>
      <c r="C1285" s="28"/>
      <c r="D1285" s="28"/>
      <c r="E1285" s="28"/>
      <c r="F1285" s="31"/>
      <c r="G1285" s="21"/>
      <c r="H1285" s="22"/>
      <c r="I1285" s="23"/>
      <c r="J1285" s="24"/>
      <c r="K1285" s="25"/>
      <c r="L1285" s="23"/>
      <c r="M1285" s="23"/>
      <c r="N1285" s="24"/>
      <c r="O1285" s="24"/>
      <c r="P1285" s="25"/>
      <c r="Q1285" s="25"/>
    </row>
    <row r="1286" spans="1:17" s="20" customFormat="1" x14ac:dyDescent="0.25">
      <c r="A1286" s="9"/>
      <c r="B1286" s="28"/>
      <c r="C1286" s="28"/>
      <c r="D1286" s="28"/>
      <c r="E1286" s="28"/>
      <c r="F1286" s="31"/>
      <c r="G1286" s="21"/>
      <c r="H1286" s="22"/>
      <c r="I1286" s="23"/>
      <c r="J1286" s="24"/>
      <c r="K1286" s="25"/>
      <c r="L1286" s="23"/>
      <c r="M1286" s="23"/>
      <c r="N1286" s="24"/>
      <c r="O1286" s="24"/>
      <c r="P1286" s="25"/>
      <c r="Q1286" s="25"/>
    </row>
    <row r="1287" spans="1:17" s="20" customFormat="1" x14ac:dyDescent="0.25">
      <c r="A1287" s="9"/>
      <c r="B1287" s="28"/>
      <c r="C1287" s="28"/>
      <c r="D1287" s="28"/>
      <c r="E1287" s="28"/>
      <c r="F1287" s="31"/>
      <c r="G1287" s="21"/>
      <c r="H1287" s="22"/>
      <c r="I1287" s="23"/>
      <c r="J1287" s="24"/>
      <c r="K1287" s="25"/>
      <c r="L1287" s="23"/>
      <c r="M1287" s="23"/>
      <c r="N1287" s="24"/>
      <c r="O1287" s="24"/>
      <c r="P1287" s="25"/>
      <c r="Q1287" s="25"/>
    </row>
    <row r="1288" spans="1:17" s="20" customFormat="1" x14ac:dyDescent="0.25">
      <c r="A1288" s="9"/>
      <c r="B1288" s="28"/>
      <c r="C1288" s="28"/>
      <c r="D1288" s="28"/>
      <c r="E1288" s="28"/>
      <c r="F1288" s="31"/>
      <c r="G1288" s="21"/>
      <c r="H1288" s="22"/>
      <c r="I1288" s="23"/>
      <c r="J1288" s="24"/>
      <c r="K1288" s="25"/>
      <c r="L1288" s="23"/>
      <c r="M1288" s="23"/>
      <c r="N1288" s="24"/>
      <c r="O1288" s="24"/>
      <c r="P1288" s="25"/>
      <c r="Q1288" s="25"/>
    </row>
    <row r="1289" spans="1:17" s="20" customFormat="1" x14ac:dyDescent="0.25">
      <c r="A1289" s="9"/>
      <c r="B1289" s="28"/>
      <c r="C1289" s="28"/>
      <c r="D1289" s="28"/>
      <c r="E1289" s="28"/>
      <c r="F1289" s="31"/>
      <c r="G1289" s="21"/>
      <c r="H1289" s="22"/>
      <c r="I1289" s="23"/>
      <c r="J1289" s="24"/>
      <c r="K1289" s="25"/>
      <c r="L1289" s="23"/>
      <c r="M1289" s="23"/>
      <c r="N1289" s="24"/>
      <c r="O1289" s="24"/>
      <c r="P1289" s="25"/>
      <c r="Q1289" s="25"/>
    </row>
    <row r="1290" spans="1:17" s="20" customFormat="1" x14ac:dyDescent="0.25">
      <c r="A1290" s="9"/>
      <c r="B1290" s="28"/>
      <c r="C1290" s="28"/>
      <c r="D1290" s="28"/>
      <c r="E1290" s="28"/>
      <c r="F1290" s="31"/>
      <c r="G1290" s="21"/>
      <c r="H1290" s="22"/>
      <c r="I1290" s="23"/>
      <c r="J1290" s="24"/>
      <c r="K1290" s="25"/>
      <c r="L1290" s="23"/>
      <c r="M1290" s="23"/>
      <c r="N1290" s="24"/>
      <c r="O1290" s="24"/>
      <c r="P1290" s="25"/>
      <c r="Q1290" s="25"/>
    </row>
    <row r="1291" spans="1:17" s="20" customFormat="1" x14ac:dyDescent="0.25">
      <c r="A1291" s="9"/>
      <c r="B1291" s="28"/>
      <c r="C1291" s="28"/>
      <c r="D1291" s="28"/>
      <c r="E1291" s="28"/>
      <c r="F1291" s="31"/>
      <c r="G1291" s="21"/>
      <c r="H1291" s="22"/>
      <c r="I1291" s="23"/>
      <c r="J1291" s="24"/>
      <c r="K1291" s="25"/>
      <c r="L1291" s="23"/>
      <c r="M1291" s="23"/>
      <c r="N1291" s="24"/>
      <c r="O1291" s="24"/>
      <c r="P1291" s="25"/>
      <c r="Q1291" s="25"/>
    </row>
    <row r="1292" spans="1:17" s="20" customFormat="1" x14ac:dyDescent="0.25">
      <c r="A1292" s="9"/>
      <c r="B1292" s="28"/>
      <c r="C1292" s="28"/>
      <c r="D1292" s="28"/>
      <c r="E1292" s="28"/>
      <c r="F1292" s="31"/>
      <c r="G1292" s="21"/>
      <c r="H1292" s="22"/>
      <c r="I1292" s="23"/>
      <c r="J1292" s="24"/>
      <c r="K1292" s="25"/>
      <c r="L1292" s="23"/>
      <c r="M1292" s="23"/>
      <c r="N1292" s="24"/>
      <c r="O1292" s="24"/>
      <c r="P1292" s="25"/>
      <c r="Q1292" s="25"/>
    </row>
    <row r="1293" spans="1:17" s="20" customFormat="1" x14ac:dyDescent="0.25">
      <c r="A1293" s="9"/>
      <c r="B1293" s="28"/>
      <c r="C1293" s="28"/>
      <c r="D1293" s="28"/>
      <c r="E1293" s="28"/>
      <c r="F1293" s="31"/>
      <c r="G1293" s="21"/>
      <c r="H1293" s="22"/>
      <c r="I1293" s="23"/>
      <c r="J1293" s="24"/>
      <c r="K1293" s="25"/>
      <c r="L1293" s="23"/>
      <c r="M1293" s="23"/>
      <c r="N1293" s="24"/>
      <c r="O1293" s="24"/>
      <c r="P1293" s="25"/>
      <c r="Q1293" s="25"/>
    </row>
    <row r="1294" spans="1:17" s="20" customFormat="1" x14ac:dyDescent="0.25">
      <c r="A1294" s="9"/>
      <c r="B1294" s="28"/>
      <c r="C1294" s="28"/>
      <c r="D1294" s="28"/>
      <c r="E1294" s="28"/>
      <c r="F1294" s="31"/>
      <c r="G1294" s="21"/>
      <c r="H1294" s="22"/>
      <c r="I1294" s="23"/>
      <c r="J1294" s="24"/>
      <c r="K1294" s="25"/>
      <c r="L1294" s="23"/>
      <c r="M1294" s="23"/>
      <c r="N1294" s="24"/>
      <c r="O1294" s="24"/>
      <c r="P1294" s="25"/>
      <c r="Q1294" s="25"/>
    </row>
    <row r="1295" spans="1:17" s="20" customFormat="1" x14ac:dyDescent="0.25">
      <c r="A1295" s="9"/>
      <c r="B1295" s="28"/>
      <c r="C1295" s="28"/>
      <c r="D1295" s="28"/>
      <c r="E1295" s="28"/>
      <c r="F1295" s="31"/>
      <c r="G1295" s="21"/>
      <c r="H1295" s="22"/>
      <c r="I1295" s="23"/>
      <c r="J1295" s="24"/>
      <c r="K1295" s="25"/>
      <c r="L1295" s="23"/>
      <c r="M1295" s="23"/>
      <c r="N1295" s="24"/>
      <c r="O1295" s="24"/>
      <c r="P1295" s="25"/>
      <c r="Q1295" s="25"/>
    </row>
    <row r="1296" spans="1:17" s="20" customFormat="1" x14ac:dyDescent="0.25">
      <c r="A1296" s="9"/>
      <c r="B1296" s="28"/>
      <c r="C1296" s="28"/>
      <c r="D1296" s="28"/>
      <c r="E1296" s="28"/>
      <c r="F1296" s="31"/>
      <c r="G1296" s="21"/>
      <c r="H1296" s="22"/>
      <c r="I1296" s="23"/>
      <c r="J1296" s="24"/>
      <c r="K1296" s="25"/>
      <c r="L1296" s="23"/>
      <c r="M1296" s="23"/>
      <c r="N1296" s="24"/>
      <c r="O1296" s="24"/>
      <c r="P1296" s="25"/>
      <c r="Q1296" s="25"/>
    </row>
    <row r="1297" spans="1:17" s="20" customFormat="1" x14ac:dyDescent="0.25">
      <c r="A1297" s="9"/>
      <c r="B1297" s="28"/>
      <c r="C1297" s="28"/>
      <c r="D1297" s="28"/>
      <c r="E1297" s="28"/>
      <c r="F1297" s="31"/>
      <c r="G1297" s="21"/>
      <c r="H1297" s="22"/>
      <c r="I1297" s="23"/>
      <c r="J1297" s="24"/>
      <c r="K1297" s="25"/>
      <c r="L1297" s="23"/>
      <c r="M1297" s="23"/>
      <c r="N1297" s="24"/>
      <c r="O1297" s="24"/>
      <c r="P1297" s="25"/>
      <c r="Q1297" s="25"/>
    </row>
    <row r="1298" spans="1:17" s="20" customFormat="1" x14ac:dyDescent="0.25">
      <c r="A1298" s="9"/>
      <c r="B1298" s="28"/>
      <c r="C1298" s="28"/>
      <c r="D1298" s="28"/>
      <c r="E1298" s="28"/>
      <c r="F1298" s="31"/>
      <c r="G1298" s="21"/>
      <c r="H1298" s="22"/>
      <c r="I1298" s="23"/>
      <c r="J1298" s="24"/>
      <c r="K1298" s="25"/>
      <c r="L1298" s="23"/>
      <c r="M1298" s="23"/>
      <c r="N1298" s="24"/>
      <c r="O1298" s="24"/>
      <c r="P1298" s="25"/>
      <c r="Q1298" s="25"/>
    </row>
    <row r="1299" spans="1:17" s="20" customFormat="1" x14ac:dyDescent="0.25">
      <c r="A1299" s="9"/>
      <c r="B1299" s="28"/>
      <c r="C1299" s="28"/>
      <c r="D1299" s="28"/>
      <c r="E1299" s="28"/>
      <c r="F1299" s="31"/>
      <c r="G1299" s="21"/>
      <c r="H1299" s="22"/>
      <c r="I1299" s="23"/>
      <c r="J1299" s="24"/>
      <c r="K1299" s="25"/>
      <c r="L1299" s="23"/>
      <c r="M1299" s="23"/>
      <c r="N1299" s="24"/>
      <c r="O1299" s="24"/>
      <c r="P1299" s="25"/>
      <c r="Q1299" s="25"/>
    </row>
    <row r="1300" spans="1:17" s="20" customFormat="1" x14ac:dyDescent="0.25">
      <c r="A1300" s="9"/>
      <c r="B1300" s="28"/>
      <c r="C1300" s="28"/>
      <c r="D1300" s="28"/>
      <c r="E1300" s="28"/>
      <c r="F1300" s="31"/>
      <c r="G1300" s="21"/>
      <c r="H1300" s="22"/>
      <c r="I1300" s="23"/>
      <c r="J1300" s="24"/>
      <c r="K1300" s="25"/>
      <c r="L1300" s="23"/>
      <c r="M1300" s="23"/>
      <c r="N1300" s="24"/>
      <c r="O1300" s="24"/>
      <c r="P1300" s="25"/>
      <c r="Q1300" s="25"/>
    </row>
    <row r="1301" spans="1:17" s="20" customFormat="1" x14ac:dyDescent="0.25">
      <c r="A1301" s="9"/>
      <c r="B1301" s="28"/>
      <c r="C1301" s="28"/>
      <c r="D1301" s="28"/>
      <c r="E1301" s="28"/>
      <c r="F1301" s="31"/>
      <c r="G1301" s="21"/>
      <c r="H1301" s="22"/>
      <c r="I1301" s="23"/>
      <c r="J1301" s="24"/>
      <c r="K1301" s="25"/>
      <c r="L1301" s="23"/>
      <c r="M1301" s="23"/>
      <c r="N1301" s="24"/>
      <c r="O1301" s="24"/>
      <c r="P1301" s="25"/>
      <c r="Q1301" s="25"/>
    </row>
    <row r="1302" spans="1:17" s="20" customFormat="1" x14ac:dyDescent="0.25">
      <c r="A1302" s="9"/>
      <c r="B1302" s="28"/>
      <c r="C1302" s="28"/>
      <c r="D1302" s="28"/>
      <c r="E1302" s="28"/>
      <c r="F1302" s="31"/>
      <c r="G1302" s="21"/>
      <c r="H1302" s="22"/>
      <c r="I1302" s="23"/>
      <c r="J1302" s="24"/>
      <c r="K1302" s="25"/>
      <c r="L1302" s="23"/>
      <c r="M1302" s="23"/>
      <c r="N1302" s="24"/>
      <c r="O1302" s="24"/>
      <c r="P1302" s="25"/>
      <c r="Q1302" s="25"/>
    </row>
    <row r="1303" spans="1:17" s="20" customFormat="1" x14ac:dyDescent="0.25">
      <c r="A1303" s="9"/>
      <c r="B1303" s="28"/>
      <c r="C1303" s="28"/>
      <c r="D1303" s="28"/>
      <c r="E1303" s="28"/>
      <c r="F1303" s="31"/>
      <c r="G1303" s="21"/>
      <c r="H1303" s="22"/>
      <c r="I1303" s="23"/>
      <c r="J1303" s="24"/>
      <c r="K1303" s="25"/>
      <c r="L1303" s="23"/>
      <c r="M1303" s="23"/>
      <c r="N1303" s="24"/>
      <c r="O1303" s="24"/>
      <c r="P1303" s="25"/>
      <c r="Q1303" s="25"/>
    </row>
    <row r="1304" spans="1:17" s="20" customFormat="1" x14ac:dyDescent="0.25">
      <c r="A1304" s="9"/>
      <c r="B1304" s="28"/>
      <c r="C1304" s="28"/>
      <c r="D1304" s="28"/>
      <c r="E1304" s="28"/>
      <c r="F1304" s="31"/>
      <c r="G1304" s="21"/>
      <c r="H1304" s="22"/>
      <c r="I1304" s="23"/>
      <c r="J1304" s="24"/>
      <c r="K1304" s="25"/>
      <c r="L1304" s="23"/>
      <c r="M1304" s="23"/>
      <c r="N1304" s="24"/>
      <c r="O1304" s="24"/>
      <c r="P1304" s="25"/>
      <c r="Q1304" s="25"/>
    </row>
    <row r="1305" spans="1:17" s="20" customFormat="1" x14ac:dyDescent="0.25">
      <c r="A1305" s="9"/>
      <c r="B1305" s="28"/>
      <c r="C1305" s="28"/>
      <c r="D1305" s="28"/>
      <c r="E1305" s="28"/>
      <c r="F1305" s="31"/>
      <c r="G1305" s="21"/>
      <c r="H1305" s="22"/>
      <c r="I1305" s="23"/>
      <c r="J1305" s="24"/>
      <c r="K1305" s="25"/>
      <c r="L1305" s="23"/>
      <c r="M1305" s="23"/>
      <c r="N1305" s="24"/>
      <c r="O1305" s="24"/>
      <c r="P1305" s="25"/>
      <c r="Q1305" s="25"/>
    </row>
    <row r="1306" spans="1:17" s="20" customFormat="1" x14ac:dyDescent="0.25">
      <c r="A1306" s="9"/>
      <c r="B1306" s="28"/>
      <c r="C1306" s="28"/>
      <c r="D1306" s="28"/>
      <c r="E1306" s="28"/>
      <c r="F1306" s="31"/>
      <c r="G1306" s="21"/>
      <c r="H1306" s="22"/>
      <c r="I1306" s="23"/>
      <c r="J1306" s="24"/>
      <c r="K1306" s="25"/>
      <c r="L1306" s="23"/>
      <c r="M1306" s="23"/>
      <c r="N1306" s="24"/>
      <c r="O1306" s="24"/>
      <c r="P1306" s="25"/>
      <c r="Q1306" s="25"/>
    </row>
    <row r="1307" spans="1:17" s="20" customFormat="1" x14ac:dyDescent="0.25">
      <c r="A1307" s="9"/>
      <c r="B1307" s="28"/>
      <c r="C1307" s="28"/>
      <c r="D1307" s="28"/>
      <c r="E1307" s="28"/>
      <c r="F1307" s="31"/>
      <c r="G1307" s="21"/>
      <c r="H1307" s="22"/>
      <c r="I1307" s="23"/>
      <c r="J1307" s="24"/>
      <c r="K1307" s="25"/>
      <c r="L1307" s="23"/>
      <c r="M1307" s="23"/>
      <c r="N1307" s="24"/>
      <c r="O1307" s="24"/>
      <c r="P1307" s="25"/>
      <c r="Q1307" s="25"/>
    </row>
    <row r="1308" spans="1:17" s="20" customFormat="1" x14ac:dyDescent="0.25">
      <c r="A1308" s="9"/>
      <c r="B1308" s="28"/>
      <c r="C1308" s="28"/>
      <c r="D1308" s="28"/>
      <c r="E1308" s="28"/>
      <c r="F1308" s="31"/>
      <c r="G1308" s="21"/>
      <c r="H1308" s="22"/>
      <c r="I1308" s="23"/>
      <c r="J1308" s="24"/>
      <c r="K1308" s="25"/>
      <c r="L1308" s="23"/>
      <c r="M1308" s="23"/>
      <c r="N1308" s="24"/>
      <c r="O1308" s="24"/>
      <c r="P1308" s="25"/>
      <c r="Q1308" s="25"/>
    </row>
    <row r="1309" spans="1:17" s="20" customFormat="1" x14ac:dyDescent="0.25">
      <c r="A1309" s="9"/>
      <c r="B1309" s="28"/>
      <c r="C1309" s="28"/>
      <c r="D1309" s="28"/>
      <c r="E1309" s="28"/>
      <c r="F1309" s="31"/>
      <c r="G1309" s="21"/>
      <c r="H1309" s="22"/>
      <c r="I1309" s="23"/>
      <c r="J1309" s="24"/>
      <c r="K1309" s="25"/>
      <c r="L1309" s="23"/>
      <c r="M1309" s="23"/>
      <c r="N1309" s="24"/>
      <c r="O1309" s="24"/>
      <c r="P1309" s="25"/>
      <c r="Q1309" s="25"/>
    </row>
    <row r="1310" spans="1:17" s="20" customFormat="1" x14ac:dyDescent="0.25">
      <c r="A1310" s="9"/>
      <c r="B1310" s="28"/>
      <c r="C1310" s="28"/>
      <c r="D1310" s="28"/>
      <c r="E1310" s="28"/>
      <c r="F1310" s="31"/>
      <c r="G1310" s="21"/>
      <c r="H1310" s="22"/>
      <c r="I1310" s="23"/>
      <c r="J1310" s="24"/>
      <c r="K1310" s="25"/>
      <c r="L1310" s="23"/>
      <c r="M1310" s="23"/>
      <c r="N1310" s="24"/>
      <c r="O1310" s="24"/>
      <c r="P1310" s="25"/>
      <c r="Q1310" s="25"/>
    </row>
    <row r="1311" spans="1:17" s="20" customFormat="1" x14ac:dyDescent="0.25">
      <c r="A1311" s="9"/>
      <c r="B1311" s="28"/>
      <c r="C1311" s="28"/>
      <c r="D1311" s="28"/>
      <c r="E1311" s="28"/>
      <c r="F1311" s="31"/>
      <c r="G1311" s="21"/>
      <c r="H1311" s="22"/>
      <c r="I1311" s="23"/>
      <c r="J1311" s="24"/>
      <c r="K1311" s="25"/>
      <c r="L1311" s="23"/>
      <c r="M1311" s="23"/>
      <c r="N1311" s="24"/>
      <c r="O1311" s="24"/>
      <c r="P1311" s="25"/>
      <c r="Q1311" s="25"/>
    </row>
    <row r="1312" spans="1:17" s="20" customFormat="1" x14ac:dyDescent="0.25">
      <c r="A1312" s="9"/>
      <c r="B1312" s="28"/>
      <c r="C1312" s="28"/>
      <c r="D1312" s="28"/>
      <c r="E1312" s="28"/>
      <c r="F1312" s="31"/>
      <c r="G1312" s="21"/>
      <c r="H1312" s="22"/>
      <c r="I1312" s="23"/>
      <c r="J1312" s="24"/>
      <c r="K1312" s="25"/>
      <c r="L1312" s="23"/>
      <c r="M1312" s="23"/>
      <c r="N1312" s="24"/>
      <c r="O1312" s="24"/>
      <c r="P1312" s="25"/>
      <c r="Q1312" s="25"/>
    </row>
    <row r="1313" spans="1:17" s="20" customFormat="1" x14ac:dyDescent="0.25">
      <c r="A1313" s="9"/>
      <c r="B1313" s="28"/>
      <c r="C1313" s="28"/>
      <c r="D1313" s="28"/>
      <c r="E1313" s="28"/>
      <c r="F1313" s="31"/>
      <c r="G1313" s="21"/>
      <c r="H1313" s="22"/>
      <c r="I1313" s="23"/>
      <c r="J1313" s="24"/>
      <c r="K1313" s="25"/>
      <c r="L1313" s="23"/>
      <c r="M1313" s="23"/>
      <c r="N1313" s="24"/>
      <c r="O1313" s="24"/>
      <c r="P1313" s="25"/>
      <c r="Q1313" s="25"/>
    </row>
    <row r="1314" spans="1:17" s="20" customFormat="1" x14ac:dyDescent="0.25">
      <c r="A1314" s="9"/>
      <c r="B1314" s="28"/>
      <c r="C1314" s="28"/>
      <c r="D1314" s="28"/>
      <c r="E1314" s="28"/>
      <c r="F1314" s="31"/>
      <c r="G1314" s="21"/>
      <c r="H1314" s="22"/>
      <c r="I1314" s="23"/>
      <c r="J1314" s="24"/>
      <c r="K1314" s="25"/>
      <c r="L1314" s="23"/>
      <c r="M1314" s="23"/>
      <c r="N1314" s="24"/>
      <c r="O1314" s="24"/>
      <c r="P1314" s="25"/>
      <c r="Q1314" s="25"/>
    </row>
    <row r="1315" spans="1:17" s="20" customFormat="1" x14ac:dyDescent="0.25">
      <c r="A1315" s="9"/>
      <c r="B1315" s="28"/>
      <c r="C1315" s="28"/>
      <c r="D1315" s="28"/>
      <c r="E1315" s="28"/>
      <c r="F1315" s="31"/>
      <c r="G1315" s="21"/>
      <c r="H1315" s="22"/>
      <c r="I1315" s="23"/>
      <c r="J1315" s="24"/>
      <c r="K1315" s="25"/>
      <c r="L1315" s="23"/>
      <c r="M1315" s="23"/>
      <c r="N1315" s="24"/>
      <c r="O1315" s="24"/>
      <c r="P1315" s="25"/>
      <c r="Q1315" s="25"/>
    </row>
    <row r="1316" spans="1:17" s="20" customFormat="1" x14ac:dyDescent="0.25">
      <c r="A1316" s="9"/>
      <c r="B1316" s="28"/>
      <c r="C1316" s="28"/>
      <c r="D1316" s="28"/>
      <c r="E1316" s="28"/>
      <c r="F1316" s="31"/>
      <c r="G1316" s="21"/>
      <c r="H1316" s="22"/>
      <c r="I1316" s="23"/>
      <c r="J1316" s="24"/>
      <c r="K1316" s="25"/>
      <c r="L1316" s="23"/>
      <c r="M1316" s="23"/>
      <c r="N1316" s="24"/>
      <c r="O1316" s="24"/>
      <c r="P1316" s="25"/>
      <c r="Q1316" s="25"/>
    </row>
    <row r="1317" spans="1:17" s="20" customFormat="1" x14ac:dyDescent="0.25">
      <c r="A1317" s="9"/>
      <c r="B1317" s="28"/>
      <c r="C1317" s="28"/>
      <c r="D1317" s="28"/>
      <c r="E1317" s="28"/>
      <c r="F1317" s="31"/>
      <c r="G1317" s="21"/>
      <c r="H1317" s="22"/>
      <c r="I1317" s="23"/>
      <c r="J1317" s="24"/>
      <c r="K1317" s="25"/>
      <c r="L1317" s="23"/>
      <c r="M1317" s="23"/>
      <c r="N1317" s="24"/>
      <c r="O1317" s="24"/>
      <c r="P1317" s="25"/>
      <c r="Q1317" s="25"/>
    </row>
    <row r="1318" spans="1:17" s="20" customFormat="1" x14ac:dyDescent="0.25">
      <c r="A1318" s="9"/>
      <c r="B1318" s="28"/>
      <c r="C1318" s="28"/>
      <c r="D1318" s="28"/>
      <c r="E1318" s="28"/>
      <c r="F1318" s="31"/>
      <c r="G1318" s="21"/>
      <c r="H1318" s="22"/>
      <c r="I1318" s="23"/>
      <c r="J1318" s="24"/>
      <c r="K1318" s="25"/>
      <c r="L1318" s="23"/>
      <c r="M1318" s="23"/>
      <c r="N1318" s="24"/>
      <c r="O1318" s="24"/>
      <c r="P1318" s="25"/>
      <c r="Q1318" s="25"/>
    </row>
    <row r="1319" spans="1:17" s="20" customFormat="1" x14ac:dyDescent="0.25">
      <c r="A1319" s="9"/>
      <c r="B1319" s="28"/>
      <c r="C1319" s="28"/>
      <c r="D1319" s="28"/>
      <c r="E1319" s="28"/>
      <c r="F1319" s="31"/>
      <c r="G1319" s="21"/>
      <c r="H1319" s="22"/>
      <c r="I1319" s="23"/>
      <c r="J1319" s="24"/>
      <c r="K1319" s="25"/>
      <c r="L1319" s="23"/>
      <c r="M1319" s="23"/>
      <c r="N1319" s="24"/>
      <c r="O1319" s="24"/>
      <c r="P1319" s="25"/>
      <c r="Q1319" s="25"/>
    </row>
    <row r="1320" spans="1:17" s="20" customFormat="1" x14ac:dyDescent="0.25">
      <c r="A1320" s="9"/>
      <c r="B1320" s="28"/>
      <c r="C1320" s="28"/>
      <c r="D1320" s="28"/>
      <c r="E1320" s="28"/>
      <c r="F1320" s="31"/>
      <c r="G1320" s="21"/>
      <c r="H1320" s="22"/>
      <c r="I1320" s="23"/>
      <c r="J1320" s="24"/>
      <c r="K1320" s="25"/>
      <c r="L1320" s="23"/>
      <c r="M1320" s="23"/>
      <c r="N1320" s="24"/>
      <c r="O1320" s="24"/>
      <c r="P1320" s="25"/>
      <c r="Q1320" s="25"/>
    </row>
    <row r="1321" spans="1:17" s="20" customFormat="1" x14ac:dyDescent="0.25">
      <c r="A1321" s="9"/>
      <c r="B1321" s="28"/>
      <c r="C1321" s="28"/>
      <c r="D1321" s="28"/>
      <c r="E1321" s="28"/>
      <c r="F1321" s="31"/>
      <c r="G1321" s="21"/>
      <c r="H1321" s="22"/>
      <c r="I1321" s="23"/>
      <c r="J1321" s="24"/>
      <c r="K1321" s="25"/>
      <c r="L1321" s="23"/>
      <c r="M1321" s="23"/>
      <c r="N1321" s="24"/>
      <c r="O1321" s="24"/>
      <c r="P1321" s="25"/>
      <c r="Q1321" s="25"/>
    </row>
    <row r="1322" spans="1:17" s="20" customFormat="1" x14ac:dyDescent="0.25">
      <c r="A1322" s="9"/>
      <c r="B1322" s="28"/>
      <c r="C1322" s="28"/>
      <c r="D1322" s="28"/>
      <c r="E1322" s="28"/>
      <c r="F1322" s="31"/>
      <c r="G1322" s="21"/>
      <c r="H1322" s="22"/>
      <c r="I1322" s="23"/>
      <c r="J1322" s="24"/>
      <c r="K1322" s="25"/>
      <c r="L1322" s="23"/>
      <c r="M1322" s="23"/>
      <c r="N1322" s="24"/>
      <c r="O1322" s="24"/>
      <c r="P1322" s="25"/>
      <c r="Q1322" s="25"/>
    </row>
    <row r="1323" spans="1:17" s="20" customFormat="1" x14ac:dyDescent="0.25">
      <c r="A1323" s="9"/>
      <c r="B1323" s="28"/>
      <c r="C1323" s="28"/>
      <c r="D1323" s="28"/>
      <c r="E1323" s="28"/>
      <c r="F1323" s="31"/>
      <c r="G1323" s="21"/>
      <c r="H1323" s="22"/>
      <c r="I1323" s="23"/>
      <c r="J1323" s="24"/>
      <c r="K1323" s="25"/>
      <c r="L1323" s="23"/>
      <c r="M1323" s="23"/>
      <c r="N1323" s="24"/>
      <c r="O1323" s="24"/>
      <c r="P1323" s="25"/>
      <c r="Q1323" s="25"/>
    </row>
    <row r="1324" spans="1:17" s="20" customFormat="1" x14ac:dyDescent="0.25">
      <c r="A1324" s="9"/>
      <c r="B1324" s="28"/>
      <c r="C1324" s="28"/>
      <c r="D1324" s="28"/>
      <c r="E1324" s="28"/>
      <c r="F1324" s="31"/>
      <c r="G1324" s="21"/>
      <c r="H1324" s="22"/>
      <c r="I1324" s="23"/>
      <c r="J1324" s="24"/>
      <c r="K1324" s="25"/>
      <c r="L1324" s="23"/>
      <c r="M1324" s="23"/>
      <c r="N1324" s="24"/>
      <c r="O1324" s="24"/>
      <c r="P1324" s="25"/>
      <c r="Q1324" s="25"/>
    </row>
    <row r="1325" spans="1:17" s="20" customFormat="1" x14ac:dyDescent="0.25">
      <c r="A1325" s="9"/>
      <c r="B1325" s="28"/>
      <c r="C1325" s="28"/>
      <c r="D1325" s="28"/>
      <c r="E1325" s="28"/>
      <c r="F1325" s="31"/>
      <c r="G1325" s="21"/>
      <c r="H1325" s="22"/>
      <c r="I1325" s="23"/>
      <c r="J1325" s="24"/>
      <c r="K1325" s="25"/>
      <c r="L1325" s="23"/>
      <c r="M1325" s="23"/>
      <c r="N1325" s="24"/>
      <c r="O1325" s="24"/>
      <c r="P1325" s="25"/>
      <c r="Q1325" s="25"/>
    </row>
    <row r="1326" spans="1:17" s="20" customFormat="1" x14ac:dyDescent="0.25">
      <c r="A1326" s="9"/>
      <c r="B1326" s="28"/>
      <c r="C1326" s="28"/>
      <c r="D1326" s="28"/>
      <c r="E1326" s="28"/>
      <c r="F1326" s="31"/>
      <c r="G1326" s="21"/>
      <c r="H1326" s="22"/>
      <c r="I1326" s="23"/>
      <c r="J1326" s="24"/>
      <c r="K1326" s="25"/>
      <c r="L1326" s="23"/>
      <c r="M1326" s="23"/>
      <c r="N1326" s="24"/>
      <c r="O1326" s="24"/>
      <c r="P1326" s="25"/>
      <c r="Q1326" s="25"/>
    </row>
    <row r="1327" spans="1:17" s="20" customFormat="1" x14ac:dyDescent="0.25">
      <c r="A1327" s="9"/>
      <c r="B1327" s="28"/>
      <c r="C1327" s="28"/>
      <c r="D1327" s="28"/>
      <c r="E1327" s="28"/>
      <c r="F1327" s="31"/>
      <c r="G1327" s="21"/>
      <c r="H1327" s="22"/>
      <c r="I1327" s="23"/>
      <c r="J1327" s="24"/>
      <c r="K1327" s="25"/>
      <c r="L1327" s="23"/>
      <c r="M1327" s="23"/>
      <c r="N1327" s="24"/>
      <c r="O1327" s="24"/>
      <c r="P1327" s="25"/>
      <c r="Q1327" s="25"/>
    </row>
    <row r="1328" spans="1:17" s="20" customFormat="1" x14ac:dyDescent="0.25">
      <c r="A1328" s="9"/>
      <c r="B1328" s="28"/>
      <c r="C1328" s="28"/>
      <c r="D1328" s="28"/>
      <c r="E1328" s="28"/>
      <c r="F1328" s="31"/>
      <c r="G1328" s="21"/>
      <c r="H1328" s="22"/>
      <c r="I1328" s="23"/>
      <c r="J1328" s="24"/>
      <c r="K1328" s="25"/>
      <c r="L1328" s="23"/>
      <c r="M1328" s="23"/>
      <c r="N1328" s="24"/>
      <c r="O1328" s="24"/>
      <c r="P1328" s="25"/>
      <c r="Q1328" s="25"/>
    </row>
    <row r="1329" spans="1:17" s="20" customFormat="1" x14ac:dyDescent="0.25">
      <c r="A1329" s="9"/>
      <c r="B1329" s="28"/>
      <c r="C1329" s="28"/>
      <c r="D1329" s="28"/>
      <c r="E1329" s="28"/>
      <c r="F1329" s="31"/>
      <c r="G1329" s="21"/>
      <c r="H1329" s="22"/>
      <c r="I1329" s="23"/>
      <c r="J1329" s="24"/>
      <c r="K1329" s="25"/>
      <c r="L1329" s="23"/>
      <c r="M1329" s="23"/>
      <c r="N1329" s="24"/>
      <c r="O1329" s="24"/>
      <c r="P1329" s="25"/>
      <c r="Q1329" s="25"/>
    </row>
    <row r="1330" spans="1:17" s="20" customFormat="1" x14ac:dyDescent="0.25">
      <c r="A1330" s="9"/>
      <c r="B1330" s="28"/>
      <c r="C1330" s="28"/>
      <c r="D1330" s="28"/>
      <c r="E1330" s="28"/>
      <c r="F1330" s="31"/>
      <c r="G1330" s="21"/>
      <c r="H1330" s="22"/>
      <c r="I1330" s="23"/>
      <c r="J1330" s="24"/>
      <c r="K1330" s="25"/>
      <c r="L1330" s="23"/>
      <c r="M1330" s="23"/>
      <c r="N1330" s="24"/>
      <c r="O1330" s="24"/>
      <c r="P1330" s="25"/>
      <c r="Q1330" s="25"/>
    </row>
    <row r="1331" spans="1:17" s="20" customFormat="1" x14ac:dyDescent="0.25">
      <c r="A1331" s="9"/>
      <c r="B1331" s="28"/>
      <c r="C1331" s="28"/>
      <c r="D1331" s="28"/>
      <c r="E1331" s="28"/>
      <c r="F1331" s="31"/>
      <c r="G1331" s="21"/>
      <c r="H1331" s="22"/>
      <c r="I1331" s="23"/>
      <c r="J1331" s="24"/>
      <c r="K1331" s="25"/>
      <c r="L1331" s="23"/>
      <c r="M1331" s="23"/>
      <c r="N1331" s="24"/>
      <c r="O1331" s="24"/>
      <c r="P1331" s="25"/>
      <c r="Q1331" s="25"/>
    </row>
    <row r="1332" spans="1:17" s="20" customFormat="1" x14ac:dyDescent="0.25">
      <c r="A1332" s="9"/>
      <c r="B1332" s="28"/>
      <c r="C1332" s="28"/>
      <c r="D1332" s="28"/>
      <c r="E1332" s="28"/>
      <c r="F1332" s="31"/>
      <c r="G1332" s="21"/>
      <c r="H1332" s="22"/>
      <c r="I1332" s="23"/>
      <c r="J1332" s="24"/>
      <c r="K1332" s="25"/>
      <c r="L1332" s="23"/>
      <c r="M1332" s="23"/>
      <c r="N1332" s="24"/>
      <c r="O1332" s="24"/>
      <c r="P1332" s="25"/>
      <c r="Q1332" s="25"/>
    </row>
    <row r="1333" spans="1:17" s="20" customFormat="1" x14ac:dyDescent="0.25">
      <c r="A1333" s="9"/>
      <c r="B1333" s="28"/>
      <c r="C1333" s="28"/>
      <c r="D1333" s="28"/>
      <c r="E1333" s="28"/>
      <c r="F1333" s="31"/>
      <c r="G1333" s="21"/>
      <c r="H1333" s="22"/>
      <c r="I1333" s="23"/>
      <c r="J1333" s="24"/>
      <c r="K1333" s="25"/>
      <c r="L1333" s="23"/>
      <c r="M1333" s="23"/>
      <c r="N1333" s="24"/>
      <c r="O1333" s="24"/>
      <c r="P1333" s="25"/>
      <c r="Q1333" s="25"/>
    </row>
    <row r="1334" spans="1:17" s="20" customFormat="1" x14ac:dyDescent="0.25">
      <c r="A1334" s="9"/>
      <c r="B1334" s="28"/>
      <c r="C1334" s="28"/>
      <c r="D1334" s="28"/>
      <c r="E1334" s="28"/>
      <c r="F1334" s="31"/>
      <c r="G1334" s="21"/>
      <c r="H1334" s="22"/>
      <c r="I1334" s="23"/>
      <c r="J1334" s="24"/>
      <c r="K1334" s="25"/>
      <c r="L1334" s="23"/>
      <c r="M1334" s="23"/>
      <c r="N1334" s="24"/>
      <c r="O1334" s="24"/>
      <c r="P1334" s="25"/>
      <c r="Q1334" s="25"/>
    </row>
    <row r="1335" spans="1:17" s="20" customFormat="1" x14ac:dyDescent="0.25">
      <c r="A1335" s="9"/>
      <c r="B1335" s="28"/>
      <c r="C1335" s="28"/>
      <c r="D1335" s="28"/>
      <c r="E1335" s="28"/>
      <c r="F1335" s="31"/>
      <c r="G1335" s="21"/>
      <c r="H1335" s="22"/>
      <c r="I1335" s="23"/>
      <c r="J1335" s="24"/>
      <c r="K1335" s="25"/>
      <c r="L1335" s="23"/>
      <c r="M1335" s="23"/>
      <c r="N1335" s="24"/>
      <c r="O1335" s="24"/>
      <c r="P1335" s="25"/>
      <c r="Q1335" s="25"/>
    </row>
    <row r="1336" spans="1:17" s="20" customFormat="1" x14ac:dyDescent="0.25">
      <c r="A1336" s="9"/>
      <c r="B1336" s="28"/>
      <c r="C1336" s="28"/>
      <c r="D1336" s="28"/>
      <c r="E1336" s="28"/>
      <c r="F1336" s="31"/>
      <c r="G1336" s="21"/>
      <c r="H1336" s="22"/>
      <c r="I1336" s="23"/>
      <c r="J1336" s="24"/>
      <c r="K1336" s="25"/>
      <c r="L1336" s="23"/>
      <c r="M1336" s="23"/>
      <c r="N1336" s="24"/>
      <c r="O1336" s="24"/>
      <c r="P1336" s="25"/>
      <c r="Q1336" s="25"/>
    </row>
    <row r="1337" spans="1:17" s="20" customFormat="1" x14ac:dyDescent="0.25">
      <c r="A1337" s="9"/>
      <c r="B1337" s="28"/>
      <c r="C1337" s="28"/>
      <c r="D1337" s="28"/>
      <c r="E1337" s="28"/>
      <c r="F1337" s="31"/>
      <c r="G1337" s="21"/>
      <c r="H1337" s="22"/>
      <c r="I1337" s="23"/>
      <c r="J1337" s="24"/>
      <c r="K1337" s="25"/>
      <c r="L1337" s="23"/>
      <c r="M1337" s="23"/>
      <c r="N1337" s="24"/>
      <c r="O1337" s="24"/>
      <c r="P1337" s="25"/>
      <c r="Q1337" s="25"/>
    </row>
    <row r="1338" spans="1:17" s="20" customFormat="1" x14ac:dyDescent="0.25">
      <c r="A1338" s="9"/>
      <c r="B1338" s="28"/>
      <c r="C1338" s="28"/>
      <c r="D1338" s="28"/>
      <c r="E1338" s="28"/>
      <c r="F1338" s="31"/>
      <c r="G1338" s="21"/>
      <c r="H1338" s="22"/>
      <c r="I1338" s="23"/>
      <c r="J1338" s="24"/>
      <c r="K1338" s="25"/>
      <c r="L1338" s="23"/>
      <c r="M1338" s="23"/>
      <c r="N1338" s="24"/>
      <c r="O1338" s="24"/>
      <c r="P1338" s="25"/>
      <c r="Q1338" s="25"/>
    </row>
    <row r="1339" spans="1:17" s="20" customFormat="1" x14ac:dyDescent="0.25">
      <c r="A1339" s="9"/>
      <c r="B1339" s="28"/>
      <c r="C1339" s="28"/>
      <c r="D1339" s="28"/>
      <c r="E1339" s="28"/>
      <c r="F1339" s="31"/>
      <c r="G1339" s="21"/>
      <c r="H1339" s="22"/>
      <c r="I1339" s="23"/>
      <c r="J1339" s="24"/>
      <c r="K1339" s="25"/>
      <c r="L1339" s="23"/>
      <c r="M1339" s="23"/>
      <c r="N1339" s="24"/>
      <c r="O1339" s="24"/>
      <c r="P1339" s="25"/>
      <c r="Q1339" s="25"/>
    </row>
    <row r="1340" spans="1:17" s="20" customFormat="1" x14ac:dyDescent="0.25">
      <c r="A1340" s="9"/>
      <c r="B1340" s="28"/>
      <c r="C1340" s="28"/>
      <c r="D1340" s="28"/>
      <c r="E1340" s="28"/>
      <c r="F1340" s="31"/>
      <c r="G1340" s="21"/>
      <c r="H1340" s="22"/>
      <c r="I1340" s="23"/>
      <c r="J1340" s="24"/>
      <c r="K1340" s="25"/>
      <c r="L1340" s="23"/>
      <c r="M1340" s="23"/>
      <c r="N1340" s="24"/>
      <c r="O1340" s="24"/>
      <c r="P1340" s="25"/>
      <c r="Q1340" s="25"/>
    </row>
    <row r="1341" spans="1:17" s="20" customFormat="1" x14ac:dyDescent="0.25">
      <c r="A1341" s="9"/>
      <c r="B1341" s="28"/>
      <c r="C1341" s="28"/>
      <c r="D1341" s="28"/>
      <c r="E1341" s="28"/>
      <c r="F1341" s="31"/>
      <c r="G1341" s="21"/>
      <c r="H1341" s="22"/>
      <c r="I1341" s="23"/>
      <c r="J1341" s="24"/>
      <c r="K1341" s="25"/>
      <c r="L1341" s="23"/>
      <c r="M1341" s="23"/>
      <c r="N1341" s="24"/>
      <c r="O1341" s="24"/>
      <c r="P1341" s="25"/>
      <c r="Q1341" s="25"/>
    </row>
    <row r="1342" spans="1:17" s="20" customFormat="1" x14ac:dyDescent="0.25">
      <c r="A1342" s="9"/>
      <c r="B1342" s="28"/>
      <c r="C1342" s="28"/>
      <c r="D1342" s="28"/>
      <c r="E1342" s="28"/>
      <c r="F1342" s="31"/>
      <c r="G1342" s="21"/>
      <c r="H1342" s="22"/>
      <c r="I1342" s="23"/>
      <c r="J1342" s="24"/>
      <c r="K1342" s="25"/>
      <c r="L1342" s="23"/>
      <c r="M1342" s="23"/>
      <c r="N1342" s="24"/>
      <c r="O1342" s="24"/>
      <c r="P1342" s="25"/>
      <c r="Q1342" s="25"/>
    </row>
    <row r="1343" spans="1:17" s="20" customFormat="1" x14ac:dyDescent="0.25">
      <c r="A1343" s="9"/>
      <c r="B1343" s="28"/>
      <c r="C1343" s="28"/>
      <c r="D1343" s="28"/>
      <c r="E1343" s="28"/>
      <c r="F1343" s="31"/>
      <c r="G1343" s="21"/>
      <c r="H1343" s="22"/>
      <c r="I1343" s="23"/>
      <c r="J1343" s="24"/>
      <c r="K1343" s="25"/>
      <c r="L1343" s="23"/>
      <c r="M1343" s="23"/>
      <c r="N1343" s="24"/>
      <c r="O1343" s="24"/>
      <c r="P1343" s="25"/>
      <c r="Q1343" s="25"/>
    </row>
    <row r="1344" spans="1:17" s="20" customFormat="1" x14ac:dyDescent="0.25">
      <c r="A1344" s="9"/>
      <c r="B1344" s="28"/>
      <c r="C1344" s="28"/>
      <c r="D1344" s="28"/>
      <c r="E1344" s="28"/>
      <c r="F1344" s="31"/>
      <c r="G1344" s="21"/>
      <c r="H1344" s="22"/>
      <c r="I1344" s="23"/>
      <c r="J1344" s="24"/>
      <c r="K1344" s="25"/>
      <c r="L1344" s="23"/>
      <c r="M1344" s="23"/>
      <c r="N1344" s="24"/>
      <c r="O1344" s="24"/>
      <c r="P1344" s="25"/>
      <c r="Q1344" s="25"/>
    </row>
    <row r="1345" spans="1:17" s="20" customFormat="1" x14ac:dyDescent="0.25">
      <c r="A1345" s="9"/>
      <c r="B1345" s="28"/>
      <c r="C1345" s="28"/>
      <c r="D1345" s="28"/>
      <c r="E1345" s="28"/>
      <c r="F1345" s="31"/>
      <c r="G1345" s="21"/>
      <c r="H1345" s="22"/>
      <c r="I1345" s="23"/>
      <c r="J1345" s="24"/>
      <c r="K1345" s="25"/>
      <c r="L1345" s="23"/>
      <c r="M1345" s="23"/>
      <c r="N1345" s="24"/>
      <c r="O1345" s="24"/>
      <c r="P1345" s="25"/>
      <c r="Q1345" s="25"/>
    </row>
    <row r="1346" spans="1:17" s="20" customFormat="1" x14ac:dyDescent="0.25">
      <c r="A1346" s="9"/>
      <c r="B1346" s="28"/>
      <c r="C1346" s="28"/>
      <c r="D1346" s="28"/>
      <c r="E1346" s="28"/>
      <c r="F1346" s="31"/>
      <c r="G1346" s="21"/>
      <c r="H1346" s="22"/>
      <c r="I1346" s="23"/>
      <c r="J1346" s="24"/>
      <c r="K1346" s="25"/>
      <c r="L1346" s="23"/>
      <c r="M1346" s="23"/>
      <c r="N1346" s="24"/>
      <c r="O1346" s="24"/>
      <c r="P1346" s="25"/>
      <c r="Q1346" s="25"/>
    </row>
    <row r="1347" spans="1:17" s="20" customFormat="1" x14ac:dyDescent="0.25">
      <c r="A1347" s="9"/>
      <c r="B1347" s="28"/>
      <c r="C1347" s="28"/>
      <c r="D1347" s="28"/>
      <c r="E1347" s="28"/>
      <c r="F1347" s="31"/>
      <c r="G1347" s="21"/>
      <c r="H1347" s="22"/>
      <c r="I1347" s="23"/>
      <c r="J1347" s="24"/>
      <c r="K1347" s="25"/>
      <c r="L1347" s="23"/>
      <c r="M1347" s="23"/>
      <c r="N1347" s="24"/>
      <c r="O1347" s="24"/>
      <c r="P1347" s="25"/>
      <c r="Q1347" s="25"/>
    </row>
    <row r="1348" spans="1:17" s="20" customFormat="1" x14ac:dyDescent="0.25">
      <c r="A1348" s="9"/>
      <c r="B1348" s="28"/>
      <c r="C1348" s="28"/>
      <c r="D1348" s="28"/>
      <c r="E1348" s="28"/>
      <c r="F1348" s="31"/>
      <c r="G1348" s="21"/>
      <c r="H1348" s="22"/>
      <c r="I1348" s="23"/>
      <c r="J1348" s="24"/>
      <c r="K1348" s="25"/>
      <c r="L1348" s="23"/>
      <c r="M1348" s="23"/>
      <c r="N1348" s="24"/>
      <c r="O1348" s="24"/>
      <c r="P1348" s="25"/>
      <c r="Q1348" s="25"/>
    </row>
    <row r="1349" spans="1:17" s="20" customFormat="1" x14ac:dyDescent="0.25">
      <c r="A1349" s="9"/>
      <c r="B1349" s="28"/>
      <c r="C1349" s="28"/>
      <c r="D1349" s="28"/>
      <c r="E1349" s="28"/>
      <c r="F1349" s="31"/>
      <c r="G1349" s="21"/>
      <c r="H1349" s="22"/>
      <c r="I1349" s="23"/>
      <c r="J1349" s="24"/>
      <c r="K1349" s="25"/>
      <c r="L1349" s="23"/>
      <c r="M1349" s="23"/>
      <c r="N1349" s="24"/>
      <c r="O1349" s="24"/>
      <c r="P1349" s="25"/>
      <c r="Q1349" s="25"/>
    </row>
    <row r="1350" spans="1:17" s="20" customFormat="1" x14ac:dyDescent="0.25">
      <c r="A1350" s="9"/>
      <c r="B1350" s="28"/>
      <c r="C1350" s="28"/>
      <c r="D1350" s="28"/>
      <c r="E1350" s="28"/>
      <c r="F1350" s="31"/>
      <c r="G1350" s="21"/>
      <c r="H1350" s="22"/>
      <c r="I1350" s="23"/>
      <c r="J1350" s="24"/>
      <c r="K1350" s="25"/>
      <c r="L1350" s="23"/>
      <c r="M1350" s="23"/>
      <c r="N1350" s="24"/>
      <c r="O1350" s="24"/>
      <c r="P1350" s="25"/>
      <c r="Q1350" s="25"/>
    </row>
    <row r="1351" spans="1:17" s="20" customFormat="1" x14ac:dyDescent="0.25">
      <c r="A1351" s="9"/>
      <c r="B1351" s="28"/>
      <c r="C1351" s="28"/>
      <c r="D1351" s="28"/>
      <c r="E1351" s="28"/>
      <c r="F1351" s="31"/>
      <c r="G1351" s="21"/>
      <c r="H1351" s="22"/>
      <c r="I1351" s="23"/>
      <c r="J1351" s="24"/>
      <c r="K1351" s="25"/>
      <c r="L1351" s="23"/>
      <c r="M1351" s="23"/>
      <c r="N1351" s="24"/>
      <c r="O1351" s="24"/>
      <c r="P1351" s="25"/>
      <c r="Q1351" s="25"/>
    </row>
    <row r="1352" spans="1:17" s="20" customFormat="1" x14ac:dyDescent="0.25">
      <c r="A1352" s="9"/>
      <c r="B1352" s="28"/>
      <c r="C1352" s="28"/>
      <c r="D1352" s="28"/>
      <c r="E1352" s="28"/>
      <c r="F1352" s="31"/>
      <c r="G1352" s="21"/>
      <c r="H1352" s="22"/>
      <c r="I1352" s="23"/>
      <c r="J1352" s="24"/>
      <c r="K1352" s="25"/>
      <c r="L1352" s="23"/>
      <c r="M1352" s="23"/>
      <c r="N1352" s="24"/>
      <c r="O1352" s="24"/>
      <c r="P1352" s="25"/>
      <c r="Q1352" s="25"/>
    </row>
    <row r="1353" spans="1:17" s="20" customFormat="1" x14ac:dyDescent="0.25">
      <c r="A1353" s="9"/>
      <c r="B1353" s="28"/>
      <c r="C1353" s="28"/>
      <c r="D1353" s="28"/>
      <c r="E1353" s="28"/>
      <c r="F1353" s="31"/>
      <c r="G1353" s="21"/>
      <c r="H1353" s="22"/>
      <c r="I1353" s="23"/>
      <c r="J1353" s="24"/>
      <c r="K1353" s="25"/>
      <c r="L1353" s="23"/>
      <c r="M1353" s="23"/>
      <c r="N1353" s="24"/>
      <c r="O1353" s="24"/>
      <c r="P1353" s="25"/>
      <c r="Q1353" s="25"/>
    </row>
    <row r="1354" spans="1:17" s="20" customFormat="1" x14ac:dyDescent="0.25">
      <c r="A1354" s="9"/>
      <c r="B1354" s="28"/>
      <c r="C1354" s="28"/>
      <c r="D1354" s="28"/>
      <c r="E1354" s="28"/>
      <c r="F1354" s="31"/>
      <c r="G1354" s="21"/>
      <c r="H1354" s="22"/>
      <c r="I1354" s="23"/>
      <c r="J1354" s="24"/>
      <c r="K1354" s="25"/>
      <c r="L1354" s="23"/>
      <c r="M1354" s="23"/>
      <c r="N1354" s="24"/>
      <c r="O1354" s="24"/>
      <c r="P1354" s="25"/>
      <c r="Q1354" s="25"/>
    </row>
    <row r="1355" spans="1:17" s="20" customFormat="1" x14ac:dyDescent="0.25">
      <c r="A1355" s="9"/>
      <c r="B1355" s="28"/>
      <c r="C1355" s="28"/>
      <c r="D1355" s="28"/>
      <c r="E1355" s="28"/>
      <c r="F1355" s="31"/>
      <c r="G1355" s="21"/>
      <c r="H1355" s="22"/>
      <c r="I1355" s="23"/>
      <c r="J1355" s="24"/>
      <c r="K1355" s="25"/>
      <c r="L1355" s="23"/>
      <c r="M1355" s="23"/>
      <c r="N1355" s="24"/>
      <c r="O1355" s="24"/>
      <c r="P1355" s="25"/>
      <c r="Q1355" s="25"/>
    </row>
    <row r="1356" spans="1:17" s="20" customFormat="1" x14ac:dyDescent="0.25">
      <c r="A1356" s="9"/>
      <c r="B1356" s="28"/>
      <c r="C1356" s="28"/>
      <c r="D1356" s="28"/>
      <c r="E1356" s="28"/>
      <c r="F1356" s="31"/>
      <c r="G1356" s="21"/>
      <c r="H1356" s="22"/>
      <c r="I1356" s="23"/>
      <c r="J1356" s="24"/>
      <c r="K1356" s="25"/>
      <c r="L1356" s="23"/>
      <c r="M1356" s="23"/>
      <c r="N1356" s="24"/>
      <c r="O1356" s="24"/>
      <c r="P1356" s="25"/>
      <c r="Q1356" s="25"/>
    </row>
    <row r="1357" spans="1:17" s="20" customFormat="1" x14ac:dyDescent="0.25">
      <c r="A1357" s="9"/>
      <c r="B1357" s="28"/>
      <c r="C1357" s="28"/>
      <c r="D1357" s="28"/>
      <c r="E1357" s="28"/>
      <c r="F1357" s="31"/>
      <c r="G1357" s="21"/>
      <c r="H1357" s="22"/>
      <c r="I1357" s="23"/>
      <c r="J1357" s="24"/>
      <c r="K1357" s="25"/>
      <c r="L1357" s="23"/>
      <c r="M1357" s="23"/>
      <c r="N1357" s="24"/>
      <c r="O1357" s="24"/>
      <c r="P1357" s="25"/>
      <c r="Q1357" s="25"/>
    </row>
    <row r="1358" spans="1:17" s="20" customFormat="1" x14ac:dyDescent="0.25">
      <c r="A1358" s="9"/>
      <c r="B1358" s="28"/>
      <c r="C1358" s="28"/>
      <c r="D1358" s="28"/>
      <c r="E1358" s="28"/>
      <c r="F1358" s="31"/>
      <c r="G1358" s="21"/>
      <c r="H1358" s="22"/>
      <c r="I1358" s="23"/>
      <c r="J1358" s="24"/>
      <c r="K1358" s="25"/>
      <c r="L1358" s="23"/>
      <c r="M1358" s="23"/>
      <c r="N1358" s="24"/>
      <c r="O1358" s="24"/>
      <c r="P1358" s="25"/>
      <c r="Q1358" s="25"/>
    </row>
    <row r="1359" spans="1:17" s="20" customFormat="1" x14ac:dyDescent="0.25">
      <c r="A1359" s="9"/>
      <c r="B1359" s="28"/>
      <c r="C1359" s="28"/>
      <c r="D1359" s="28"/>
      <c r="E1359" s="28"/>
      <c r="F1359" s="31"/>
      <c r="G1359" s="21"/>
      <c r="H1359" s="22"/>
      <c r="I1359" s="23"/>
      <c r="J1359" s="24"/>
      <c r="K1359" s="25"/>
      <c r="L1359" s="23"/>
      <c r="M1359" s="23"/>
      <c r="N1359" s="24"/>
      <c r="O1359" s="24"/>
      <c r="P1359" s="25"/>
      <c r="Q1359" s="25"/>
    </row>
    <row r="1360" spans="1:17" s="20" customFormat="1" x14ac:dyDescent="0.25">
      <c r="A1360" s="9"/>
      <c r="B1360" s="28"/>
      <c r="C1360" s="28"/>
      <c r="D1360" s="28"/>
      <c r="E1360" s="28"/>
      <c r="F1360" s="31"/>
      <c r="G1360" s="21"/>
      <c r="H1360" s="22"/>
      <c r="I1360" s="23"/>
      <c r="J1360" s="24"/>
      <c r="K1360" s="25"/>
      <c r="L1360" s="23"/>
      <c r="M1360" s="23"/>
      <c r="N1360" s="24"/>
      <c r="O1360" s="24"/>
      <c r="P1360" s="25"/>
      <c r="Q1360" s="25"/>
    </row>
    <row r="1361" spans="1:17" s="20" customFormat="1" x14ac:dyDescent="0.25">
      <c r="A1361" s="9"/>
      <c r="B1361" s="28"/>
      <c r="C1361" s="28"/>
      <c r="D1361" s="28"/>
      <c r="E1361" s="28"/>
      <c r="F1361" s="31"/>
      <c r="G1361" s="21"/>
      <c r="H1361" s="22"/>
      <c r="I1361" s="23"/>
      <c r="J1361" s="24"/>
      <c r="K1361" s="25"/>
      <c r="L1361" s="23"/>
      <c r="M1361" s="23"/>
      <c r="N1361" s="24"/>
      <c r="O1361" s="24"/>
      <c r="P1361" s="25"/>
      <c r="Q1361" s="25"/>
    </row>
    <row r="1362" spans="1:17" s="20" customFormat="1" x14ac:dyDescent="0.25">
      <c r="A1362" s="9"/>
      <c r="B1362" s="28"/>
      <c r="C1362" s="28"/>
      <c r="D1362" s="28"/>
      <c r="E1362" s="28"/>
      <c r="F1362" s="31"/>
      <c r="G1362" s="21"/>
      <c r="H1362" s="22"/>
      <c r="I1362" s="23"/>
      <c r="J1362" s="24"/>
      <c r="K1362" s="25"/>
      <c r="L1362" s="23"/>
      <c r="M1362" s="23"/>
      <c r="N1362" s="24"/>
      <c r="O1362" s="24"/>
      <c r="P1362" s="25"/>
      <c r="Q1362" s="25"/>
    </row>
    <row r="1363" spans="1:17" s="20" customFormat="1" x14ac:dyDescent="0.25">
      <c r="A1363" s="9"/>
      <c r="B1363" s="28"/>
      <c r="C1363" s="28"/>
      <c r="D1363" s="28"/>
      <c r="E1363" s="28"/>
      <c r="F1363" s="31"/>
      <c r="G1363" s="21"/>
      <c r="H1363" s="22"/>
      <c r="I1363" s="23"/>
      <c r="J1363" s="24"/>
      <c r="K1363" s="25"/>
      <c r="L1363" s="23"/>
      <c r="M1363" s="23"/>
      <c r="N1363" s="24"/>
      <c r="O1363" s="24"/>
      <c r="P1363" s="25"/>
      <c r="Q1363" s="25"/>
    </row>
    <row r="1364" spans="1:17" s="20" customFormat="1" x14ac:dyDescent="0.25">
      <c r="A1364" s="9"/>
      <c r="B1364" s="28"/>
      <c r="C1364" s="28"/>
      <c r="D1364" s="28"/>
      <c r="E1364" s="28"/>
      <c r="F1364" s="31"/>
      <c r="G1364" s="21"/>
      <c r="H1364" s="22"/>
      <c r="I1364" s="23"/>
      <c r="J1364" s="24"/>
      <c r="K1364" s="25"/>
      <c r="L1364" s="23"/>
      <c r="M1364" s="23"/>
      <c r="N1364" s="24"/>
      <c r="O1364" s="24"/>
      <c r="P1364" s="25"/>
      <c r="Q1364" s="25"/>
    </row>
    <row r="1365" spans="1:17" s="20" customFormat="1" x14ac:dyDescent="0.25">
      <c r="A1365" s="9"/>
      <c r="B1365" s="28"/>
      <c r="C1365" s="28"/>
      <c r="D1365" s="28"/>
      <c r="E1365" s="28"/>
      <c r="F1365" s="31"/>
      <c r="G1365" s="21"/>
      <c r="H1365" s="22"/>
      <c r="I1365" s="23"/>
      <c r="J1365" s="24"/>
      <c r="K1365" s="25"/>
      <c r="L1365" s="23"/>
      <c r="M1365" s="23"/>
      <c r="N1365" s="24"/>
      <c r="O1365" s="24"/>
      <c r="P1365" s="25"/>
      <c r="Q1365" s="25"/>
    </row>
    <row r="1366" spans="1:17" s="20" customFormat="1" x14ac:dyDescent="0.25">
      <c r="A1366" s="9"/>
      <c r="B1366" s="28"/>
      <c r="C1366" s="28"/>
      <c r="D1366" s="28"/>
      <c r="E1366" s="28"/>
      <c r="F1366" s="31"/>
      <c r="G1366" s="21"/>
      <c r="H1366" s="22"/>
      <c r="I1366" s="23"/>
      <c r="J1366" s="24"/>
      <c r="K1366" s="25"/>
      <c r="L1366" s="23"/>
      <c r="M1366" s="23"/>
      <c r="N1366" s="24"/>
      <c r="O1366" s="24"/>
      <c r="P1366" s="25"/>
      <c r="Q1366" s="25"/>
    </row>
    <row r="1367" spans="1:17" s="20" customFormat="1" x14ac:dyDescent="0.25">
      <c r="A1367" s="9"/>
      <c r="B1367" s="28"/>
      <c r="C1367" s="28"/>
      <c r="D1367" s="28"/>
      <c r="E1367" s="28"/>
      <c r="F1367" s="31"/>
      <c r="G1367" s="21"/>
      <c r="H1367" s="22"/>
      <c r="I1367" s="23"/>
      <c r="J1367" s="24"/>
      <c r="K1367" s="25"/>
      <c r="L1367" s="23"/>
      <c r="M1367" s="23"/>
      <c r="N1367" s="24"/>
      <c r="O1367" s="24"/>
      <c r="P1367" s="25"/>
      <c r="Q1367" s="25"/>
    </row>
    <row r="1368" spans="1:17" s="20" customFormat="1" x14ac:dyDescent="0.25">
      <c r="A1368" s="9"/>
      <c r="B1368" s="28"/>
      <c r="C1368" s="28"/>
      <c r="D1368" s="28"/>
      <c r="E1368" s="28"/>
      <c r="F1368" s="31"/>
      <c r="G1368" s="21"/>
      <c r="H1368" s="22"/>
      <c r="I1368" s="23"/>
      <c r="J1368" s="24"/>
      <c r="K1368" s="25"/>
      <c r="L1368" s="23"/>
      <c r="M1368" s="23"/>
      <c r="N1368" s="24"/>
      <c r="O1368" s="24"/>
      <c r="P1368" s="25"/>
      <c r="Q1368" s="25"/>
    </row>
    <row r="1369" spans="1:17" s="20" customFormat="1" x14ac:dyDescent="0.25">
      <c r="A1369" s="9"/>
      <c r="B1369" s="28"/>
      <c r="C1369" s="28"/>
      <c r="D1369" s="28"/>
      <c r="E1369" s="28"/>
      <c r="F1369" s="31"/>
      <c r="G1369" s="21"/>
      <c r="H1369" s="22"/>
      <c r="I1369" s="23"/>
      <c r="J1369" s="24"/>
      <c r="K1369" s="25"/>
      <c r="L1369" s="23"/>
      <c r="M1369" s="23"/>
      <c r="N1369" s="24"/>
      <c r="O1369" s="24"/>
      <c r="P1369" s="25"/>
      <c r="Q1369" s="25"/>
    </row>
    <row r="1370" spans="1:17" s="20" customFormat="1" x14ac:dyDescent="0.25">
      <c r="A1370" s="9"/>
      <c r="B1370" s="28"/>
      <c r="C1370" s="28"/>
      <c r="D1370" s="28"/>
      <c r="E1370" s="28"/>
      <c r="F1370" s="31"/>
      <c r="G1370" s="21"/>
      <c r="H1370" s="22"/>
      <c r="I1370" s="23"/>
      <c r="J1370" s="24"/>
      <c r="K1370" s="25"/>
      <c r="L1370" s="23"/>
      <c r="M1370" s="23"/>
      <c r="N1370" s="24"/>
      <c r="O1370" s="24"/>
      <c r="P1370" s="25"/>
      <c r="Q1370" s="25"/>
    </row>
    <row r="1371" spans="1:17" s="20" customFormat="1" x14ac:dyDescent="0.25">
      <c r="A1371" s="9"/>
      <c r="B1371" s="28"/>
      <c r="C1371" s="28"/>
      <c r="D1371" s="28"/>
      <c r="E1371" s="28"/>
      <c r="F1371" s="31"/>
      <c r="G1371" s="21"/>
      <c r="H1371" s="22"/>
      <c r="I1371" s="23"/>
      <c r="J1371" s="24"/>
      <c r="K1371" s="25"/>
      <c r="L1371" s="23"/>
      <c r="M1371" s="23"/>
      <c r="N1371" s="24"/>
      <c r="O1371" s="24"/>
      <c r="P1371" s="25"/>
      <c r="Q1371" s="25"/>
    </row>
    <row r="1372" spans="1:17" s="20" customFormat="1" x14ac:dyDescent="0.25">
      <c r="A1372" s="9"/>
      <c r="B1372" s="28"/>
      <c r="C1372" s="28"/>
      <c r="D1372" s="28"/>
      <c r="E1372" s="28"/>
      <c r="F1372" s="31"/>
      <c r="G1372" s="21"/>
      <c r="H1372" s="22"/>
      <c r="I1372" s="23"/>
      <c r="J1372" s="24"/>
      <c r="K1372" s="25"/>
      <c r="L1372" s="23"/>
      <c r="M1372" s="23"/>
      <c r="N1372" s="24"/>
      <c r="O1372" s="24"/>
      <c r="P1372" s="25"/>
      <c r="Q1372" s="25"/>
    </row>
    <row r="1373" spans="1:17" s="20" customFormat="1" x14ac:dyDescent="0.25">
      <c r="A1373" s="9"/>
      <c r="B1373" s="28"/>
      <c r="C1373" s="28"/>
      <c r="D1373" s="28"/>
      <c r="E1373" s="28"/>
      <c r="F1373" s="31"/>
      <c r="G1373" s="21"/>
      <c r="H1373" s="22"/>
      <c r="I1373" s="23"/>
      <c r="J1373" s="24"/>
      <c r="K1373" s="25"/>
      <c r="L1373" s="23"/>
      <c r="M1373" s="23"/>
      <c r="N1373" s="24"/>
      <c r="O1373" s="24"/>
      <c r="P1373" s="25"/>
      <c r="Q1373" s="25"/>
    </row>
    <row r="1374" spans="1:17" s="20" customFormat="1" x14ac:dyDescent="0.25">
      <c r="A1374" s="9"/>
      <c r="B1374" s="28"/>
      <c r="C1374" s="28"/>
      <c r="D1374" s="28"/>
      <c r="E1374" s="28"/>
      <c r="F1374" s="31"/>
      <c r="G1374" s="21"/>
      <c r="H1374" s="22"/>
      <c r="I1374" s="23"/>
      <c r="J1374" s="24"/>
      <c r="K1374" s="25"/>
      <c r="L1374" s="23"/>
      <c r="M1374" s="23"/>
      <c r="N1374" s="24"/>
      <c r="O1374" s="24"/>
      <c r="P1374" s="25"/>
      <c r="Q1374" s="25"/>
    </row>
    <row r="1375" spans="1:17" s="20" customFormat="1" x14ac:dyDescent="0.25">
      <c r="A1375" s="9"/>
      <c r="B1375" s="28"/>
      <c r="C1375" s="28"/>
      <c r="D1375" s="28"/>
      <c r="E1375" s="28"/>
      <c r="F1375" s="31"/>
      <c r="G1375" s="21"/>
      <c r="H1375" s="22"/>
      <c r="I1375" s="23"/>
      <c r="J1375" s="24"/>
      <c r="K1375" s="25"/>
      <c r="L1375" s="23"/>
      <c r="M1375" s="23"/>
      <c r="N1375" s="24"/>
      <c r="O1375" s="24"/>
      <c r="P1375" s="25"/>
      <c r="Q1375" s="25"/>
    </row>
    <row r="1376" spans="1:17" s="20" customFormat="1" x14ac:dyDescent="0.25">
      <c r="A1376" s="9"/>
      <c r="B1376" s="28"/>
      <c r="C1376" s="28"/>
      <c r="D1376" s="28"/>
      <c r="E1376" s="28"/>
      <c r="F1376" s="31"/>
      <c r="G1376" s="21"/>
      <c r="H1376" s="22"/>
      <c r="I1376" s="23"/>
      <c r="J1376" s="24"/>
      <c r="K1376" s="25"/>
      <c r="L1376" s="23"/>
      <c r="M1376" s="23"/>
      <c r="N1376" s="24"/>
      <c r="O1376" s="24"/>
      <c r="P1376" s="25"/>
      <c r="Q1376" s="25"/>
    </row>
    <row r="1377" spans="1:17" s="20" customFormat="1" x14ac:dyDescent="0.25">
      <c r="A1377" s="9"/>
      <c r="B1377" s="28"/>
      <c r="C1377" s="28"/>
      <c r="D1377" s="28"/>
      <c r="E1377" s="28"/>
      <c r="F1377" s="31"/>
      <c r="G1377" s="21"/>
      <c r="H1377" s="22"/>
      <c r="I1377" s="23"/>
      <c r="J1377" s="24"/>
      <c r="K1377" s="25"/>
      <c r="L1377" s="23"/>
      <c r="M1377" s="23"/>
      <c r="N1377" s="24"/>
      <c r="O1377" s="24"/>
      <c r="P1377" s="25"/>
      <c r="Q1377" s="25"/>
    </row>
    <row r="1378" spans="1:17" s="20" customFormat="1" x14ac:dyDescent="0.25">
      <c r="A1378" s="9"/>
      <c r="B1378" s="28"/>
      <c r="C1378" s="28"/>
      <c r="D1378" s="28"/>
      <c r="E1378" s="28"/>
      <c r="F1378" s="31"/>
      <c r="G1378" s="21"/>
      <c r="H1378" s="22"/>
      <c r="I1378" s="23"/>
      <c r="J1378" s="24"/>
      <c r="K1378" s="25"/>
      <c r="L1378" s="23"/>
      <c r="M1378" s="23"/>
      <c r="N1378" s="24"/>
      <c r="O1378" s="24"/>
      <c r="P1378" s="25"/>
      <c r="Q1378" s="25"/>
    </row>
    <row r="1379" spans="1:17" s="20" customFormat="1" x14ac:dyDescent="0.25">
      <c r="A1379" s="9"/>
      <c r="B1379" s="28"/>
      <c r="C1379" s="28"/>
      <c r="D1379" s="28"/>
      <c r="E1379" s="28"/>
      <c r="F1379" s="31"/>
      <c r="G1379" s="21"/>
      <c r="H1379" s="22"/>
      <c r="I1379" s="23"/>
      <c r="J1379" s="24"/>
      <c r="K1379" s="25"/>
      <c r="L1379" s="23"/>
      <c r="M1379" s="23"/>
      <c r="N1379" s="24"/>
      <c r="O1379" s="24"/>
      <c r="P1379" s="25"/>
      <c r="Q1379" s="25"/>
    </row>
    <row r="1380" spans="1:17" s="20" customFormat="1" x14ac:dyDescent="0.25">
      <c r="A1380" s="9"/>
      <c r="B1380" s="28"/>
      <c r="C1380" s="28"/>
      <c r="D1380" s="28"/>
      <c r="E1380" s="28"/>
      <c r="F1380" s="31"/>
      <c r="G1380" s="21"/>
      <c r="H1380" s="22"/>
      <c r="I1380" s="23"/>
      <c r="J1380" s="24"/>
      <c r="K1380" s="25"/>
      <c r="L1380" s="23"/>
      <c r="M1380" s="23"/>
      <c r="N1380" s="24"/>
      <c r="O1380" s="24"/>
      <c r="P1380" s="25"/>
      <c r="Q1380" s="25"/>
    </row>
    <row r="1381" spans="1:17" s="20" customFormat="1" x14ac:dyDescent="0.25">
      <c r="A1381" s="9"/>
      <c r="B1381" s="28"/>
      <c r="C1381" s="28"/>
      <c r="D1381" s="28"/>
      <c r="E1381" s="28"/>
      <c r="F1381" s="31"/>
      <c r="G1381" s="21"/>
      <c r="H1381" s="22"/>
      <c r="I1381" s="23"/>
      <c r="J1381" s="24"/>
      <c r="K1381" s="25"/>
      <c r="L1381" s="23"/>
      <c r="M1381" s="23"/>
      <c r="N1381" s="24"/>
      <c r="O1381" s="24"/>
      <c r="P1381" s="25"/>
      <c r="Q1381" s="25"/>
    </row>
    <row r="1382" spans="1:17" s="20" customFormat="1" x14ac:dyDescent="0.25">
      <c r="A1382" s="9"/>
      <c r="B1382" s="28"/>
      <c r="C1382" s="28"/>
      <c r="D1382" s="28"/>
      <c r="E1382" s="28"/>
      <c r="F1382" s="31"/>
      <c r="G1382" s="21"/>
      <c r="H1382" s="22"/>
      <c r="I1382" s="23"/>
      <c r="J1382" s="24"/>
      <c r="K1382" s="25"/>
      <c r="L1382" s="23"/>
      <c r="M1382" s="23"/>
      <c r="N1382" s="24"/>
      <c r="O1382" s="24"/>
      <c r="P1382" s="25"/>
      <c r="Q1382" s="25"/>
    </row>
    <row r="1383" spans="1:17" s="20" customFormat="1" x14ac:dyDescent="0.25">
      <c r="A1383" s="9"/>
      <c r="B1383" s="28"/>
      <c r="C1383" s="28"/>
      <c r="D1383" s="28"/>
      <c r="E1383" s="28"/>
      <c r="F1383" s="31"/>
      <c r="G1383" s="21"/>
      <c r="H1383" s="22"/>
      <c r="I1383" s="23"/>
      <c r="J1383" s="24"/>
      <c r="K1383" s="25"/>
      <c r="L1383" s="23"/>
      <c r="M1383" s="23"/>
      <c r="N1383" s="24"/>
      <c r="O1383" s="24"/>
      <c r="P1383" s="25"/>
      <c r="Q1383" s="25"/>
    </row>
    <row r="1384" spans="1:17" s="20" customFormat="1" x14ac:dyDescent="0.25">
      <c r="A1384" s="9"/>
      <c r="B1384" s="28"/>
      <c r="C1384" s="28"/>
      <c r="D1384" s="28"/>
      <c r="E1384" s="28"/>
      <c r="F1384" s="31"/>
      <c r="G1384" s="21"/>
      <c r="H1384" s="22"/>
      <c r="I1384" s="23"/>
      <c r="J1384" s="24"/>
      <c r="K1384" s="25"/>
      <c r="L1384" s="23"/>
      <c r="M1384" s="23"/>
      <c r="N1384" s="24"/>
      <c r="O1384" s="24"/>
      <c r="P1384" s="25"/>
      <c r="Q1384" s="25"/>
    </row>
    <row r="1385" spans="1:17" s="20" customFormat="1" x14ac:dyDescent="0.25">
      <c r="A1385" s="9"/>
      <c r="B1385" s="28"/>
      <c r="C1385" s="28"/>
      <c r="D1385" s="28"/>
      <c r="E1385" s="28"/>
      <c r="F1385" s="31"/>
      <c r="G1385" s="21"/>
      <c r="H1385" s="22"/>
      <c r="I1385" s="23"/>
      <c r="J1385" s="24"/>
      <c r="K1385" s="25"/>
      <c r="L1385" s="23"/>
      <c r="M1385" s="23"/>
      <c r="N1385" s="24"/>
      <c r="O1385" s="24"/>
      <c r="P1385" s="25"/>
      <c r="Q1385" s="25"/>
    </row>
    <row r="1386" spans="1:17" s="20" customFormat="1" x14ac:dyDescent="0.25">
      <c r="A1386" s="9"/>
      <c r="B1386" s="28"/>
      <c r="C1386" s="28"/>
      <c r="D1386" s="28"/>
      <c r="E1386" s="28"/>
      <c r="F1386" s="31"/>
      <c r="G1386" s="21"/>
      <c r="H1386" s="22"/>
      <c r="I1386" s="23"/>
      <c r="J1386" s="24"/>
      <c r="K1386" s="25"/>
      <c r="L1386" s="23"/>
      <c r="M1386" s="23"/>
      <c r="N1386" s="24"/>
      <c r="O1386" s="24"/>
      <c r="P1386" s="25"/>
      <c r="Q1386" s="25"/>
    </row>
    <row r="1387" spans="1:17" s="20" customFormat="1" x14ac:dyDescent="0.25">
      <c r="A1387" s="9"/>
      <c r="B1387" s="28"/>
      <c r="C1387" s="28"/>
      <c r="D1387" s="28"/>
      <c r="E1387" s="28"/>
      <c r="F1387" s="31"/>
      <c r="G1387" s="21"/>
      <c r="H1387" s="22"/>
      <c r="I1387" s="23"/>
      <c r="J1387" s="24"/>
      <c r="K1387" s="25"/>
      <c r="L1387" s="23"/>
      <c r="M1387" s="23"/>
      <c r="N1387" s="24"/>
      <c r="O1387" s="24"/>
      <c r="P1387" s="25"/>
      <c r="Q1387" s="25"/>
    </row>
    <row r="1388" spans="1:17" s="20" customFormat="1" x14ac:dyDescent="0.25">
      <c r="A1388" s="9"/>
      <c r="B1388" s="28"/>
      <c r="C1388" s="28"/>
      <c r="D1388" s="28"/>
      <c r="E1388" s="28"/>
      <c r="F1388" s="31"/>
      <c r="G1388" s="21"/>
      <c r="H1388" s="22"/>
      <c r="I1388" s="23"/>
      <c r="J1388" s="24"/>
      <c r="K1388" s="25"/>
      <c r="L1388" s="23"/>
      <c r="M1388" s="23"/>
      <c r="N1388" s="24"/>
      <c r="O1388" s="24"/>
      <c r="P1388" s="25"/>
      <c r="Q1388" s="25"/>
    </row>
    <row r="1389" spans="1:17" s="20" customFormat="1" x14ac:dyDescent="0.25">
      <c r="A1389" s="9"/>
      <c r="B1389" s="28"/>
      <c r="C1389" s="28"/>
      <c r="D1389" s="28"/>
      <c r="E1389" s="28"/>
      <c r="F1389" s="31"/>
      <c r="G1389" s="21"/>
      <c r="H1389" s="22"/>
      <c r="I1389" s="23"/>
      <c r="J1389" s="24"/>
      <c r="K1389" s="25"/>
      <c r="L1389" s="23"/>
      <c r="M1389" s="23"/>
      <c r="N1389" s="24"/>
      <c r="O1389" s="24"/>
      <c r="P1389" s="25"/>
      <c r="Q1389" s="25"/>
    </row>
    <row r="1390" spans="1:17" s="20" customFormat="1" x14ac:dyDescent="0.25">
      <c r="A1390" s="9"/>
      <c r="B1390" s="28"/>
      <c r="C1390" s="28"/>
      <c r="D1390" s="28"/>
      <c r="E1390" s="28"/>
      <c r="F1390" s="31"/>
      <c r="G1390" s="21"/>
      <c r="H1390" s="22"/>
      <c r="I1390" s="23"/>
      <c r="J1390" s="24"/>
      <c r="K1390" s="25"/>
      <c r="L1390" s="23"/>
      <c r="M1390" s="23"/>
      <c r="N1390" s="24"/>
      <c r="O1390" s="24"/>
      <c r="P1390" s="25"/>
      <c r="Q1390" s="25"/>
    </row>
    <row r="1391" spans="1:17" s="20" customFormat="1" x14ac:dyDescent="0.25">
      <c r="A1391" s="9"/>
      <c r="B1391" s="28"/>
      <c r="C1391" s="28"/>
      <c r="D1391" s="28"/>
      <c r="E1391" s="28"/>
      <c r="F1391" s="31"/>
      <c r="G1391" s="21"/>
      <c r="H1391" s="22"/>
      <c r="I1391" s="23"/>
      <c r="J1391" s="24"/>
      <c r="K1391" s="25"/>
      <c r="L1391" s="23"/>
      <c r="M1391" s="23"/>
      <c r="N1391" s="24"/>
      <c r="O1391" s="24"/>
      <c r="P1391" s="25"/>
      <c r="Q1391" s="25"/>
    </row>
    <row r="1392" spans="1:17" s="20" customFormat="1" x14ac:dyDescent="0.25">
      <c r="A1392" s="9"/>
      <c r="B1392" s="28"/>
      <c r="C1392" s="28"/>
      <c r="D1392" s="28"/>
      <c r="E1392" s="28"/>
      <c r="F1392" s="31"/>
      <c r="G1392" s="21"/>
      <c r="H1392" s="22"/>
      <c r="I1392" s="23"/>
      <c r="J1392" s="24"/>
      <c r="K1392" s="25"/>
      <c r="L1392" s="23"/>
      <c r="M1392" s="23"/>
      <c r="N1392" s="24"/>
      <c r="O1392" s="24"/>
      <c r="P1392" s="25"/>
      <c r="Q1392" s="25"/>
    </row>
    <row r="1393" spans="1:17" s="20" customFormat="1" x14ac:dyDescent="0.25">
      <c r="A1393" s="9"/>
      <c r="B1393" s="28"/>
      <c r="C1393" s="28"/>
      <c r="D1393" s="28"/>
      <c r="E1393" s="28"/>
      <c r="F1393" s="31"/>
      <c r="G1393" s="21"/>
      <c r="H1393" s="22"/>
      <c r="I1393" s="23"/>
      <c r="J1393" s="24"/>
      <c r="K1393" s="25"/>
      <c r="L1393" s="23"/>
      <c r="M1393" s="23"/>
      <c r="N1393" s="24"/>
      <c r="O1393" s="24"/>
      <c r="P1393" s="25"/>
      <c r="Q1393" s="25"/>
    </row>
    <row r="1394" spans="1:17" s="20" customFormat="1" x14ac:dyDescent="0.25">
      <c r="A1394" s="9"/>
      <c r="B1394" s="28"/>
      <c r="C1394" s="28"/>
      <c r="D1394" s="28"/>
      <c r="E1394" s="28"/>
      <c r="F1394" s="31"/>
      <c r="G1394" s="21"/>
      <c r="H1394" s="22"/>
      <c r="I1394" s="23"/>
      <c r="J1394" s="24"/>
      <c r="K1394" s="25"/>
      <c r="L1394" s="23"/>
      <c r="M1394" s="23"/>
      <c r="N1394" s="24"/>
      <c r="O1394" s="24"/>
      <c r="P1394" s="25"/>
      <c r="Q1394" s="25"/>
    </row>
    <row r="1395" spans="1:17" s="20" customFormat="1" x14ac:dyDescent="0.25">
      <c r="A1395" s="9"/>
      <c r="B1395" s="28"/>
      <c r="C1395" s="28"/>
      <c r="D1395" s="28"/>
      <c r="E1395" s="28"/>
      <c r="F1395" s="31"/>
      <c r="G1395" s="21"/>
      <c r="H1395" s="22"/>
      <c r="I1395" s="23"/>
      <c r="J1395" s="24"/>
      <c r="K1395" s="25"/>
      <c r="L1395" s="23"/>
      <c r="M1395" s="23"/>
      <c r="N1395" s="24"/>
      <c r="O1395" s="24"/>
      <c r="P1395" s="25"/>
      <c r="Q1395" s="25"/>
    </row>
    <row r="1396" spans="1:17" s="20" customFormat="1" x14ac:dyDescent="0.25">
      <c r="A1396" s="9"/>
      <c r="B1396" s="28"/>
      <c r="C1396" s="28"/>
      <c r="D1396" s="28"/>
      <c r="E1396" s="28"/>
      <c r="F1396" s="31"/>
      <c r="G1396" s="21"/>
      <c r="H1396" s="22"/>
      <c r="I1396" s="23"/>
      <c r="J1396" s="24"/>
      <c r="K1396" s="25"/>
      <c r="L1396" s="23"/>
      <c r="M1396" s="23"/>
      <c r="N1396" s="24"/>
      <c r="O1396" s="24"/>
      <c r="P1396" s="25"/>
      <c r="Q1396" s="25"/>
    </row>
    <row r="1397" spans="1:17" s="20" customFormat="1" x14ac:dyDescent="0.25">
      <c r="A1397" s="9"/>
      <c r="B1397" s="28"/>
      <c r="C1397" s="28"/>
      <c r="D1397" s="28"/>
      <c r="E1397" s="28"/>
      <c r="F1397" s="31"/>
      <c r="G1397" s="21"/>
      <c r="H1397" s="22"/>
      <c r="I1397" s="23"/>
      <c r="J1397" s="24"/>
      <c r="K1397" s="25"/>
      <c r="L1397" s="23"/>
      <c r="M1397" s="23"/>
      <c r="N1397" s="24"/>
      <c r="O1397" s="24"/>
      <c r="P1397" s="25"/>
      <c r="Q1397" s="25"/>
    </row>
    <row r="1398" spans="1:17" s="20" customFormat="1" x14ac:dyDescent="0.25">
      <c r="A1398" s="9"/>
      <c r="B1398" s="28"/>
      <c r="C1398" s="28"/>
      <c r="D1398" s="28"/>
      <c r="E1398" s="28"/>
      <c r="F1398" s="31"/>
      <c r="G1398" s="21"/>
      <c r="H1398" s="22"/>
      <c r="I1398" s="23"/>
      <c r="J1398" s="24"/>
      <c r="K1398" s="25"/>
      <c r="L1398" s="23"/>
      <c r="M1398" s="23"/>
      <c r="N1398" s="24"/>
      <c r="O1398" s="24"/>
      <c r="P1398" s="25"/>
      <c r="Q1398" s="25"/>
    </row>
    <row r="1399" spans="1:17" s="20" customFormat="1" x14ac:dyDescent="0.25">
      <c r="A1399" s="9"/>
      <c r="B1399" s="28"/>
      <c r="C1399" s="28"/>
      <c r="D1399" s="28"/>
      <c r="E1399" s="28"/>
      <c r="F1399" s="31"/>
      <c r="G1399" s="21"/>
      <c r="H1399" s="22"/>
      <c r="I1399" s="23"/>
      <c r="J1399" s="24"/>
      <c r="K1399" s="25"/>
      <c r="L1399" s="23"/>
      <c r="M1399" s="23"/>
      <c r="N1399" s="24"/>
      <c r="O1399" s="24"/>
      <c r="P1399" s="25"/>
      <c r="Q1399" s="25"/>
    </row>
    <row r="1400" spans="1:17" s="20" customFormat="1" x14ac:dyDescent="0.25">
      <c r="A1400" s="9"/>
      <c r="B1400" s="28"/>
      <c r="C1400" s="28"/>
      <c r="D1400" s="28"/>
      <c r="E1400" s="28"/>
      <c r="F1400" s="31"/>
      <c r="G1400" s="21"/>
      <c r="H1400" s="22"/>
      <c r="I1400" s="23"/>
      <c r="J1400" s="24"/>
      <c r="K1400" s="25"/>
      <c r="L1400" s="23"/>
      <c r="M1400" s="23"/>
      <c r="N1400" s="24"/>
      <c r="O1400" s="24"/>
      <c r="P1400" s="25"/>
      <c r="Q1400" s="25"/>
    </row>
    <row r="1401" spans="1:17" s="20" customFormat="1" x14ac:dyDescent="0.25">
      <c r="A1401" s="9"/>
      <c r="B1401" s="28"/>
      <c r="C1401" s="28"/>
      <c r="D1401" s="28"/>
      <c r="E1401" s="28"/>
      <c r="F1401" s="31"/>
      <c r="G1401" s="21"/>
      <c r="H1401" s="22"/>
      <c r="I1401" s="23"/>
      <c r="J1401" s="24"/>
      <c r="K1401" s="25"/>
      <c r="L1401" s="23"/>
      <c r="M1401" s="23"/>
      <c r="N1401" s="24"/>
      <c r="O1401" s="24"/>
      <c r="P1401" s="25"/>
      <c r="Q1401" s="25"/>
    </row>
    <row r="1402" spans="1:17" s="20" customFormat="1" x14ac:dyDescent="0.25">
      <c r="A1402" s="9"/>
      <c r="B1402" s="28"/>
      <c r="C1402" s="28"/>
      <c r="D1402" s="28"/>
      <c r="E1402" s="28"/>
      <c r="F1402" s="31"/>
      <c r="G1402" s="21"/>
      <c r="H1402" s="22"/>
      <c r="I1402" s="23"/>
      <c r="J1402" s="24"/>
      <c r="K1402" s="25"/>
      <c r="L1402" s="23"/>
      <c r="M1402" s="23"/>
      <c r="N1402" s="24"/>
      <c r="O1402" s="24"/>
      <c r="P1402" s="25"/>
      <c r="Q1402" s="25"/>
    </row>
    <row r="1403" spans="1:17" s="20" customFormat="1" x14ac:dyDescent="0.25">
      <c r="A1403" s="9"/>
      <c r="B1403" s="28"/>
      <c r="C1403" s="28"/>
      <c r="D1403" s="28"/>
      <c r="E1403" s="28"/>
      <c r="F1403" s="31"/>
      <c r="G1403" s="21"/>
      <c r="H1403" s="22"/>
      <c r="I1403" s="23"/>
      <c r="J1403" s="24"/>
      <c r="K1403" s="25"/>
      <c r="L1403" s="23"/>
      <c r="M1403" s="23"/>
      <c r="N1403" s="24"/>
      <c r="O1403" s="24"/>
      <c r="P1403" s="25"/>
      <c r="Q1403" s="25"/>
    </row>
    <row r="1404" spans="1:17" s="20" customFormat="1" x14ac:dyDescent="0.25">
      <c r="A1404" s="9"/>
      <c r="B1404" s="28"/>
      <c r="C1404" s="28"/>
      <c r="D1404" s="28"/>
      <c r="E1404" s="28"/>
      <c r="F1404" s="31"/>
      <c r="G1404" s="21"/>
      <c r="H1404" s="22"/>
      <c r="I1404" s="23"/>
      <c r="J1404" s="24"/>
      <c r="K1404" s="25"/>
      <c r="L1404" s="23"/>
      <c r="M1404" s="23"/>
      <c r="N1404" s="24"/>
      <c r="O1404" s="24"/>
      <c r="P1404" s="25"/>
      <c r="Q1404" s="25"/>
    </row>
    <row r="1405" spans="1:17" s="20" customFormat="1" x14ac:dyDescent="0.25">
      <c r="A1405" s="9"/>
      <c r="B1405" s="28"/>
      <c r="C1405" s="28"/>
      <c r="D1405" s="28"/>
      <c r="E1405" s="28"/>
      <c r="F1405" s="31"/>
      <c r="G1405" s="21"/>
      <c r="H1405" s="22"/>
      <c r="I1405" s="23"/>
      <c r="J1405" s="24"/>
      <c r="K1405" s="25"/>
      <c r="L1405" s="23"/>
      <c r="M1405" s="23"/>
      <c r="N1405" s="24"/>
      <c r="O1405" s="24"/>
      <c r="P1405" s="25"/>
      <c r="Q1405" s="25"/>
    </row>
    <row r="1406" spans="1:17" s="20" customFormat="1" x14ac:dyDescent="0.25">
      <c r="A1406" s="9"/>
      <c r="B1406" s="28"/>
      <c r="C1406" s="28"/>
      <c r="D1406" s="28"/>
      <c r="E1406" s="28"/>
      <c r="F1406" s="31"/>
      <c r="G1406" s="21"/>
      <c r="H1406" s="22"/>
      <c r="I1406" s="23"/>
      <c r="J1406" s="24"/>
      <c r="K1406" s="25"/>
      <c r="L1406" s="23"/>
      <c r="M1406" s="23"/>
      <c r="N1406" s="24"/>
      <c r="O1406" s="24"/>
      <c r="P1406" s="25"/>
      <c r="Q1406" s="25"/>
    </row>
    <row r="1407" spans="1:17" s="20" customFormat="1" x14ac:dyDescent="0.25">
      <c r="A1407" s="9"/>
      <c r="B1407" s="28"/>
      <c r="C1407" s="28"/>
      <c r="D1407" s="28"/>
      <c r="E1407" s="28"/>
      <c r="F1407" s="31"/>
      <c r="G1407" s="21"/>
      <c r="H1407" s="22"/>
      <c r="I1407" s="23"/>
      <c r="J1407" s="24"/>
      <c r="K1407" s="25"/>
      <c r="L1407" s="23"/>
      <c r="M1407" s="23"/>
      <c r="N1407" s="24"/>
      <c r="O1407" s="24"/>
      <c r="P1407" s="25"/>
      <c r="Q1407" s="25"/>
    </row>
    <row r="1408" spans="1:17" s="20" customFormat="1" x14ac:dyDescent="0.25">
      <c r="A1408" s="9"/>
      <c r="B1408" s="28"/>
      <c r="C1408" s="28"/>
      <c r="D1408" s="28"/>
      <c r="E1408" s="28"/>
      <c r="F1408" s="31"/>
      <c r="G1408" s="21"/>
      <c r="H1408" s="22"/>
      <c r="I1408" s="23"/>
      <c r="J1408" s="24"/>
      <c r="K1408" s="25"/>
      <c r="L1408" s="23"/>
      <c r="M1408" s="23"/>
      <c r="N1408" s="24"/>
      <c r="O1408" s="24"/>
      <c r="P1408" s="25"/>
      <c r="Q1408" s="25"/>
    </row>
    <row r="1409" spans="1:17" s="20" customFormat="1" x14ac:dyDescent="0.25">
      <c r="A1409" s="9"/>
      <c r="B1409" s="28"/>
      <c r="C1409" s="28"/>
      <c r="D1409" s="28"/>
      <c r="E1409" s="28"/>
      <c r="F1409" s="31"/>
      <c r="G1409" s="21"/>
      <c r="H1409" s="22"/>
      <c r="I1409" s="23"/>
      <c r="J1409" s="24"/>
      <c r="K1409" s="25"/>
      <c r="L1409" s="23"/>
      <c r="M1409" s="23"/>
      <c r="N1409" s="24"/>
      <c r="O1409" s="24"/>
      <c r="P1409" s="25"/>
      <c r="Q1409" s="25"/>
    </row>
    <row r="1410" spans="1:17" s="20" customFormat="1" x14ac:dyDescent="0.25">
      <c r="A1410" s="9"/>
      <c r="B1410" s="28"/>
      <c r="C1410" s="28"/>
      <c r="D1410" s="28"/>
      <c r="E1410" s="28"/>
      <c r="F1410" s="31"/>
      <c r="G1410" s="21"/>
      <c r="H1410" s="22"/>
      <c r="I1410" s="23"/>
      <c r="J1410" s="24"/>
      <c r="K1410" s="25"/>
      <c r="L1410" s="23"/>
      <c r="M1410" s="23"/>
      <c r="N1410" s="24"/>
      <c r="O1410" s="24"/>
      <c r="P1410" s="25"/>
      <c r="Q1410" s="25"/>
    </row>
    <row r="1411" spans="1:17" s="20" customFormat="1" x14ac:dyDescent="0.25">
      <c r="A1411" s="9"/>
      <c r="B1411" s="28"/>
      <c r="C1411" s="28"/>
      <c r="D1411" s="28"/>
      <c r="E1411" s="28"/>
      <c r="F1411" s="31"/>
      <c r="G1411" s="21"/>
      <c r="H1411" s="22"/>
      <c r="I1411" s="23"/>
      <c r="J1411" s="24"/>
      <c r="K1411" s="25"/>
      <c r="L1411" s="23"/>
      <c r="M1411" s="23"/>
      <c r="N1411" s="24"/>
      <c r="O1411" s="24"/>
      <c r="P1411" s="25"/>
      <c r="Q1411" s="25"/>
    </row>
    <row r="1412" spans="1:17" s="20" customFormat="1" x14ac:dyDescent="0.25">
      <c r="A1412" s="9"/>
      <c r="B1412" s="28"/>
      <c r="C1412" s="28"/>
      <c r="D1412" s="28"/>
      <c r="E1412" s="28"/>
      <c r="F1412" s="31"/>
      <c r="G1412" s="21"/>
      <c r="H1412" s="22"/>
      <c r="I1412" s="23"/>
      <c r="J1412" s="24"/>
      <c r="K1412" s="25"/>
      <c r="L1412" s="23"/>
      <c r="M1412" s="23"/>
      <c r="N1412" s="24"/>
      <c r="O1412" s="24"/>
      <c r="P1412" s="25"/>
      <c r="Q1412" s="25"/>
    </row>
    <row r="1413" spans="1:17" s="20" customFormat="1" x14ac:dyDescent="0.25">
      <c r="A1413" s="9"/>
      <c r="B1413" s="28"/>
      <c r="C1413" s="28"/>
      <c r="D1413" s="28"/>
      <c r="E1413" s="28"/>
      <c r="F1413" s="31"/>
      <c r="G1413" s="21"/>
      <c r="H1413" s="22"/>
      <c r="I1413" s="23"/>
      <c r="J1413" s="24"/>
      <c r="K1413" s="25"/>
      <c r="L1413" s="23"/>
      <c r="M1413" s="23"/>
      <c r="N1413" s="24"/>
      <c r="O1413" s="24"/>
      <c r="P1413" s="25"/>
      <c r="Q1413" s="25"/>
    </row>
    <row r="1414" spans="1:17" s="20" customFormat="1" x14ac:dyDescent="0.25">
      <c r="A1414" s="9"/>
      <c r="B1414" s="28"/>
      <c r="C1414" s="28"/>
      <c r="D1414" s="28"/>
      <c r="E1414" s="28"/>
      <c r="F1414" s="31"/>
      <c r="G1414" s="21"/>
      <c r="H1414" s="22"/>
      <c r="I1414" s="23"/>
      <c r="J1414" s="24"/>
      <c r="K1414" s="25"/>
      <c r="L1414" s="23"/>
      <c r="M1414" s="23"/>
      <c r="N1414" s="24"/>
      <c r="O1414" s="24"/>
      <c r="P1414" s="25"/>
      <c r="Q1414" s="25"/>
    </row>
    <row r="1415" spans="1:17" s="20" customFormat="1" x14ac:dyDescent="0.25">
      <c r="A1415" s="9"/>
      <c r="B1415" s="28"/>
      <c r="C1415" s="28"/>
      <c r="D1415" s="28"/>
      <c r="E1415" s="28"/>
      <c r="F1415" s="31"/>
      <c r="G1415" s="21"/>
      <c r="H1415" s="22"/>
      <c r="I1415" s="23"/>
      <c r="J1415" s="24"/>
      <c r="K1415" s="25"/>
      <c r="L1415" s="23"/>
      <c r="M1415" s="23"/>
      <c r="N1415" s="24"/>
      <c r="O1415" s="24"/>
      <c r="P1415" s="25"/>
      <c r="Q1415" s="25"/>
    </row>
    <row r="1416" spans="1:17" s="20" customFormat="1" x14ac:dyDescent="0.25">
      <c r="A1416" s="9"/>
      <c r="B1416" s="28"/>
      <c r="C1416" s="28"/>
      <c r="D1416" s="28"/>
      <c r="E1416" s="28"/>
      <c r="F1416" s="31"/>
      <c r="G1416" s="21"/>
      <c r="H1416" s="22"/>
      <c r="I1416" s="23"/>
      <c r="J1416" s="24"/>
      <c r="K1416" s="25"/>
      <c r="L1416" s="23"/>
      <c r="M1416" s="23"/>
      <c r="N1416" s="24"/>
      <c r="O1416" s="24"/>
      <c r="P1416" s="25"/>
      <c r="Q1416" s="25"/>
    </row>
    <row r="1417" spans="1:17" s="20" customFormat="1" x14ac:dyDescent="0.25">
      <c r="A1417" s="9"/>
      <c r="B1417" s="28"/>
      <c r="C1417" s="28"/>
      <c r="D1417" s="28"/>
      <c r="E1417" s="28"/>
      <c r="F1417" s="31"/>
      <c r="G1417" s="21"/>
      <c r="H1417" s="22"/>
      <c r="I1417" s="23"/>
      <c r="J1417" s="24"/>
      <c r="K1417" s="25"/>
      <c r="L1417" s="23"/>
      <c r="M1417" s="23"/>
      <c r="N1417" s="24"/>
      <c r="O1417" s="24"/>
      <c r="P1417" s="25"/>
      <c r="Q1417" s="25"/>
    </row>
    <row r="1418" spans="1:17" s="20" customFormat="1" x14ac:dyDescent="0.25">
      <c r="A1418" s="9"/>
      <c r="B1418" s="28"/>
      <c r="C1418" s="28"/>
      <c r="D1418" s="28"/>
      <c r="E1418" s="28"/>
      <c r="F1418" s="31"/>
      <c r="G1418" s="21"/>
      <c r="H1418" s="22"/>
      <c r="I1418" s="23"/>
      <c r="J1418" s="24"/>
      <c r="K1418" s="25"/>
      <c r="L1418" s="23"/>
      <c r="M1418" s="23"/>
      <c r="N1418" s="24"/>
      <c r="O1418" s="24"/>
      <c r="P1418" s="25"/>
      <c r="Q1418" s="25"/>
    </row>
    <row r="1419" spans="1:17" s="20" customFormat="1" x14ac:dyDescent="0.25">
      <c r="A1419" s="9"/>
      <c r="B1419" s="28"/>
      <c r="C1419" s="28"/>
      <c r="D1419" s="28"/>
      <c r="E1419" s="28"/>
      <c r="F1419" s="31"/>
      <c r="G1419" s="21"/>
      <c r="H1419" s="22"/>
      <c r="I1419" s="23"/>
      <c r="J1419" s="24"/>
      <c r="K1419" s="25"/>
      <c r="L1419" s="23"/>
      <c r="M1419" s="23"/>
      <c r="N1419" s="24"/>
      <c r="O1419" s="24"/>
      <c r="P1419" s="25"/>
      <c r="Q1419" s="25"/>
    </row>
    <row r="1420" spans="1:17" s="20" customFormat="1" x14ac:dyDescent="0.25">
      <c r="A1420" s="9"/>
      <c r="B1420" s="28"/>
      <c r="C1420" s="28"/>
      <c r="D1420" s="28"/>
      <c r="E1420" s="28"/>
      <c r="F1420" s="31"/>
      <c r="G1420" s="21"/>
      <c r="H1420" s="22"/>
      <c r="I1420" s="23"/>
      <c r="J1420" s="24"/>
      <c r="K1420" s="25"/>
      <c r="L1420" s="23"/>
      <c r="M1420" s="23"/>
      <c r="N1420" s="24"/>
      <c r="O1420" s="24"/>
      <c r="P1420" s="25"/>
      <c r="Q1420" s="25"/>
    </row>
    <row r="1421" spans="1:17" s="20" customFormat="1" x14ac:dyDescent="0.25">
      <c r="A1421" s="9"/>
      <c r="B1421" s="28"/>
      <c r="C1421" s="28"/>
      <c r="D1421" s="28"/>
      <c r="E1421" s="28"/>
      <c r="F1421" s="31"/>
      <c r="G1421" s="21"/>
      <c r="H1421" s="22"/>
      <c r="I1421" s="23"/>
      <c r="J1421" s="24"/>
      <c r="K1421" s="25"/>
      <c r="L1421" s="23"/>
      <c r="M1421" s="23"/>
      <c r="N1421" s="24"/>
      <c r="O1421" s="24"/>
      <c r="P1421" s="25"/>
      <c r="Q1421" s="25"/>
    </row>
    <row r="1422" spans="1:17" s="20" customFormat="1" x14ac:dyDescent="0.25">
      <c r="A1422" s="9"/>
      <c r="B1422" s="28"/>
      <c r="C1422" s="28"/>
      <c r="D1422" s="28"/>
      <c r="E1422" s="28"/>
      <c r="F1422" s="31"/>
      <c r="G1422" s="21"/>
      <c r="H1422" s="22"/>
      <c r="I1422" s="23"/>
      <c r="J1422" s="24"/>
      <c r="K1422" s="25"/>
      <c r="L1422" s="23"/>
      <c r="M1422" s="23"/>
      <c r="N1422" s="24"/>
      <c r="O1422" s="24"/>
      <c r="P1422" s="25"/>
      <c r="Q1422" s="25"/>
    </row>
    <row r="1423" spans="1:17" s="20" customFormat="1" x14ac:dyDescent="0.25">
      <c r="A1423" s="9"/>
      <c r="B1423" s="28"/>
      <c r="C1423" s="28"/>
      <c r="D1423" s="28"/>
      <c r="E1423" s="28"/>
      <c r="F1423" s="31"/>
      <c r="G1423" s="21"/>
      <c r="H1423" s="22"/>
      <c r="I1423" s="23"/>
      <c r="J1423" s="24"/>
      <c r="K1423" s="25"/>
      <c r="L1423" s="23"/>
      <c r="M1423" s="23"/>
      <c r="N1423" s="24"/>
      <c r="O1423" s="24"/>
      <c r="P1423" s="25"/>
      <c r="Q1423" s="25"/>
    </row>
    <row r="1424" spans="1:17" s="20" customFormat="1" x14ac:dyDescent="0.25">
      <c r="A1424" s="9"/>
      <c r="B1424" s="28"/>
      <c r="C1424" s="28"/>
      <c r="D1424" s="28"/>
      <c r="E1424" s="28"/>
      <c r="F1424" s="31"/>
      <c r="G1424" s="21"/>
      <c r="H1424" s="22"/>
      <c r="I1424" s="23"/>
      <c r="J1424" s="24"/>
      <c r="K1424" s="25"/>
      <c r="L1424" s="23"/>
      <c r="M1424" s="23"/>
      <c r="N1424" s="24"/>
      <c r="O1424" s="24"/>
      <c r="P1424" s="25"/>
      <c r="Q1424" s="25"/>
    </row>
    <row r="1425" spans="1:17" s="20" customFormat="1" x14ac:dyDescent="0.25">
      <c r="A1425" s="9"/>
      <c r="B1425" s="28"/>
      <c r="C1425" s="28"/>
      <c r="D1425" s="28"/>
      <c r="E1425" s="28"/>
      <c r="F1425" s="31"/>
      <c r="G1425" s="21"/>
      <c r="H1425" s="22"/>
      <c r="I1425" s="23"/>
      <c r="J1425" s="24"/>
      <c r="K1425" s="25"/>
      <c r="L1425" s="23"/>
      <c r="M1425" s="23"/>
      <c r="N1425" s="24"/>
      <c r="O1425" s="24"/>
      <c r="P1425" s="25"/>
      <c r="Q1425" s="25"/>
    </row>
    <row r="1426" spans="1:17" s="20" customFormat="1" x14ac:dyDescent="0.25">
      <c r="A1426" s="9"/>
      <c r="B1426" s="28"/>
      <c r="C1426" s="28"/>
      <c r="D1426" s="28"/>
      <c r="E1426" s="28"/>
      <c r="F1426" s="31"/>
      <c r="G1426" s="21"/>
      <c r="H1426" s="22"/>
      <c r="I1426" s="23"/>
      <c r="J1426" s="24"/>
      <c r="K1426" s="25"/>
      <c r="L1426" s="23"/>
      <c r="M1426" s="23"/>
      <c r="N1426" s="24"/>
      <c r="O1426" s="24"/>
      <c r="P1426" s="25"/>
      <c r="Q1426" s="25"/>
    </row>
    <row r="1427" spans="1:17" s="20" customFormat="1" x14ac:dyDescent="0.25">
      <c r="A1427" s="9"/>
      <c r="B1427" s="28"/>
      <c r="C1427" s="28"/>
      <c r="D1427" s="28"/>
      <c r="E1427" s="28"/>
      <c r="F1427" s="31"/>
      <c r="G1427" s="21"/>
      <c r="H1427" s="22"/>
      <c r="I1427" s="23"/>
      <c r="J1427" s="24"/>
      <c r="K1427" s="25"/>
      <c r="L1427" s="23"/>
      <c r="M1427" s="23"/>
      <c r="N1427" s="24"/>
      <c r="O1427" s="24"/>
      <c r="P1427" s="25"/>
      <c r="Q1427" s="25"/>
    </row>
    <row r="1428" spans="1:17" s="20" customFormat="1" x14ac:dyDescent="0.25">
      <c r="A1428" s="9"/>
      <c r="B1428" s="28"/>
      <c r="C1428" s="28"/>
      <c r="D1428" s="28"/>
      <c r="E1428" s="28"/>
      <c r="F1428" s="31"/>
      <c r="G1428" s="21"/>
      <c r="H1428" s="22"/>
      <c r="I1428" s="23"/>
      <c r="J1428" s="24"/>
      <c r="K1428" s="25"/>
      <c r="L1428" s="23"/>
      <c r="M1428" s="23"/>
      <c r="N1428" s="24"/>
      <c r="O1428" s="24"/>
      <c r="P1428" s="25"/>
      <c r="Q1428" s="25"/>
    </row>
    <row r="1429" spans="1:17" s="20" customFormat="1" x14ac:dyDescent="0.25">
      <c r="A1429" s="9"/>
      <c r="B1429" s="28"/>
      <c r="C1429" s="28"/>
      <c r="D1429" s="28"/>
      <c r="E1429" s="28"/>
      <c r="F1429" s="31"/>
      <c r="G1429" s="21"/>
      <c r="H1429" s="22"/>
      <c r="I1429" s="23"/>
      <c r="J1429" s="24"/>
      <c r="K1429" s="25"/>
      <c r="L1429" s="23"/>
      <c r="M1429" s="23"/>
      <c r="N1429" s="24"/>
      <c r="O1429" s="24"/>
      <c r="P1429" s="25"/>
      <c r="Q1429" s="25"/>
    </row>
    <row r="1430" spans="1:17" s="20" customFormat="1" x14ac:dyDescent="0.25">
      <c r="A1430" s="9"/>
      <c r="B1430" s="28"/>
      <c r="C1430" s="28"/>
      <c r="D1430" s="28"/>
      <c r="E1430" s="28"/>
      <c r="F1430" s="31"/>
      <c r="G1430" s="21"/>
      <c r="H1430" s="22"/>
      <c r="I1430" s="23"/>
      <c r="J1430" s="24"/>
      <c r="K1430" s="25"/>
      <c r="L1430" s="23"/>
      <c r="M1430" s="23"/>
      <c r="N1430" s="24"/>
      <c r="O1430" s="24"/>
      <c r="P1430" s="25"/>
      <c r="Q1430" s="25"/>
    </row>
    <row r="1431" spans="1:17" s="20" customFormat="1" x14ac:dyDescent="0.25">
      <c r="A1431" s="9"/>
      <c r="B1431" s="28"/>
      <c r="C1431" s="28"/>
      <c r="D1431" s="28"/>
      <c r="E1431" s="28"/>
      <c r="F1431" s="31"/>
      <c r="G1431" s="21"/>
      <c r="H1431" s="22"/>
      <c r="I1431" s="23"/>
      <c r="J1431" s="24"/>
      <c r="K1431" s="25"/>
      <c r="L1431" s="23"/>
      <c r="M1431" s="23"/>
      <c r="N1431" s="24"/>
      <c r="O1431" s="24"/>
      <c r="P1431" s="25"/>
      <c r="Q1431" s="25"/>
    </row>
    <row r="1432" spans="1:17" s="20" customFormat="1" x14ac:dyDescent="0.25">
      <c r="A1432" s="9"/>
      <c r="B1432" s="28"/>
      <c r="C1432" s="28"/>
      <c r="D1432" s="28"/>
      <c r="E1432" s="28"/>
      <c r="F1432" s="31"/>
      <c r="G1432" s="21"/>
      <c r="H1432" s="22"/>
      <c r="I1432" s="23"/>
      <c r="J1432" s="24"/>
      <c r="K1432" s="25"/>
      <c r="L1432" s="23"/>
      <c r="M1432" s="23"/>
      <c r="N1432" s="24"/>
      <c r="O1432" s="24"/>
      <c r="P1432" s="25"/>
      <c r="Q1432" s="25"/>
    </row>
    <row r="1433" spans="1:17" s="20" customFormat="1" x14ac:dyDescent="0.25">
      <c r="A1433" s="9"/>
      <c r="B1433" s="28"/>
      <c r="C1433" s="28"/>
      <c r="D1433" s="28"/>
      <c r="E1433" s="28"/>
      <c r="F1433" s="31"/>
      <c r="G1433" s="21"/>
      <c r="H1433" s="22"/>
      <c r="I1433" s="23"/>
      <c r="J1433" s="24"/>
      <c r="K1433" s="25"/>
      <c r="L1433" s="23"/>
      <c r="M1433" s="23"/>
      <c r="N1433" s="24"/>
      <c r="O1433" s="24"/>
      <c r="P1433" s="25"/>
      <c r="Q1433" s="25"/>
    </row>
    <row r="1434" spans="1:17" s="20" customFormat="1" x14ac:dyDescent="0.25">
      <c r="A1434" s="9"/>
      <c r="B1434" s="28"/>
      <c r="C1434" s="28"/>
      <c r="D1434" s="28"/>
      <c r="E1434" s="28"/>
      <c r="F1434" s="31"/>
      <c r="G1434" s="21"/>
      <c r="H1434" s="22"/>
      <c r="I1434" s="23"/>
      <c r="J1434" s="24"/>
      <c r="K1434" s="25"/>
      <c r="L1434" s="23"/>
      <c r="M1434" s="23"/>
      <c r="N1434" s="24"/>
      <c r="O1434" s="24"/>
      <c r="P1434" s="25"/>
      <c r="Q1434" s="25"/>
    </row>
    <row r="1435" spans="1:17" s="20" customFormat="1" x14ac:dyDescent="0.25">
      <c r="A1435" s="9"/>
      <c r="B1435" s="28"/>
      <c r="C1435" s="28"/>
      <c r="D1435" s="28"/>
      <c r="E1435" s="28"/>
      <c r="F1435" s="31"/>
      <c r="G1435" s="21"/>
      <c r="H1435" s="22"/>
      <c r="I1435" s="23"/>
      <c r="J1435" s="24"/>
      <c r="K1435" s="25"/>
      <c r="L1435" s="23"/>
      <c r="M1435" s="23"/>
      <c r="N1435" s="24"/>
      <c r="O1435" s="24"/>
      <c r="P1435" s="25"/>
      <c r="Q1435" s="25"/>
    </row>
    <row r="1436" spans="1:17" s="20" customFormat="1" x14ac:dyDescent="0.25">
      <c r="A1436" s="9"/>
      <c r="B1436" s="28"/>
      <c r="C1436" s="28"/>
      <c r="D1436" s="28"/>
      <c r="E1436" s="28"/>
      <c r="F1436" s="31"/>
      <c r="G1436" s="21"/>
      <c r="H1436" s="22"/>
      <c r="I1436" s="23"/>
      <c r="J1436" s="24"/>
      <c r="K1436" s="25"/>
      <c r="L1436" s="23"/>
      <c r="M1436" s="23"/>
      <c r="N1436" s="24"/>
      <c r="O1436" s="24"/>
      <c r="P1436" s="25"/>
      <c r="Q1436" s="25"/>
    </row>
    <row r="1437" spans="1:17" s="20" customFormat="1" x14ac:dyDescent="0.25">
      <c r="A1437" s="9"/>
      <c r="B1437" s="28"/>
      <c r="C1437" s="28"/>
      <c r="D1437" s="28"/>
      <c r="E1437" s="28"/>
      <c r="F1437" s="31"/>
      <c r="G1437" s="21"/>
      <c r="H1437" s="22"/>
      <c r="I1437" s="23"/>
      <c r="J1437" s="24"/>
      <c r="K1437" s="25"/>
      <c r="L1437" s="23"/>
      <c r="M1437" s="23"/>
      <c r="N1437" s="24"/>
      <c r="O1437" s="24"/>
      <c r="P1437" s="25"/>
      <c r="Q1437" s="25"/>
    </row>
    <row r="1438" spans="1:17" s="20" customFormat="1" x14ac:dyDescent="0.25">
      <c r="A1438" s="9"/>
      <c r="B1438" s="28"/>
      <c r="C1438" s="28"/>
      <c r="D1438" s="28"/>
      <c r="E1438" s="28"/>
      <c r="F1438" s="31"/>
      <c r="G1438" s="21"/>
      <c r="H1438" s="22"/>
      <c r="I1438" s="23"/>
      <c r="J1438" s="24"/>
      <c r="K1438" s="25"/>
      <c r="L1438" s="23"/>
      <c r="M1438" s="23"/>
      <c r="N1438" s="24"/>
      <c r="O1438" s="24"/>
      <c r="P1438" s="25"/>
      <c r="Q1438" s="25"/>
    </row>
    <row r="1439" spans="1:17" s="20" customFormat="1" x14ac:dyDescent="0.25">
      <c r="A1439" s="9"/>
      <c r="B1439" s="28"/>
      <c r="C1439" s="28"/>
      <c r="D1439" s="28"/>
      <c r="E1439" s="28"/>
      <c r="F1439" s="31"/>
      <c r="G1439" s="21"/>
      <c r="H1439" s="22"/>
      <c r="I1439" s="23"/>
      <c r="J1439" s="24"/>
      <c r="K1439" s="25"/>
      <c r="L1439" s="23"/>
      <c r="M1439" s="23"/>
      <c r="N1439" s="24"/>
      <c r="O1439" s="24"/>
      <c r="P1439" s="25"/>
      <c r="Q1439" s="25"/>
    </row>
    <row r="1440" spans="1:17" s="20" customFormat="1" x14ac:dyDescent="0.25">
      <c r="A1440" s="9"/>
      <c r="B1440" s="28"/>
      <c r="C1440" s="28"/>
      <c r="D1440" s="28"/>
      <c r="E1440" s="28"/>
      <c r="F1440" s="31"/>
      <c r="G1440" s="21"/>
      <c r="H1440" s="22"/>
      <c r="I1440" s="23"/>
      <c r="J1440" s="24"/>
      <c r="K1440" s="25"/>
      <c r="L1440" s="23"/>
      <c r="M1440" s="23"/>
      <c r="N1440" s="24"/>
      <c r="O1440" s="24"/>
      <c r="P1440" s="25"/>
      <c r="Q1440" s="25"/>
    </row>
    <row r="1441" spans="1:17" s="20" customFormat="1" x14ac:dyDescent="0.25">
      <c r="A1441" s="9"/>
      <c r="B1441" s="28"/>
      <c r="C1441" s="28"/>
      <c r="D1441" s="28"/>
      <c r="E1441" s="28"/>
      <c r="F1441" s="31"/>
      <c r="G1441" s="21"/>
      <c r="H1441" s="22"/>
      <c r="I1441" s="23"/>
      <c r="J1441" s="24"/>
      <c r="K1441" s="25"/>
      <c r="L1441" s="23"/>
      <c r="M1441" s="23"/>
      <c r="N1441" s="24"/>
      <c r="O1441" s="24"/>
      <c r="P1441" s="25"/>
      <c r="Q1441" s="25"/>
    </row>
    <row r="1442" spans="1:17" s="20" customFormat="1" x14ac:dyDescent="0.25">
      <c r="A1442" s="9"/>
      <c r="B1442" s="28"/>
      <c r="C1442" s="28"/>
      <c r="D1442" s="28"/>
      <c r="E1442" s="28"/>
      <c r="F1442" s="31"/>
      <c r="G1442" s="21"/>
      <c r="H1442" s="22"/>
      <c r="I1442" s="23"/>
      <c r="J1442" s="24"/>
      <c r="K1442" s="25"/>
      <c r="L1442" s="23"/>
      <c r="M1442" s="23"/>
      <c r="N1442" s="24"/>
      <c r="O1442" s="24"/>
      <c r="P1442" s="25"/>
      <c r="Q1442" s="25"/>
    </row>
    <row r="1443" spans="1:17" s="20" customFormat="1" x14ac:dyDescent="0.25">
      <c r="A1443" s="9"/>
      <c r="B1443" s="28"/>
      <c r="C1443" s="28"/>
      <c r="D1443" s="28"/>
      <c r="E1443" s="28"/>
      <c r="F1443" s="31"/>
      <c r="G1443" s="21"/>
      <c r="H1443" s="22"/>
      <c r="I1443" s="23"/>
      <c r="J1443" s="24"/>
      <c r="K1443" s="25"/>
      <c r="L1443" s="23"/>
      <c r="M1443" s="23"/>
      <c r="N1443" s="24"/>
      <c r="O1443" s="24"/>
      <c r="P1443" s="25"/>
      <c r="Q1443" s="25"/>
    </row>
    <row r="1444" spans="1:17" s="20" customFormat="1" x14ac:dyDescent="0.25">
      <c r="A1444" s="9"/>
      <c r="B1444" s="28"/>
      <c r="C1444" s="28"/>
      <c r="D1444" s="28"/>
      <c r="E1444" s="28"/>
      <c r="F1444" s="31"/>
      <c r="G1444" s="21"/>
      <c r="H1444" s="22"/>
      <c r="I1444" s="23"/>
      <c r="J1444" s="24"/>
      <c r="K1444" s="25"/>
      <c r="L1444" s="23"/>
      <c r="M1444" s="23"/>
      <c r="N1444" s="24"/>
      <c r="O1444" s="24"/>
      <c r="P1444" s="25"/>
      <c r="Q1444" s="25"/>
    </row>
    <row r="1445" spans="1:17" s="20" customFormat="1" x14ac:dyDescent="0.25">
      <c r="A1445" s="9"/>
      <c r="B1445" s="28"/>
      <c r="C1445" s="28"/>
      <c r="D1445" s="28"/>
      <c r="E1445" s="28"/>
      <c r="F1445" s="31"/>
      <c r="G1445" s="21"/>
      <c r="H1445" s="22"/>
      <c r="I1445" s="23"/>
      <c r="J1445" s="24"/>
      <c r="K1445" s="25"/>
      <c r="L1445" s="23"/>
      <c r="M1445" s="23"/>
      <c r="N1445" s="24"/>
      <c r="O1445" s="24"/>
      <c r="P1445" s="25"/>
      <c r="Q1445" s="25"/>
    </row>
    <row r="1446" spans="1:17" s="20" customFormat="1" x14ac:dyDescent="0.25">
      <c r="A1446" s="9"/>
      <c r="B1446" s="28"/>
      <c r="C1446" s="28"/>
      <c r="D1446" s="28"/>
      <c r="E1446" s="28"/>
      <c r="F1446" s="31"/>
      <c r="G1446" s="21"/>
      <c r="H1446" s="22"/>
      <c r="I1446" s="23"/>
      <c r="J1446" s="24"/>
      <c r="K1446" s="25"/>
      <c r="L1446" s="23"/>
      <c r="M1446" s="23"/>
      <c r="N1446" s="24"/>
      <c r="O1446" s="24"/>
      <c r="P1446" s="25"/>
      <c r="Q1446" s="25"/>
    </row>
    <row r="1447" spans="1:17" s="20" customFormat="1" x14ac:dyDescent="0.25">
      <c r="A1447" s="9"/>
      <c r="B1447" s="28"/>
      <c r="C1447" s="28"/>
      <c r="D1447" s="28"/>
      <c r="E1447" s="28"/>
      <c r="F1447" s="31"/>
      <c r="G1447" s="21"/>
      <c r="H1447" s="22"/>
      <c r="I1447" s="23"/>
      <c r="J1447" s="24"/>
      <c r="K1447" s="25"/>
      <c r="L1447" s="23"/>
      <c r="M1447" s="23"/>
      <c r="N1447" s="24"/>
      <c r="O1447" s="24"/>
      <c r="P1447" s="25"/>
      <c r="Q1447" s="25"/>
    </row>
    <row r="1448" spans="1:17" s="20" customFormat="1" x14ac:dyDescent="0.25">
      <c r="A1448" s="9"/>
      <c r="B1448" s="28"/>
      <c r="C1448" s="28"/>
      <c r="D1448" s="28"/>
      <c r="E1448" s="28"/>
      <c r="F1448" s="31"/>
      <c r="G1448" s="21"/>
      <c r="H1448" s="22"/>
      <c r="I1448" s="23"/>
      <c r="J1448" s="24"/>
      <c r="K1448" s="25"/>
      <c r="L1448" s="23"/>
      <c r="M1448" s="23"/>
      <c r="N1448" s="24"/>
      <c r="O1448" s="24"/>
      <c r="P1448" s="25"/>
      <c r="Q1448" s="25"/>
    </row>
    <row r="1449" spans="1:17" s="20" customFormat="1" x14ac:dyDescent="0.25">
      <c r="A1449" s="9"/>
      <c r="B1449" s="28"/>
      <c r="C1449" s="28"/>
      <c r="D1449" s="28"/>
      <c r="E1449" s="28"/>
      <c r="F1449" s="31"/>
      <c r="G1449" s="21"/>
      <c r="H1449" s="22"/>
      <c r="I1449" s="23"/>
      <c r="J1449" s="24"/>
      <c r="K1449" s="25"/>
      <c r="L1449" s="23"/>
      <c r="M1449" s="23"/>
      <c r="N1449" s="24"/>
      <c r="O1449" s="24"/>
      <c r="P1449" s="25"/>
      <c r="Q1449" s="25"/>
    </row>
    <row r="1450" spans="1:17" s="20" customFormat="1" x14ac:dyDescent="0.25">
      <c r="A1450" s="9"/>
      <c r="B1450" s="28"/>
      <c r="C1450" s="28"/>
      <c r="D1450" s="28"/>
      <c r="E1450" s="28"/>
      <c r="F1450" s="31"/>
      <c r="G1450" s="21"/>
      <c r="H1450" s="22"/>
      <c r="I1450" s="23"/>
      <c r="J1450" s="24"/>
      <c r="K1450" s="25"/>
      <c r="L1450" s="23"/>
      <c r="M1450" s="23"/>
      <c r="N1450" s="24"/>
      <c r="O1450" s="24"/>
      <c r="P1450" s="25"/>
      <c r="Q1450" s="25"/>
    </row>
    <row r="1451" spans="1:17" s="20" customFormat="1" x14ac:dyDescent="0.25">
      <c r="A1451" s="9"/>
      <c r="B1451" s="28"/>
      <c r="C1451" s="28"/>
      <c r="D1451" s="28"/>
      <c r="E1451" s="28"/>
      <c r="F1451" s="31"/>
      <c r="G1451" s="21"/>
      <c r="H1451" s="22"/>
      <c r="I1451" s="23"/>
      <c r="J1451" s="24"/>
      <c r="K1451" s="25"/>
      <c r="L1451" s="23"/>
      <c r="M1451" s="23"/>
      <c r="N1451" s="24"/>
      <c r="O1451" s="24"/>
      <c r="P1451" s="25"/>
      <c r="Q1451" s="25"/>
    </row>
    <row r="1452" spans="1:17" s="20" customFormat="1" x14ac:dyDescent="0.25">
      <c r="A1452" s="9"/>
      <c r="B1452" s="28"/>
      <c r="C1452" s="28"/>
      <c r="D1452" s="28"/>
      <c r="E1452" s="28"/>
      <c r="F1452" s="31"/>
      <c r="G1452" s="21"/>
      <c r="H1452" s="22"/>
      <c r="I1452" s="23"/>
      <c r="J1452" s="24"/>
      <c r="K1452" s="25"/>
      <c r="L1452" s="23"/>
      <c r="M1452" s="23"/>
      <c r="N1452" s="24"/>
      <c r="O1452" s="24"/>
      <c r="P1452" s="25"/>
      <c r="Q1452" s="25"/>
    </row>
    <row r="1453" spans="1:17" s="20" customFormat="1" x14ac:dyDescent="0.25">
      <c r="A1453" s="9"/>
      <c r="B1453" s="28"/>
      <c r="C1453" s="28"/>
      <c r="D1453" s="28"/>
      <c r="E1453" s="28"/>
      <c r="F1453" s="31"/>
      <c r="G1453" s="21"/>
      <c r="H1453" s="22"/>
      <c r="I1453" s="23"/>
      <c r="J1453" s="24"/>
      <c r="K1453" s="25"/>
      <c r="L1453" s="23"/>
      <c r="M1453" s="23"/>
      <c r="N1453" s="24"/>
      <c r="O1453" s="24"/>
      <c r="P1453" s="25"/>
      <c r="Q1453" s="25"/>
    </row>
    <row r="1454" spans="1:17" s="20" customFormat="1" x14ac:dyDescent="0.25">
      <c r="A1454" s="9"/>
      <c r="B1454" s="28"/>
      <c r="C1454" s="28"/>
      <c r="D1454" s="28"/>
      <c r="E1454" s="28"/>
      <c r="F1454" s="31"/>
      <c r="G1454" s="21"/>
      <c r="H1454" s="22"/>
      <c r="I1454" s="23"/>
      <c r="J1454" s="24"/>
      <c r="K1454" s="25"/>
      <c r="L1454" s="23"/>
      <c r="M1454" s="23"/>
      <c r="N1454" s="24"/>
      <c r="O1454" s="24"/>
      <c r="P1454" s="25"/>
      <c r="Q1454" s="25"/>
    </row>
    <row r="1455" spans="1:17" s="20" customFormat="1" x14ac:dyDescent="0.25">
      <c r="A1455" s="9"/>
      <c r="B1455" s="28"/>
      <c r="C1455" s="28"/>
      <c r="D1455" s="28"/>
      <c r="E1455" s="28"/>
      <c r="F1455" s="31"/>
      <c r="G1455" s="21"/>
      <c r="H1455" s="22"/>
      <c r="I1455" s="23"/>
      <c r="J1455" s="24"/>
      <c r="K1455" s="25"/>
      <c r="L1455" s="23"/>
      <c r="M1455" s="23"/>
      <c r="N1455" s="24"/>
      <c r="O1455" s="24"/>
      <c r="P1455" s="25"/>
      <c r="Q1455" s="25"/>
    </row>
    <row r="1456" spans="1:17" s="20" customFormat="1" x14ac:dyDescent="0.25">
      <c r="A1456" s="9"/>
      <c r="B1456" s="28"/>
      <c r="C1456" s="28"/>
      <c r="D1456" s="28"/>
      <c r="E1456" s="28"/>
      <c r="F1456" s="31"/>
      <c r="G1456" s="21"/>
      <c r="H1456" s="22"/>
      <c r="I1456" s="23"/>
      <c r="J1456" s="24"/>
      <c r="K1456" s="25"/>
      <c r="L1456" s="23"/>
      <c r="M1456" s="23"/>
      <c r="N1456" s="24"/>
      <c r="O1456" s="24"/>
      <c r="P1456" s="25"/>
      <c r="Q1456" s="25"/>
    </row>
    <row r="1457" spans="1:17" s="20" customFormat="1" x14ac:dyDescent="0.25">
      <c r="A1457" s="9"/>
      <c r="B1457" s="28"/>
      <c r="C1457" s="28"/>
      <c r="D1457" s="28"/>
      <c r="E1457" s="28"/>
      <c r="F1457" s="31"/>
      <c r="G1457" s="21"/>
      <c r="H1457" s="22"/>
      <c r="I1457" s="23"/>
      <c r="J1457" s="24"/>
      <c r="K1457" s="25"/>
      <c r="L1457" s="23"/>
      <c r="M1457" s="23"/>
      <c r="N1457" s="24"/>
      <c r="O1457" s="24"/>
      <c r="P1457" s="25"/>
      <c r="Q1457" s="25"/>
    </row>
    <row r="1458" spans="1:17" s="20" customFormat="1" x14ac:dyDescent="0.25">
      <c r="A1458" s="9"/>
      <c r="B1458" s="28"/>
      <c r="C1458" s="28"/>
      <c r="D1458" s="28"/>
      <c r="E1458" s="28"/>
      <c r="F1458" s="31"/>
      <c r="G1458" s="21"/>
      <c r="H1458" s="22"/>
      <c r="I1458" s="23"/>
      <c r="J1458" s="24"/>
      <c r="K1458" s="25"/>
      <c r="L1458" s="23"/>
      <c r="M1458" s="23"/>
      <c r="N1458" s="24"/>
      <c r="O1458" s="24"/>
      <c r="P1458" s="25"/>
      <c r="Q1458" s="25"/>
    </row>
    <row r="1459" spans="1:17" s="20" customFormat="1" x14ac:dyDescent="0.25">
      <c r="A1459" s="9"/>
      <c r="B1459" s="28"/>
      <c r="C1459" s="28"/>
      <c r="D1459" s="28"/>
      <c r="E1459" s="28"/>
      <c r="F1459" s="31"/>
      <c r="G1459" s="21"/>
      <c r="H1459" s="22"/>
      <c r="I1459" s="23"/>
      <c r="J1459" s="24"/>
      <c r="K1459" s="25"/>
      <c r="L1459" s="23"/>
      <c r="M1459" s="23"/>
      <c r="N1459" s="24"/>
      <c r="O1459" s="24"/>
      <c r="P1459" s="25"/>
      <c r="Q1459" s="25"/>
    </row>
    <row r="1460" spans="1:17" s="20" customFormat="1" x14ac:dyDescent="0.25">
      <c r="A1460" s="9"/>
      <c r="B1460" s="28"/>
      <c r="C1460" s="28"/>
      <c r="D1460" s="28"/>
      <c r="E1460" s="28"/>
      <c r="F1460" s="31"/>
      <c r="G1460" s="21"/>
      <c r="H1460" s="22"/>
      <c r="I1460" s="23"/>
      <c r="J1460" s="24"/>
      <c r="K1460" s="25"/>
      <c r="L1460" s="23"/>
      <c r="M1460" s="23"/>
      <c r="N1460" s="24"/>
      <c r="O1460" s="24"/>
      <c r="P1460" s="25"/>
      <c r="Q1460" s="25"/>
    </row>
    <row r="1461" spans="1:17" s="20" customFormat="1" x14ac:dyDescent="0.25">
      <c r="A1461" s="9"/>
      <c r="B1461" s="28"/>
      <c r="C1461" s="28"/>
      <c r="D1461" s="28"/>
      <c r="E1461" s="28"/>
      <c r="F1461" s="31"/>
      <c r="G1461" s="21"/>
      <c r="H1461" s="22"/>
      <c r="I1461" s="23"/>
      <c r="J1461" s="24"/>
      <c r="K1461" s="25"/>
      <c r="L1461" s="23"/>
      <c r="M1461" s="23"/>
      <c r="N1461" s="24"/>
      <c r="O1461" s="24"/>
      <c r="P1461" s="25"/>
      <c r="Q1461" s="25"/>
    </row>
    <row r="1462" spans="1:17" s="20" customFormat="1" x14ac:dyDescent="0.25">
      <c r="A1462" s="9"/>
      <c r="B1462" s="28"/>
      <c r="C1462" s="28"/>
      <c r="D1462" s="28"/>
      <c r="E1462" s="28"/>
      <c r="F1462" s="31"/>
      <c r="G1462" s="21"/>
      <c r="H1462" s="22"/>
      <c r="I1462" s="23"/>
      <c r="J1462" s="24"/>
      <c r="K1462" s="25"/>
      <c r="L1462" s="23"/>
      <c r="M1462" s="23"/>
      <c r="N1462" s="24"/>
      <c r="O1462" s="24"/>
      <c r="P1462" s="25"/>
      <c r="Q1462" s="25"/>
    </row>
    <row r="1463" spans="1:17" s="20" customFormat="1" x14ac:dyDescent="0.25">
      <c r="A1463" s="9"/>
      <c r="B1463" s="28"/>
      <c r="C1463" s="28"/>
      <c r="D1463" s="28"/>
      <c r="E1463" s="28"/>
      <c r="F1463" s="31"/>
      <c r="G1463" s="21"/>
      <c r="H1463" s="22"/>
      <c r="I1463" s="23"/>
      <c r="J1463" s="24"/>
      <c r="K1463" s="25"/>
      <c r="L1463" s="23"/>
      <c r="M1463" s="23"/>
      <c r="N1463" s="24"/>
      <c r="O1463" s="24"/>
      <c r="P1463" s="25"/>
      <c r="Q1463" s="25"/>
    </row>
    <row r="1464" spans="1:17" s="20" customFormat="1" x14ac:dyDescent="0.25">
      <c r="A1464" s="9"/>
      <c r="B1464" s="28"/>
      <c r="C1464" s="28"/>
      <c r="D1464" s="28"/>
      <c r="E1464" s="28"/>
      <c r="F1464" s="31"/>
      <c r="G1464" s="21"/>
      <c r="H1464" s="22"/>
      <c r="I1464" s="23"/>
      <c r="J1464" s="24"/>
      <c r="K1464" s="25"/>
      <c r="L1464" s="23"/>
      <c r="M1464" s="23"/>
      <c r="N1464" s="24"/>
      <c r="O1464" s="24"/>
      <c r="P1464" s="25"/>
      <c r="Q1464" s="25"/>
    </row>
    <row r="1465" spans="1:17" s="20" customFormat="1" x14ac:dyDescent="0.25">
      <c r="A1465" s="9"/>
      <c r="B1465" s="28"/>
      <c r="C1465" s="28"/>
      <c r="D1465" s="28"/>
      <c r="E1465" s="28"/>
      <c r="F1465" s="31"/>
      <c r="G1465" s="21"/>
      <c r="H1465" s="22"/>
      <c r="I1465" s="23"/>
      <c r="J1465" s="24"/>
      <c r="K1465" s="25"/>
      <c r="L1465" s="23"/>
      <c r="M1465" s="23"/>
      <c r="N1465" s="24"/>
      <c r="O1465" s="24"/>
      <c r="P1465" s="25"/>
      <c r="Q1465" s="25"/>
    </row>
    <row r="1466" spans="1:17" s="20" customFormat="1" x14ac:dyDescent="0.25">
      <c r="A1466" s="9"/>
      <c r="B1466" s="28"/>
      <c r="C1466" s="28"/>
      <c r="D1466" s="28"/>
      <c r="E1466" s="28"/>
      <c r="F1466" s="31"/>
      <c r="G1466" s="21"/>
      <c r="H1466" s="22"/>
      <c r="I1466" s="23"/>
      <c r="J1466" s="24"/>
      <c r="K1466" s="25"/>
      <c r="L1466" s="23"/>
      <c r="M1466" s="23"/>
      <c r="N1466" s="24"/>
      <c r="O1466" s="24"/>
      <c r="P1466" s="25"/>
      <c r="Q1466" s="25"/>
    </row>
    <row r="1467" spans="1:17" s="20" customFormat="1" x14ac:dyDescent="0.25">
      <c r="A1467" s="9"/>
      <c r="B1467" s="28"/>
      <c r="C1467" s="28"/>
      <c r="D1467" s="28"/>
      <c r="E1467" s="28"/>
      <c r="F1467" s="31"/>
      <c r="G1467" s="21"/>
      <c r="H1467" s="22"/>
      <c r="I1467" s="23"/>
      <c r="J1467" s="24"/>
      <c r="K1467" s="25"/>
      <c r="L1467" s="23"/>
      <c r="M1467" s="23"/>
      <c r="N1467" s="24"/>
      <c r="O1467" s="24"/>
      <c r="P1467" s="25"/>
      <c r="Q1467" s="25"/>
    </row>
    <row r="1468" spans="1:17" s="20" customFormat="1" x14ac:dyDescent="0.25">
      <c r="A1468" s="9"/>
      <c r="B1468" s="28"/>
      <c r="C1468" s="28"/>
      <c r="D1468" s="28"/>
      <c r="E1468" s="28"/>
      <c r="F1468" s="31"/>
      <c r="G1468" s="21"/>
      <c r="H1468" s="22"/>
      <c r="I1468" s="23"/>
      <c r="J1468" s="24"/>
      <c r="K1468" s="25"/>
      <c r="L1468" s="23"/>
      <c r="M1468" s="23"/>
      <c r="N1468" s="24"/>
      <c r="O1468" s="24"/>
      <c r="P1468" s="25"/>
      <c r="Q1468" s="25"/>
    </row>
    <row r="1469" spans="1:17" s="20" customFormat="1" x14ac:dyDescent="0.25">
      <c r="A1469" s="9"/>
      <c r="B1469" s="28"/>
      <c r="C1469" s="28"/>
      <c r="D1469" s="28"/>
      <c r="E1469" s="28"/>
      <c r="F1469" s="31"/>
      <c r="G1469" s="21"/>
      <c r="H1469" s="22"/>
      <c r="I1469" s="23"/>
      <c r="J1469" s="24"/>
      <c r="K1469" s="25"/>
      <c r="L1469" s="23"/>
      <c r="M1469" s="23"/>
      <c r="N1469" s="24"/>
      <c r="O1469" s="24"/>
      <c r="P1469" s="25"/>
      <c r="Q1469" s="25"/>
    </row>
    <row r="1470" spans="1:17" s="20" customFormat="1" x14ac:dyDescent="0.25">
      <c r="A1470" s="9"/>
      <c r="B1470" s="28"/>
      <c r="C1470" s="28"/>
      <c r="D1470" s="28"/>
      <c r="E1470" s="28"/>
      <c r="F1470" s="31"/>
      <c r="G1470" s="21"/>
      <c r="H1470" s="22"/>
      <c r="I1470" s="23"/>
      <c r="J1470" s="24"/>
      <c r="K1470" s="25"/>
      <c r="L1470" s="23"/>
      <c r="M1470" s="23"/>
      <c r="N1470" s="24"/>
      <c r="O1470" s="24"/>
      <c r="P1470" s="25"/>
      <c r="Q1470" s="25"/>
    </row>
    <row r="1471" spans="1:17" s="20" customFormat="1" x14ac:dyDescent="0.25">
      <c r="A1471" s="9"/>
      <c r="B1471" s="28"/>
      <c r="C1471" s="28"/>
      <c r="D1471" s="28"/>
      <c r="E1471" s="28"/>
      <c r="F1471" s="31"/>
      <c r="G1471" s="21"/>
      <c r="H1471" s="22"/>
      <c r="I1471" s="23"/>
      <c r="J1471" s="24"/>
      <c r="K1471" s="25"/>
      <c r="L1471" s="23"/>
      <c r="M1471" s="23"/>
      <c r="N1471" s="24"/>
      <c r="O1471" s="24"/>
      <c r="P1471" s="25"/>
      <c r="Q1471" s="25"/>
    </row>
    <row r="1472" spans="1:17" s="20" customFormat="1" x14ac:dyDescent="0.25">
      <c r="A1472" s="9"/>
      <c r="B1472" s="28"/>
      <c r="C1472" s="28"/>
      <c r="D1472" s="28"/>
      <c r="E1472" s="28"/>
      <c r="F1472" s="31"/>
      <c r="G1472" s="21"/>
      <c r="H1472" s="22"/>
      <c r="I1472" s="23"/>
      <c r="J1472" s="24"/>
      <c r="K1472" s="25"/>
      <c r="L1472" s="23"/>
      <c r="M1472" s="23"/>
      <c r="N1472" s="24"/>
      <c r="O1472" s="24"/>
      <c r="P1472" s="25"/>
      <c r="Q1472" s="25"/>
    </row>
    <row r="1473" spans="1:17" s="20" customFormat="1" x14ac:dyDescent="0.25">
      <c r="A1473" s="9"/>
      <c r="B1473" s="28"/>
      <c r="C1473" s="28"/>
      <c r="D1473" s="28"/>
      <c r="E1473" s="28"/>
      <c r="F1473" s="31"/>
      <c r="G1473" s="21"/>
      <c r="H1473" s="22"/>
      <c r="I1473" s="23"/>
      <c r="J1473" s="24"/>
      <c r="K1473" s="25"/>
      <c r="L1473" s="23"/>
      <c r="M1473" s="23"/>
      <c r="N1473" s="24"/>
      <c r="O1473" s="24"/>
      <c r="P1473" s="25"/>
      <c r="Q1473" s="25"/>
    </row>
    <row r="1474" spans="1:17" s="20" customFormat="1" x14ac:dyDescent="0.25">
      <c r="A1474" s="9"/>
      <c r="B1474" s="28"/>
      <c r="C1474" s="28"/>
      <c r="D1474" s="28"/>
      <c r="E1474" s="28"/>
      <c r="F1474" s="31"/>
      <c r="G1474" s="21"/>
      <c r="H1474" s="22"/>
      <c r="I1474" s="23"/>
      <c r="J1474" s="24"/>
      <c r="K1474" s="25"/>
      <c r="L1474" s="23"/>
      <c r="M1474" s="23"/>
      <c r="N1474" s="24"/>
      <c r="O1474" s="24"/>
      <c r="P1474" s="25"/>
      <c r="Q1474" s="25"/>
    </row>
    <row r="1475" spans="1:17" s="20" customFormat="1" x14ac:dyDescent="0.25">
      <c r="A1475" s="9"/>
      <c r="B1475" s="28"/>
      <c r="C1475" s="28"/>
      <c r="D1475" s="28"/>
      <c r="E1475" s="28"/>
      <c r="F1475" s="31"/>
      <c r="G1475" s="21"/>
      <c r="H1475" s="22"/>
      <c r="I1475" s="23"/>
      <c r="J1475" s="24"/>
      <c r="K1475" s="25"/>
      <c r="L1475" s="23"/>
      <c r="M1475" s="23"/>
      <c r="N1475" s="24"/>
      <c r="O1475" s="24"/>
      <c r="P1475" s="25"/>
      <c r="Q1475" s="25"/>
    </row>
    <row r="1476" spans="1:17" s="20" customFormat="1" x14ac:dyDescent="0.25">
      <c r="A1476" s="9"/>
      <c r="B1476" s="28"/>
      <c r="C1476" s="28"/>
      <c r="D1476" s="28"/>
      <c r="E1476" s="28"/>
      <c r="F1476" s="31"/>
      <c r="G1476" s="21"/>
      <c r="H1476" s="22"/>
      <c r="I1476" s="23"/>
      <c r="J1476" s="24"/>
      <c r="K1476" s="25"/>
      <c r="L1476" s="23"/>
      <c r="M1476" s="23"/>
      <c r="N1476" s="24"/>
      <c r="O1476" s="24"/>
      <c r="P1476" s="25"/>
      <c r="Q1476" s="25"/>
    </row>
    <row r="1477" spans="1:17" s="20" customFormat="1" x14ac:dyDescent="0.25">
      <c r="A1477" s="9"/>
      <c r="B1477" s="28"/>
      <c r="C1477" s="28"/>
      <c r="D1477" s="28"/>
      <c r="E1477" s="28"/>
      <c r="F1477" s="31"/>
      <c r="G1477" s="21"/>
      <c r="H1477" s="22"/>
      <c r="I1477" s="23"/>
      <c r="J1477" s="24"/>
      <c r="K1477" s="25"/>
      <c r="L1477" s="23"/>
      <c r="M1477" s="23"/>
      <c r="N1477" s="24"/>
      <c r="O1477" s="24"/>
      <c r="P1477" s="25"/>
      <c r="Q1477" s="25"/>
    </row>
    <row r="1478" spans="1:17" s="20" customFormat="1" x14ac:dyDescent="0.25">
      <c r="A1478" s="9"/>
      <c r="B1478" s="28"/>
      <c r="C1478" s="28"/>
      <c r="D1478" s="28"/>
      <c r="E1478" s="28"/>
      <c r="F1478" s="31"/>
      <c r="G1478" s="21"/>
      <c r="H1478" s="22"/>
      <c r="I1478" s="23"/>
      <c r="J1478" s="24"/>
      <c r="K1478" s="25"/>
      <c r="L1478" s="23"/>
      <c r="M1478" s="23"/>
      <c r="N1478" s="24"/>
      <c r="O1478" s="24"/>
      <c r="P1478" s="25"/>
      <c r="Q1478" s="25"/>
    </row>
    <row r="1479" spans="1:17" s="20" customFormat="1" x14ac:dyDescent="0.25">
      <c r="A1479" s="9"/>
      <c r="B1479" s="28"/>
      <c r="C1479" s="28"/>
      <c r="D1479" s="28"/>
      <c r="E1479" s="28"/>
      <c r="F1479" s="31"/>
      <c r="G1479" s="21"/>
      <c r="H1479" s="22"/>
      <c r="I1479" s="23"/>
      <c r="J1479" s="24"/>
      <c r="K1479" s="25"/>
      <c r="L1479" s="23"/>
      <c r="M1479" s="23"/>
      <c r="N1479" s="24"/>
      <c r="O1479" s="24"/>
      <c r="P1479" s="25"/>
      <c r="Q1479" s="25"/>
    </row>
    <row r="1480" spans="1:17" s="20" customFormat="1" x14ac:dyDescent="0.25">
      <c r="A1480" s="9"/>
      <c r="B1480" s="28"/>
      <c r="C1480" s="28"/>
      <c r="D1480" s="28"/>
      <c r="E1480" s="28"/>
      <c r="F1480" s="31"/>
      <c r="G1480" s="21"/>
      <c r="H1480" s="22"/>
      <c r="I1480" s="23"/>
      <c r="J1480" s="24"/>
      <c r="K1480" s="25"/>
      <c r="L1480" s="23"/>
      <c r="M1480" s="23"/>
      <c r="N1480" s="24"/>
      <c r="O1480" s="24"/>
      <c r="P1480" s="25"/>
      <c r="Q1480" s="25"/>
    </row>
    <row r="1481" spans="1:17" s="20" customFormat="1" x14ac:dyDescent="0.25">
      <c r="A1481" s="9"/>
      <c r="B1481" s="28"/>
      <c r="C1481" s="28"/>
      <c r="D1481" s="28"/>
      <c r="E1481" s="28"/>
      <c r="F1481" s="31"/>
      <c r="G1481" s="21"/>
      <c r="H1481" s="22"/>
      <c r="I1481" s="23"/>
      <c r="J1481" s="24"/>
      <c r="K1481" s="25"/>
      <c r="L1481" s="23"/>
      <c r="M1481" s="23"/>
      <c r="N1481" s="24"/>
      <c r="O1481" s="24"/>
      <c r="P1481" s="25"/>
      <c r="Q1481" s="25"/>
    </row>
    <row r="1482" spans="1:17" s="20" customFormat="1" x14ac:dyDescent="0.25">
      <c r="A1482" s="9"/>
      <c r="B1482" s="28"/>
      <c r="C1482" s="28"/>
      <c r="D1482" s="28"/>
      <c r="E1482" s="28"/>
      <c r="F1482" s="31"/>
      <c r="G1482" s="21"/>
      <c r="H1482" s="22"/>
      <c r="I1482" s="23"/>
      <c r="J1482" s="24"/>
      <c r="K1482" s="25"/>
      <c r="L1482" s="23"/>
      <c r="M1482" s="23"/>
      <c r="N1482" s="24"/>
      <c r="O1482" s="24"/>
      <c r="P1482" s="25"/>
      <c r="Q1482" s="25"/>
    </row>
    <row r="1483" spans="1:17" s="20" customFormat="1" x14ac:dyDescent="0.25">
      <c r="A1483" s="9"/>
      <c r="B1483" s="28"/>
      <c r="C1483" s="28"/>
      <c r="D1483" s="28"/>
      <c r="E1483" s="28"/>
      <c r="F1483" s="31"/>
      <c r="G1483" s="21"/>
      <c r="H1483" s="22"/>
      <c r="I1483" s="23"/>
      <c r="J1483" s="24"/>
      <c r="K1483" s="25"/>
      <c r="L1483" s="23"/>
      <c r="M1483" s="23"/>
      <c r="N1483" s="24"/>
      <c r="O1483" s="24"/>
      <c r="P1483" s="25"/>
      <c r="Q1483" s="25"/>
    </row>
    <row r="1484" spans="1:17" s="20" customFormat="1" x14ac:dyDescent="0.25">
      <c r="A1484" s="9"/>
      <c r="B1484" s="28"/>
      <c r="C1484" s="28"/>
      <c r="D1484" s="28"/>
      <c r="E1484" s="28"/>
      <c r="F1484" s="31"/>
      <c r="G1484" s="21"/>
      <c r="H1484" s="22"/>
      <c r="I1484" s="23"/>
      <c r="J1484" s="24"/>
      <c r="K1484" s="25"/>
      <c r="L1484" s="23"/>
      <c r="M1484" s="23"/>
      <c r="N1484" s="24"/>
      <c r="O1484" s="24"/>
      <c r="P1484" s="25"/>
      <c r="Q1484" s="25"/>
    </row>
    <row r="1485" spans="1:17" s="20" customFormat="1" x14ac:dyDescent="0.25">
      <c r="A1485" s="9"/>
      <c r="B1485" s="28"/>
      <c r="C1485" s="28"/>
      <c r="D1485" s="28"/>
      <c r="E1485" s="28"/>
      <c r="F1485" s="31"/>
      <c r="G1485" s="21"/>
      <c r="H1485" s="22"/>
      <c r="I1485" s="23"/>
      <c r="J1485" s="24"/>
      <c r="K1485" s="25"/>
      <c r="L1485" s="23"/>
      <c r="M1485" s="23"/>
      <c r="N1485" s="24"/>
      <c r="O1485" s="24"/>
      <c r="P1485" s="25"/>
      <c r="Q1485" s="25"/>
    </row>
    <row r="1486" spans="1:17" s="20" customFormat="1" x14ac:dyDescent="0.25">
      <c r="A1486" s="9"/>
      <c r="B1486" s="28"/>
      <c r="C1486" s="28"/>
      <c r="D1486" s="28"/>
      <c r="E1486" s="28"/>
      <c r="F1486" s="31"/>
      <c r="G1486" s="21"/>
      <c r="H1486" s="22"/>
      <c r="I1486" s="23"/>
      <c r="J1486" s="24"/>
      <c r="K1486" s="25"/>
      <c r="L1486" s="23"/>
      <c r="M1486" s="23"/>
      <c r="N1486" s="24"/>
      <c r="O1486" s="24"/>
      <c r="P1486" s="25"/>
      <c r="Q1486" s="25"/>
    </row>
    <row r="1487" spans="1:17" s="20" customFormat="1" x14ac:dyDescent="0.25">
      <c r="A1487" s="9"/>
      <c r="B1487" s="28"/>
      <c r="C1487" s="28"/>
      <c r="D1487" s="28"/>
      <c r="E1487" s="28"/>
      <c r="F1487" s="31"/>
      <c r="G1487" s="21"/>
      <c r="H1487" s="22"/>
      <c r="I1487" s="23"/>
      <c r="J1487" s="24"/>
      <c r="K1487" s="25"/>
      <c r="L1487" s="23"/>
      <c r="M1487" s="23"/>
      <c r="N1487" s="24"/>
      <c r="O1487" s="24"/>
      <c r="P1487" s="25"/>
      <c r="Q1487" s="25"/>
    </row>
    <row r="1488" spans="1:17" s="20" customFormat="1" x14ac:dyDescent="0.25">
      <c r="A1488" s="9"/>
      <c r="B1488" s="28"/>
      <c r="C1488" s="28"/>
      <c r="D1488" s="28"/>
      <c r="E1488" s="28"/>
      <c r="F1488" s="31"/>
      <c r="G1488" s="21"/>
      <c r="H1488" s="22"/>
      <c r="I1488" s="23"/>
      <c r="J1488" s="24"/>
      <c r="K1488" s="25"/>
      <c r="L1488" s="23"/>
      <c r="M1488" s="23"/>
      <c r="N1488" s="24"/>
      <c r="O1488" s="24"/>
      <c r="P1488" s="25"/>
      <c r="Q1488" s="25"/>
    </row>
    <row r="1489" spans="1:17" s="20" customFormat="1" x14ac:dyDescent="0.25">
      <c r="A1489" s="9"/>
      <c r="B1489" s="28"/>
      <c r="C1489" s="28"/>
      <c r="D1489" s="28"/>
      <c r="E1489" s="28"/>
      <c r="F1489" s="31"/>
      <c r="G1489" s="21"/>
      <c r="H1489" s="22"/>
      <c r="I1489" s="23"/>
      <c r="J1489" s="24"/>
      <c r="K1489" s="25"/>
      <c r="L1489" s="23"/>
      <c r="M1489" s="23"/>
      <c r="N1489" s="24"/>
      <c r="O1489" s="24"/>
      <c r="P1489" s="25"/>
      <c r="Q1489" s="25"/>
    </row>
    <row r="1490" spans="1:17" s="20" customFormat="1" x14ac:dyDescent="0.25">
      <c r="A1490" s="9"/>
      <c r="B1490" s="28"/>
      <c r="C1490" s="28"/>
      <c r="D1490" s="28"/>
      <c r="E1490" s="28"/>
      <c r="F1490" s="31"/>
      <c r="G1490" s="21"/>
      <c r="H1490" s="22"/>
      <c r="I1490" s="23"/>
      <c r="J1490" s="24"/>
      <c r="K1490" s="25"/>
      <c r="L1490" s="23"/>
      <c r="M1490" s="23"/>
      <c r="N1490" s="24"/>
      <c r="O1490" s="24"/>
      <c r="P1490" s="25"/>
      <c r="Q1490" s="25"/>
    </row>
    <row r="1491" spans="1:17" s="20" customFormat="1" x14ac:dyDescent="0.25">
      <c r="A1491" s="9"/>
      <c r="B1491" s="28"/>
      <c r="C1491" s="28"/>
      <c r="D1491" s="28"/>
      <c r="E1491" s="28"/>
      <c r="F1491" s="31"/>
      <c r="G1491" s="21"/>
      <c r="H1491" s="22"/>
      <c r="I1491" s="23"/>
      <c r="J1491" s="24"/>
      <c r="K1491" s="25"/>
      <c r="L1491" s="23"/>
      <c r="M1491" s="23"/>
      <c r="N1491" s="24"/>
      <c r="O1491" s="24"/>
      <c r="P1491" s="25"/>
      <c r="Q1491" s="25"/>
    </row>
    <row r="1492" spans="1:17" s="20" customFormat="1" x14ac:dyDescent="0.25">
      <c r="A1492" s="9"/>
      <c r="B1492" s="28"/>
      <c r="C1492" s="28"/>
      <c r="D1492" s="28"/>
      <c r="E1492" s="28"/>
      <c r="F1492" s="31"/>
      <c r="G1492" s="21"/>
      <c r="H1492" s="22"/>
      <c r="I1492" s="23"/>
      <c r="J1492" s="24"/>
      <c r="K1492" s="25"/>
      <c r="L1492" s="23"/>
      <c r="M1492" s="23"/>
      <c r="N1492" s="24"/>
      <c r="O1492" s="24"/>
      <c r="P1492" s="25"/>
      <c r="Q1492" s="25"/>
    </row>
    <row r="1493" spans="1:17" s="20" customFormat="1" x14ac:dyDescent="0.25">
      <c r="A1493" s="9"/>
      <c r="B1493" s="28"/>
      <c r="C1493" s="28"/>
      <c r="D1493" s="28"/>
      <c r="E1493" s="28"/>
      <c r="F1493" s="31"/>
      <c r="G1493" s="21"/>
      <c r="H1493" s="22"/>
      <c r="I1493" s="23"/>
      <c r="J1493" s="24"/>
      <c r="K1493" s="25"/>
      <c r="L1493" s="23"/>
      <c r="M1493" s="23"/>
      <c r="N1493" s="24"/>
      <c r="O1493" s="24"/>
      <c r="P1493" s="25"/>
      <c r="Q1493" s="25"/>
    </row>
    <row r="1494" spans="1:17" s="20" customFormat="1" x14ac:dyDescent="0.25">
      <c r="A1494" s="9"/>
      <c r="B1494" s="28"/>
      <c r="C1494" s="28"/>
      <c r="D1494" s="28"/>
      <c r="E1494" s="28"/>
      <c r="F1494" s="31"/>
      <c r="G1494" s="21"/>
      <c r="H1494" s="22"/>
      <c r="I1494" s="23"/>
      <c r="J1494" s="24"/>
      <c r="K1494" s="25"/>
      <c r="L1494" s="23"/>
      <c r="M1494" s="23"/>
      <c r="N1494" s="24"/>
      <c r="O1494" s="24"/>
      <c r="P1494" s="25"/>
      <c r="Q1494" s="25"/>
    </row>
    <row r="1495" spans="1:17" s="20" customFormat="1" x14ac:dyDescent="0.25">
      <c r="A1495" s="9"/>
      <c r="B1495" s="28"/>
      <c r="C1495" s="28"/>
      <c r="D1495" s="28"/>
      <c r="E1495" s="28"/>
      <c r="F1495" s="31"/>
      <c r="G1495" s="21"/>
      <c r="H1495" s="22"/>
      <c r="I1495" s="23"/>
      <c r="J1495" s="24"/>
      <c r="K1495" s="25"/>
      <c r="L1495" s="23"/>
      <c r="M1495" s="23"/>
      <c r="N1495" s="24"/>
      <c r="O1495" s="24"/>
      <c r="P1495" s="25"/>
      <c r="Q1495" s="25"/>
    </row>
    <row r="1496" spans="1:17" s="20" customFormat="1" x14ac:dyDescent="0.25">
      <c r="A1496" s="9"/>
      <c r="B1496" s="28"/>
      <c r="C1496" s="28"/>
      <c r="D1496" s="28"/>
      <c r="E1496" s="28"/>
      <c r="F1496" s="31"/>
      <c r="G1496" s="21"/>
      <c r="H1496" s="22"/>
      <c r="I1496" s="23"/>
      <c r="J1496" s="24"/>
      <c r="K1496" s="25"/>
      <c r="L1496" s="23"/>
      <c r="M1496" s="23"/>
      <c r="N1496" s="24"/>
      <c r="O1496" s="24"/>
      <c r="P1496" s="25"/>
      <c r="Q1496" s="25"/>
    </row>
    <row r="1497" spans="1:17" s="20" customFormat="1" x14ac:dyDescent="0.25">
      <c r="A1497" s="9"/>
      <c r="B1497" s="28"/>
      <c r="C1497" s="28"/>
      <c r="D1497" s="28"/>
      <c r="E1497" s="28"/>
      <c r="F1497" s="31"/>
      <c r="G1497" s="21"/>
      <c r="H1497" s="22"/>
      <c r="I1497" s="23"/>
      <c r="J1497" s="24"/>
      <c r="K1497" s="25"/>
      <c r="L1497" s="23"/>
      <c r="M1497" s="23"/>
      <c r="N1497" s="24"/>
      <c r="O1497" s="24"/>
      <c r="P1497" s="25"/>
      <c r="Q1497" s="25"/>
    </row>
    <row r="1498" spans="1:17" s="20" customFormat="1" x14ac:dyDescent="0.25">
      <c r="A1498" s="9"/>
      <c r="B1498" s="28"/>
      <c r="C1498" s="28"/>
      <c r="D1498" s="28"/>
      <c r="E1498" s="28"/>
      <c r="F1498" s="31"/>
      <c r="G1498" s="21"/>
      <c r="H1498" s="22"/>
      <c r="I1498" s="23"/>
      <c r="J1498" s="24"/>
      <c r="K1498" s="25"/>
      <c r="L1498" s="23"/>
      <c r="M1498" s="23"/>
      <c r="N1498" s="24"/>
      <c r="O1498" s="24"/>
      <c r="P1498" s="25"/>
      <c r="Q1498" s="25"/>
    </row>
    <row r="1499" spans="1:17" s="20" customFormat="1" x14ac:dyDescent="0.25">
      <c r="A1499" s="9"/>
      <c r="B1499" s="28"/>
      <c r="C1499" s="28"/>
      <c r="D1499" s="28"/>
      <c r="E1499" s="28"/>
      <c r="F1499" s="31"/>
      <c r="G1499" s="21"/>
      <c r="H1499" s="22"/>
      <c r="I1499" s="23"/>
      <c r="J1499" s="24"/>
      <c r="K1499" s="25"/>
      <c r="L1499" s="23"/>
      <c r="M1499" s="23"/>
      <c r="N1499" s="24"/>
      <c r="O1499" s="24"/>
      <c r="P1499" s="25"/>
      <c r="Q1499" s="25"/>
    </row>
    <row r="1500" spans="1:17" s="20" customFormat="1" x14ac:dyDescent="0.25">
      <c r="A1500" s="9"/>
      <c r="B1500" s="28"/>
      <c r="C1500" s="28"/>
      <c r="D1500" s="28"/>
      <c r="E1500" s="28"/>
      <c r="F1500" s="31"/>
      <c r="G1500" s="21"/>
      <c r="H1500" s="22"/>
      <c r="I1500" s="23"/>
      <c r="J1500" s="24"/>
      <c r="K1500" s="25"/>
      <c r="L1500" s="23"/>
      <c r="M1500" s="23"/>
      <c r="N1500" s="24"/>
      <c r="O1500" s="24"/>
      <c r="P1500" s="25"/>
      <c r="Q1500" s="25"/>
    </row>
    <row r="1501" spans="1:17" s="20" customFormat="1" x14ac:dyDescent="0.25">
      <c r="A1501" s="9"/>
      <c r="B1501" s="28"/>
      <c r="C1501" s="28"/>
      <c r="D1501" s="28"/>
      <c r="E1501" s="28"/>
      <c r="F1501" s="31"/>
      <c r="G1501" s="21"/>
      <c r="H1501" s="22"/>
      <c r="I1501" s="23"/>
      <c r="J1501" s="24"/>
      <c r="K1501" s="25"/>
      <c r="L1501" s="23"/>
      <c r="M1501" s="23"/>
      <c r="N1501" s="24"/>
      <c r="O1501" s="24"/>
      <c r="P1501" s="25"/>
      <c r="Q1501" s="25"/>
    </row>
    <row r="1502" spans="1:17" s="20" customFormat="1" x14ac:dyDescent="0.25">
      <c r="A1502" s="9"/>
      <c r="B1502" s="28"/>
      <c r="C1502" s="28"/>
      <c r="D1502" s="28"/>
      <c r="E1502" s="28"/>
      <c r="F1502" s="31"/>
      <c r="G1502" s="21"/>
      <c r="H1502" s="22"/>
      <c r="I1502" s="23"/>
      <c r="J1502" s="24"/>
      <c r="K1502" s="25"/>
      <c r="L1502" s="23"/>
      <c r="M1502" s="23"/>
      <c r="N1502" s="24"/>
      <c r="O1502" s="24"/>
      <c r="P1502" s="25"/>
      <c r="Q1502" s="25"/>
    </row>
    <row r="1503" spans="1:17" s="20" customFormat="1" x14ac:dyDescent="0.25">
      <c r="A1503" s="9"/>
      <c r="B1503" s="28"/>
      <c r="C1503" s="28"/>
      <c r="D1503" s="28"/>
      <c r="E1503" s="28"/>
      <c r="F1503" s="31"/>
      <c r="G1503" s="21"/>
      <c r="H1503" s="22"/>
      <c r="I1503" s="23"/>
      <c r="J1503" s="24"/>
      <c r="K1503" s="25"/>
      <c r="L1503" s="23"/>
      <c r="M1503" s="23"/>
      <c r="N1503" s="24"/>
      <c r="O1503" s="24"/>
      <c r="P1503" s="25"/>
      <c r="Q1503" s="25"/>
    </row>
    <row r="1504" spans="1:17" s="20" customFormat="1" x14ac:dyDescent="0.25">
      <c r="A1504" s="9"/>
      <c r="B1504" s="28"/>
      <c r="C1504" s="28"/>
      <c r="D1504" s="28"/>
      <c r="E1504" s="28"/>
      <c r="F1504" s="31"/>
      <c r="G1504" s="21"/>
      <c r="H1504" s="22"/>
      <c r="I1504" s="23"/>
      <c r="J1504" s="24"/>
      <c r="K1504" s="25"/>
      <c r="L1504" s="23"/>
      <c r="M1504" s="23"/>
      <c r="N1504" s="24"/>
      <c r="O1504" s="24"/>
      <c r="P1504" s="25"/>
      <c r="Q1504" s="25"/>
    </row>
    <row r="1505" spans="1:17" s="20" customFormat="1" x14ac:dyDescent="0.25">
      <c r="A1505" s="9"/>
      <c r="B1505" s="28"/>
      <c r="C1505" s="28"/>
      <c r="D1505" s="28"/>
      <c r="E1505" s="28"/>
      <c r="F1505" s="31"/>
      <c r="G1505" s="21"/>
      <c r="H1505" s="22"/>
      <c r="I1505" s="23"/>
      <c r="J1505" s="24"/>
      <c r="K1505" s="25"/>
      <c r="L1505" s="23"/>
      <c r="M1505" s="23"/>
      <c r="N1505" s="24"/>
      <c r="O1505" s="24"/>
      <c r="P1505" s="25"/>
      <c r="Q1505" s="25"/>
    </row>
    <row r="1506" spans="1:17" s="20" customFormat="1" x14ac:dyDescent="0.25">
      <c r="A1506" s="9"/>
      <c r="B1506" s="28"/>
      <c r="C1506" s="28"/>
      <c r="D1506" s="28"/>
      <c r="E1506" s="28"/>
      <c r="F1506" s="31"/>
      <c r="G1506" s="21"/>
      <c r="H1506" s="22"/>
      <c r="I1506" s="23"/>
      <c r="J1506" s="24"/>
      <c r="K1506" s="25"/>
      <c r="L1506" s="23"/>
      <c r="M1506" s="23"/>
      <c r="N1506" s="24"/>
      <c r="O1506" s="24"/>
      <c r="P1506" s="25"/>
      <c r="Q1506" s="25"/>
    </row>
    <row r="1507" spans="1:17" s="20" customFormat="1" x14ac:dyDescent="0.25">
      <c r="A1507" s="9"/>
      <c r="B1507" s="28"/>
      <c r="C1507" s="28"/>
      <c r="D1507" s="28"/>
      <c r="E1507" s="28"/>
      <c r="F1507" s="31"/>
      <c r="G1507" s="21"/>
      <c r="H1507" s="22"/>
      <c r="I1507" s="23"/>
      <c r="J1507" s="24"/>
      <c r="K1507" s="25"/>
      <c r="L1507" s="23"/>
      <c r="M1507" s="23"/>
      <c r="N1507" s="24"/>
      <c r="O1507" s="24"/>
      <c r="P1507" s="25"/>
      <c r="Q1507" s="25"/>
    </row>
    <row r="1508" spans="1:17" s="20" customFormat="1" x14ac:dyDescent="0.25">
      <c r="A1508" s="9"/>
      <c r="B1508" s="28"/>
      <c r="C1508" s="28"/>
      <c r="D1508" s="28"/>
      <c r="E1508" s="28"/>
      <c r="F1508" s="31"/>
      <c r="G1508" s="21"/>
      <c r="H1508" s="22"/>
      <c r="I1508" s="23"/>
      <c r="J1508" s="24"/>
      <c r="K1508" s="25"/>
      <c r="L1508" s="23"/>
      <c r="M1508" s="23"/>
      <c r="N1508" s="24"/>
      <c r="O1508" s="24"/>
      <c r="P1508" s="25"/>
      <c r="Q1508" s="25"/>
    </row>
    <row r="1509" spans="1:17" s="20" customFormat="1" x14ac:dyDescent="0.25">
      <c r="A1509" s="9"/>
      <c r="B1509" s="28"/>
      <c r="C1509" s="28"/>
      <c r="D1509" s="28"/>
      <c r="E1509" s="28"/>
      <c r="F1509" s="31"/>
      <c r="G1509" s="21"/>
      <c r="H1509" s="22"/>
      <c r="I1509" s="23"/>
      <c r="J1509" s="24"/>
      <c r="K1509" s="25"/>
      <c r="L1509" s="23"/>
      <c r="M1509" s="23"/>
      <c r="N1509" s="24"/>
      <c r="O1509" s="24"/>
      <c r="P1509" s="25"/>
      <c r="Q1509" s="25"/>
    </row>
    <row r="1510" spans="1:17" s="20" customFormat="1" x14ac:dyDescent="0.25">
      <c r="A1510" s="9"/>
      <c r="B1510" s="28"/>
      <c r="C1510" s="28"/>
      <c r="D1510" s="28"/>
      <c r="E1510" s="28"/>
      <c r="F1510" s="31"/>
      <c r="G1510" s="21"/>
      <c r="H1510" s="22"/>
      <c r="I1510" s="23"/>
      <c r="J1510" s="24"/>
      <c r="K1510" s="25"/>
      <c r="L1510" s="23"/>
      <c r="M1510" s="23"/>
      <c r="N1510" s="24"/>
      <c r="O1510" s="24"/>
      <c r="P1510" s="25"/>
      <c r="Q1510" s="25"/>
    </row>
    <row r="1511" spans="1:17" s="20" customFormat="1" x14ac:dyDescent="0.25">
      <c r="A1511" s="9"/>
      <c r="B1511" s="28"/>
      <c r="C1511" s="28"/>
      <c r="D1511" s="28"/>
      <c r="E1511" s="28"/>
      <c r="F1511" s="31"/>
      <c r="G1511" s="21"/>
      <c r="H1511" s="22"/>
      <c r="I1511" s="23"/>
      <c r="J1511" s="24"/>
      <c r="K1511" s="25"/>
      <c r="L1511" s="23"/>
      <c r="M1511" s="23"/>
      <c r="N1511" s="24"/>
      <c r="O1511" s="24"/>
      <c r="P1511" s="25"/>
      <c r="Q1511" s="25"/>
    </row>
    <row r="1512" spans="1:17" s="20" customFormat="1" x14ac:dyDescent="0.25">
      <c r="A1512" s="9"/>
      <c r="B1512" s="28"/>
      <c r="C1512" s="28"/>
      <c r="D1512" s="28"/>
      <c r="E1512" s="28"/>
      <c r="F1512" s="31"/>
      <c r="G1512" s="21"/>
      <c r="H1512" s="22"/>
      <c r="I1512" s="23"/>
      <c r="J1512" s="24"/>
      <c r="K1512" s="25"/>
      <c r="L1512" s="23"/>
      <c r="M1512" s="23"/>
      <c r="N1512" s="24"/>
      <c r="O1512" s="24"/>
      <c r="P1512" s="25"/>
      <c r="Q1512" s="25"/>
    </row>
    <row r="1513" spans="1:17" s="20" customFormat="1" x14ac:dyDescent="0.25">
      <c r="A1513" s="9"/>
      <c r="B1513" s="28"/>
      <c r="C1513" s="28"/>
      <c r="D1513" s="28"/>
      <c r="E1513" s="28"/>
      <c r="F1513" s="31"/>
      <c r="G1513" s="21"/>
      <c r="H1513" s="22"/>
      <c r="I1513" s="23"/>
      <c r="J1513" s="24"/>
      <c r="K1513" s="25"/>
      <c r="L1513" s="23"/>
      <c r="M1513" s="23"/>
      <c r="N1513" s="24"/>
      <c r="O1513" s="24"/>
      <c r="P1513" s="25"/>
      <c r="Q1513" s="25"/>
    </row>
    <row r="1514" spans="1:17" s="20" customFormat="1" x14ac:dyDescent="0.25">
      <c r="A1514" s="9"/>
      <c r="B1514" s="28"/>
      <c r="C1514" s="28"/>
      <c r="D1514" s="28"/>
      <c r="E1514" s="28"/>
      <c r="F1514" s="31"/>
      <c r="G1514" s="21"/>
      <c r="H1514" s="22"/>
      <c r="I1514" s="23"/>
      <c r="J1514" s="24"/>
      <c r="K1514" s="25"/>
      <c r="L1514" s="23"/>
      <c r="M1514" s="23"/>
      <c r="N1514" s="24"/>
      <c r="O1514" s="24"/>
      <c r="P1514" s="25"/>
      <c r="Q1514" s="25"/>
    </row>
    <row r="1515" spans="1:17" s="20" customFormat="1" x14ac:dyDescent="0.25">
      <c r="A1515" s="9"/>
      <c r="B1515" s="28"/>
      <c r="C1515" s="28"/>
      <c r="D1515" s="28"/>
      <c r="E1515" s="28"/>
      <c r="F1515" s="31"/>
      <c r="G1515" s="21"/>
      <c r="H1515" s="22"/>
      <c r="I1515" s="23"/>
      <c r="J1515" s="24"/>
      <c r="K1515" s="25"/>
      <c r="L1515" s="23"/>
      <c r="M1515" s="23"/>
      <c r="N1515" s="24"/>
      <c r="O1515" s="24"/>
      <c r="P1515" s="25"/>
      <c r="Q1515" s="25"/>
    </row>
    <row r="1516" spans="1:17" s="20" customFormat="1" x14ac:dyDescent="0.25">
      <c r="A1516" s="9"/>
      <c r="B1516" s="28"/>
      <c r="C1516" s="28"/>
      <c r="D1516" s="28"/>
      <c r="E1516" s="28"/>
      <c r="F1516" s="31"/>
      <c r="G1516" s="21"/>
      <c r="H1516" s="22"/>
      <c r="I1516" s="23"/>
      <c r="J1516" s="24"/>
      <c r="K1516" s="25"/>
      <c r="L1516" s="23"/>
      <c r="M1516" s="23"/>
      <c r="N1516" s="24"/>
      <c r="O1516" s="24"/>
      <c r="P1516" s="25"/>
      <c r="Q1516" s="25"/>
    </row>
    <row r="1517" spans="1:17" s="20" customFormat="1" x14ac:dyDescent="0.25">
      <c r="A1517" s="9"/>
      <c r="B1517" s="28"/>
      <c r="C1517" s="28"/>
      <c r="D1517" s="28"/>
      <c r="E1517" s="28"/>
      <c r="F1517" s="31"/>
      <c r="G1517" s="21"/>
      <c r="H1517" s="22"/>
      <c r="I1517" s="23"/>
      <c r="J1517" s="24"/>
      <c r="K1517" s="25"/>
      <c r="L1517" s="23"/>
      <c r="M1517" s="23"/>
      <c r="N1517" s="24"/>
      <c r="O1517" s="24"/>
      <c r="P1517" s="25"/>
      <c r="Q1517" s="25"/>
    </row>
    <row r="1518" spans="1:17" s="20" customFormat="1" x14ac:dyDescent="0.25">
      <c r="A1518" s="9"/>
      <c r="B1518" s="28"/>
      <c r="C1518" s="28"/>
      <c r="D1518" s="28"/>
      <c r="E1518" s="28"/>
      <c r="F1518" s="31"/>
      <c r="G1518" s="21"/>
      <c r="H1518" s="22"/>
      <c r="I1518" s="23"/>
      <c r="J1518" s="24"/>
      <c r="K1518" s="25"/>
      <c r="L1518" s="23"/>
      <c r="M1518" s="23"/>
      <c r="N1518" s="24"/>
      <c r="O1518" s="24"/>
      <c r="P1518" s="25"/>
      <c r="Q1518" s="25"/>
    </row>
    <row r="1519" spans="1:17" s="20" customFormat="1" x14ac:dyDescent="0.25">
      <c r="A1519" s="9"/>
      <c r="B1519" s="28"/>
      <c r="C1519" s="28"/>
      <c r="D1519" s="28"/>
      <c r="E1519" s="28"/>
      <c r="F1519" s="31"/>
      <c r="G1519" s="21"/>
      <c r="H1519" s="22"/>
      <c r="I1519" s="23"/>
      <c r="J1519" s="24"/>
      <c r="K1519" s="25"/>
      <c r="L1519" s="23"/>
      <c r="M1519" s="23"/>
      <c r="N1519" s="24"/>
      <c r="O1519" s="24"/>
      <c r="P1519" s="25"/>
      <c r="Q1519" s="25"/>
    </row>
    <row r="1520" spans="1:17" s="20" customFormat="1" x14ac:dyDescent="0.25">
      <c r="A1520" s="9"/>
      <c r="B1520" s="28"/>
      <c r="C1520" s="28"/>
      <c r="D1520" s="28"/>
      <c r="E1520" s="28"/>
      <c r="F1520" s="31"/>
      <c r="G1520" s="21"/>
      <c r="H1520" s="22"/>
      <c r="I1520" s="23"/>
      <c r="J1520" s="24"/>
      <c r="K1520" s="25"/>
      <c r="L1520" s="23"/>
      <c r="M1520" s="23"/>
      <c r="N1520" s="24"/>
      <c r="O1520" s="24"/>
      <c r="P1520" s="25"/>
      <c r="Q1520" s="25"/>
    </row>
    <row r="1521" spans="1:17" s="20" customFormat="1" x14ac:dyDescent="0.25">
      <c r="A1521" s="9"/>
      <c r="B1521" s="28"/>
      <c r="C1521" s="28"/>
      <c r="D1521" s="28"/>
      <c r="E1521" s="28"/>
      <c r="F1521" s="31"/>
      <c r="G1521" s="21"/>
      <c r="H1521" s="22"/>
      <c r="I1521" s="23"/>
      <c r="J1521" s="24"/>
      <c r="K1521" s="25"/>
      <c r="L1521" s="23"/>
      <c r="M1521" s="23"/>
      <c r="N1521" s="24"/>
      <c r="O1521" s="24"/>
      <c r="P1521" s="25"/>
      <c r="Q1521" s="25"/>
    </row>
    <row r="1522" spans="1:17" s="20" customFormat="1" x14ac:dyDescent="0.25">
      <c r="A1522" s="9"/>
      <c r="B1522" s="28"/>
      <c r="C1522" s="28"/>
      <c r="D1522" s="28"/>
      <c r="E1522" s="28"/>
      <c r="F1522" s="31"/>
      <c r="G1522" s="21"/>
      <c r="H1522" s="22"/>
      <c r="I1522" s="23"/>
      <c r="J1522" s="24"/>
      <c r="K1522" s="25"/>
      <c r="L1522" s="23"/>
      <c r="M1522" s="23"/>
      <c r="N1522" s="24"/>
      <c r="O1522" s="24"/>
      <c r="P1522" s="25"/>
      <c r="Q1522" s="25"/>
    </row>
    <row r="1523" spans="1:17" s="20" customFormat="1" x14ac:dyDescent="0.25">
      <c r="A1523" s="9"/>
      <c r="B1523" s="28"/>
      <c r="C1523" s="28"/>
      <c r="D1523" s="28"/>
      <c r="E1523" s="28"/>
      <c r="F1523" s="31"/>
      <c r="G1523" s="21"/>
      <c r="H1523" s="22"/>
      <c r="I1523" s="23"/>
      <c r="J1523" s="24"/>
      <c r="K1523" s="25"/>
      <c r="L1523" s="23"/>
      <c r="M1523" s="23"/>
      <c r="N1523" s="24"/>
      <c r="O1523" s="24"/>
      <c r="P1523" s="25"/>
      <c r="Q1523" s="25"/>
    </row>
    <row r="1524" spans="1:17" s="20" customFormat="1" x14ac:dyDescent="0.25">
      <c r="A1524" s="9"/>
      <c r="B1524" s="28"/>
      <c r="C1524" s="28"/>
      <c r="D1524" s="28"/>
      <c r="E1524" s="28"/>
      <c r="F1524" s="31"/>
      <c r="G1524" s="21"/>
      <c r="H1524" s="22"/>
      <c r="I1524" s="23"/>
      <c r="J1524" s="24"/>
      <c r="K1524" s="25"/>
      <c r="L1524" s="23"/>
      <c r="M1524" s="23"/>
      <c r="N1524" s="24"/>
      <c r="O1524" s="24"/>
      <c r="P1524" s="25"/>
      <c r="Q1524" s="25"/>
    </row>
    <row r="1525" spans="1:17" s="20" customFormat="1" x14ac:dyDescent="0.25">
      <c r="A1525" s="9"/>
      <c r="B1525" s="28"/>
      <c r="C1525" s="28"/>
      <c r="D1525" s="28"/>
      <c r="E1525" s="28"/>
      <c r="F1525" s="31"/>
      <c r="G1525" s="21"/>
      <c r="H1525" s="22"/>
      <c r="I1525" s="23"/>
      <c r="J1525" s="24"/>
      <c r="K1525" s="25"/>
      <c r="L1525" s="23"/>
      <c r="M1525" s="23"/>
      <c r="N1525" s="24"/>
      <c r="O1525" s="24"/>
      <c r="P1525" s="25"/>
      <c r="Q1525" s="25"/>
    </row>
    <row r="1526" spans="1:17" s="20" customFormat="1" x14ac:dyDescent="0.25">
      <c r="A1526" s="9"/>
      <c r="B1526" s="28"/>
      <c r="C1526" s="28"/>
      <c r="D1526" s="28"/>
      <c r="E1526" s="28"/>
      <c r="F1526" s="31"/>
      <c r="G1526" s="21"/>
      <c r="H1526" s="22"/>
      <c r="I1526" s="23"/>
      <c r="J1526" s="24"/>
      <c r="K1526" s="25"/>
      <c r="L1526" s="23"/>
      <c r="M1526" s="23"/>
      <c r="N1526" s="24"/>
      <c r="O1526" s="24"/>
      <c r="P1526" s="25"/>
      <c r="Q1526" s="25"/>
    </row>
    <row r="1527" spans="1:17" s="20" customFormat="1" x14ac:dyDescent="0.25">
      <c r="A1527" s="9"/>
      <c r="B1527" s="28"/>
      <c r="C1527" s="28"/>
      <c r="D1527" s="28"/>
      <c r="E1527" s="28"/>
      <c r="F1527" s="31"/>
      <c r="G1527" s="21"/>
      <c r="H1527" s="22"/>
      <c r="I1527" s="23"/>
      <c r="J1527" s="24"/>
      <c r="K1527" s="25"/>
      <c r="L1527" s="23"/>
      <c r="M1527" s="23"/>
      <c r="N1527" s="24"/>
      <c r="O1527" s="24"/>
      <c r="P1527" s="25"/>
      <c r="Q1527" s="25"/>
    </row>
    <row r="1528" spans="1:17" s="20" customFormat="1" x14ac:dyDescent="0.25">
      <c r="A1528" s="9"/>
      <c r="B1528" s="28"/>
      <c r="C1528" s="28"/>
      <c r="D1528" s="28"/>
      <c r="E1528" s="28"/>
      <c r="F1528" s="31"/>
      <c r="G1528" s="21"/>
      <c r="H1528" s="22"/>
      <c r="I1528" s="23"/>
      <c r="J1528" s="24"/>
      <c r="K1528" s="25"/>
      <c r="L1528" s="23"/>
      <c r="M1528" s="23"/>
      <c r="N1528" s="24"/>
      <c r="O1528" s="24"/>
      <c r="P1528" s="25"/>
      <c r="Q1528" s="25"/>
    </row>
    <row r="1529" spans="1:17" s="20" customFormat="1" x14ac:dyDescent="0.25">
      <c r="A1529" s="9"/>
      <c r="B1529" s="28"/>
      <c r="C1529" s="28"/>
      <c r="D1529" s="28"/>
      <c r="E1529" s="28"/>
      <c r="F1529" s="31"/>
      <c r="G1529" s="21"/>
      <c r="H1529" s="22"/>
      <c r="I1529" s="23"/>
      <c r="J1529" s="24"/>
      <c r="K1529" s="25"/>
      <c r="L1529" s="23"/>
      <c r="M1529" s="23"/>
      <c r="N1529" s="24"/>
      <c r="O1529" s="24"/>
      <c r="P1529" s="25"/>
      <c r="Q1529" s="25"/>
    </row>
    <row r="1530" spans="1:17" s="20" customFormat="1" x14ac:dyDescent="0.25">
      <c r="A1530" s="9"/>
      <c r="B1530" s="28"/>
      <c r="C1530" s="28"/>
      <c r="D1530" s="28"/>
      <c r="E1530" s="28"/>
      <c r="F1530" s="31"/>
      <c r="G1530" s="21"/>
      <c r="H1530" s="22"/>
      <c r="I1530" s="23"/>
      <c r="J1530" s="24"/>
      <c r="K1530" s="25"/>
      <c r="L1530" s="23"/>
      <c r="M1530" s="23"/>
      <c r="N1530" s="24"/>
      <c r="O1530" s="24"/>
      <c r="P1530" s="25"/>
      <c r="Q1530" s="25"/>
    </row>
    <row r="1531" spans="1:17" s="20" customFormat="1" x14ac:dyDescent="0.25">
      <c r="A1531" s="9"/>
      <c r="B1531" s="28"/>
      <c r="C1531" s="28"/>
      <c r="D1531" s="28"/>
      <c r="E1531" s="28"/>
      <c r="F1531" s="31"/>
      <c r="G1531" s="21"/>
      <c r="H1531" s="22"/>
      <c r="I1531" s="23"/>
      <c r="J1531" s="24"/>
      <c r="K1531" s="25"/>
      <c r="L1531" s="23"/>
      <c r="M1531" s="23"/>
      <c r="N1531" s="24"/>
      <c r="O1531" s="24"/>
      <c r="P1531" s="25"/>
      <c r="Q1531" s="25"/>
    </row>
    <row r="1532" spans="1:17" s="20" customFormat="1" x14ac:dyDescent="0.25">
      <c r="A1532" s="9"/>
      <c r="B1532" s="28"/>
      <c r="C1532" s="28"/>
      <c r="D1532" s="28"/>
      <c r="E1532" s="28"/>
      <c r="F1532" s="31"/>
      <c r="G1532" s="21"/>
      <c r="H1532" s="22"/>
      <c r="I1532" s="23"/>
      <c r="J1532" s="24"/>
      <c r="K1532" s="25"/>
      <c r="L1532" s="23"/>
      <c r="M1532" s="23"/>
      <c r="N1532" s="24"/>
      <c r="O1532" s="24"/>
      <c r="P1532" s="25"/>
      <c r="Q1532" s="25"/>
    </row>
    <row r="1533" spans="1:17" s="20" customFormat="1" x14ac:dyDescent="0.25">
      <c r="A1533" s="9"/>
      <c r="B1533" s="28"/>
      <c r="C1533" s="28"/>
      <c r="D1533" s="28"/>
      <c r="E1533" s="28"/>
      <c r="F1533" s="31"/>
      <c r="G1533" s="21"/>
      <c r="H1533" s="22"/>
      <c r="I1533" s="23"/>
      <c r="J1533" s="24"/>
      <c r="K1533" s="25"/>
      <c r="L1533" s="23"/>
      <c r="M1533" s="23"/>
      <c r="N1533" s="24"/>
      <c r="O1533" s="24"/>
      <c r="P1533" s="25"/>
      <c r="Q1533" s="25"/>
    </row>
    <row r="1534" spans="1:17" s="20" customFormat="1" x14ac:dyDescent="0.25">
      <c r="A1534" s="9"/>
      <c r="B1534" s="28"/>
      <c r="C1534" s="28"/>
      <c r="D1534" s="28"/>
      <c r="E1534" s="28"/>
      <c r="F1534" s="31"/>
      <c r="G1534" s="21"/>
      <c r="H1534" s="22"/>
      <c r="I1534" s="23"/>
      <c r="J1534" s="24"/>
      <c r="K1534" s="25"/>
      <c r="L1534" s="23"/>
      <c r="M1534" s="23"/>
      <c r="N1534" s="24"/>
      <c r="O1534" s="24"/>
      <c r="P1534" s="25"/>
      <c r="Q1534" s="25"/>
    </row>
    <row r="1535" spans="1:17" s="20" customFormat="1" x14ac:dyDescent="0.25">
      <c r="A1535" s="9"/>
      <c r="B1535" s="28"/>
      <c r="C1535" s="28"/>
      <c r="D1535" s="28"/>
      <c r="E1535" s="28"/>
      <c r="F1535" s="31"/>
      <c r="G1535" s="21"/>
      <c r="H1535" s="22"/>
      <c r="I1535" s="23"/>
      <c r="J1535" s="24"/>
      <c r="K1535" s="25"/>
      <c r="L1535" s="23"/>
      <c r="M1535" s="23"/>
      <c r="N1535" s="24"/>
      <c r="O1535" s="24"/>
      <c r="P1535" s="25"/>
      <c r="Q1535" s="25"/>
    </row>
    <row r="1536" spans="1:17" s="20" customFormat="1" x14ac:dyDescent="0.25">
      <c r="A1536" s="9"/>
      <c r="B1536" s="28"/>
      <c r="C1536" s="28"/>
      <c r="D1536" s="28"/>
      <c r="E1536" s="28"/>
      <c r="F1536" s="31"/>
      <c r="G1536" s="21"/>
      <c r="H1536" s="22"/>
      <c r="I1536" s="23"/>
      <c r="J1536" s="24"/>
      <c r="K1536" s="25"/>
      <c r="L1536" s="23"/>
      <c r="M1536" s="23"/>
      <c r="N1536" s="24"/>
      <c r="O1536" s="24"/>
      <c r="P1536" s="25"/>
      <c r="Q1536" s="25"/>
    </row>
    <row r="1537" spans="1:17" s="20" customFormat="1" x14ac:dyDescent="0.25">
      <c r="A1537" s="9"/>
      <c r="B1537" s="28"/>
      <c r="C1537" s="28"/>
      <c r="D1537" s="28"/>
      <c r="E1537" s="28"/>
      <c r="F1537" s="31"/>
      <c r="G1537" s="21"/>
      <c r="H1537" s="22"/>
      <c r="I1537" s="23"/>
      <c r="J1537" s="24"/>
      <c r="K1537" s="25"/>
      <c r="L1537" s="23"/>
      <c r="M1537" s="23"/>
      <c r="N1537" s="24"/>
      <c r="O1537" s="24"/>
      <c r="P1537" s="25"/>
      <c r="Q1537" s="25"/>
    </row>
    <row r="1538" spans="1:17" s="20" customFormat="1" x14ac:dyDescent="0.25">
      <c r="A1538" s="9"/>
      <c r="B1538" s="28"/>
      <c r="C1538" s="28"/>
      <c r="D1538" s="28"/>
      <c r="E1538" s="28"/>
      <c r="F1538" s="31"/>
      <c r="G1538" s="21"/>
      <c r="H1538" s="22"/>
      <c r="I1538" s="23"/>
      <c r="J1538" s="24"/>
      <c r="K1538" s="25"/>
      <c r="L1538" s="23"/>
      <c r="M1538" s="23"/>
      <c r="N1538" s="24"/>
      <c r="O1538" s="24"/>
      <c r="P1538" s="25"/>
      <c r="Q1538" s="25"/>
    </row>
    <row r="1539" spans="1:17" s="20" customFormat="1" x14ac:dyDescent="0.25">
      <c r="A1539" s="9"/>
      <c r="B1539" s="28"/>
      <c r="C1539" s="28"/>
      <c r="D1539" s="28"/>
      <c r="E1539" s="28"/>
      <c r="F1539" s="31"/>
      <c r="G1539" s="21"/>
      <c r="H1539" s="22"/>
      <c r="I1539" s="23"/>
      <c r="J1539" s="24"/>
      <c r="K1539" s="25"/>
      <c r="L1539" s="23"/>
      <c r="M1539" s="23"/>
      <c r="N1539" s="24"/>
      <c r="O1539" s="24"/>
      <c r="P1539" s="25"/>
      <c r="Q1539" s="25"/>
    </row>
    <row r="1540" spans="1:17" s="20" customFormat="1" x14ac:dyDescent="0.25">
      <c r="A1540" s="9"/>
      <c r="B1540" s="28"/>
      <c r="C1540" s="28"/>
      <c r="D1540" s="28"/>
      <c r="E1540" s="28"/>
      <c r="F1540" s="31"/>
      <c r="G1540" s="21"/>
      <c r="H1540" s="22"/>
      <c r="I1540" s="23"/>
      <c r="J1540" s="24"/>
      <c r="K1540" s="25"/>
      <c r="L1540" s="23"/>
      <c r="M1540" s="23"/>
      <c r="N1540" s="24"/>
      <c r="O1540" s="24"/>
      <c r="P1540" s="25"/>
      <c r="Q1540" s="25"/>
    </row>
    <row r="1541" spans="1:17" s="20" customFormat="1" x14ac:dyDescent="0.25">
      <c r="A1541" s="9"/>
      <c r="B1541" s="28"/>
      <c r="C1541" s="28"/>
      <c r="D1541" s="28"/>
      <c r="E1541" s="28"/>
      <c r="F1541" s="31"/>
      <c r="G1541" s="21"/>
      <c r="H1541" s="22"/>
      <c r="I1541" s="23"/>
      <c r="J1541" s="24"/>
      <c r="K1541" s="25"/>
      <c r="L1541" s="23"/>
      <c r="M1541" s="23"/>
      <c r="N1541" s="24"/>
      <c r="O1541" s="24"/>
      <c r="P1541" s="25"/>
      <c r="Q1541" s="25"/>
    </row>
    <row r="1542" spans="1:17" s="20" customFormat="1" x14ac:dyDescent="0.25">
      <c r="A1542" s="9"/>
      <c r="B1542" s="28"/>
      <c r="C1542" s="28"/>
      <c r="D1542" s="28"/>
      <c r="E1542" s="28"/>
      <c r="F1542" s="31"/>
      <c r="G1542" s="21"/>
      <c r="H1542" s="22"/>
      <c r="I1542" s="23"/>
      <c r="J1542" s="24"/>
      <c r="K1542" s="25"/>
      <c r="L1542" s="23"/>
      <c r="M1542" s="23"/>
      <c r="N1542" s="24"/>
      <c r="O1542" s="24"/>
      <c r="P1542" s="25"/>
      <c r="Q1542" s="25"/>
    </row>
    <row r="1543" spans="1:17" s="20" customFormat="1" x14ac:dyDescent="0.25">
      <c r="A1543" s="9"/>
      <c r="B1543" s="28"/>
      <c r="C1543" s="28"/>
      <c r="D1543" s="28"/>
      <c r="E1543" s="28"/>
      <c r="F1543" s="31"/>
      <c r="G1543" s="21"/>
      <c r="H1543" s="22"/>
      <c r="I1543" s="23"/>
      <c r="J1543" s="24"/>
      <c r="K1543" s="25"/>
      <c r="L1543" s="23"/>
      <c r="M1543" s="23"/>
      <c r="N1543" s="24"/>
      <c r="O1543" s="24"/>
      <c r="P1543" s="25"/>
      <c r="Q1543" s="25"/>
    </row>
    <row r="1544" spans="1:17" s="20" customFormat="1" x14ac:dyDescent="0.25">
      <c r="A1544" s="9"/>
      <c r="B1544" s="28"/>
      <c r="C1544" s="28"/>
      <c r="D1544" s="28"/>
      <c r="E1544" s="28"/>
      <c r="F1544" s="31"/>
      <c r="G1544" s="21"/>
      <c r="H1544" s="22"/>
      <c r="I1544" s="23"/>
      <c r="J1544" s="24"/>
      <c r="K1544" s="25"/>
      <c r="L1544" s="23"/>
      <c r="M1544" s="23"/>
      <c r="N1544" s="24"/>
      <c r="O1544" s="24"/>
      <c r="P1544" s="25"/>
      <c r="Q1544" s="25"/>
    </row>
    <row r="1545" spans="1:17" s="20" customFormat="1" x14ac:dyDescent="0.25">
      <c r="A1545" s="9"/>
      <c r="B1545" s="28"/>
      <c r="C1545" s="28"/>
      <c r="D1545" s="28"/>
      <c r="E1545" s="28"/>
      <c r="F1545" s="31"/>
      <c r="G1545" s="21"/>
      <c r="H1545" s="22"/>
      <c r="I1545" s="23"/>
      <c r="J1545" s="24"/>
      <c r="K1545" s="25"/>
      <c r="L1545" s="23"/>
      <c r="M1545" s="23"/>
      <c r="N1545" s="24"/>
      <c r="O1545" s="24"/>
      <c r="P1545" s="25"/>
      <c r="Q1545" s="25"/>
    </row>
    <row r="1546" spans="1:17" s="20" customFormat="1" x14ac:dyDescent="0.25">
      <c r="A1546" s="9"/>
      <c r="B1546" s="28"/>
      <c r="C1546" s="28"/>
      <c r="D1546" s="28"/>
      <c r="E1546" s="28"/>
      <c r="F1546" s="31"/>
      <c r="G1546" s="21"/>
      <c r="H1546" s="22"/>
      <c r="I1546" s="23"/>
      <c r="J1546" s="24"/>
      <c r="K1546" s="25"/>
      <c r="L1546" s="23"/>
      <c r="M1546" s="23"/>
      <c r="N1546" s="24"/>
      <c r="O1546" s="24"/>
      <c r="P1546" s="25"/>
      <c r="Q1546" s="25"/>
    </row>
    <row r="1547" spans="1:17" s="20" customFormat="1" x14ac:dyDescent="0.25">
      <c r="A1547" s="9"/>
      <c r="B1547" s="28"/>
      <c r="C1547" s="28"/>
      <c r="D1547" s="28"/>
      <c r="E1547" s="28"/>
      <c r="F1547" s="31"/>
      <c r="G1547" s="21"/>
      <c r="H1547" s="22"/>
      <c r="I1547" s="23"/>
      <c r="J1547" s="24"/>
      <c r="K1547" s="25"/>
      <c r="L1547" s="23"/>
      <c r="M1547" s="23"/>
      <c r="N1547" s="24"/>
      <c r="O1547" s="24"/>
      <c r="P1547" s="25"/>
      <c r="Q1547" s="25"/>
    </row>
    <row r="1548" spans="1:17" s="20" customFormat="1" x14ac:dyDescent="0.25">
      <c r="A1548" s="9"/>
      <c r="B1548" s="28"/>
      <c r="C1548" s="28"/>
      <c r="D1548" s="28"/>
      <c r="E1548" s="28"/>
      <c r="F1548" s="31"/>
      <c r="G1548" s="21"/>
      <c r="H1548" s="22"/>
      <c r="I1548" s="23"/>
      <c r="J1548" s="24"/>
      <c r="K1548" s="25"/>
      <c r="L1548" s="23"/>
      <c r="M1548" s="23"/>
      <c r="N1548" s="24"/>
      <c r="O1548" s="24"/>
      <c r="P1548" s="25"/>
      <c r="Q1548" s="25"/>
    </row>
    <row r="1549" spans="1:17" s="20" customFormat="1" x14ac:dyDescent="0.25">
      <c r="A1549" s="9"/>
      <c r="B1549" s="28"/>
      <c r="C1549" s="28"/>
      <c r="D1549" s="28"/>
      <c r="E1549" s="28"/>
      <c r="F1549" s="31"/>
      <c r="G1549" s="21"/>
      <c r="H1549" s="22"/>
      <c r="I1549" s="23"/>
      <c r="J1549" s="24"/>
      <c r="K1549" s="25"/>
      <c r="L1549" s="23"/>
      <c r="M1549" s="23"/>
      <c r="N1549" s="24"/>
      <c r="O1549" s="24"/>
      <c r="P1549" s="25"/>
      <c r="Q1549" s="25"/>
    </row>
    <row r="1550" spans="1:17" s="20" customFormat="1" x14ac:dyDescent="0.25">
      <c r="A1550" s="9"/>
      <c r="B1550" s="28"/>
      <c r="C1550" s="28"/>
      <c r="D1550" s="28"/>
      <c r="E1550" s="28"/>
      <c r="F1550" s="31"/>
      <c r="G1550" s="21"/>
      <c r="H1550" s="22"/>
      <c r="I1550" s="23"/>
      <c r="J1550" s="24"/>
      <c r="K1550" s="25"/>
      <c r="L1550" s="23"/>
      <c r="M1550" s="23"/>
      <c r="N1550" s="24"/>
      <c r="O1550" s="24"/>
      <c r="P1550" s="25"/>
      <c r="Q1550" s="25"/>
    </row>
    <row r="1551" spans="1:17" s="20" customFormat="1" x14ac:dyDescent="0.25">
      <c r="A1551" s="9"/>
      <c r="B1551" s="28"/>
      <c r="C1551" s="28"/>
      <c r="D1551" s="28"/>
      <c r="E1551" s="28"/>
      <c r="F1551" s="31"/>
      <c r="G1551" s="21"/>
      <c r="H1551" s="22"/>
      <c r="I1551" s="23"/>
      <c r="J1551" s="24"/>
      <c r="K1551" s="25"/>
      <c r="L1551" s="23"/>
      <c r="M1551" s="23"/>
      <c r="N1551" s="24"/>
      <c r="O1551" s="24"/>
      <c r="P1551" s="25"/>
      <c r="Q1551" s="25"/>
    </row>
    <row r="1552" spans="1:17" s="20" customFormat="1" x14ac:dyDescent="0.25">
      <c r="A1552" s="9"/>
      <c r="B1552" s="28"/>
      <c r="C1552" s="28"/>
      <c r="D1552" s="28"/>
      <c r="E1552" s="28"/>
      <c r="F1552" s="31"/>
      <c r="G1552" s="21"/>
      <c r="H1552" s="22"/>
      <c r="I1552" s="23"/>
      <c r="J1552" s="24"/>
      <c r="K1552" s="25"/>
      <c r="L1552" s="23"/>
      <c r="M1552" s="23"/>
      <c r="N1552" s="24"/>
      <c r="O1552" s="24"/>
      <c r="P1552" s="25"/>
      <c r="Q1552" s="25"/>
    </row>
    <row r="1553" spans="1:17" s="20" customFormat="1" x14ac:dyDescent="0.25">
      <c r="A1553" s="9"/>
      <c r="B1553" s="28"/>
      <c r="C1553" s="28"/>
      <c r="D1553" s="28"/>
      <c r="E1553" s="28"/>
      <c r="F1553" s="31"/>
      <c r="G1553" s="21"/>
      <c r="H1553" s="22"/>
      <c r="I1553" s="23"/>
      <c r="J1553" s="24"/>
      <c r="K1553" s="25"/>
      <c r="L1553" s="23"/>
      <c r="M1553" s="23"/>
      <c r="N1553" s="24"/>
      <c r="O1553" s="24"/>
      <c r="P1553" s="25"/>
      <c r="Q1553" s="25"/>
    </row>
    <row r="1554" spans="1:17" s="20" customFormat="1" x14ac:dyDescent="0.25">
      <c r="A1554" s="9"/>
      <c r="B1554" s="28"/>
      <c r="C1554" s="28"/>
      <c r="D1554" s="28"/>
      <c r="E1554" s="28"/>
      <c r="F1554" s="31"/>
      <c r="G1554" s="21"/>
      <c r="H1554" s="22"/>
      <c r="I1554" s="23"/>
      <c r="J1554" s="24"/>
      <c r="K1554" s="25"/>
      <c r="L1554" s="23"/>
      <c r="M1554" s="23"/>
      <c r="N1554" s="24"/>
      <c r="O1554" s="24"/>
      <c r="P1554" s="25"/>
      <c r="Q1554" s="25"/>
    </row>
    <row r="1555" spans="1:17" s="20" customFormat="1" x14ac:dyDescent="0.25">
      <c r="A1555" s="9"/>
      <c r="B1555" s="28"/>
      <c r="C1555" s="28"/>
      <c r="D1555" s="28"/>
      <c r="E1555" s="28"/>
      <c r="F1555" s="31"/>
      <c r="G1555" s="21"/>
      <c r="H1555" s="22"/>
      <c r="I1555" s="23"/>
      <c r="J1555" s="24"/>
      <c r="K1555" s="25"/>
      <c r="L1555" s="23"/>
      <c r="M1555" s="23"/>
      <c r="N1555" s="24"/>
      <c r="O1555" s="24"/>
      <c r="P1555" s="25"/>
      <c r="Q1555" s="25"/>
    </row>
    <row r="1556" spans="1:17" s="20" customFormat="1" x14ac:dyDescent="0.25">
      <c r="A1556" s="9"/>
      <c r="B1556" s="28"/>
      <c r="C1556" s="28"/>
      <c r="D1556" s="28"/>
      <c r="E1556" s="28"/>
      <c r="F1556" s="31"/>
      <c r="G1556" s="21"/>
      <c r="H1556" s="22"/>
      <c r="I1556" s="23"/>
      <c r="J1556" s="24"/>
      <c r="K1556" s="25"/>
      <c r="L1556" s="23"/>
      <c r="M1556" s="23"/>
      <c r="N1556" s="24"/>
      <c r="O1556" s="24"/>
      <c r="P1556" s="25"/>
      <c r="Q1556" s="25"/>
    </row>
    <row r="1557" spans="1:17" s="20" customFormat="1" x14ac:dyDescent="0.25">
      <c r="A1557" s="9"/>
      <c r="B1557" s="28"/>
      <c r="C1557" s="28"/>
      <c r="D1557" s="28"/>
      <c r="E1557" s="28"/>
      <c r="F1557" s="31"/>
      <c r="G1557" s="21"/>
      <c r="H1557" s="22"/>
      <c r="I1557" s="23"/>
      <c r="J1557" s="24"/>
      <c r="K1557" s="25"/>
      <c r="L1557" s="23"/>
      <c r="M1557" s="23"/>
      <c r="N1557" s="24"/>
      <c r="O1557" s="24"/>
      <c r="P1557" s="25"/>
      <c r="Q1557" s="25"/>
    </row>
    <row r="1558" spans="1:17" s="20" customFormat="1" x14ac:dyDescent="0.25">
      <c r="A1558" s="9"/>
      <c r="B1558" s="28"/>
      <c r="C1558" s="28"/>
      <c r="D1558" s="28"/>
      <c r="E1558" s="28"/>
      <c r="F1558" s="31"/>
      <c r="G1558" s="21"/>
      <c r="H1558" s="22"/>
      <c r="I1558" s="23"/>
      <c r="J1558" s="24"/>
      <c r="K1558" s="25"/>
      <c r="L1558" s="23"/>
      <c r="M1558" s="23"/>
      <c r="N1558" s="24"/>
      <c r="O1558" s="24"/>
      <c r="P1558" s="25"/>
      <c r="Q1558" s="25"/>
    </row>
    <row r="1559" spans="1:17" s="20" customFormat="1" x14ac:dyDescent="0.25">
      <c r="A1559" s="9"/>
      <c r="B1559" s="28"/>
      <c r="C1559" s="28"/>
      <c r="D1559" s="28"/>
      <c r="E1559" s="28"/>
      <c r="F1559" s="31"/>
      <c r="G1559" s="21"/>
      <c r="H1559" s="22"/>
      <c r="I1559" s="23"/>
      <c r="J1559" s="24"/>
      <c r="K1559" s="25"/>
      <c r="L1559" s="23"/>
      <c r="M1559" s="23"/>
      <c r="N1559" s="24"/>
      <c r="O1559" s="24"/>
      <c r="P1559" s="25"/>
      <c r="Q1559" s="25"/>
    </row>
    <row r="1560" spans="1:17" s="20" customFormat="1" x14ac:dyDescent="0.25">
      <c r="A1560" s="9"/>
      <c r="B1560" s="28"/>
      <c r="C1560" s="28"/>
      <c r="D1560" s="28"/>
      <c r="E1560" s="28"/>
      <c r="F1560" s="31"/>
      <c r="G1560" s="21"/>
      <c r="H1560" s="22"/>
      <c r="I1560" s="23"/>
      <c r="J1560" s="24"/>
      <c r="K1560" s="25"/>
      <c r="L1560" s="23"/>
      <c r="M1560" s="23"/>
      <c r="N1560" s="24"/>
      <c r="O1560" s="24"/>
      <c r="P1560" s="25"/>
      <c r="Q1560" s="25"/>
    </row>
    <row r="1561" spans="1:17" s="20" customFormat="1" x14ac:dyDescent="0.25">
      <c r="A1561" s="9"/>
      <c r="B1561" s="28"/>
      <c r="C1561" s="28"/>
      <c r="D1561" s="28"/>
      <c r="E1561" s="28"/>
      <c r="F1561" s="31"/>
      <c r="G1561" s="21"/>
      <c r="H1561" s="22"/>
      <c r="I1561" s="23"/>
      <c r="J1561" s="24"/>
      <c r="K1561" s="25"/>
      <c r="L1561" s="23"/>
      <c r="M1561" s="23"/>
      <c r="N1561" s="24"/>
      <c r="O1561" s="24"/>
      <c r="P1561" s="25"/>
      <c r="Q1561" s="25"/>
    </row>
    <row r="1562" spans="1:17" s="20" customFormat="1" x14ac:dyDescent="0.25">
      <c r="A1562" s="9"/>
      <c r="B1562" s="28"/>
      <c r="C1562" s="28"/>
      <c r="D1562" s="28"/>
      <c r="E1562" s="28"/>
      <c r="F1562" s="31"/>
      <c r="G1562" s="21"/>
      <c r="H1562" s="22"/>
      <c r="I1562" s="23"/>
      <c r="J1562" s="24"/>
      <c r="K1562" s="25"/>
      <c r="L1562" s="23"/>
      <c r="M1562" s="23"/>
      <c r="N1562" s="24"/>
      <c r="O1562" s="24"/>
      <c r="P1562" s="25"/>
      <c r="Q1562" s="25"/>
    </row>
    <row r="1563" spans="1:17" s="20" customFormat="1" x14ac:dyDescent="0.25">
      <c r="A1563" s="9"/>
      <c r="B1563" s="28"/>
      <c r="C1563" s="28"/>
      <c r="D1563" s="28"/>
      <c r="E1563" s="28"/>
      <c r="F1563" s="31"/>
      <c r="G1563" s="21"/>
      <c r="H1563" s="22"/>
      <c r="I1563" s="23"/>
      <c r="J1563" s="24"/>
      <c r="K1563" s="25"/>
      <c r="L1563" s="23"/>
      <c r="M1563" s="23"/>
      <c r="N1563" s="24"/>
      <c r="O1563" s="24"/>
      <c r="P1563" s="25"/>
      <c r="Q1563" s="25"/>
    </row>
    <row r="1564" spans="1:17" s="20" customFormat="1" x14ac:dyDescent="0.25">
      <c r="A1564" s="9"/>
      <c r="B1564" s="28"/>
      <c r="C1564" s="28"/>
      <c r="D1564" s="28"/>
      <c r="E1564" s="28"/>
      <c r="F1564" s="31"/>
      <c r="G1564" s="21"/>
      <c r="H1564" s="22"/>
      <c r="I1564" s="23"/>
      <c r="J1564" s="24"/>
      <c r="K1564" s="25"/>
      <c r="L1564" s="23"/>
      <c r="M1564" s="23"/>
      <c r="N1564" s="24"/>
      <c r="O1564" s="24"/>
      <c r="P1564" s="25"/>
      <c r="Q1564" s="25"/>
    </row>
    <row r="1565" spans="1:17" s="20" customFormat="1" x14ac:dyDescent="0.25">
      <c r="A1565" s="9"/>
      <c r="B1565" s="28"/>
      <c r="C1565" s="28"/>
      <c r="D1565" s="28"/>
      <c r="E1565" s="28"/>
      <c r="F1565" s="31"/>
      <c r="G1565" s="21"/>
      <c r="H1565" s="22"/>
      <c r="I1565" s="23"/>
      <c r="J1565" s="24"/>
      <c r="K1565" s="25"/>
      <c r="L1565" s="23"/>
      <c r="M1565" s="23"/>
      <c r="N1565" s="24"/>
      <c r="O1565" s="24"/>
      <c r="P1565" s="25"/>
      <c r="Q1565" s="25"/>
    </row>
    <row r="1566" spans="1:17" s="20" customFormat="1" x14ac:dyDescent="0.25">
      <c r="A1566" s="9"/>
      <c r="B1566" s="28"/>
      <c r="C1566" s="28"/>
      <c r="D1566" s="28"/>
      <c r="E1566" s="28"/>
      <c r="F1566" s="31"/>
      <c r="G1566" s="21"/>
      <c r="H1566" s="22"/>
      <c r="I1566" s="23"/>
      <c r="J1566" s="24"/>
      <c r="K1566" s="25"/>
      <c r="L1566" s="23"/>
      <c r="M1566" s="23"/>
      <c r="N1566" s="24"/>
      <c r="O1566" s="24"/>
      <c r="P1566" s="25"/>
      <c r="Q1566" s="25"/>
    </row>
    <row r="1567" spans="1:17" s="20" customFormat="1" x14ac:dyDescent="0.25">
      <c r="A1567" s="9"/>
      <c r="B1567" s="28"/>
      <c r="C1567" s="28"/>
      <c r="D1567" s="28"/>
      <c r="E1567" s="28"/>
      <c r="F1567" s="31"/>
      <c r="G1567" s="21"/>
      <c r="H1567" s="22"/>
      <c r="I1567" s="23"/>
      <c r="J1567" s="24"/>
      <c r="K1567" s="25"/>
      <c r="L1567" s="23"/>
      <c r="M1567" s="23"/>
      <c r="N1567" s="24"/>
      <c r="O1567" s="24"/>
      <c r="P1567" s="25"/>
      <c r="Q1567" s="25"/>
    </row>
    <row r="1568" spans="1:17" s="20" customFormat="1" x14ac:dyDescent="0.25">
      <c r="A1568" s="9"/>
      <c r="B1568" s="28"/>
      <c r="C1568" s="28"/>
      <c r="D1568" s="28"/>
      <c r="E1568" s="28"/>
      <c r="F1568" s="31"/>
      <c r="G1568" s="21"/>
      <c r="H1568" s="22"/>
      <c r="I1568" s="23"/>
      <c r="J1568" s="24"/>
      <c r="K1568" s="25"/>
      <c r="L1568" s="23"/>
      <c r="M1568" s="23"/>
      <c r="N1568" s="24"/>
      <c r="O1568" s="24"/>
      <c r="P1568" s="25"/>
      <c r="Q1568" s="25"/>
    </row>
    <row r="1569" spans="1:17" s="20" customFormat="1" x14ac:dyDescent="0.25">
      <c r="A1569" s="9"/>
      <c r="B1569" s="28"/>
      <c r="C1569" s="28"/>
      <c r="D1569" s="28"/>
      <c r="E1569" s="28"/>
      <c r="F1569" s="31"/>
      <c r="G1569" s="21"/>
      <c r="H1569" s="22"/>
      <c r="I1569" s="23"/>
      <c r="J1569" s="24"/>
      <c r="K1569" s="25"/>
      <c r="L1569" s="23"/>
      <c r="M1569" s="23"/>
      <c r="N1569" s="24"/>
      <c r="O1569" s="24"/>
      <c r="P1569" s="25"/>
      <c r="Q1569" s="25"/>
    </row>
    <row r="1570" spans="1:17" s="20" customFormat="1" x14ac:dyDescent="0.25">
      <c r="A1570" s="9"/>
      <c r="B1570" s="28"/>
      <c r="C1570" s="28"/>
      <c r="D1570" s="28"/>
      <c r="E1570" s="28"/>
      <c r="F1570" s="31"/>
      <c r="G1570" s="21"/>
      <c r="H1570" s="22"/>
      <c r="I1570" s="23"/>
      <c r="J1570" s="24"/>
      <c r="K1570" s="25"/>
      <c r="L1570" s="23"/>
      <c r="M1570" s="23"/>
      <c r="N1570" s="24"/>
      <c r="O1570" s="24"/>
      <c r="P1570" s="25"/>
      <c r="Q1570" s="25"/>
    </row>
    <row r="1571" spans="1:17" s="20" customFormat="1" x14ac:dyDescent="0.25">
      <c r="A1571" s="9"/>
      <c r="B1571" s="28"/>
      <c r="C1571" s="28"/>
      <c r="D1571" s="28"/>
      <c r="E1571" s="28"/>
      <c r="F1571" s="31"/>
      <c r="G1571" s="21"/>
      <c r="H1571" s="22"/>
      <c r="I1571" s="23"/>
      <c r="J1571" s="24"/>
      <c r="K1571" s="25"/>
      <c r="L1571" s="23"/>
      <c r="M1571" s="23"/>
      <c r="N1571" s="24"/>
      <c r="O1571" s="24"/>
      <c r="P1571" s="25"/>
      <c r="Q1571" s="25"/>
    </row>
    <row r="1572" spans="1:17" s="20" customFormat="1" x14ac:dyDescent="0.25">
      <c r="A1572" s="9"/>
      <c r="B1572" s="28"/>
      <c r="C1572" s="28"/>
      <c r="D1572" s="28"/>
      <c r="E1572" s="28"/>
      <c r="F1572" s="31"/>
      <c r="G1572" s="21"/>
      <c r="H1572" s="22"/>
      <c r="I1572" s="23"/>
      <c r="J1572" s="24"/>
      <c r="K1572" s="25"/>
      <c r="L1572" s="23"/>
      <c r="M1572" s="23"/>
      <c r="N1572" s="24"/>
      <c r="O1572" s="24"/>
      <c r="P1572" s="25"/>
      <c r="Q1572" s="25"/>
    </row>
    <row r="1573" spans="1:17" s="20" customFormat="1" x14ac:dyDescent="0.25">
      <c r="A1573" s="9"/>
      <c r="B1573" s="28"/>
      <c r="C1573" s="28"/>
      <c r="D1573" s="28"/>
      <c r="E1573" s="28"/>
      <c r="F1573" s="31"/>
      <c r="G1573" s="21"/>
      <c r="H1573" s="22"/>
      <c r="I1573" s="23"/>
      <c r="J1573" s="24"/>
      <c r="K1573" s="25"/>
      <c r="L1573" s="23"/>
      <c r="M1573" s="23"/>
      <c r="N1573" s="24"/>
      <c r="O1573" s="24"/>
      <c r="P1573" s="25"/>
      <c r="Q1573" s="25"/>
    </row>
    <row r="1574" spans="1:17" s="20" customFormat="1" x14ac:dyDescent="0.25">
      <c r="A1574" s="9"/>
      <c r="B1574" s="28"/>
      <c r="C1574" s="28"/>
      <c r="D1574" s="28"/>
      <c r="E1574" s="28"/>
      <c r="F1574" s="31"/>
      <c r="G1574" s="21"/>
      <c r="H1574" s="22"/>
      <c r="I1574" s="23"/>
      <c r="J1574" s="24"/>
      <c r="K1574" s="25"/>
      <c r="L1574" s="23"/>
      <c r="M1574" s="23"/>
      <c r="N1574" s="24"/>
      <c r="O1574" s="24"/>
      <c r="P1574" s="25"/>
      <c r="Q1574" s="25"/>
    </row>
    <row r="1575" spans="1:17" s="20" customFormat="1" x14ac:dyDescent="0.25">
      <c r="A1575" s="9"/>
      <c r="B1575" s="28"/>
      <c r="C1575" s="28"/>
      <c r="D1575" s="28"/>
      <c r="E1575" s="28"/>
      <c r="F1575" s="31"/>
      <c r="G1575" s="21"/>
      <c r="H1575" s="22"/>
      <c r="I1575" s="23"/>
      <c r="J1575" s="24"/>
      <c r="K1575" s="25"/>
      <c r="L1575" s="23"/>
      <c r="M1575" s="23"/>
      <c r="N1575" s="24"/>
      <c r="O1575" s="24"/>
      <c r="P1575" s="25"/>
      <c r="Q1575" s="25"/>
    </row>
    <row r="1576" spans="1:17" s="20" customFormat="1" x14ac:dyDescent="0.25">
      <c r="A1576" s="9"/>
      <c r="B1576" s="28"/>
      <c r="C1576" s="28"/>
      <c r="D1576" s="28"/>
      <c r="E1576" s="28"/>
      <c r="F1576" s="31"/>
      <c r="G1576" s="21"/>
      <c r="H1576" s="22"/>
      <c r="I1576" s="23"/>
      <c r="J1576" s="24"/>
      <c r="K1576" s="25"/>
      <c r="L1576" s="23"/>
      <c r="M1576" s="23"/>
      <c r="N1576" s="24"/>
      <c r="O1576" s="24"/>
      <c r="P1576" s="25"/>
      <c r="Q1576" s="25"/>
    </row>
    <row r="1577" spans="1:17" s="20" customFormat="1" x14ac:dyDescent="0.25">
      <c r="A1577" s="9"/>
      <c r="B1577" s="28"/>
      <c r="C1577" s="28"/>
      <c r="D1577" s="28"/>
      <c r="E1577" s="28"/>
      <c r="F1577" s="31"/>
      <c r="G1577" s="21"/>
      <c r="H1577" s="22"/>
      <c r="I1577" s="23"/>
      <c r="J1577" s="24"/>
      <c r="K1577" s="25"/>
      <c r="L1577" s="23"/>
      <c r="M1577" s="23"/>
      <c r="N1577" s="24"/>
      <c r="O1577" s="24"/>
      <c r="P1577" s="25"/>
      <c r="Q1577" s="25"/>
    </row>
    <row r="1578" spans="1:17" s="20" customFormat="1" x14ac:dyDescent="0.25">
      <c r="A1578" s="9"/>
      <c r="B1578" s="28"/>
      <c r="C1578" s="28"/>
      <c r="D1578" s="28"/>
      <c r="E1578" s="28"/>
      <c r="F1578" s="31"/>
      <c r="G1578" s="21"/>
      <c r="H1578" s="22"/>
      <c r="I1578" s="23"/>
      <c r="J1578" s="24"/>
      <c r="K1578" s="25"/>
      <c r="L1578" s="23"/>
      <c r="M1578" s="23"/>
      <c r="N1578" s="24"/>
      <c r="O1578" s="24"/>
      <c r="P1578" s="25"/>
      <c r="Q1578" s="25"/>
    </row>
    <row r="1579" spans="1:17" s="20" customFormat="1" x14ac:dyDescent="0.25">
      <c r="A1579" s="9"/>
      <c r="B1579" s="28"/>
      <c r="C1579" s="28"/>
      <c r="D1579" s="28"/>
      <c r="E1579" s="28"/>
      <c r="F1579" s="31"/>
      <c r="G1579" s="21"/>
      <c r="H1579" s="22"/>
      <c r="I1579" s="23"/>
      <c r="J1579" s="24"/>
      <c r="K1579" s="25"/>
      <c r="L1579" s="23"/>
      <c r="M1579" s="23"/>
      <c r="N1579" s="24"/>
      <c r="O1579" s="24"/>
      <c r="P1579" s="25"/>
      <c r="Q1579" s="25"/>
    </row>
    <row r="1580" spans="1:17" s="20" customFormat="1" x14ac:dyDescent="0.25">
      <c r="A1580" s="9"/>
      <c r="B1580" s="28"/>
      <c r="C1580" s="28"/>
      <c r="D1580" s="28"/>
      <c r="E1580" s="28"/>
      <c r="F1580" s="31"/>
      <c r="G1580" s="21"/>
      <c r="H1580" s="22"/>
      <c r="I1580" s="23"/>
      <c r="J1580" s="24"/>
      <c r="K1580" s="25"/>
      <c r="L1580" s="23"/>
      <c r="M1580" s="23"/>
      <c r="N1580" s="24"/>
      <c r="O1580" s="24"/>
      <c r="P1580" s="25"/>
      <c r="Q1580" s="25"/>
    </row>
    <row r="1581" spans="1:17" s="20" customFormat="1" x14ac:dyDescent="0.25">
      <c r="A1581" s="9"/>
      <c r="B1581" s="28"/>
      <c r="C1581" s="28"/>
      <c r="D1581" s="28"/>
      <c r="E1581" s="28"/>
      <c r="F1581" s="31"/>
      <c r="G1581" s="21"/>
      <c r="H1581" s="22"/>
      <c r="I1581" s="23"/>
      <c r="J1581" s="24"/>
      <c r="K1581" s="25"/>
      <c r="L1581" s="23"/>
      <c r="M1581" s="23"/>
      <c r="N1581" s="24"/>
      <c r="O1581" s="24"/>
      <c r="P1581" s="25"/>
      <c r="Q1581" s="25"/>
    </row>
    <row r="1582" spans="1:17" s="20" customFormat="1" x14ac:dyDescent="0.25">
      <c r="A1582" s="9"/>
      <c r="B1582" s="28"/>
      <c r="C1582" s="28"/>
      <c r="D1582" s="28"/>
      <c r="E1582" s="28"/>
      <c r="F1582" s="31"/>
      <c r="G1582" s="21"/>
      <c r="H1582" s="22"/>
      <c r="I1582" s="23"/>
      <c r="J1582" s="24"/>
      <c r="K1582" s="25"/>
      <c r="L1582" s="23"/>
      <c r="M1582" s="23"/>
      <c r="N1582" s="24"/>
      <c r="O1582" s="24"/>
      <c r="P1582" s="25"/>
      <c r="Q1582" s="25"/>
    </row>
    <row r="1583" spans="1:17" s="20" customFormat="1" x14ac:dyDescent="0.25">
      <c r="A1583" s="9"/>
      <c r="B1583" s="28"/>
      <c r="C1583" s="28"/>
      <c r="D1583" s="28"/>
      <c r="E1583" s="28"/>
      <c r="F1583" s="31"/>
      <c r="G1583" s="21"/>
      <c r="H1583" s="22"/>
      <c r="I1583" s="23"/>
      <c r="J1583" s="24"/>
      <c r="K1583" s="25"/>
      <c r="L1583" s="23"/>
      <c r="M1583" s="23"/>
      <c r="N1583" s="24"/>
      <c r="O1583" s="24"/>
      <c r="P1583" s="25"/>
      <c r="Q1583" s="25"/>
    </row>
    <row r="1584" spans="1:17" s="20" customFormat="1" x14ac:dyDescent="0.25">
      <c r="A1584" s="9"/>
      <c r="B1584" s="28"/>
      <c r="C1584" s="28"/>
      <c r="D1584" s="28"/>
      <c r="E1584" s="28"/>
      <c r="F1584" s="31"/>
      <c r="G1584" s="21"/>
      <c r="H1584" s="22"/>
      <c r="I1584" s="23"/>
      <c r="J1584" s="24"/>
      <c r="K1584" s="25"/>
      <c r="L1584" s="23"/>
      <c r="M1584" s="23"/>
      <c r="N1584" s="24"/>
      <c r="O1584" s="24"/>
      <c r="P1584" s="25"/>
      <c r="Q1584" s="25"/>
    </row>
    <row r="1585" spans="1:17" s="20" customFormat="1" x14ac:dyDescent="0.25">
      <c r="A1585" s="9"/>
      <c r="B1585" s="28"/>
      <c r="C1585" s="28"/>
      <c r="D1585" s="28"/>
      <c r="E1585" s="28"/>
      <c r="F1585" s="31"/>
      <c r="G1585" s="21"/>
      <c r="H1585" s="22"/>
      <c r="I1585" s="23"/>
      <c r="J1585" s="24"/>
      <c r="K1585" s="25"/>
      <c r="L1585" s="23"/>
      <c r="M1585" s="23"/>
      <c r="N1585" s="24"/>
      <c r="O1585" s="24"/>
      <c r="P1585" s="25"/>
      <c r="Q1585" s="25"/>
    </row>
    <row r="1586" spans="1:17" s="20" customFormat="1" x14ac:dyDescent="0.25">
      <c r="A1586" s="9"/>
      <c r="B1586" s="28"/>
      <c r="C1586" s="28"/>
      <c r="D1586" s="28"/>
      <c r="E1586" s="28"/>
      <c r="F1586" s="31"/>
      <c r="G1586" s="21"/>
      <c r="H1586" s="22"/>
      <c r="I1586" s="23"/>
      <c r="J1586" s="24"/>
      <c r="K1586" s="25"/>
      <c r="L1586" s="23"/>
      <c r="M1586" s="23"/>
      <c r="N1586" s="24"/>
      <c r="O1586" s="24"/>
      <c r="P1586" s="25"/>
      <c r="Q1586" s="25"/>
    </row>
    <row r="1587" spans="1:17" s="20" customFormat="1" x14ac:dyDescent="0.25">
      <c r="A1587" s="9"/>
      <c r="B1587" s="28"/>
      <c r="C1587" s="28"/>
      <c r="D1587" s="28"/>
      <c r="E1587" s="28"/>
      <c r="F1587" s="31"/>
      <c r="G1587" s="21"/>
      <c r="H1587" s="22"/>
      <c r="I1587" s="23"/>
      <c r="J1587" s="24"/>
      <c r="K1587" s="25"/>
      <c r="L1587" s="23"/>
      <c r="M1587" s="23"/>
      <c r="N1587" s="24"/>
      <c r="O1587" s="24"/>
      <c r="P1587" s="25"/>
      <c r="Q1587" s="25"/>
    </row>
    <row r="1588" spans="1:17" s="20" customFormat="1" x14ac:dyDescent="0.25">
      <c r="A1588" s="9"/>
      <c r="B1588" s="28"/>
      <c r="C1588" s="28"/>
      <c r="D1588" s="28"/>
      <c r="E1588" s="28"/>
      <c r="F1588" s="31"/>
      <c r="G1588" s="21"/>
      <c r="H1588" s="22"/>
      <c r="I1588" s="23"/>
      <c r="J1588" s="24"/>
      <c r="K1588" s="25"/>
      <c r="L1588" s="23"/>
      <c r="M1588" s="23"/>
      <c r="N1588" s="24"/>
      <c r="O1588" s="24"/>
      <c r="P1588" s="25"/>
      <c r="Q1588" s="25"/>
    </row>
    <row r="1589" spans="1:17" s="20" customFormat="1" x14ac:dyDescent="0.25">
      <c r="A1589" s="9"/>
      <c r="B1589" s="28"/>
      <c r="C1589" s="28"/>
      <c r="D1589" s="28"/>
      <c r="E1589" s="28"/>
      <c r="F1589" s="31"/>
      <c r="G1589" s="21"/>
      <c r="H1589" s="22"/>
      <c r="I1589" s="23"/>
      <c r="J1589" s="24"/>
      <c r="K1589" s="25"/>
      <c r="L1589" s="23"/>
      <c r="M1589" s="23"/>
      <c r="N1589" s="24"/>
      <c r="O1589" s="24"/>
      <c r="P1589" s="25"/>
      <c r="Q1589" s="25"/>
    </row>
    <row r="1590" spans="1:17" s="20" customFormat="1" x14ac:dyDescent="0.25">
      <c r="A1590" s="9"/>
      <c r="B1590" s="28"/>
      <c r="C1590" s="28"/>
      <c r="D1590" s="28"/>
      <c r="E1590" s="28"/>
      <c r="F1590" s="31"/>
      <c r="G1590" s="21"/>
      <c r="H1590" s="22"/>
      <c r="I1590" s="23"/>
      <c r="J1590" s="24"/>
      <c r="K1590" s="25"/>
      <c r="L1590" s="23"/>
      <c r="M1590" s="23"/>
      <c r="N1590" s="24"/>
      <c r="O1590" s="24"/>
      <c r="P1590" s="25"/>
      <c r="Q1590" s="25"/>
    </row>
    <row r="1591" spans="1:17" s="20" customFormat="1" x14ac:dyDescent="0.25">
      <c r="A1591" s="9"/>
      <c r="B1591" s="28"/>
      <c r="C1591" s="28"/>
      <c r="D1591" s="28"/>
      <c r="E1591" s="28"/>
      <c r="F1591" s="31"/>
      <c r="G1591" s="21"/>
      <c r="H1591" s="22"/>
      <c r="I1591" s="23"/>
      <c r="J1591" s="24"/>
      <c r="K1591" s="25"/>
      <c r="L1591" s="23"/>
      <c r="M1591" s="23"/>
      <c r="N1591" s="24"/>
      <c r="O1591" s="24"/>
      <c r="P1591" s="25"/>
      <c r="Q1591" s="25"/>
    </row>
    <row r="1592" spans="1:17" s="20" customFormat="1" x14ac:dyDescent="0.25">
      <c r="A1592" s="9"/>
      <c r="B1592" s="28"/>
      <c r="C1592" s="28"/>
      <c r="D1592" s="28"/>
      <c r="E1592" s="28"/>
      <c r="F1592" s="31"/>
      <c r="G1592" s="21"/>
      <c r="H1592" s="22"/>
      <c r="I1592" s="23"/>
      <c r="J1592" s="24"/>
      <c r="K1592" s="25"/>
      <c r="L1592" s="23"/>
      <c r="M1592" s="23"/>
      <c r="N1592" s="24"/>
      <c r="O1592" s="24"/>
      <c r="P1592" s="25"/>
      <c r="Q1592" s="25"/>
    </row>
    <row r="1593" spans="1:17" s="20" customFormat="1" x14ac:dyDescent="0.25">
      <c r="A1593" s="9"/>
      <c r="B1593" s="28"/>
      <c r="C1593" s="28"/>
      <c r="D1593" s="28"/>
      <c r="E1593" s="28"/>
      <c r="F1593" s="31"/>
      <c r="G1593" s="21"/>
      <c r="H1593" s="22"/>
      <c r="I1593" s="23"/>
      <c r="J1593" s="24"/>
      <c r="K1593" s="25"/>
      <c r="L1593" s="23"/>
      <c r="M1593" s="23"/>
      <c r="N1593" s="24"/>
      <c r="O1593" s="24"/>
      <c r="P1593" s="25"/>
      <c r="Q1593" s="25"/>
    </row>
    <row r="1594" spans="1:17" s="20" customFormat="1" x14ac:dyDescent="0.25">
      <c r="A1594" s="9"/>
      <c r="B1594" s="28"/>
      <c r="C1594" s="28"/>
      <c r="D1594" s="28"/>
      <c r="E1594" s="28"/>
      <c r="F1594" s="31"/>
      <c r="G1594" s="21"/>
      <c r="H1594" s="22"/>
      <c r="I1594" s="23"/>
      <c r="J1594" s="24"/>
      <c r="K1594" s="25"/>
      <c r="L1594" s="23"/>
      <c r="M1594" s="23"/>
      <c r="N1594" s="24"/>
      <c r="O1594" s="24"/>
      <c r="P1594" s="25"/>
      <c r="Q1594" s="25"/>
    </row>
    <row r="1595" spans="1:17" s="20" customFormat="1" x14ac:dyDescent="0.25">
      <c r="A1595" s="9"/>
      <c r="B1595" s="28"/>
      <c r="C1595" s="28"/>
      <c r="D1595" s="28"/>
      <c r="E1595" s="28"/>
      <c r="F1595" s="31"/>
      <c r="G1595" s="21"/>
      <c r="H1595" s="22"/>
      <c r="I1595" s="23"/>
      <c r="J1595" s="24"/>
      <c r="K1595" s="25"/>
      <c r="L1595" s="23"/>
      <c r="M1595" s="23"/>
      <c r="N1595" s="24"/>
      <c r="O1595" s="24"/>
      <c r="P1595" s="25"/>
      <c r="Q1595" s="25"/>
    </row>
    <row r="1596" spans="1:17" s="20" customFormat="1" x14ac:dyDescent="0.25">
      <c r="A1596" s="9"/>
      <c r="B1596" s="28"/>
      <c r="C1596" s="28"/>
      <c r="D1596" s="28"/>
      <c r="E1596" s="28"/>
      <c r="F1596" s="31"/>
      <c r="G1596" s="21"/>
      <c r="H1596" s="22"/>
      <c r="I1596" s="23"/>
      <c r="J1596" s="24"/>
      <c r="K1596" s="25"/>
      <c r="L1596" s="23"/>
      <c r="M1596" s="23"/>
      <c r="N1596" s="24"/>
      <c r="O1596" s="24"/>
      <c r="P1596" s="25"/>
      <c r="Q1596" s="25"/>
    </row>
    <row r="1597" spans="1:17" s="20" customFormat="1" x14ac:dyDescent="0.25">
      <c r="A1597" s="9"/>
      <c r="B1597" s="28"/>
      <c r="C1597" s="28"/>
      <c r="D1597" s="28"/>
      <c r="E1597" s="28"/>
      <c r="F1597" s="31"/>
      <c r="G1597" s="21"/>
      <c r="H1597" s="22"/>
      <c r="I1597" s="23"/>
      <c r="J1597" s="24"/>
      <c r="K1597" s="25"/>
      <c r="L1597" s="23"/>
      <c r="M1597" s="23"/>
      <c r="N1597" s="24"/>
      <c r="O1597" s="24"/>
      <c r="P1597" s="25"/>
      <c r="Q1597" s="25"/>
    </row>
    <row r="1598" spans="1:17" s="20" customFormat="1" x14ac:dyDescent="0.25">
      <c r="A1598" s="9"/>
      <c r="B1598" s="28"/>
      <c r="C1598" s="28"/>
      <c r="D1598" s="28"/>
      <c r="E1598" s="28"/>
      <c r="F1598" s="31"/>
      <c r="G1598" s="21"/>
      <c r="H1598" s="22"/>
      <c r="I1598" s="23"/>
      <c r="J1598" s="24"/>
      <c r="K1598" s="25"/>
      <c r="L1598" s="23"/>
      <c r="M1598" s="23"/>
      <c r="N1598" s="24"/>
      <c r="O1598" s="24"/>
      <c r="P1598" s="25"/>
      <c r="Q1598" s="25"/>
    </row>
    <row r="1599" spans="1:17" s="20" customFormat="1" x14ac:dyDescent="0.25">
      <c r="A1599" s="9"/>
      <c r="B1599" s="28"/>
      <c r="C1599" s="28"/>
      <c r="D1599" s="28"/>
      <c r="E1599" s="28"/>
      <c r="F1599" s="31"/>
      <c r="G1599" s="21"/>
      <c r="H1599" s="22"/>
      <c r="I1599" s="23"/>
      <c r="J1599" s="24"/>
      <c r="K1599" s="25"/>
      <c r="L1599" s="23"/>
      <c r="M1599" s="23"/>
      <c r="N1599" s="24"/>
      <c r="O1599" s="24"/>
      <c r="P1599" s="25"/>
      <c r="Q1599" s="25"/>
    </row>
    <row r="1600" spans="1:17" s="20" customFormat="1" x14ac:dyDescent="0.25">
      <c r="A1600" s="9"/>
      <c r="B1600" s="28"/>
      <c r="C1600" s="28"/>
      <c r="D1600" s="28"/>
      <c r="E1600" s="28"/>
      <c r="F1600" s="31"/>
      <c r="G1600" s="21"/>
      <c r="H1600" s="22"/>
      <c r="I1600" s="23"/>
      <c r="J1600" s="24"/>
      <c r="K1600" s="25"/>
      <c r="L1600" s="23"/>
      <c r="M1600" s="23"/>
      <c r="N1600" s="24"/>
      <c r="O1600" s="24"/>
      <c r="P1600" s="25"/>
      <c r="Q1600" s="25"/>
    </row>
    <row r="1601" spans="1:17" s="20" customFormat="1" x14ac:dyDescent="0.25">
      <c r="A1601" s="9"/>
      <c r="B1601" s="28"/>
      <c r="C1601" s="28"/>
      <c r="D1601" s="28"/>
      <c r="E1601" s="28"/>
      <c r="F1601" s="31"/>
      <c r="G1601" s="21"/>
      <c r="H1601" s="22"/>
      <c r="I1601" s="23"/>
      <c r="J1601" s="24"/>
      <c r="K1601" s="25"/>
      <c r="L1601" s="23"/>
      <c r="M1601" s="23"/>
      <c r="N1601" s="24"/>
      <c r="O1601" s="24"/>
      <c r="P1601" s="25"/>
      <c r="Q1601" s="25"/>
    </row>
    <row r="1602" spans="1:17" s="20" customFormat="1" x14ac:dyDescent="0.25">
      <c r="A1602" s="9"/>
      <c r="B1602" s="28"/>
      <c r="C1602" s="28"/>
      <c r="D1602" s="28"/>
      <c r="E1602" s="28"/>
      <c r="F1602" s="31"/>
      <c r="G1602" s="21"/>
      <c r="H1602" s="22"/>
      <c r="I1602" s="23"/>
      <c r="J1602" s="24"/>
      <c r="K1602" s="25"/>
      <c r="L1602" s="23"/>
      <c r="M1602" s="23"/>
      <c r="N1602" s="24"/>
      <c r="O1602" s="24"/>
      <c r="P1602" s="25"/>
      <c r="Q1602" s="25"/>
    </row>
    <row r="1603" spans="1:17" s="20" customFormat="1" x14ac:dyDescent="0.25">
      <c r="A1603" s="9"/>
      <c r="B1603" s="28"/>
      <c r="C1603" s="28"/>
      <c r="D1603" s="28"/>
      <c r="E1603" s="28"/>
      <c r="F1603" s="31"/>
      <c r="G1603" s="21"/>
      <c r="H1603" s="22"/>
      <c r="I1603" s="23"/>
      <c r="J1603" s="24"/>
      <c r="K1603" s="25"/>
      <c r="L1603" s="23"/>
      <c r="M1603" s="23"/>
      <c r="N1603" s="24"/>
      <c r="O1603" s="24"/>
      <c r="P1603" s="25"/>
      <c r="Q1603" s="25"/>
    </row>
    <row r="1604" spans="1:17" s="20" customFormat="1" x14ac:dyDescent="0.25">
      <c r="A1604" s="9"/>
      <c r="B1604" s="28"/>
      <c r="C1604" s="28"/>
      <c r="D1604" s="28"/>
      <c r="E1604" s="28"/>
      <c r="F1604" s="31"/>
      <c r="G1604" s="21"/>
      <c r="H1604" s="22"/>
      <c r="I1604" s="23"/>
      <c r="J1604" s="24"/>
      <c r="K1604" s="25"/>
      <c r="L1604" s="23"/>
      <c r="M1604" s="23"/>
      <c r="N1604" s="24"/>
      <c r="O1604" s="24"/>
      <c r="P1604" s="25"/>
      <c r="Q1604" s="25"/>
    </row>
    <row r="1605" spans="1:17" s="20" customFormat="1" x14ac:dyDescent="0.25">
      <c r="A1605" s="9"/>
      <c r="B1605" s="28"/>
      <c r="C1605" s="28"/>
      <c r="D1605" s="28"/>
      <c r="E1605" s="28"/>
      <c r="F1605" s="31"/>
      <c r="G1605" s="21"/>
      <c r="H1605" s="22"/>
      <c r="I1605" s="23"/>
      <c r="J1605" s="24"/>
      <c r="K1605" s="25"/>
      <c r="L1605" s="23"/>
      <c r="M1605" s="23"/>
      <c r="N1605" s="24"/>
      <c r="O1605" s="24"/>
      <c r="P1605" s="25"/>
      <c r="Q1605" s="25"/>
    </row>
    <row r="1606" spans="1:17" s="20" customFormat="1" x14ac:dyDescent="0.25">
      <c r="A1606" s="9"/>
      <c r="B1606" s="28"/>
      <c r="C1606" s="28"/>
      <c r="D1606" s="28"/>
      <c r="E1606" s="28"/>
      <c r="F1606" s="31"/>
      <c r="G1606" s="21"/>
      <c r="H1606" s="22"/>
      <c r="I1606" s="23"/>
      <c r="J1606" s="24"/>
      <c r="K1606" s="25"/>
      <c r="L1606" s="23"/>
      <c r="M1606" s="23"/>
      <c r="N1606" s="24"/>
      <c r="O1606" s="24"/>
      <c r="P1606" s="25"/>
      <c r="Q1606" s="25"/>
    </row>
    <row r="1607" spans="1:17" s="20" customFormat="1" x14ac:dyDescent="0.25">
      <c r="A1607" s="9"/>
      <c r="B1607" s="28"/>
      <c r="C1607" s="28"/>
      <c r="D1607" s="28"/>
      <c r="E1607" s="28"/>
      <c r="F1607" s="31"/>
      <c r="G1607" s="21"/>
      <c r="H1607" s="22"/>
      <c r="I1607" s="23"/>
      <c r="J1607" s="24"/>
      <c r="K1607" s="25"/>
      <c r="L1607" s="23"/>
      <c r="M1607" s="23"/>
      <c r="N1607" s="24"/>
      <c r="O1607" s="24"/>
      <c r="P1607" s="25"/>
      <c r="Q1607" s="25"/>
    </row>
    <row r="1608" spans="1:17" s="20" customFormat="1" x14ac:dyDescent="0.25">
      <c r="A1608" s="9"/>
      <c r="B1608" s="28"/>
      <c r="C1608" s="28"/>
      <c r="D1608" s="28"/>
      <c r="E1608" s="28"/>
      <c r="F1608" s="31"/>
      <c r="G1608" s="21"/>
      <c r="H1608" s="22"/>
      <c r="I1608" s="23"/>
      <c r="J1608" s="24"/>
      <c r="K1608" s="25"/>
      <c r="L1608" s="23"/>
      <c r="M1608" s="23"/>
      <c r="N1608" s="24"/>
      <c r="O1608" s="24"/>
      <c r="P1608" s="25"/>
      <c r="Q1608" s="25"/>
    </row>
    <row r="1609" spans="1:17" s="20" customFormat="1" x14ac:dyDescent="0.25">
      <c r="A1609" s="9"/>
      <c r="B1609" s="28"/>
      <c r="C1609" s="28"/>
      <c r="D1609" s="28"/>
      <c r="E1609" s="28"/>
      <c r="F1609" s="31"/>
      <c r="G1609" s="21"/>
      <c r="H1609" s="22"/>
      <c r="I1609" s="23"/>
      <c r="J1609" s="24"/>
      <c r="K1609" s="25"/>
      <c r="L1609" s="23"/>
      <c r="M1609" s="23"/>
      <c r="N1609" s="24"/>
      <c r="O1609" s="24"/>
      <c r="P1609" s="25"/>
      <c r="Q1609" s="25"/>
    </row>
    <row r="1610" spans="1:17" s="20" customFormat="1" x14ac:dyDescent="0.25">
      <c r="A1610" s="9"/>
      <c r="B1610" s="28"/>
      <c r="C1610" s="28"/>
      <c r="D1610" s="28"/>
      <c r="E1610" s="28"/>
      <c r="F1610" s="31"/>
      <c r="G1610" s="21"/>
      <c r="H1610" s="22"/>
      <c r="I1610" s="23"/>
      <c r="J1610" s="24"/>
      <c r="K1610" s="25"/>
      <c r="L1610" s="23"/>
      <c r="M1610" s="23"/>
      <c r="N1610" s="24"/>
      <c r="O1610" s="24"/>
      <c r="P1610" s="25"/>
      <c r="Q1610" s="25"/>
    </row>
    <row r="1611" spans="1:17" s="20" customFormat="1" x14ac:dyDescent="0.25">
      <c r="A1611" s="9"/>
      <c r="B1611" s="28"/>
      <c r="C1611" s="28"/>
      <c r="D1611" s="28"/>
      <c r="E1611" s="28"/>
      <c r="F1611" s="31"/>
      <c r="G1611" s="21"/>
      <c r="H1611" s="22"/>
      <c r="I1611" s="23"/>
      <c r="J1611" s="24"/>
      <c r="K1611" s="25"/>
      <c r="L1611" s="23"/>
      <c r="M1611" s="23"/>
      <c r="N1611" s="24"/>
      <c r="O1611" s="24"/>
      <c r="P1611" s="25"/>
      <c r="Q1611" s="25"/>
    </row>
    <row r="1612" spans="1:17" s="20" customFormat="1" x14ac:dyDescent="0.25">
      <c r="A1612" s="9"/>
      <c r="B1612" s="28"/>
      <c r="C1612" s="28"/>
      <c r="D1612" s="28"/>
      <c r="E1612" s="28"/>
      <c r="F1612" s="31"/>
      <c r="G1612" s="21"/>
      <c r="H1612" s="22"/>
      <c r="I1612" s="23"/>
      <c r="J1612" s="24"/>
      <c r="K1612" s="25"/>
      <c r="L1612" s="23"/>
      <c r="M1612" s="23"/>
      <c r="N1612" s="24"/>
      <c r="O1612" s="24"/>
      <c r="P1612" s="25"/>
      <c r="Q1612" s="25"/>
    </row>
    <row r="1613" spans="1:17" s="20" customFormat="1" x14ac:dyDescent="0.25">
      <c r="A1613" s="9"/>
      <c r="B1613" s="28"/>
      <c r="C1613" s="28"/>
      <c r="D1613" s="28"/>
      <c r="E1613" s="28"/>
      <c r="F1613" s="31"/>
      <c r="G1613" s="21"/>
      <c r="H1613" s="22"/>
      <c r="I1613" s="23"/>
      <c r="J1613" s="24"/>
      <c r="K1613" s="25"/>
      <c r="L1613" s="23"/>
      <c r="M1613" s="23"/>
      <c r="N1613" s="24"/>
      <c r="O1613" s="24"/>
      <c r="P1613" s="25"/>
      <c r="Q1613" s="25"/>
    </row>
    <row r="1614" spans="1:17" s="20" customFormat="1" x14ac:dyDescent="0.25">
      <c r="A1614" s="9"/>
      <c r="B1614" s="28"/>
      <c r="C1614" s="28"/>
      <c r="D1614" s="28"/>
      <c r="E1614" s="28"/>
      <c r="F1614" s="31"/>
      <c r="G1614" s="21"/>
      <c r="H1614" s="22"/>
      <c r="I1614" s="23"/>
      <c r="J1614" s="24"/>
      <c r="K1614" s="25"/>
      <c r="L1614" s="23"/>
      <c r="M1614" s="23"/>
      <c r="N1614" s="24"/>
      <c r="O1614" s="24"/>
      <c r="P1614" s="25"/>
      <c r="Q1614" s="25"/>
    </row>
    <row r="1615" spans="1:17" s="20" customFormat="1" x14ac:dyDescent="0.25">
      <c r="A1615" s="9"/>
      <c r="B1615" s="28"/>
      <c r="C1615" s="28"/>
      <c r="D1615" s="28"/>
      <c r="E1615" s="28"/>
      <c r="F1615" s="31"/>
      <c r="G1615" s="21"/>
      <c r="H1615" s="22"/>
      <c r="I1615" s="23"/>
      <c r="J1615" s="24"/>
      <c r="K1615" s="25"/>
      <c r="L1615" s="23"/>
      <c r="M1615" s="23"/>
      <c r="N1615" s="24"/>
      <c r="O1615" s="24"/>
      <c r="P1615" s="25"/>
      <c r="Q1615" s="25"/>
    </row>
    <row r="1616" spans="1:17" s="20" customFormat="1" x14ac:dyDescent="0.25">
      <c r="A1616" s="9"/>
      <c r="B1616" s="28"/>
      <c r="C1616" s="28"/>
      <c r="D1616" s="28"/>
      <c r="E1616" s="28"/>
      <c r="F1616" s="31"/>
      <c r="G1616" s="21"/>
      <c r="H1616" s="22"/>
      <c r="I1616" s="23"/>
      <c r="J1616" s="24"/>
      <c r="K1616" s="25"/>
      <c r="L1616" s="23"/>
      <c r="M1616" s="23"/>
      <c r="N1616" s="24"/>
      <c r="O1616" s="24"/>
      <c r="P1616" s="25"/>
      <c r="Q1616" s="25"/>
    </row>
    <row r="1617" spans="1:17" s="20" customFormat="1" x14ac:dyDescent="0.25">
      <c r="A1617" s="9"/>
      <c r="B1617" s="28"/>
      <c r="C1617" s="28"/>
      <c r="D1617" s="28"/>
      <c r="E1617" s="28"/>
      <c r="F1617" s="31"/>
      <c r="G1617" s="21"/>
      <c r="H1617" s="22"/>
      <c r="I1617" s="23"/>
      <c r="J1617" s="24"/>
      <c r="K1617" s="25"/>
      <c r="L1617" s="23"/>
      <c r="M1617" s="23"/>
      <c r="N1617" s="24"/>
      <c r="O1617" s="24"/>
      <c r="P1617" s="25"/>
      <c r="Q1617" s="25"/>
    </row>
    <row r="1618" spans="1:17" s="20" customFormat="1" x14ac:dyDescent="0.25">
      <c r="A1618" s="9"/>
      <c r="B1618" s="28"/>
      <c r="C1618" s="28"/>
      <c r="D1618" s="28"/>
      <c r="E1618" s="28"/>
      <c r="F1618" s="31"/>
      <c r="G1618" s="21"/>
      <c r="H1618" s="22"/>
      <c r="I1618" s="23"/>
      <c r="J1618" s="24"/>
      <c r="K1618" s="25"/>
      <c r="L1618" s="23"/>
      <c r="M1618" s="23"/>
      <c r="N1618" s="24"/>
      <c r="O1618" s="24"/>
      <c r="P1618" s="25"/>
      <c r="Q1618" s="25"/>
    </row>
    <row r="1619" spans="1:17" s="20" customFormat="1" x14ac:dyDescent="0.25">
      <c r="A1619" s="9"/>
      <c r="B1619" s="28"/>
      <c r="C1619" s="28"/>
      <c r="D1619" s="28"/>
      <c r="E1619" s="28"/>
      <c r="F1619" s="31"/>
      <c r="G1619" s="21"/>
      <c r="H1619" s="22"/>
      <c r="I1619" s="23"/>
      <c r="J1619" s="24"/>
      <c r="K1619" s="25"/>
      <c r="L1619" s="23"/>
      <c r="M1619" s="23"/>
      <c r="N1619" s="24"/>
      <c r="O1619" s="24"/>
      <c r="P1619" s="25"/>
      <c r="Q1619" s="25"/>
    </row>
    <row r="1620" spans="1:17" s="20" customFormat="1" x14ac:dyDescent="0.25">
      <c r="A1620" s="9"/>
      <c r="B1620" s="28"/>
      <c r="C1620" s="28"/>
      <c r="D1620" s="28"/>
      <c r="E1620" s="28"/>
      <c r="F1620" s="31"/>
      <c r="G1620" s="21"/>
      <c r="H1620" s="22"/>
      <c r="I1620" s="23"/>
      <c r="J1620" s="24"/>
      <c r="K1620" s="25"/>
      <c r="L1620" s="23"/>
      <c r="M1620" s="23"/>
      <c r="N1620" s="24"/>
      <c r="O1620" s="24"/>
      <c r="P1620" s="25"/>
      <c r="Q1620" s="25"/>
    </row>
    <row r="1621" spans="1:17" s="20" customFormat="1" x14ac:dyDescent="0.25">
      <c r="A1621" s="9"/>
      <c r="B1621" s="28"/>
      <c r="C1621" s="28"/>
      <c r="D1621" s="28"/>
      <c r="E1621" s="28"/>
      <c r="F1621" s="31"/>
      <c r="G1621" s="21"/>
      <c r="H1621" s="22"/>
      <c r="I1621" s="23"/>
      <c r="J1621" s="24"/>
      <c r="K1621" s="25"/>
      <c r="L1621" s="23"/>
      <c r="M1621" s="23"/>
      <c r="N1621" s="24"/>
      <c r="O1621" s="24"/>
      <c r="P1621" s="25"/>
      <c r="Q1621" s="25"/>
    </row>
    <row r="1622" spans="1:17" s="20" customFormat="1" x14ac:dyDescent="0.25">
      <c r="A1622" s="9"/>
      <c r="B1622" s="28"/>
      <c r="C1622" s="28"/>
      <c r="D1622" s="28"/>
      <c r="E1622" s="28"/>
      <c r="F1622" s="31"/>
      <c r="G1622" s="21"/>
      <c r="H1622" s="22"/>
      <c r="I1622" s="23"/>
      <c r="J1622" s="24"/>
      <c r="K1622" s="25"/>
      <c r="L1622" s="23"/>
      <c r="M1622" s="23"/>
      <c r="N1622" s="24"/>
      <c r="O1622" s="24"/>
      <c r="P1622" s="25"/>
      <c r="Q1622" s="25"/>
    </row>
    <row r="1623" spans="1:17" s="20" customFormat="1" x14ac:dyDescent="0.25">
      <c r="A1623" s="9"/>
      <c r="B1623" s="28"/>
      <c r="C1623" s="28"/>
      <c r="D1623" s="28"/>
      <c r="E1623" s="28"/>
      <c r="F1623" s="31"/>
      <c r="G1623" s="21"/>
      <c r="H1623" s="22"/>
      <c r="I1623" s="23"/>
      <c r="J1623" s="24"/>
      <c r="K1623" s="25"/>
      <c r="L1623" s="23"/>
      <c r="M1623" s="23"/>
      <c r="N1623" s="24"/>
      <c r="O1623" s="24"/>
      <c r="P1623" s="25"/>
      <c r="Q1623" s="25"/>
    </row>
    <row r="1624" spans="1:17" s="20" customFormat="1" x14ac:dyDescent="0.25">
      <c r="A1624" s="9"/>
      <c r="B1624" s="28"/>
      <c r="C1624" s="28"/>
      <c r="D1624" s="28"/>
      <c r="E1624" s="28"/>
      <c r="F1624" s="31"/>
      <c r="G1624" s="21"/>
      <c r="H1624" s="22"/>
      <c r="I1624" s="23"/>
      <c r="J1624" s="24"/>
      <c r="K1624" s="25"/>
      <c r="L1624" s="23"/>
      <c r="M1624" s="23"/>
      <c r="N1624" s="24"/>
      <c r="O1624" s="24"/>
      <c r="P1624" s="25"/>
      <c r="Q1624" s="25"/>
    </row>
    <row r="1625" spans="1:17" s="20" customFormat="1" x14ac:dyDescent="0.25">
      <c r="A1625" s="9"/>
      <c r="B1625" s="28"/>
      <c r="C1625" s="28"/>
      <c r="D1625" s="28"/>
      <c r="E1625" s="28"/>
      <c r="F1625" s="31"/>
      <c r="G1625" s="21"/>
      <c r="H1625" s="22"/>
      <c r="I1625" s="23"/>
      <c r="J1625" s="24"/>
      <c r="K1625" s="25"/>
      <c r="L1625" s="23"/>
      <c r="M1625" s="23"/>
      <c r="N1625" s="24"/>
      <c r="O1625" s="24"/>
      <c r="P1625" s="25"/>
      <c r="Q1625" s="25"/>
    </row>
    <row r="1626" spans="1:17" s="20" customFormat="1" x14ac:dyDescent="0.25">
      <c r="A1626" s="9"/>
      <c r="B1626" s="28"/>
      <c r="C1626" s="28"/>
      <c r="D1626" s="28"/>
      <c r="E1626" s="28"/>
      <c r="F1626" s="31"/>
      <c r="G1626" s="21"/>
      <c r="H1626" s="22"/>
      <c r="I1626" s="23"/>
      <c r="J1626" s="24"/>
      <c r="K1626" s="25"/>
      <c r="L1626" s="23"/>
      <c r="M1626" s="23"/>
      <c r="N1626" s="24"/>
      <c r="O1626" s="24"/>
      <c r="P1626" s="25"/>
      <c r="Q1626" s="25"/>
    </row>
    <row r="1627" spans="1:17" s="20" customFormat="1" x14ac:dyDescent="0.25">
      <c r="A1627" s="9"/>
      <c r="B1627" s="28"/>
      <c r="C1627" s="28"/>
      <c r="D1627" s="28"/>
      <c r="E1627" s="28"/>
      <c r="F1627" s="31"/>
      <c r="G1627" s="21"/>
      <c r="H1627" s="22"/>
      <c r="I1627" s="23"/>
      <c r="J1627" s="24"/>
      <c r="K1627" s="25"/>
      <c r="L1627" s="23"/>
      <c r="M1627" s="23"/>
      <c r="N1627" s="24"/>
      <c r="O1627" s="24"/>
      <c r="P1627" s="25"/>
      <c r="Q1627" s="25"/>
    </row>
    <row r="1628" spans="1:17" s="20" customFormat="1" x14ac:dyDescent="0.25">
      <c r="A1628" s="9"/>
      <c r="B1628" s="28"/>
      <c r="C1628" s="28"/>
      <c r="D1628" s="28"/>
      <c r="E1628" s="28"/>
      <c r="F1628" s="31"/>
      <c r="G1628" s="21"/>
      <c r="H1628" s="22"/>
      <c r="I1628" s="23"/>
      <c r="J1628" s="24"/>
      <c r="K1628" s="25"/>
      <c r="L1628" s="23"/>
      <c r="M1628" s="23"/>
      <c r="N1628" s="24"/>
      <c r="O1628" s="24"/>
      <c r="P1628" s="25"/>
      <c r="Q1628" s="25"/>
    </row>
    <row r="1629" spans="1:17" s="20" customFormat="1" x14ac:dyDescent="0.25">
      <c r="A1629" s="9"/>
      <c r="B1629" s="28"/>
      <c r="C1629" s="28"/>
      <c r="D1629" s="28"/>
      <c r="E1629" s="28"/>
      <c r="F1629" s="31"/>
      <c r="G1629" s="21"/>
      <c r="H1629" s="22"/>
      <c r="I1629" s="23"/>
      <c r="J1629" s="24"/>
      <c r="K1629" s="25"/>
      <c r="L1629" s="23"/>
      <c r="M1629" s="23"/>
      <c r="N1629" s="24"/>
      <c r="O1629" s="24"/>
      <c r="P1629" s="25"/>
      <c r="Q1629" s="25"/>
    </row>
    <row r="1630" spans="1:17" s="20" customFormat="1" x14ac:dyDescent="0.25">
      <c r="A1630" s="9"/>
      <c r="B1630" s="28"/>
      <c r="C1630" s="28"/>
      <c r="D1630" s="28"/>
      <c r="E1630" s="28"/>
      <c r="F1630" s="31"/>
      <c r="G1630" s="21"/>
      <c r="H1630" s="22"/>
      <c r="I1630" s="23"/>
      <c r="J1630" s="24"/>
      <c r="K1630" s="25"/>
      <c r="L1630" s="23"/>
      <c r="M1630" s="23"/>
      <c r="N1630" s="24"/>
      <c r="O1630" s="24"/>
      <c r="P1630" s="25"/>
      <c r="Q1630" s="25"/>
    </row>
    <row r="1631" spans="1:17" s="20" customFormat="1" x14ac:dyDescent="0.25">
      <c r="A1631" s="9"/>
      <c r="B1631" s="28"/>
      <c r="C1631" s="28"/>
      <c r="D1631" s="28"/>
      <c r="E1631" s="28"/>
      <c r="F1631" s="31"/>
      <c r="G1631" s="21"/>
      <c r="H1631" s="22"/>
      <c r="I1631" s="23"/>
      <c r="J1631" s="24"/>
      <c r="K1631" s="25"/>
      <c r="L1631" s="23"/>
      <c r="M1631" s="23"/>
      <c r="N1631" s="24"/>
      <c r="O1631" s="24"/>
      <c r="P1631" s="25"/>
      <c r="Q1631" s="25"/>
    </row>
    <row r="1632" spans="1:17" s="20" customFormat="1" x14ac:dyDescent="0.25">
      <c r="A1632" s="9"/>
      <c r="B1632" s="28"/>
      <c r="C1632" s="28"/>
      <c r="D1632" s="28"/>
      <c r="E1632" s="28"/>
      <c r="F1632" s="31"/>
      <c r="G1632" s="21"/>
      <c r="H1632" s="22"/>
      <c r="I1632" s="23"/>
      <c r="J1632" s="24"/>
      <c r="K1632" s="25"/>
      <c r="L1632" s="23"/>
      <c r="M1632" s="23"/>
      <c r="N1632" s="24"/>
      <c r="O1632" s="24"/>
      <c r="P1632" s="25"/>
      <c r="Q1632" s="25"/>
    </row>
    <row r="1633" spans="1:17" s="20" customFormat="1" x14ac:dyDescent="0.25">
      <c r="A1633" s="9"/>
      <c r="B1633" s="28"/>
      <c r="C1633" s="28"/>
      <c r="D1633" s="28"/>
      <c r="E1633" s="28"/>
      <c r="F1633" s="31"/>
      <c r="G1633" s="21"/>
      <c r="H1633" s="22"/>
      <c r="I1633" s="23"/>
      <c r="J1633" s="24"/>
      <c r="K1633" s="25"/>
      <c r="L1633" s="23"/>
      <c r="M1633" s="23"/>
      <c r="N1633" s="24"/>
      <c r="O1633" s="24"/>
      <c r="P1633" s="25"/>
      <c r="Q1633" s="25"/>
    </row>
    <row r="1634" spans="1:17" s="20" customFormat="1" x14ac:dyDescent="0.25">
      <c r="A1634" s="9"/>
      <c r="B1634" s="28"/>
      <c r="C1634" s="28"/>
      <c r="D1634" s="28"/>
      <c r="E1634" s="28"/>
      <c r="F1634" s="31"/>
      <c r="G1634" s="21"/>
      <c r="H1634" s="22"/>
      <c r="I1634" s="23"/>
      <c r="J1634" s="24"/>
      <c r="K1634" s="25"/>
      <c r="L1634" s="23"/>
      <c r="M1634" s="23"/>
      <c r="N1634" s="24"/>
      <c r="O1634" s="24"/>
      <c r="P1634" s="25"/>
      <c r="Q1634" s="25"/>
    </row>
    <row r="1635" spans="1:17" s="20" customFormat="1" x14ac:dyDescent="0.25">
      <c r="A1635" s="9"/>
      <c r="B1635" s="28"/>
      <c r="C1635" s="28"/>
      <c r="D1635" s="28"/>
      <c r="E1635" s="28"/>
      <c r="F1635" s="31"/>
      <c r="G1635" s="21"/>
      <c r="H1635" s="22"/>
      <c r="I1635" s="23"/>
      <c r="J1635" s="24"/>
      <c r="K1635" s="25"/>
      <c r="L1635" s="23"/>
      <c r="M1635" s="23"/>
      <c r="N1635" s="24"/>
      <c r="O1635" s="24"/>
      <c r="P1635" s="25"/>
      <c r="Q1635" s="25"/>
    </row>
    <row r="1636" spans="1:17" s="20" customFormat="1" x14ac:dyDescent="0.25">
      <c r="A1636" s="9"/>
      <c r="B1636" s="28"/>
      <c r="C1636" s="28"/>
      <c r="D1636" s="28"/>
      <c r="E1636" s="28"/>
      <c r="F1636" s="31"/>
      <c r="G1636" s="21"/>
      <c r="H1636" s="22"/>
      <c r="I1636" s="23"/>
      <c r="J1636" s="24"/>
      <c r="K1636" s="25"/>
      <c r="L1636" s="23"/>
      <c r="M1636" s="23"/>
      <c r="N1636" s="24"/>
      <c r="O1636" s="24"/>
      <c r="P1636" s="25"/>
      <c r="Q1636" s="25"/>
    </row>
    <row r="1637" spans="1:17" s="20" customFormat="1" x14ac:dyDescent="0.25">
      <c r="A1637" s="9"/>
      <c r="B1637" s="28"/>
      <c r="C1637" s="28"/>
      <c r="D1637" s="28"/>
      <c r="E1637" s="28"/>
      <c r="F1637" s="31"/>
      <c r="G1637" s="21"/>
      <c r="H1637" s="22"/>
      <c r="I1637" s="23"/>
      <c r="J1637" s="24"/>
      <c r="K1637" s="25"/>
      <c r="L1637" s="23"/>
      <c r="M1637" s="23"/>
      <c r="N1637" s="24"/>
      <c r="O1637" s="24"/>
      <c r="P1637" s="25"/>
      <c r="Q1637" s="25"/>
    </row>
    <row r="1638" spans="1:17" s="20" customFormat="1" x14ac:dyDescent="0.25">
      <c r="A1638" s="9"/>
      <c r="B1638" s="28"/>
      <c r="C1638" s="28"/>
      <c r="D1638" s="28"/>
      <c r="E1638" s="28"/>
      <c r="F1638" s="31"/>
      <c r="G1638" s="21"/>
      <c r="H1638" s="22"/>
      <c r="I1638" s="23"/>
      <c r="J1638" s="24"/>
      <c r="K1638" s="25"/>
      <c r="L1638" s="23"/>
      <c r="M1638" s="23"/>
      <c r="N1638" s="24"/>
      <c r="O1638" s="24"/>
      <c r="P1638" s="25"/>
      <c r="Q1638" s="25"/>
    </row>
    <row r="1639" spans="1:17" s="20" customFormat="1" x14ac:dyDescent="0.25">
      <c r="A1639" s="9"/>
      <c r="B1639" s="28"/>
      <c r="C1639" s="28"/>
      <c r="D1639" s="28"/>
      <c r="E1639" s="28"/>
      <c r="F1639" s="31"/>
      <c r="G1639" s="21"/>
      <c r="H1639" s="22"/>
      <c r="I1639" s="23"/>
      <c r="J1639" s="24"/>
      <c r="K1639" s="25"/>
      <c r="L1639" s="23"/>
      <c r="M1639" s="23"/>
      <c r="N1639" s="24"/>
      <c r="O1639" s="24"/>
      <c r="P1639" s="25"/>
      <c r="Q1639" s="25"/>
    </row>
    <row r="1640" spans="1:17" s="20" customFormat="1" x14ac:dyDescent="0.25">
      <c r="A1640" s="9"/>
      <c r="B1640" s="28"/>
      <c r="C1640" s="28"/>
      <c r="D1640" s="28"/>
      <c r="E1640" s="28"/>
      <c r="F1640" s="31"/>
      <c r="G1640" s="21"/>
      <c r="H1640" s="22"/>
      <c r="I1640" s="23"/>
      <c r="J1640" s="24"/>
      <c r="K1640" s="25"/>
      <c r="L1640" s="23"/>
      <c r="M1640" s="23"/>
      <c r="N1640" s="24"/>
      <c r="O1640" s="24"/>
      <c r="P1640" s="25"/>
      <c r="Q1640" s="25"/>
    </row>
    <row r="1641" spans="1:17" s="20" customFormat="1" x14ac:dyDescent="0.25">
      <c r="A1641" s="9"/>
      <c r="B1641" s="28"/>
      <c r="C1641" s="28"/>
      <c r="D1641" s="28"/>
      <c r="E1641" s="28"/>
      <c r="F1641" s="31"/>
      <c r="G1641" s="21"/>
      <c r="H1641" s="22"/>
      <c r="I1641" s="23"/>
      <c r="J1641" s="24"/>
      <c r="K1641" s="25"/>
      <c r="L1641" s="23"/>
      <c r="M1641" s="23"/>
      <c r="N1641" s="24"/>
      <c r="O1641" s="24"/>
      <c r="P1641" s="25"/>
      <c r="Q1641" s="25"/>
    </row>
    <row r="1642" spans="1:17" s="20" customFormat="1" x14ac:dyDescent="0.25">
      <c r="A1642" s="9"/>
      <c r="B1642" s="28"/>
      <c r="C1642" s="28"/>
      <c r="D1642" s="28"/>
      <c r="E1642" s="28"/>
      <c r="F1642" s="31"/>
      <c r="G1642" s="21"/>
      <c r="H1642" s="22"/>
      <c r="I1642" s="23"/>
      <c r="J1642" s="24"/>
      <c r="K1642" s="25"/>
      <c r="L1642" s="23"/>
      <c r="M1642" s="23"/>
      <c r="N1642" s="24"/>
      <c r="O1642" s="24"/>
      <c r="P1642" s="25"/>
      <c r="Q1642" s="25"/>
    </row>
    <row r="1643" spans="1:17" s="20" customFormat="1" x14ac:dyDescent="0.25">
      <c r="A1643" s="9"/>
      <c r="B1643" s="28"/>
      <c r="C1643" s="28"/>
      <c r="D1643" s="28"/>
      <c r="E1643" s="28"/>
      <c r="F1643" s="31"/>
      <c r="G1643" s="21"/>
      <c r="H1643" s="22"/>
      <c r="I1643" s="23"/>
      <c r="J1643" s="24"/>
      <c r="K1643" s="25"/>
      <c r="L1643" s="23"/>
      <c r="M1643" s="23"/>
      <c r="N1643" s="24"/>
      <c r="O1643" s="24"/>
      <c r="P1643" s="25"/>
      <c r="Q1643" s="25"/>
    </row>
    <row r="1644" spans="1:17" s="20" customFormat="1" x14ac:dyDescent="0.25">
      <c r="A1644" s="9"/>
      <c r="B1644" s="28"/>
      <c r="C1644" s="28"/>
      <c r="D1644" s="28"/>
      <c r="E1644" s="28"/>
      <c r="F1644" s="31"/>
      <c r="G1644" s="21"/>
      <c r="H1644" s="22"/>
      <c r="I1644" s="23"/>
      <c r="J1644" s="24"/>
      <c r="K1644" s="25"/>
      <c r="L1644" s="23"/>
      <c r="M1644" s="23"/>
      <c r="N1644" s="24"/>
      <c r="O1644" s="24"/>
      <c r="P1644" s="25"/>
      <c r="Q1644" s="25"/>
    </row>
    <row r="1645" spans="1:17" s="20" customFormat="1" x14ac:dyDescent="0.25">
      <c r="A1645" s="9"/>
      <c r="B1645" s="28"/>
      <c r="C1645" s="28"/>
      <c r="D1645" s="28"/>
      <c r="E1645" s="28"/>
      <c r="F1645" s="31"/>
      <c r="G1645" s="21"/>
      <c r="H1645" s="22"/>
      <c r="I1645" s="23"/>
      <c r="J1645" s="24"/>
      <c r="K1645" s="25"/>
      <c r="L1645" s="23"/>
      <c r="M1645" s="23"/>
      <c r="N1645" s="24"/>
      <c r="O1645" s="24"/>
      <c r="P1645" s="25"/>
      <c r="Q1645" s="25"/>
    </row>
    <row r="1646" spans="1:17" s="20" customFormat="1" x14ac:dyDescent="0.25">
      <c r="A1646" s="9"/>
      <c r="B1646" s="28"/>
      <c r="C1646" s="28"/>
      <c r="D1646" s="28"/>
      <c r="E1646" s="28"/>
      <c r="F1646" s="31"/>
      <c r="G1646" s="21"/>
      <c r="H1646" s="22"/>
      <c r="I1646" s="23"/>
      <c r="J1646" s="24"/>
      <c r="K1646" s="25"/>
      <c r="L1646" s="23"/>
      <c r="M1646" s="23"/>
      <c r="N1646" s="24"/>
      <c r="O1646" s="24"/>
      <c r="P1646" s="25"/>
      <c r="Q1646" s="25"/>
    </row>
    <row r="1647" spans="1:17" s="20" customFormat="1" x14ac:dyDescent="0.25">
      <c r="A1647" s="9"/>
      <c r="B1647" s="28"/>
      <c r="C1647" s="28"/>
      <c r="D1647" s="28"/>
      <c r="E1647" s="28"/>
      <c r="F1647" s="31"/>
      <c r="G1647" s="21"/>
      <c r="H1647" s="22"/>
      <c r="I1647" s="23"/>
      <c r="J1647" s="24"/>
      <c r="K1647" s="25"/>
      <c r="L1647" s="23"/>
      <c r="M1647" s="23"/>
      <c r="N1647" s="24"/>
      <c r="O1647" s="24"/>
      <c r="P1647" s="25"/>
      <c r="Q1647" s="25"/>
    </row>
    <row r="1648" spans="1:17" s="20" customFormat="1" x14ac:dyDescent="0.25">
      <c r="A1648" s="9"/>
      <c r="B1648" s="28"/>
      <c r="C1648" s="28"/>
      <c r="D1648" s="28"/>
      <c r="E1648" s="28"/>
      <c r="F1648" s="31"/>
      <c r="G1648" s="21"/>
      <c r="H1648" s="22"/>
      <c r="I1648" s="23"/>
      <c r="J1648" s="24"/>
      <c r="K1648" s="25"/>
      <c r="L1648" s="23"/>
      <c r="M1648" s="23"/>
      <c r="N1648" s="24"/>
      <c r="O1648" s="24"/>
      <c r="P1648" s="25"/>
      <c r="Q1648" s="25"/>
    </row>
    <row r="1649" spans="1:17" s="20" customFormat="1" x14ac:dyDescent="0.25">
      <c r="A1649" s="9"/>
      <c r="B1649" s="28"/>
      <c r="C1649" s="28"/>
      <c r="D1649" s="28"/>
      <c r="E1649" s="28"/>
      <c r="F1649" s="31"/>
      <c r="G1649" s="21"/>
      <c r="H1649" s="22"/>
      <c r="I1649" s="23"/>
      <c r="J1649" s="24"/>
      <c r="K1649" s="25"/>
      <c r="L1649" s="23"/>
      <c r="M1649" s="23"/>
      <c r="N1649" s="24"/>
      <c r="O1649" s="24"/>
      <c r="P1649" s="25"/>
      <c r="Q1649" s="25"/>
    </row>
    <row r="1650" spans="1:17" s="20" customFormat="1" x14ac:dyDescent="0.25">
      <c r="A1650" s="9"/>
      <c r="B1650" s="28"/>
      <c r="C1650" s="28"/>
      <c r="D1650" s="28"/>
      <c r="E1650" s="28"/>
      <c r="F1650" s="31"/>
      <c r="G1650" s="21"/>
      <c r="H1650" s="22"/>
      <c r="I1650" s="23"/>
      <c r="J1650" s="24"/>
      <c r="K1650" s="25"/>
      <c r="L1650" s="23"/>
      <c r="M1650" s="23"/>
      <c r="N1650" s="24"/>
      <c r="O1650" s="24"/>
      <c r="P1650" s="25"/>
      <c r="Q1650" s="25"/>
    </row>
    <row r="1651" spans="1:17" s="20" customFormat="1" x14ac:dyDescent="0.25">
      <c r="A1651" s="9"/>
      <c r="B1651" s="28"/>
      <c r="C1651" s="28"/>
      <c r="D1651" s="28"/>
      <c r="E1651" s="28"/>
      <c r="F1651" s="31"/>
      <c r="G1651" s="21"/>
      <c r="H1651" s="22"/>
      <c r="I1651" s="23"/>
      <c r="J1651" s="24"/>
      <c r="K1651" s="25"/>
      <c r="L1651" s="23"/>
      <c r="M1651" s="23"/>
      <c r="N1651" s="24"/>
      <c r="O1651" s="24"/>
      <c r="P1651" s="25"/>
      <c r="Q1651" s="25"/>
    </row>
    <row r="1652" spans="1:17" s="20" customFormat="1" x14ac:dyDescent="0.25">
      <c r="A1652" s="9"/>
      <c r="B1652" s="28"/>
      <c r="C1652" s="28"/>
      <c r="D1652" s="28"/>
      <c r="E1652" s="28"/>
      <c r="F1652" s="31"/>
      <c r="G1652" s="21"/>
      <c r="H1652" s="22"/>
      <c r="I1652" s="23"/>
      <c r="J1652" s="24"/>
      <c r="K1652" s="25"/>
      <c r="L1652" s="23"/>
      <c r="M1652" s="23"/>
      <c r="N1652" s="24"/>
      <c r="O1652" s="24"/>
      <c r="P1652" s="25"/>
      <c r="Q1652" s="25"/>
    </row>
    <row r="1653" spans="1:17" s="20" customFormat="1" x14ac:dyDescent="0.25">
      <c r="A1653" s="9"/>
      <c r="B1653" s="28"/>
      <c r="C1653" s="28"/>
      <c r="D1653" s="28"/>
      <c r="E1653" s="28"/>
      <c r="F1653" s="31"/>
      <c r="G1653" s="21"/>
      <c r="H1653" s="22"/>
      <c r="I1653" s="23"/>
      <c r="J1653" s="24"/>
      <c r="K1653" s="25"/>
      <c r="L1653" s="23"/>
      <c r="M1653" s="23"/>
      <c r="N1653" s="24"/>
      <c r="O1653" s="24"/>
      <c r="P1653" s="25"/>
      <c r="Q1653" s="25"/>
    </row>
    <row r="1654" spans="1:17" s="20" customFormat="1" x14ac:dyDescent="0.25">
      <c r="A1654" s="9"/>
      <c r="B1654" s="28"/>
      <c r="C1654" s="28"/>
      <c r="D1654" s="28"/>
      <c r="E1654" s="28"/>
      <c r="F1654" s="31"/>
      <c r="G1654" s="21"/>
      <c r="H1654" s="22"/>
      <c r="I1654" s="23"/>
      <c r="J1654" s="24"/>
      <c r="K1654" s="25"/>
      <c r="L1654" s="23"/>
      <c r="M1654" s="23"/>
      <c r="N1654" s="24"/>
      <c r="O1654" s="24"/>
      <c r="P1654" s="25"/>
      <c r="Q1654" s="25"/>
    </row>
    <row r="1655" spans="1:17" s="20" customFormat="1" x14ac:dyDescent="0.25">
      <c r="A1655" s="9"/>
      <c r="B1655" s="28"/>
      <c r="C1655" s="28"/>
      <c r="D1655" s="28"/>
      <c r="E1655" s="28"/>
      <c r="F1655" s="31"/>
      <c r="G1655" s="21"/>
      <c r="H1655" s="22"/>
      <c r="I1655" s="23"/>
      <c r="J1655" s="24"/>
      <c r="K1655" s="25"/>
      <c r="L1655" s="23"/>
      <c r="M1655" s="23"/>
      <c r="N1655" s="24"/>
      <c r="O1655" s="24"/>
      <c r="P1655" s="25"/>
      <c r="Q1655" s="25"/>
    </row>
    <row r="1656" spans="1:17" s="20" customFormat="1" x14ac:dyDescent="0.25">
      <c r="A1656" s="9"/>
      <c r="B1656" s="28"/>
      <c r="C1656" s="28"/>
      <c r="D1656" s="28"/>
      <c r="E1656" s="28"/>
      <c r="F1656" s="31"/>
      <c r="G1656" s="21"/>
      <c r="H1656" s="22"/>
      <c r="I1656" s="23"/>
      <c r="J1656" s="24"/>
      <c r="K1656" s="25"/>
      <c r="L1656" s="23"/>
      <c r="M1656" s="23"/>
      <c r="N1656" s="24"/>
      <c r="O1656" s="24"/>
      <c r="P1656" s="25"/>
      <c r="Q1656" s="25"/>
    </row>
    <row r="1657" spans="1:17" s="20" customFormat="1" x14ac:dyDescent="0.25">
      <c r="A1657" s="9"/>
      <c r="B1657" s="28"/>
      <c r="C1657" s="28"/>
      <c r="D1657" s="28"/>
      <c r="E1657" s="28"/>
      <c r="F1657" s="31"/>
      <c r="G1657" s="21"/>
      <c r="H1657" s="22"/>
      <c r="I1657" s="23"/>
      <c r="J1657" s="24"/>
      <c r="K1657" s="25"/>
      <c r="L1657" s="23"/>
      <c r="M1657" s="23"/>
      <c r="N1657" s="24"/>
      <c r="O1657" s="24"/>
      <c r="P1657" s="25"/>
      <c r="Q1657" s="25"/>
    </row>
    <row r="1658" spans="1:17" s="20" customFormat="1" x14ac:dyDescent="0.25">
      <c r="A1658" s="9"/>
      <c r="B1658" s="28"/>
      <c r="C1658" s="28"/>
      <c r="D1658" s="28"/>
      <c r="E1658" s="28"/>
      <c r="F1658" s="31"/>
      <c r="G1658" s="21"/>
      <c r="H1658" s="22"/>
      <c r="I1658" s="23"/>
      <c r="J1658" s="24"/>
      <c r="K1658" s="25"/>
      <c r="L1658" s="23"/>
      <c r="M1658" s="23"/>
      <c r="N1658" s="24"/>
      <c r="O1658" s="24"/>
      <c r="P1658" s="25"/>
      <c r="Q1658" s="25"/>
    </row>
    <row r="1659" spans="1:17" s="20" customFormat="1" x14ac:dyDescent="0.25">
      <c r="A1659" s="9"/>
      <c r="B1659" s="28"/>
      <c r="C1659" s="28"/>
      <c r="D1659" s="28"/>
      <c r="E1659" s="28"/>
      <c r="F1659" s="31"/>
      <c r="G1659" s="21"/>
      <c r="H1659" s="22"/>
      <c r="I1659" s="23"/>
      <c r="J1659" s="24"/>
      <c r="K1659" s="25"/>
      <c r="L1659" s="23"/>
      <c r="M1659" s="23"/>
      <c r="N1659" s="24"/>
      <c r="O1659" s="24"/>
      <c r="P1659" s="25"/>
      <c r="Q1659" s="25"/>
    </row>
    <row r="1660" spans="1:17" s="20" customFormat="1" x14ac:dyDescent="0.25">
      <c r="A1660" s="9"/>
      <c r="B1660" s="28"/>
      <c r="C1660" s="28"/>
      <c r="D1660" s="28"/>
      <c r="E1660" s="28"/>
      <c r="F1660" s="31"/>
      <c r="G1660" s="21"/>
      <c r="H1660" s="22"/>
      <c r="I1660" s="23"/>
      <c r="J1660" s="24"/>
      <c r="K1660" s="25"/>
      <c r="L1660" s="23"/>
      <c r="M1660" s="23"/>
      <c r="N1660" s="24"/>
      <c r="O1660" s="24"/>
      <c r="P1660" s="25"/>
      <c r="Q1660" s="25"/>
    </row>
    <row r="1661" spans="1:17" s="20" customFormat="1" x14ac:dyDescent="0.25">
      <c r="A1661" s="9"/>
      <c r="B1661" s="28"/>
      <c r="C1661" s="28"/>
      <c r="D1661" s="28"/>
      <c r="E1661" s="28"/>
      <c r="F1661" s="31"/>
      <c r="G1661" s="21"/>
      <c r="H1661" s="22"/>
      <c r="I1661" s="23"/>
      <c r="J1661" s="24"/>
      <c r="K1661" s="25"/>
      <c r="L1661" s="23"/>
      <c r="M1661" s="23"/>
      <c r="N1661" s="24"/>
      <c r="O1661" s="24"/>
      <c r="P1661" s="25"/>
      <c r="Q1661" s="25"/>
    </row>
    <row r="1662" spans="1:17" s="20" customFormat="1" x14ac:dyDescent="0.25">
      <c r="A1662" s="9"/>
      <c r="B1662" s="28"/>
      <c r="C1662" s="28"/>
      <c r="D1662" s="28"/>
      <c r="E1662" s="28"/>
      <c r="F1662" s="31"/>
      <c r="G1662" s="21"/>
      <c r="H1662" s="22"/>
      <c r="I1662" s="23"/>
      <c r="J1662" s="24"/>
      <c r="K1662" s="25"/>
      <c r="L1662" s="23"/>
      <c r="M1662" s="23"/>
      <c r="N1662" s="24"/>
      <c r="O1662" s="24"/>
      <c r="P1662" s="25"/>
      <c r="Q1662" s="25"/>
    </row>
    <row r="1663" spans="1:17" s="20" customFormat="1" x14ac:dyDescent="0.25">
      <c r="A1663" s="9"/>
      <c r="B1663" s="28"/>
      <c r="C1663" s="28"/>
      <c r="D1663" s="28"/>
      <c r="E1663" s="28"/>
      <c r="F1663" s="31"/>
      <c r="G1663" s="21"/>
      <c r="H1663" s="22"/>
      <c r="I1663" s="23"/>
      <c r="J1663" s="24"/>
      <c r="K1663" s="25"/>
      <c r="L1663" s="23"/>
      <c r="M1663" s="23"/>
      <c r="N1663" s="24"/>
      <c r="O1663" s="24"/>
      <c r="P1663" s="25"/>
      <c r="Q1663" s="25"/>
    </row>
    <row r="1664" spans="1:17" s="20" customFormat="1" x14ac:dyDescent="0.25">
      <c r="A1664" s="9"/>
      <c r="B1664" s="28"/>
      <c r="C1664" s="28"/>
      <c r="D1664" s="28"/>
      <c r="E1664" s="28"/>
      <c r="F1664" s="31"/>
      <c r="G1664" s="21"/>
      <c r="H1664" s="22"/>
      <c r="I1664" s="23"/>
      <c r="J1664" s="24"/>
      <c r="K1664" s="25"/>
      <c r="L1664" s="23"/>
      <c r="M1664" s="23"/>
      <c r="N1664" s="24"/>
      <c r="O1664" s="24"/>
      <c r="P1664" s="25"/>
      <c r="Q1664" s="25"/>
    </row>
    <row r="1665" spans="1:17" s="20" customFormat="1" x14ac:dyDescent="0.25">
      <c r="A1665" s="9"/>
      <c r="B1665" s="28"/>
      <c r="C1665" s="28"/>
      <c r="D1665" s="28"/>
      <c r="E1665" s="28"/>
      <c r="F1665" s="31"/>
      <c r="G1665" s="21"/>
      <c r="H1665" s="22"/>
      <c r="I1665" s="23"/>
      <c r="J1665" s="24"/>
      <c r="K1665" s="25"/>
      <c r="L1665" s="23"/>
      <c r="M1665" s="23"/>
      <c r="N1665" s="24"/>
      <c r="O1665" s="24"/>
      <c r="P1665" s="25"/>
      <c r="Q1665" s="25"/>
    </row>
    <row r="1666" spans="1:17" s="20" customFormat="1" x14ac:dyDescent="0.25">
      <c r="A1666" s="9"/>
      <c r="B1666" s="28"/>
      <c r="C1666" s="28"/>
      <c r="D1666" s="28"/>
      <c r="E1666" s="28"/>
      <c r="F1666" s="31"/>
      <c r="G1666" s="21"/>
      <c r="H1666" s="22"/>
      <c r="I1666" s="23"/>
      <c r="J1666" s="24"/>
      <c r="K1666" s="25"/>
      <c r="L1666" s="23"/>
      <c r="M1666" s="23"/>
      <c r="N1666" s="24"/>
      <c r="O1666" s="24"/>
      <c r="P1666" s="25"/>
      <c r="Q1666" s="25"/>
    </row>
    <row r="1667" spans="1:17" s="20" customFormat="1" x14ac:dyDescent="0.25">
      <c r="A1667" s="9"/>
      <c r="B1667" s="28"/>
      <c r="C1667" s="28"/>
      <c r="D1667" s="28"/>
      <c r="E1667" s="28"/>
      <c r="F1667" s="31"/>
      <c r="G1667" s="21"/>
      <c r="H1667" s="22"/>
      <c r="I1667" s="23"/>
      <c r="J1667" s="24"/>
      <c r="K1667" s="25"/>
      <c r="L1667" s="23"/>
      <c r="M1667" s="23"/>
      <c r="N1667" s="24"/>
      <c r="O1667" s="24"/>
      <c r="P1667" s="25"/>
      <c r="Q1667" s="25"/>
    </row>
    <row r="1668" spans="1:17" s="20" customFormat="1" x14ac:dyDescent="0.25">
      <c r="A1668" s="9"/>
      <c r="B1668" s="28"/>
      <c r="C1668" s="28"/>
      <c r="D1668" s="28"/>
      <c r="E1668" s="28"/>
      <c r="F1668" s="31"/>
      <c r="G1668" s="21"/>
      <c r="H1668" s="22"/>
      <c r="I1668" s="23"/>
      <c r="J1668" s="24"/>
      <c r="K1668" s="25"/>
      <c r="L1668" s="23"/>
      <c r="M1668" s="23"/>
      <c r="N1668" s="24"/>
      <c r="O1668" s="24"/>
      <c r="P1668" s="25"/>
      <c r="Q1668" s="25"/>
    </row>
    <row r="1669" spans="1:17" s="20" customFormat="1" x14ac:dyDescent="0.25">
      <c r="A1669" s="9"/>
      <c r="B1669" s="28"/>
      <c r="C1669" s="28"/>
      <c r="D1669" s="28"/>
      <c r="E1669" s="28"/>
      <c r="F1669" s="31"/>
      <c r="G1669" s="21"/>
      <c r="H1669" s="22"/>
      <c r="I1669" s="23"/>
      <c r="J1669" s="24"/>
      <c r="K1669" s="25"/>
      <c r="L1669" s="23"/>
      <c r="M1669" s="23"/>
      <c r="N1669" s="24"/>
      <c r="O1669" s="24"/>
      <c r="P1669" s="25"/>
      <c r="Q1669" s="25"/>
    </row>
    <row r="1670" spans="1:17" s="20" customFormat="1" x14ac:dyDescent="0.25">
      <c r="A1670" s="9"/>
      <c r="B1670" s="28"/>
      <c r="C1670" s="28"/>
      <c r="D1670" s="28"/>
      <c r="E1670" s="28"/>
      <c r="F1670" s="31"/>
      <c r="G1670" s="21"/>
      <c r="H1670" s="22"/>
      <c r="I1670" s="23"/>
      <c r="J1670" s="24"/>
      <c r="K1670" s="25"/>
      <c r="L1670" s="23"/>
      <c r="M1670" s="23"/>
      <c r="N1670" s="24"/>
      <c r="O1670" s="24"/>
      <c r="P1670" s="25"/>
      <c r="Q1670" s="25"/>
    </row>
    <row r="1671" spans="1:17" s="20" customFormat="1" x14ac:dyDescent="0.25">
      <c r="A1671" s="9"/>
      <c r="B1671" s="28"/>
      <c r="C1671" s="28"/>
      <c r="D1671" s="28"/>
      <c r="E1671" s="28"/>
      <c r="F1671" s="31"/>
      <c r="G1671" s="21"/>
      <c r="H1671" s="22"/>
      <c r="I1671" s="23"/>
      <c r="J1671" s="24"/>
      <c r="K1671" s="25"/>
      <c r="L1671" s="23"/>
      <c r="M1671" s="23"/>
      <c r="N1671" s="24"/>
      <c r="O1671" s="24"/>
      <c r="P1671" s="25"/>
      <c r="Q1671" s="25"/>
    </row>
    <row r="1672" spans="1:17" s="20" customFormat="1" x14ac:dyDescent="0.25">
      <c r="A1672" s="9"/>
      <c r="B1672" s="28"/>
      <c r="C1672" s="28"/>
      <c r="D1672" s="28"/>
      <c r="E1672" s="28"/>
      <c r="F1672" s="31"/>
      <c r="G1672" s="21"/>
      <c r="H1672" s="22"/>
      <c r="I1672" s="23"/>
      <c r="J1672" s="24"/>
      <c r="K1672" s="25"/>
      <c r="L1672" s="23"/>
      <c r="M1672" s="23"/>
      <c r="N1672" s="24"/>
      <c r="O1672" s="24"/>
      <c r="P1672" s="25"/>
      <c r="Q1672" s="25"/>
    </row>
    <row r="1673" spans="1:17" s="20" customFormat="1" x14ac:dyDescent="0.25">
      <c r="A1673" s="9"/>
      <c r="B1673" s="28"/>
      <c r="C1673" s="28"/>
      <c r="D1673" s="28"/>
      <c r="E1673" s="28"/>
      <c r="F1673" s="31"/>
      <c r="G1673" s="21"/>
      <c r="H1673" s="22"/>
      <c r="I1673" s="23"/>
      <c r="J1673" s="24"/>
      <c r="K1673" s="25"/>
      <c r="L1673" s="23"/>
      <c r="M1673" s="23"/>
      <c r="N1673" s="24"/>
      <c r="O1673" s="24"/>
      <c r="P1673" s="25"/>
      <c r="Q1673" s="25"/>
    </row>
    <row r="1674" spans="1:17" s="20" customFormat="1" x14ac:dyDescent="0.25">
      <c r="A1674" s="9"/>
      <c r="B1674" s="28"/>
      <c r="C1674" s="28"/>
      <c r="D1674" s="28"/>
      <c r="E1674" s="28"/>
      <c r="F1674" s="31"/>
      <c r="G1674" s="21"/>
      <c r="H1674" s="22"/>
      <c r="I1674" s="23"/>
      <c r="J1674" s="24"/>
      <c r="K1674" s="25"/>
      <c r="L1674" s="23"/>
      <c r="M1674" s="23"/>
      <c r="N1674" s="24"/>
      <c r="O1674" s="24"/>
      <c r="P1674" s="25"/>
      <c r="Q1674" s="25"/>
    </row>
    <row r="1675" spans="1:17" s="20" customFormat="1" x14ac:dyDescent="0.25">
      <c r="A1675" s="9"/>
      <c r="B1675" s="28"/>
      <c r="C1675" s="28"/>
      <c r="D1675" s="28"/>
      <c r="E1675" s="28"/>
      <c r="F1675" s="31"/>
      <c r="G1675" s="21"/>
      <c r="H1675" s="22"/>
      <c r="I1675" s="23"/>
      <c r="J1675" s="24"/>
      <c r="K1675" s="25"/>
      <c r="L1675" s="23"/>
      <c r="M1675" s="23"/>
      <c r="N1675" s="24"/>
      <c r="O1675" s="24"/>
      <c r="P1675" s="25"/>
      <c r="Q1675" s="25"/>
    </row>
    <row r="1676" spans="1:17" s="20" customFormat="1" x14ac:dyDescent="0.25">
      <c r="A1676" s="9"/>
      <c r="B1676" s="28"/>
      <c r="C1676" s="28"/>
      <c r="D1676" s="28"/>
      <c r="E1676" s="28"/>
      <c r="F1676" s="31"/>
      <c r="G1676" s="21"/>
      <c r="H1676" s="22"/>
      <c r="I1676" s="23"/>
      <c r="J1676" s="24"/>
      <c r="K1676" s="25"/>
      <c r="L1676" s="23"/>
      <c r="M1676" s="23"/>
      <c r="N1676" s="24"/>
      <c r="O1676" s="24"/>
      <c r="P1676" s="25"/>
      <c r="Q1676" s="25"/>
    </row>
    <row r="1677" spans="1:17" s="20" customFormat="1" x14ac:dyDescent="0.25">
      <c r="A1677" s="9"/>
      <c r="B1677" s="28"/>
      <c r="C1677" s="28"/>
      <c r="D1677" s="28"/>
      <c r="E1677" s="28"/>
      <c r="F1677" s="31"/>
      <c r="G1677" s="21"/>
      <c r="H1677" s="22"/>
      <c r="I1677" s="23"/>
      <c r="J1677" s="24"/>
      <c r="K1677" s="25"/>
      <c r="L1677" s="23"/>
      <c r="M1677" s="23"/>
      <c r="N1677" s="24"/>
      <c r="O1677" s="24"/>
      <c r="P1677" s="25"/>
      <c r="Q1677" s="25"/>
    </row>
    <row r="1678" spans="1:17" s="20" customFormat="1" x14ac:dyDescent="0.25">
      <c r="A1678" s="9"/>
      <c r="B1678" s="28"/>
      <c r="C1678" s="28"/>
      <c r="D1678" s="28"/>
      <c r="E1678" s="28"/>
      <c r="F1678" s="31"/>
      <c r="G1678" s="21"/>
      <c r="H1678" s="22"/>
      <c r="I1678" s="23"/>
      <c r="J1678" s="24"/>
      <c r="K1678" s="25"/>
      <c r="L1678" s="23"/>
      <c r="M1678" s="23"/>
      <c r="N1678" s="24"/>
      <c r="O1678" s="24"/>
      <c r="P1678" s="25"/>
      <c r="Q1678" s="25"/>
    </row>
    <row r="1679" spans="1:17" s="20" customFormat="1" x14ac:dyDescent="0.25">
      <c r="A1679" s="9"/>
      <c r="B1679" s="28"/>
      <c r="C1679" s="28"/>
      <c r="D1679" s="28"/>
      <c r="E1679" s="28"/>
      <c r="F1679" s="31"/>
      <c r="G1679" s="21"/>
      <c r="H1679" s="22"/>
      <c r="I1679" s="23"/>
      <c r="J1679" s="24"/>
      <c r="K1679" s="25"/>
      <c r="L1679" s="23"/>
      <c r="M1679" s="23"/>
      <c r="N1679" s="24"/>
      <c r="O1679" s="24"/>
      <c r="P1679" s="25"/>
      <c r="Q1679" s="25"/>
    </row>
    <row r="1680" spans="1:17" s="20" customFormat="1" x14ac:dyDescent="0.25">
      <c r="A1680" s="9"/>
      <c r="B1680" s="28"/>
      <c r="C1680" s="28"/>
      <c r="D1680" s="28"/>
      <c r="E1680" s="28"/>
      <c r="F1680" s="31"/>
      <c r="G1680" s="21"/>
      <c r="H1680" s="22"/>
      <c r="I1680" s="23"/>
      <c r="J1680" s="24"/>
      <c r="K1680" s="25"/>
      <c r="L1680" s="23"/>
      <c r="M1680" s="23"/>
      <c r="N1680" s="24"/>
      <c r="O1680" s="24"/>
      <c r="P1680" s="25"/>
      <c r="Q1680" s="25"/>
    </row>
    <row r="1681" spans="1:17" s="20" customFormat="1" x14ac:dyDescent="0.25">
      <c r="A1681" s="9"/>
      <c r="B1681" s="28"/>
      <c r="C1681" s="28"/>
      <c r="D1681" s="28"/>
      <c r="E1681" s="28"/>
      <c r="F1681" s="31"/>
      <c r="G1681" s="21"/>
      <c r="H1681" s="22"/>
      <c r="I1681" s="23"/>
      <c r="J1681" s="24"/>
      <c r="K1681" s="25"/>
      <c r="L1681" s="23"/>
      <c r="M1681" s="23"/>
      <c r="N1681" s="24"/>
      <c r="O1681" s="24"/>
      <c r="P1681" s="25"/>
      <c r="Q1681" s="25"/>
    </row>
    <row r="1682" spans="1:17" s="20" customFormat="1" x14ac:dyDescent="0.25">
      <c r="A1682" s="9"/>
      <c r="B1682" s="28"/>
      <c r="C1682" s="28"/>
      <c r="D1682" s="28"/>
      <c r="E1682" s="28"/>
      <c r="F1682" s="31"/>
      <c r="G1682" s="21"/>
      <c r="H1682" s="22"/>
      <c r="I1682" s="23"/>
      <c r="J1682" s="24"/>
      <c r="K1682" s="25"/>
      <c r="L1682" s="23"/>
      <c r="M1682" s="23"/>
      <c r="N1682" s="24"/>
      <c r="O1682" s="24"/>
      <c r="P1682" s="25"/>
      <c r="Q1682" s="25"/>
    </row>
    <row r="1683" spans="1:17" s="20" customFormat="1" x14ac:dyDescent="0.25">
      <c r="A1683" s="9"/>
      <c r="B1683" s="28"/>
      <c r="C1683" s="28"/>
      <c r="D1683" s="28"/>
      <c r="E1683" s="28"/>
      <c r="F1683" s="31"/>
      <c r="G1683" s="21"/>
      <c r="H1683" s="22"/>
      <c r="I1683" s="23"/>
      <c r="J1683" s="24"/>
      <c r="K1683" s="25"/>
      <c r="L1683" s="23"/>
      <c r="M1683" s="23"/>
      <c r="N1683" s="24"/>
      <c r="O1683" s="24"/>
      <c r="P1683" s="25"/>
      <c r="Q1683" s="25"/>
    </row>
    <row r="1684" spans="1:17" s="20" customFormat="1" x14ac:dyDescent="0.25">
      <c r="A1684" s="9"/>
      <c r="B1684" s="28"/>
      <c r="C1684" s="28"/>
      <c r="D1684" s="28"/>
      <c r="E1684" s="28"/>
      <c r="F1684" s="31"/>
      <c r="G1684" s="21"/>
      <c r="H1684" s="22"/>
      <c r="I1684" s="23"/>
      <c r="J1684" s="24"/>
      <c r="K1684" s="25"/>
      <c r="L1684" s="23"/>
      <c r="M1684" s="23"/>
      <c r="N1684" s="24"/>
      <c r="O1684" s="24"/>
      <c r="P1684" s="25"/>
      <c r="Q1684" s="25"/>
    </row>
    <row r="1685" spans="1:17" s="20" customFormat="1" x14ac:dyDescent="0.25">
      <c r="A1685" s="9"/>
      <c r="B1685" s="28"/>
      <c r="C1685" s="28"/>
      <c r="D1685" s="28"/>
      <c r="E1685" s="28"/>
      <c r="F1685" s="31"/>
      <c r="G1685" s="21"/>
      <c r="H1685" s="22"/>
      <c r="I1685" s="23"/>
      <c r="J1685" s="24"/>
      <c r="K1685" s="25"/>
      <c r="L1685" s="23"/>
      <c r="M1685" s="23"/>
      <c r="N1685" s="24"/>
      <c r="O1685" s="24"/>
      <c r="P1685" s="25"/>
      <c r="Q1685" s="25"/>
    </row>
    <row r="1686" spans="1:17" s="20" customFormat="1" x14ac:dyDescent="0.25">
      <c r="A1686" s="9"/>
      <c r="B1686" s="28"/>
      <c r="C1686" s="28"/>
      <c r="D1686" s="28"/>
      <c r="E1686" s="28"/>
      <c r="F1686" s="31"/>
      <c r="G1686" s="21"/>
      <c r="H1686" s="22"/>
      <c r="I1686" s="23"/>
      <c r="J1686" s="24"/>
      <c r="K1686" s="25"/>
      <c r="L1686" s="23"/>
      <c r="M1686" s="23"/>
      <c r="N1686" s="24"/>
      <c r="O1686" s="24"/>
      <c r="P1686" s="25"/>
      <c r="Q1686" s="25"/>
    </row>
    <row r="1687" spans="1:17" s="20" customFormat="1" x14ac:dyDescent="0.25">
      <c r="A1687" s="9"/>
      <c r="B1687" s="28"/>
      <c r="C1687" s="28"/>
      <c r="D1687" s="28"/>
      <c r="E1687" s="28"/>
      <c r="F1687" s="31"/>
      <c r="G1687" s="21"/>
      <c r="H1687" s="22"/>
      <c r="I1687" s="23"/>
      <c r="J1687" s="24"/>
      <c r="K1687" s="25"/>
      <c r="L1687" s="23"/>
      <c r="M1687" s="23"/>
      <c r="N1687" s="24"/>
      <c r="O1687" s="24"/>
      <c r="P1687" s="25"/>
      <c r="Q1687" s="25"/>
    </row>
    <row r="1688" spans="1:17" s="20" customFormat="1" x14ac:dyDescent="0.25">
      <c r="A1688" s="9"/>
      <c r="B1688" s="28"/>
      <c r="C1688" s="28"/>
      <c r="D1688" s="28"/>
      <c r="E1688" s="28"/>
      <c r="F1688" s="31"/>
      <c r="G1688" s="21"/>
      <c r="H1688" s="22"/>
      <c r="I1688" s="23"/>
      <c r="J1688" s="24"/>
      <c r="K1688" s="25"/>
      <c r="L1688" s="23"/>
      <c r="M1688" s="23"/>
      <c r="N1688" s="24"/>
      <c r="O1688" s="24"/>
      <c r="P1688" s="25"/>
      <c r="Q1688" s="25"/>
    </row>
    <row r="1689" spans="1:17" s="20" customFormat="1" x14ac:dyDescent="0.25">
      <c r="A1689" s="9"/>
      <c r="B1689" s="28"/>
      <c r="C1689" s="28"/>
      <c r="D1689" s="28"/>
      <c r="E1689" s="28"/>
      <c r="F1689" s="31"/>
      <c r="G1689" s="21"/>
      <c r="H1689" s="22"/>
      <c r="I1689" s="23"/>
      <c r="J1689" s="24"/>
      <c r="K1689" s="25"/>
      <c r="L1689" s="23"/>
      <c r="M1689" s="23"/>
      <c r="N1689" s="24"/>
      <c r="O1689" s="24"/>
      <c r="P1689" s="25"/>
      <c r="Q1689" s="25"/>
    </row>
    <row r="1690" spans="1:17" s="20" customFormat="1" x14ac:dyDescent="0.25">
      <c r="A1690" s="9"/>
      <c r="B1690" s="28"/>
      <c r="C1690" s="28"/>
      <c r="D1690" s="28"/>
      <c r="E1690" s="28"/>
      <c r="F1690" s="31"/>
      <c r="G1690" s="21"/>
      <c r="H1690" s="22"/>
      <c r="I1690" s="23"/>
      <c r="J1690" s="24"/>
      <c r="K1690" s="25"/>
      <c r="L1690" s="23"/>
      <c r="M1690" s="23"/>
      <c r="N1690" s="24"/>
      <c r="O1690" s="24"/>
      <c r="P1690" s="25"/>
      <c r="Q1690" s="25"/>
    </row>
    <row r="1691" spans="1:17" s="20" customFormat="1" x14ac:dyDescent="0.25">
      <c r="A1691" s="9"/>
      <c r="B1691" s="28"/>
      <c r="C1691" s="28"/>
      <c r="D1691" s="28"/>
      <c r="E1691" s="28"/>
      <c r="F1691" s="31"/>
      <c r="G1691" s="21"/>
      <c r="H1691" s="22"/>
      <c r="I1691" s="23"/>
      <c r="J1691" s="24"/>
      <c r="K1691" s="25"/>
      <c r="L1691" s="23"/>
      <c r="M1691" s="23"/>
      <c r="N1691" s="24"/>
      <c r="O1691" s="24"/>
      <c r="P1691" s="25"/>
      <c r="Q1691" s="25"/>
    </row>
    <row r="1692" spans="1:17" s="20" customFormat="1" x14ac:dyDescent="0.25">
      <c r="A1692" s="9"/>
      <c r="B1692" s="28"/>
      <c r="C1692" s="28"/>
      <c r="D1692" s="28"/>
      <c r="E1692" s="28"/>
      <c r="F1692" s="31"/>
      <c r="G1692" s="21"/>
      <c r="H1692" s="22"/>
      <c r="I1692" s="23"/>
      <c r="J1692" s="24"/>
      <c r="K1692" s="25"/>
      <c r="L1692" s="23"/>
      <c r="M1692" s="23"/>
      <c r="N1692" s="24"/>
      <c r="O1692" s="24"/>
      <c r="P1692" s="25"/>
      <c r="Q1692" s="25"/>
    </row>
    <row r="1693" spans="1:17" s="20" customFormat="1" x14ac:dyDescent="0.25">
      <c r="A1693" s="9"/>
      <c r="B1693" s="28"/>
      <c r="C1693" s="28"/>
      <c r="D1693" s="28"/>
      <c r="E1693" s="28"/>
      <c r="F1693" s="31"/>
      <c r="G1693" s="21"/>
      <c r="H1693" s="22"/>
      <c r="I1693" s="23"/>
      <c r="J1693" s="24"/>
      <c r="K1693" s="25"/>
      <c r="L1693" s="23"/>
      <c r="M1693" s="23"/>
      <c r="N1693" s="24"/>
      <c r="O1693" s="24"/>
      <c r="P1693" s="25"/>
      <c r="Q1693" s="25"/>
    </row>
    <row r="1694" spans="1:17" s="20" customFormat="1" x14ac:dyDescent="0.25">
      <c r="A1694" s="9"/>
      <c r="B1694" s="28"/>
      <c r="C1694" s="28"/>
      <c r="D1694" s="28"/>
      <c r="E1694" s="28"/>
      <c r="F1694" s="31"/>
      <c r="G1694" s="21"/>
      <c r="H1694" s="22"/>
      <c r="I1694" s="23"/>
      <c r="J1694" s="24"/>
      <c r="K1694" s="25"/>
      <c r="L1694" s="23"/>
      <c r="M1694" s="23"/>
      <c r="N1694" s="24"/>
      <c r="O1694" s="24"/>
      <c r="P1694" s="25"/>
      <c r="Q1694" s="25"/>
    </row>
    <row r="1695" spans="1:17" s="20" customFormat="1" x14ac:dyDescent="0.25">
      <c r="A1695" s="9"/>
      <c r="B1695" s="28"/>
      <c r="C1695" s="28"/>
      <c r="D1695" s="28"/>
      <c r="E1695" s="28"/>
      <c r="F1695" s="31"/>
      <c r="G1695" s="21"/>
      <c r="H1695" s="22"/>
      <c r="I1695" s="23"/>
      <c r="J1695" s="24"/>
      <c r="K1695" s="25"/>
      <c r="L1695" s="23"/>
      <c r="M1695" s="23"/>
      <c r="N1695" s="24"/>
      <c r="O1695" s="24"/>
      <c r="P1695" s="25"/>
      <c r="Q1695" s="25"/>
    </row>
    <row r="1696" spans="1:17" s="20" customFormat="1" x14ac:dyDescent="0.25">
      <c r="A1696" s="9"/>
      <c r="B1696" s="28"/>
      <c r="C1696" s="28"/>
      <c r="D1696" s="28"/>
      <c r="E1696" s="28"/>
      <c r="F1696" s="31"/>
      <c r="G1696" s="21"/>
      <c r="H1696" s="22"/>
      <c r="I1696" s="23"/>
      <c r="J1696" s="24"/>
      <c r="K1696" s="25"/>
      <c r="L1696" s="23"/>
      <c r="M1696" s="23"/>
      <c r="N1696" s="24"/>
      <c r="O1696" s="24"/>
      <c r="P1696" s="25"/>
      <c r="Q1696" s="25"/>
    </row>
    <row r="1697" spans="1:17" s="20" customFormat="1" x14ac:dyDescent="0.25">
      <c r="A1697" s="9"/>
      <c r="B1697" s="28"/>
      <c r="C1697" s="28"/>
      <c r="D1697" s="28"/>
      <c r="E1697" s="28"/>
      <c r="F1697" s="31"/>
      <c r="G1697" s="21"/>
      <c r="H1697" s="22"/>
      <c r="I1697" s="23"/>
      <c r="J1697" s="24"/>
      <c r="K1697" s="25"/>
      <c r="L1697" s="23"/>
      <c r="M1697" s="23"/>
      <c r="N1697" s="24"/>
      <c r="O1697" s="24"/>
      <c r="P1697" s="25"/>
      <c r="Q1697" s="25"/>
    </row>
    <row r="1698" spans="1:17" s="20" customFormat="1" x14ac:dyDescent="0.25">
      <c r="A1698" s="9"/>
      <c r="B1698" s="28"/>
      <c r="C1698" s="28"/>
      <c r="D1698" s="28"/>
      <c r="E1698" s="28"/>
      <c r="F1698" s="31"/>
      <c r="G1698" s="21"/>
      <c r="H1698" s="22"/>
      <c r="I1698" s="23"/>
      <c r="J1698" s="24"/>
      <c r="K1698" s="25"/>
      <c r="L1698" s="23"/>
      <c r="M1698" s="23"/>
      <c r="N1698" s="24"/>
      <c r="O1698" s="24"/>
      <c r="P1698" s="25"/>
      <c r="Q1698" s="25"/>
    </row>
    <row r="1699" spans="1:17" s="20" customFormat="1" x14ac:dyDescent="0.25">
      <c r="A1699" s="9"/>
      <c r="B1699" s="28"/>
      <c r="C1699" s="28"/>
      <c r="D1699" s="28"/>
      <c r="E1699" s="28"/>
      <c r="F1699" s="31"/>
      <c r="G1699" s="21"/>
      <c r="H1699" s="22"/>
      <c r="I1699" s="23"/>
      <c r="J1699" s="24"/>
      <c r="K1699" s="25"/>
      <c r="L1699" s="23"/>
      <c r="M1699" s="23"/>
      <c r="N1699" s="24"/>
      <c r="O1699" s="24"/>
      <c r="P1699" s="25"/>
      <c r="Q1699" s="25"/>
    </row>
    <row r="1700" spans="1:17" s="20" customFormat="1" x14ac:dyDescent="0.25">
      <c r="A1700" s="9"/>
      <c r="B1700" s="28"/>
      <c r="C1700" s="28"/>
      <c r="D1700" s="28"/>
      <c r="E1700" s="28"/>
      <c r="F1700" s="31"/>
      <c r="G1700" s="21"/>
      <c r="H1700" s="22"/>
      <c r="I1700" s="23"/>
      <c r="J1700" s="24"/>
      <c r="K1700" s="25"/>
      <c r="L1700" s="23"/>
      <c r="M1700" s="23"/>
      <c r="N1700" s="24"/>
      <c r="O1700" s="24"/>
      <c r="P1700" s="25"/>
      <c r="Q1700" s="25"/>
    </row>
    <row r="1701" spans="1:17" s="20" customFormat="1" x14ac:dyDescent="0.25">
      <c r="A1701" s="9"/>
      <c r="B1701" s="28"/>
      <c r="C1701" s="28"/>
      <c r="D1701" s="28"/>
      <c r="E1701" s="28"/>
      <c r="F1701" s="31"/>
      <c r="G1701" s="21"/>
      <c r="H1701" s="22"/>
      <c r="I1701" s="23"/>
      <c r="J1701" s="24"/>
      <c r="K1701" s="25"/>
      <c r="L1701" s="23"/>
      <c r="M1701" s="23"/>
      <c r="N1701" s="24"/>
      <c r="O1701" s="24"/>
      <c r="P1701" s="25"/>
      <c r="Q1701" s="25"/>
    </row>
    <row r="1702" spans="1:17" s="20" customFormat="1" x14ac:dyDescent="0.25">
      <c r="A1702" s="9"/>
      <c r="B1702" s="28"/>
      <c r="C1702" s="28"/>
      <c r="D1702" s="28"/>
      <c r="E1702" s="28"/>
      <c r="F1702" s="31"/>
      <c r="G1702" s="21"/>
      <c r="H1702" s="22"/>
      <c r="I1702" s="23"/>
      <c r="J1702" s="24"/>
      <c r="K1702" s="25"/>
      <c r="L1702" s="23"/>
      <c r="M1702" s="23"/>
      <c r="N1702" s="24"/>
      <c r="O1702" s="24"/>
      <c r="P1702" s="25"/>
      <c r="Q1702" s="25"/>
    </row>
    <row r="1703" spans="1:17" s="20" customFormat="1" x14ac:dyDescent="0.25">
      <c r="A1703" s="9"/>
      <c r="B1703" s="28"/>
      <c r="C1703" s="28"/>
      <c r="D1703" s="28"/>
      <c r="E1703" s="28"/>
      <c r="F1703" s="31"/>
      <c r="G1703" s="21"/>
      <c r="H1703" s="22"/>
      <c r="I1703" s="23"/>
      <c r="J1703" s="24"/>
      <c r="K1703" s="25"/>
      <c r="L1703" s="23"/>
      <c r="M1703" s="23"/>
      <c r="N1703" s="24"/>
      <c r="O1703" s="24"/>
      <c r="P1703" s="25"/>
      <c r="Q1703" s="25"/>
    </row>
    <row r="1704" spans="1:17" s="20" customFormat="1" x14ac:dyDescent="0.25">
      <c r="A1704" s="9"/>
      <c r="B1704" s="28"/>
      <c r="C1704" s="28"/>
      <c r="D1704" s="28"/>
      <c r="E1704" s="28"/>
      <c r="F1704" s="31"/>
      <c r="G1704" s="21"/>
      <c r="H1704" s="22"/>
      <c r="I1704" s="23"/>
      <c r="J1704" s="24"/>
      <c r="K1704" s="25"/>
      <c r="L1704" s="23"/>
      <c r="M1704" s="23"/>
      <c r="N1704" s="24"/>
      <c r="O1704" s="24"/>
      <c r="P1704" s="25"/>
      <c r="Q1704" s="25"/>
    </row>
    <row r="1705" spans="1:17" s="20" customFormat="1" x14ac:dyDescent="0.25">
      <c r="A1705" s="9"/>
      <c r="B1705" s="28"/>
      <c r="C1705" s="28"/>
      <c r="D1705" s="28"/>
      <c r="E1705" s="28"/>
      <c r="F1705" s="31"/>
      <c r="G1705" s="21"/>
      <c r="H1705" s="22"/>
      <c r="I1705" s="23"/>
      <c r="J1705" s="24"/>
      <c r="K1705" s="25"/>
      <c r="L1705" s="23"/>
      <c r="M1705" s="23"/>
      <c r="N1705" s="24"/>
      <c r="O1705" s="24"/>
      <c r="P1705" s="25"/>
      <c r="Q1705" s="25"/>
    </row>
    <row r="1706" spans="1:17" s="20" customFormat="1" x14ac:dyDescent="0.25">
      <c r="A1706" s="9"/>
      <c r="B1706" s="28"/>
      <c r="C1706" s="28"/>
      <c r="D1706" s="28"/>
      <c r="E1706" s="28"/>
      <c r="F1706" s="31"/>
      <c r="G1706" s="21"/>
      <c r="H1706" s="22"/>
      <c r="I1706" s="23"/>
      <c r="J1706" s="24"/>
      <c r="K1706" s="25"/>
      <c r="L1706" s="23"/>
      <c r="M1706" s="23"/>
      <c r="N1706" s="24"/>
      <c r="O1706" s="24"/>
      <c r="P1706" s="25"/>
      <c r="Q1706" s="25"/>
    </row>
    <row r="1707" spans="1:17" s="20" customFormat="1" x14ac:dyDescent="0.25">
      <c r="A1707" s="9"/>
      <c r="B1707" s="28"/>
      <c r="C1707" s="28"/>
      <c r="D1707" s="28"/>
      <c r="E1707" s="28"/>
      <c r="F1707" s="31"/>
      <c r="G1707" s="21"/>
      <c r="H1707" s="22"/>
      <c r="I1707" s="23"/>
      <c r="J1707" s="24"/>
      <c r="K1707" s="25"/>
      <c r="L1707" s="23"/>
      <c r="M1707" s="23"/>
      <c r="N1707" s="24"/>
      <c r="O1707" s="24"/>
      <c r="P1707" s="25"/>
      <c r="Q1707" s="25"/>
    </row>
    <row r="1708" spans="1:17" s="20" customFormat="1" x14ac:dyDescent="0.25">
      <c r="A1708" s="9"/>
      <c r="B1708" s="28"/>
      <c r="C1708" s="28"/>
      <c r="D1708" s="28"/>
      <c r="E1708" s="28"/>
      <c r="F1708" s="31"/>
      <c r="G1708" s="21"/>
      <c r="H1708" s="22"/>
      <c r="I1708" s="23"/>
      <c r="J1708" s="24"/>
      <c r="K1708" s="25"/>
      <c r="L1708" s="23"/>
      <c r="M1708" s="23"/>
      <c r="N1708" s="24"/>
      <c r="O1708" s="24"/>
      <c r="P1708" s="25"/>
      <c r="Q1708" s="25"/>
    </row>
    <row r="1709" spans="1:17" s="20" customFormat="1" x14ac:dyDescent="0.25">
      <c r="A1709" s="9"/>
      <c r="B1709" s="28"/>
      <c r="C1709" s="28"/>
      <c r="D1709" s="28"/>
      <c r="E1709" s="28"/>
      <c r="F1709" s="31"/>
      <c r="G1709" s="21"/>
      <c r="H1709" s="22"/>
      <c r="I1709" s="23"/>
      <c r="J1709" s="24"/>
      <c r="K1709" s="25"/>
      <c r="L1709" s="23"/>
      <c r="M1709" s="23"/>
      <c r="N1709" s="24"/>
      <c r="O1709" s="24"/>
      <c r="P1709" s="25"/>
      <c r="Q1709" s="25"/>
    </row>
    <row r="1710" spans="1:17" s="20" customFormat="1" x14ac:dyDescent="0.25">
      <c r="A1710" s="9"/>
      <c r="B1710" s="28"/>
      <c r="C1710" s="28"/>
      <c r="D1710" s="28"/>
      <c r="E1710" s="28"/>
      <c r="F1710" s="31"/>
      <c r="G1710" s="21"/>
      <c r="H1710" s="22"/>
      <c r="I1710" s="23"/>
      <c r="J1710" s="24"/>
      <c r="K1710" s="25"/>
      <c r="L1710" s="23"/>
      <c r="M1710" s="23"/>
      <c r="N1710" s="24"/>
      <c r="O1710" s="24"/>
      <c r="P1710" s="25"/>
      <c r="Q1710" s="25"/>
    </row>
    <row r="1711" spans="1:17" s="20" customFormat="1" x14ac:dyDescent="0.25">
      <c r="A1711" s="9"/>
      <c r="B1711" s="28"/>
      <c r="C1711" s="28"/>
      <c r="D1711" s="28"/>
      <c r="E1711" s="28"/>
      <c r="F1711" s="31"/>
      <c r="G1711" s="21"/>
      <c r="H1711" s="22"/>
      <c r="I1711" s="23"/>
      <c r="J1711" s="24"/>
      <c r="K1711" s="25"/>
      <c r="L1711" s="23"/>
      <c r="M1711" s="23"/>
      <c r="N1711" s="24"/>
      <c r="O1711" s="24"/>
      <c r="P1711" s="25"/>
      <c r="Q1711" s="25"/>
    </row>
    <row r="1712" spans="1:17" s="20" customFormat="1" x14ac:dyDescent="0.25">
      <c r="A1712" s="9"/>
      <c r="B1712" s="28"/>
      <c r="C1712" s="28"/>
      <c r="D1712" s="28"/>
      <c r="E1712" s="28"/>
      <c r="F1712" s="31"/>
      <c r="G1712" s="21"/>
      <c r="H1712" s="22"/>
      <c r="I1712" s="23"/>
      <c r="J1712" s="24"/>
      <c r="K1712" s="25"/>
      <c r="L1712" s="23"/>
      <c r="M1712" s="23"/>
      <c r="N1712" s="24"/>
      <c r="O1712" s="24"/>
      <c r="P1712" s="25"/>
      <c r="Q1712" s="25"/>
    </row>
    <row r="1713" spans="1:17" s="20" customFormat="1" x14ac:dyDescent="0.25">
      <c r="A1713" s="9"/>
      <c r="B1713" s="28"/>
      <c r="C1713" s="28"/>
      <c r="D1713" s="28"/>
      <c r="E1713" s="28"/>
      <c r="F1713" s="31"/>
      <c r="G1713" s="21"/>
      <c r="H1713" s="22"/>
      <c r="I1713" s="23"/>
      <c r="J1713" s="24"/>
      <c r="K1713" s="25"/>
      <c r="L1713" s="23"/>
      <c r="M1713" s="23"/>
      <c r="N1713" s="24"/>
      <c r="O1713" s="24"/>
      <c r="P1713" s="25"/>
      <c r="Q1713" s="25"/>
    </row>
    <row r="1714" spans="1:17" s="20" customFormat="1" x14ac:dyDescent="0.25">
      <c r="A1714" s="9"/>
      <c r="B1714" s="28"/>
      <c r="C1714" s="28"/>
      <c r="D1714" s="28"/>
      <c r="E1714" s="28"/>
      <c r="F1714" s="31"/>
      <c r="G1714" s="21"/>
      <c r="H1714" s="22"/>
      <c r="I1714" s="23"/>
      <c r="J1714" s="24"/>
      <c r="K1714" s="25"/>
      <c r="L1714" s="23"/>
      <c r="M1714" s="23"/>
      <c r="N1714" s="24"/>
      <c r="O1714" s="24"/>
      <c r="P1714" s="25"/>
      <c r="Q1714" s="25"/>
    </row>
    <row r="1715" spans="1:17" s="20" customFormat="1" x14ac:dyDescent="0.25">
      <c r="A1715" s="9"/>
      <c r="B1715" s="28"/>
      <c r="C1715" s="28"/>
      <c r="D1715" s="28"/>
      <c r="E1715" s="28"/>
      <c r="F1715" s="31"/>
      <c r="G1715" s="21"/>
      <c r="H1715" s="22"/>
      <c r="I1715" s="23"/>
      <c r="J1715" s="24"/>
      <c r="K1715" s="25"/>
      <c r="L1715" s="23"/>
      <c r="M1715" s="23"/>
      <c r="N1715" s="24"/>
      <c r="O1715" s="24"/>
      <c r="P1715" s="25"/>
      <c r="Q1715" s="25"/>
    </row>
    <row r="1716" spans="1:17" s="20" customFormat="1" x14ac:dyDescent="0.25">
      <c r="A1716" s="9"/>
      <c r="B1716" s="28"/>
      <c r="C1716" s="28"/>
      <c r="D1716" s="28"/>
      <c r="E1716" s="28"/>
      <c r="F1716" s="31"/>
      <c r="G1716" s="21"/>
      <c r="H1716" s="22"/>
      <c r="I1716" s="23"/>
      <c r="J1716" s="24"/>
      <c r="K1716" s="25"/>
      <c r="L1716" s="23"/>
      <c r="M1716" s="23"/>
      <c r="N1716" s="24"/>
      <c r="O1716" s="24"/>
      <c r="P1716" s="25"/>
      <c r="Q1716" s="25"/>
    </row>
    <row r="1717" spans="1:17" s="20" customFormat="1" x14ac:dyDescent="0.25">
      <c r="A1717" s="9"/>
      <c r="B1717" s="28"/>
      <c r="C1717" s="28"/>
      <c r="D1717" s="28"/>
      <c r="E1717" s="28"/>
      <c r="F1717" s="31"/>
      <c r="G1717" s="21"/>
      <c r="H1717" s="22"/>
      <c r="I1717" s="23"/>
      <c r="J1717" s="24"/>
      <c r="K1717" s="25"/>
      <c r="L1717" s="23"/>
      <c r="M1717" s="23"/>
      <c r="N1717" s="24"/>
      <c r="O1717" s="24"/>
      <c r="P1717" s="25"/>
      <c r="Q1717" s="25"/>
    </row>
    <row r="1718" spans="1:17" s="20" customFormat="1" x14ac:dyDescent="0.25">
      <c r="A1718" s="9"/>
      <c r="B1718" s="28"/>
      <c r="C1718" s="28"/>
      <c r="D1718" s="28"/>
      <c r="E1718" s="28"/>
      <c r="F1718" s="31"/>
      <c r="G1718" s="21"/>
      <c r="H1718" s="22"/>
      <c r="I1718" s="23"/>
      <c r="J1718" s="24"/>
      <c r="K1718" s="25"/>
      <c r="L1718" s="23"/>
      <c r="M1718" s="23"/>
      <c r="N1718" s="24"/>
      <c r="O1718" s="24"/>
      <c r="P1718" s="25"/>
      <c r="Q1718" s="25"/>
    </row>
    <row r="1719" spans="1:17" s="20" customFormat="1" x14ac:dyDescent="0.25">
      <c r="A1719" s="9"/>
      <c r="B1719" s="28"/>
      <c r="C1719" s="28"/>
      <c r="D1719" s="28"/>
      <c r="E1719" s="28"/>
      <c r="F1719" s="31"/>
      <c r="G1719" s="21"/>
      <c r="H1719" s="22"/>
      <c r="I1719" s="23"/>
      <c r="J1719" s="24"/>
      <c r="K1719" s="25"/>
      <c r="L1719" s="23"/>
      <c r="M1719" s="23"/>
      <c r="N1719" s="24"/>
      <c r="O1719" s="24"/>
      <c r="P1719" s="25"/>
      <c r="Q1719" s="25"/>
    </row>
    <row r="1720" spans="1:17" s="20" customFormat="1" x14ac:dyDescent="0.25">
      <c r="A1720" s="9"/>
      <c r="B1720" s="28"/>
      <c r="C1720" s="28"/>
      <c r="D1720" s="28"/>
      <c r="E1720" s="28"/>
      <c r="F1720" s="31"/>
      <c r="G1720" s="21"/>
      <c r="H1720" s="22"/>
      <c r="I1720" s="23"/>
      <c r="J1720" s="24"/>
      <c r="K1720" s="25"/>
      <c r="L1720" s="23"/>
      <c r="M1720" s="23"/>
      <c r="N1720" s="24"/>
      <c r="O1720" s="24"/>
      <c r="P1720" s="25"/>
      <c r="Q1720" s="25"/>
    </row>
    <row r="1721" spans="1:17" s="20" customFormat="1" x14ac:dyDescent="0.25">
      <c r="A1721" s="9"/>
      <c r="B1721" s="28"/>
      <c r="C1721" s="28"/>
      <c r="D1721" s="28"/>
      <c r="E1721" s="28"/>
      <c r="F1721" s="31"/>
      <c r="G1721" s="21"/>
      <c r="H1721" s="22"/>
      <c r="I1721" s="23"/>
      <c r="J1721" s="24"/>
      <c r="K1721" s="25"/>
      <c r="L1721" s="23"/>
      <c r="M1721" s="23"/>
      <c r="N1721" s="24"/>
      <c r="O1721" s="24"/>
      <c r="P1721" s="25"/>
      <c r="Q1721" s="25"/>
    </row>
    <row r="1722" spans="1:17" s="20" customFormat="1" x14ac:dyDescent="0.25">
      <c r="A1722" s="9"/>
      <c r="B1722" s="28"/>
      <c r="C1722" s="28"/>
      <c r="D1722" s="28"/>
      <c r="E1722" s="28"/>
      <c r="F1722" s="31"/>
      <c r="G1722" s="21"/>
      <c r="H1722" s="22"/>
      <c r="I1722" s="23"/>
      <c r="J1722" s="24"/>
      <c r="K1722" s="25"/>
      <c r="L1722" s="23"/>
      <c r="M1722" s="23"/>
      <c r="N1722" s="24"/>
      <c r="O1722" s="24"/>
      <c r="P1722" s="25"/>
      <c r="Q1722" s="25"/>
    </row>
    <row r="1723" spans="1:17" s="20" customFormat="1" x14ac:dyDescent="0.25">
      <c r="A1723" s="9"/>
      <c r="B1723" s="28"/>
      <c r="C1723" s="28"/>
      <c r="D1723" s="28"/>
      <c r="E1723" s="28"/>
      <c r="F1723" s="31"/>
      <c r="G1723" s="21"/>
      <c r="H1723" s="22"/>
      <c r="I1723" s="23"/>
      <c r="J1723" s="24"/>
      <c r="K1723" s="25"/>
      <c r="L1723" s="23"/>
      <c r="M1723" s="23"/>
      <c r="N1723" s="24"/>
      <c r="O1723" s="24"/>
      <c r="P1723" s="25"/>
      <c r="Q1723" s="25"/>
    </row>
    <row r="1724" spans="1:17" s="20" customFormat="1" x14ac:dyDescent="0.25">
      <c r="A1724" s="9"/>
      <c r="B1724" s="28"/>
      <c r="C1724" s="28"/>
      <c r="D1724" s="28"/>
      <c r="E1724" s="28"/>
      <c r="F1724" s="31"/>
      <c r="G1724" s="21"/>
      <c r="H1724" s="22"/>
      <c r="I1724" s="23"/>
      <c r="J1724" s="24"/>
      <c r="K1724" s="25"/>
      <c r="L1724" s="23"/>
      <c r="M1724" s="23"/>
      <c r="N1724" s="24"/>
      <c r="O1724" s="24"/>
      <c r="P1724" s="25"/>
      <c r="Q1724" s="25"/>
    </row>
    <row r="1725" spans="1:17" s="20" customFormat="1" x14ac:dyDescent="0.25">
      <c r="A1725" s="9"/>
      <c r="B1725" s="28"/>
      <c r="C1725" s="28"/>
      <c r="D1725" s="28"/>
      <c r="E1725" s="28"/>
      <c r="F1725" s="31"/>
      <c r="G1725" s="21"/>
      <c r="H1725" s="22"/>
      <c r="I1725" s="23"/>
      <c r="J1725" s="24"/>
      <c r="K1725" s="25"/>
      <c r="L1725" s="23"/>
      <c r="M1725" s="23"/>
      <c r="N1725" s="24"/>
      <c r="O1725" s="24"/>
      <c r="P1725" s="25"/>
      <c r="Q1725" s="25"/>
    </row>
    <row r="1726" spans="1:17" s="20" customFormat="1" x14ac:dyDescent="0.25">
      <c r="A1726" s="9"/>
      <c r="B1726" s="28"/>
      <c r="C1726" s="28"/>
      <c r="D1726" s="28"/>
      <c r="E1726" s="28"/>
      <c r="F1726" s="31"/>
      <c r="G1726" s="21"/>
      <c r="H1726" s="22"/>
      <c r="I1726" s="23"/>
      <c r="J1726" s="24"/>
      <c r="K1726" s="25"/>
      <c r="L1726" s="23"/>
      <c r="M1726" s="23"/>
      <c r="N1726" s="24"/>
      <c r="O1726" s="24"/>
      <c r="P1726" s="25"/>
      <c r="Q1726" s="25"/>
    </row>
    <row r="1727" spans="1:17" s="20" customFormat="1" x14ac:dyDescent="0.25">
      <c r="A1727" s="9"/>
      <c r="B1727" s="28"/>
      <c r="C1727" s="28"/>
      <c r="D1727" s="28"/>
      <c r="E1727" s="28"/>
      <c r="F1727" s="31"/>
      <c r="G1727" s="21"/>
      <c r="H1727" s="22"/>
      <c r="I1727" s="23"/>
      <c r="J1727" s="24"/>
      <c r="K1727" s="25"/>
      <c r="L1727" s="23"/>
      <c r="M1727" s="23"/>
      <c r="N1727" s="24"/>
      <c r="O1727" s="24"/>
      <c r="P1727" s="25"/>
      <c r="Q1727" s="25"/>
    </row>
    <row r="1728" spans="1:17" s="20" customFormat="1" x14ac:dyDescent="0.25">
      <c r="A1728" s="9"/>
      <c r="B1728" s="28"/>
      <c r="C1728" s="28"/>
      <c r="D1728" s="28"/>
      <c r="E1728" s="28"/>
      <c r="F1728" s="31"/>
      <c r="G1728" s="21"/>
      <c r="H1728" s="22"/>
      <c r="I1728" s="23"/>
      <c r="J1728" s="24"/>
      <c r="K1728" s="25"/>
      <c r="L1728" s="23"/>
      <c r="M1728" s="23"/>
      <c r="N1728" s="24"/>
      <c r="O1728" s="24"/>
      <c r="P1728" s="25"/>
      <c r="Q1728" s="25"/>
    </row>
    <row r="1729" spans="1:17" s="20" customFormat="1" x14ac:dyDescent="0.25">
      <c r="A1729" s="9"/>
      <c r="B1729" s="28"/>
      <c r="C1729" s="28"/>
      <c r="D1729" s="28"/>
      <c r="E1729" s="28"/>
      <c r="F1729" s="31"/>
      <c r="G1729" s="21"/>
      <c r="H1729" s="22"/>
      <c r="I1729" s="23"/>
      <c r="J1729" s="24"/>
      <c r="K1729" s="25"/>
      <c r="L1729" s="23"/>
      <c r="M1729" s="23"/>
      <c r="N1729" s="24"/>
      <c r="O1729" s="24"/>
      <c r="P1729" s="25"/>
      <c r="Q1729" s="25"/>
    </row>
    <row r="1730" spans="1:17" s="20" customFormat="1" x14ac:dyDescent="0.25">
      <c r="A1730" s="9"/>
      <c r="B1730" s="28"/>
      <c r="C1730" s="28"/>
      <c r="D1730" s="28"/>
      <c r="E1730" s="28"/>
      <c r="F1730" s="31"/>
      <c r="G1730" s="21"/>
      <c r="H1730" s="22"/>
      <c r="I1730" s="23"/>
      <c r="J1730" s="24"/>
      <c r="K1730" s="25"/>
      <c r="L1730" s="23"/>
      <c r="M1730" s="23"/>
      <c r="N1730" s="24"/>
      <c r="O1730" s="24"/>
      <c r="P1730" s="25"/>
      <c r="Q1730" s="25"/>
    </row>
    <row r="1731" spans="1:17" s="20" customFormat="1" x14ac:dyDescent="0.25">
      <c r="A1731" s="9"/>
      <c r="B1731" s="28"/>
      <c r="C1731" s="28"/>
      <c r="D1731" s="28"/>
      <c r="E1731" s="28"/>
      <c r="F1731" s="31"/>
      <c r="G1731" s="21"/>
      <c r="H1731" s="22"/>
      <c r="I1731" s="23"/>
      <c r="J1731" s="24"/>
      <c r="K1731" s="25"/>
      <c r="L1731" s="23"/>
      <c r="M1731" s="23"/>
      <c r="N1731" s="24"/>
      <c r="O1731" s="24"/>
      <c r="P1731" s="25"/>
      <c r="Q1731" s="25"/>
    </row>
    <row r="1732" spans="1:17" s="20" customFormat="1" x14ac:dyDescent="0.25">
      <c r="A1732" s="9"/>
      <c r="B1732" s="28"/>
      <c r="C1732" s="28"/>
      <c r="D1732" s="28"/>
      <c r="E1732" s="28"/>
      <c r="F1732" s="31"/>
      <c r="G1732" s="21"/>
      <c r="H1732" s="22"/>
      <c r="I1732" s="23"/>
      <c r="J1732" s="24"/>
      <c r="K1732" s="25"/>
      <c r="L1732" s="23"/>
      <c r="M1732" s="23"/>
      <c r="N1732" s="24"/>
      <c r="O1732" s="24"/>
      <c r="P1732" s="25"/>
      <c r="Q1732" s="25"/>
    </row>
    <row r="1733" spans="1:17" s="20" customFormat="1" x14ac:dyDescent="0.25">
      <c r="A1733" s="9"/>
      <c r="B1733" s="28"/>
      <c r="C1733" s="28"/>
      <c r="D1733" s="28"/>
      <c r="E1733" s="28"/>
      <c r="F1733" s="31"/>
      <c r="G1733" s="21"/>
      <c r="H1733" s="22"/>
      <c r="I1733" s="23"/>
      <c r="J1733" s="24"/>
      <c r="K1733" s="25"/>
      <c r="L1733" s="23"/>
      <c r="M1733" s="23"/>
      <c r="N1733" s="24"/>
      <c r="O1733" s="24"/>
      <c r="P1733" s="25"/>
      <c r="Q1733" s="25"/>
    </row>
    <row r="1734" spans="1:17" s="20" customFormat="1" x14ac:dyDescent="0.25">
      <c r="A1734" s="9"/>
      <c r="B1734" s="28"/>
      <c r="C1734" s="28"/>
      <c r="D1734" s="28"/>
      <c r="E1734" s="28"/>
      <c r="F1734" s="31"/>
      <c r="G1734" s="21"/>
      <c r="H1734" s="22"/>
      <c r="I1734" s="23"/>
      <c r="J1734" s="24"/>
      <c r="K1734" s="25"/>
      <c r="L1734" s="23"/>
      <c r="M1734" s="23"/>
      <c r="N1734" s="24"/>
      <c r="O1734" s="24"/>
      <c r="P1734" s="25"/>
      <c r="Q1734" s="25"/>
    </row>
    <row r="1735" spans="1:17" s="20" customFormat="1" x14ac:dyDescent="0.25">
      <c r="A1735" s="9"/>
      <c r="B1735" s="28"/>
      <c r="C1735" s="28"/>
      <c r="D1735" s="28"/>
      <c r="E1735" s="28"/>
      <c r="F1735" s="31"/>
      <c r="G1735" s="21"/>
      <c r="H1735" s="22"/>
      <c r="I1735" s="23"/>
      <c r="J1735" s="24"/>
      <c r="K1735" s="25"/>
      <c r="L1735" s="23"/>
      <c r="M1735" s="23"/>
      <c r="N1735" s="24"/>
      <c r="O1735" s="24"/>
      <c r="P1735" s="25"/>
      <c r="Q1735" s="25"/>
    </row>
    <row r="1736" spans="1:17" s="20" customFormat="1" x14ac:dyDescent="0.25">
      <c r="A1736" s="9"/>
      <c r="B1736" s="28"/>
      <c r="C1736" s="28"/>
      <c r="D1736" s="28"/>
      <c r="E1736" s="28"/>
      <c r="F1736" s="31"/>
      <c r="G1736" s="21"/>
      <c r="H1736" s="22"/>
      <c r="I1736" s="23"/>
      <c r="J1736" s="24"/>
      <c r="K1736" s="25"/>
      <c r="L1736" s="23"/>
      <c r="M1736" s="23"/>
      <c r="N1736" s="24"/>
      <c r="O1736" s="24"/>
      <c r="P1736" s="25"/>
      <c r="Q1736" s="25"/>
    </row>
    <row r="1737" spans="1:17" s="20" customFormat="1" x14ac:dyDescent="0.25">
      <c r="A1737" s="9"/>
      <c r="B1737" s="28"/>
      <c r="C1737" s="28"/>
      <c r="D1737" s="28"/>
      <c r="E1737" s="28"/>
      <c r="F1737" s="31"/>
      <c r="G1737" s="21"/>
      <c r="H1737" s="22"/>
      <c r="I1737" s="23"/>
      <c r="J1737" s="24"/>
      <c r="K1737" s="25"/>
      <c r="L1737" s="23"/>
      <c r="M1737" s="23"/>
      <c r="N1737" s="24"/>
      <c r="O1737" s="24"/>
      <c r="P1737" s="25"/>
      <c r="Q1737" s="25"/>
    </row>
    <row r="1738" spans="1:17" s="20" customFormat="1" x14ac:dyDescent="0.25">
      <c r="A1738" s="9"/>
      <c r="B1738" s="28"/>
      <c r="C1738" s="28"/>
      <c r="D1738" s="28"/>
      <c r="E1738" s="28"/>
      <c r="F1738" s="31"/>
      <c r="G1738" s="21"/>
      <c r="H1738" s="22"/>
      <c r="I1738" s="23"/>
      <c r="J1738" s="24"/>
      <c r="K1738" s="25"/>
      <c r="L1738" s="23"/>
      <c r="M1738" s="23"/>
      <c r="N1738" s="24"/>
      <c r="O1738" s="24"/>
      <c r="P1738" s="25"/>
      <c r="Q1738" s="25"/>
    </row>
    <row r="1739" spans="1:17" s="20" customFormat="1" x14ac:dyDescent="0.25">
      <c r="A1739" s="9"/>
      <c r="B1739" s="28"/>
      <c r="C1739" s="28"/>
      <c r="D1739" s="28"/>
      <c r="E1739" s="28"/>
      <c r="F1739" s="31"/>
      <c r="G1739" s="21"/>
      <c r="H1739" s="22"/>
      <c r="I1739" s="23"/>
      <c r="J1739" s="24"/>
      <c r="K1739" s="25"/>
      <c r="L1739" s="23"/>
      <c r="M1739" s="23"/>
      <c r="N1739" s="24"/>
      <c r="O1739" s="24"/>
      <c r="P1739" s="25"/>
      <c r="Q1739" s="25"/>
    </row>
    <row r="1740" spans="1:17" s="20" customFormat="1" x14ac:dyDescent="0.25">
      <c r="A1740" s="9"/>
      <c r="B1740" s="28"/>
      <c r="C1740" s="28"/>
      <c r="D1740" s="28"/>
      <c r="E1740" s="28"/>
      <c r="F1740" s="31"/>
      <c r="G1740" s="21"/>
      <c r="H1740" s="22"/>
      <c r="I1740" s="23"/>
      <c r="J1740" s="24"/>
      <c r="K1740" s="25"/>
      <c r="L1740" s="23"/>
      <c r="M1740" s="23"/>
      <c r="N1740" s="24"/>
      <c r="O1740" s="24"/>
      <c r="P1740" s="25"/>
      <c r="Q1740" s="25"/>
    </row>
    <row r="1741" spans="1:17" s="20" customFormat="1" x14ac:dyDescent="0.25">
      <c r="A1741" s="9"/>
      <c r="B1741" s="28"/>
      <c r="C1741" s="28"/>
      <c r="D1741" s="28"/>
      <c r="E1741" s="28"/>
      <c r="F1741" s="31"/>
      <c r="G1741" s="21"/>
      <c r="H1741" s="22"/>
      <c r="I1741" s="23"/>
      <c r="J1741" s="24"/>
      <c r="K1741" s="25"/>
      <c r="L1741" s="23"/>
      <c r="M1741" s="23"/>
      <c r="N1741" s="24"/>
      <c r="O1741" s="24"/>
      <c r="P1741" s="25"/>
      <c r="Q1741" s="25"/>
    </row>
    <row r="1742" spans="1:17" s="20" customFormat="1" x14ac:dyDescent="0.25">
      <c r="A1742" s="9"/>
      <c r="B1742" s="28"/>
      <c r="C1742" s="28"/>
      <c r="D1742" s="28"/>
      <c r="E1742" s="28"/>
      <c r="F1742" s="31"/>
      <c r="G1742" s="21"/>
      <c r="H1742" s="22"/>
      <c r="I1742" s="23"/>
      <c r="J1742" s="24"/>
      <c r="K1742" s="25"/>
      <c r="L1742" s="23"/>
      <c r="M1742" s="23"/>
      <c r="N1742" s="24"/>
      <c r="O1742" s="24"/>
      <c r="P1742" s="25"/>
      <c r="Q1742" s="25"/>
    </row>
    <row r="1743" spans="1:17" s="20" customFormat="1" x14ac:dyDescent="0.25">
      <c r="A1743" s="9"/>
      <c r="B1743" s="28"/>
      <c r="C1743" s="28"/>
      <c r="D1743" s="28"/>
      <c r="E1743" s="28"/>
      <c r="F1743" s="31"/>
      <c r="G1743" s="21"/>
      <c r="H1743" s="22"/>
      <c r="I1743" s="23"/>
      <c r="J1743" s="24"/>
      <c r="K1743" s="25"/>
      <c r="L1743" s="23"/>
      <c r="M1743" s="23"/>
      <c r="N1743" s="24"/>
      <c r="O1743" s="24"/>
      <c r="P1743" s="25"/>
      <c r="Q1743" s="25"/>
    </row>
    <row r="1744" spans="1:17" s="20" customFormat="1" x14ac:dyDescent="0.25">
      <c r="A1744" s="9"/>
      <c r="B1744" s="28"/>
      <c r="C1744" s="28"/>
      <c r="D1744" s="28"/>
      <c r="E1744" s="28"/>
      <c r="F1744" s="31"/>
      <c r="G1744" s="21"/>
      <c r="H1744" s="22"/>
      <c r="I1744" s="23"/>
      <c r="J1744" s="24"/>
      <c r="K1744" s="25"/>
      <c r="L1744" s="23"/>
      <c r="M1744" s="23"/>
      <c r="N1744" s="24"/>
      <c r="O1744" s="24"/>
      <c r="P1744" s="25"/>
      <c r="Q1744" s="25"/>
    </row>
    <row r="1745" spans="1:17" s="20" customFormat="1" x14ac:dyDescent="0.25">
      <c r="A1745" s="9"/>
      <c r="B1745" s="28"/>
      <c r="C1745" s="28"/>
      <c r="D1745" s="28"/>
      <c r="E1745" s="28"/>
      <c r="F1745" s="31"/>
      <c r="G1745" s="21"/>
      <c r="H1745" s="22"/>
      <c r="I1745" s="23"/>
      <c r="J1745" s="24"/>
      <c r="K1745" s="25"/>
      <c r="L1745" s="23"/>
      <c r="M1745" s="23"/>
      <c r="N1745" s="24"/>
      <c r="O1745" s="24"/>
      <c r="P1745" s="25"/>
      <c r="Q1745" s="25"/>
    </row>
    <row r="1746" spans="1:17" s="20" customFormat="1" x14ac:dyDescent="0.25">
      <c r="A1746" s="9"/>
      <c r="B1746" s="28"/>
      <c r="C1746" s="28"/>
      <c r="D1746" s="28"/>
      <c r="E1746" s="28"/>
      <c r="F1746" s="31"/>
      <c r="G1746" s="21"/>
      <c r="H1746" s="22"/>
      <c r="I1746" s="23"/>
      <c r="J1746" s="24"/>
      <c r="K1746" s="25"/>
      <c r="L1746" s="23"/>
      <c r="M1746" s="23"/>
      <c r="N1746" s="24"/>
      <c r="O1746" s="24"/>
      <c r="P1746" s="25"/>
      <c r="Q1746" s="25"/>
    </row>
    <row r="1747" spans="1:17" s="20" customFormat="1" x14ac:dyDescent="0.25">
      <c r="A1747" s="9"/>
      <c r="B1747" s="28"/>
      <c r="C1747" s="28"/>
      <c r="D1747" s="28"/>
      <c r="E1747" s="28"/>
      <c r="F1747" s="31"/>
      <c r="G1747" s="21"/>
      <c r="H1747" s="22"/>
      <c r="I1747" s="23"/>
      <c r="J1747" s="24"/>
      <c r="K1747" s="25"/>
      <c r="L1747" s="23"/>
      <c r="M1747" s="23"/>
      <c r="N1747" s="24"/>
      <c r="O1747" s="24"/>
      <c r="P1747" s="25"/>
      <c r="Q1747" s="25"/>
    </row>
    <row r="1748" spans="1:17" s="20" customFormat="1" x14ac:dyDescent="0.25">
      <c r="A1748" s="9"/>
      <c r="B1748" s="28"/>
      <c r="C1748" s="28"/>
      <c r="D1748" s="28"/>
      <c r="E1748" s="28"/>
      <c r="F1748" s="31"/>
      <c r="G1748" s="21"/>
      <c r="H1748" s="22"/>
      <c r="I1748" s="23"/>
      <c r="J1748" s="24"/>
      <c r="K1748" s="25"/>
      <c r="L1748" s="23"/>
      <c r="M1748" s="23"/>
      <c r="N1748" s="24"/>
      <c r="O1748" s="24"/>
      <c r="P1748" s="25"/>
      <c r="Q1748" s="25"/>
    </row>
    <row r="1749" spans="1:17" s="20" customFormat="1" x14ac:dyDescent="0.25">
      <c r="A1749" s="9"/>
      <c r="B1749" s="28"/>
      <c r="C1749" s="28"/>
      <c r="D1749" s="28"/>
      <c r="E1749" s="28"/>
      <c r="F1749" s="31"/>
      <c r="G1749" s="21"/>
      <c r="H1749" s="22"/>
      <c r="I1749" s="23"/>
      <c r="J1749" s="24"/>
      <c r="K1749" s="25"/>
      <c r="L1749" s="23"/>
      <c r="M1749" s="23"/>
      <c r="N1749" s="24"/>
      <c r="O1749" s="24"/>
      <c r="P1749" s="25"/>
      <c r="Q1749" s="25"/>
    </row>
    <row r="1750" spans="1:17" s="20" customFormat="1" x14ac:dyDescent="0.25">
      <c r="A1750" s="9"/>
      <c r="B1750" s="28"/>
      <c r="C1750" s="28"/>
      <c r="D1750" s="28"/>
      <c r="E1750" s="28"/>
      <c r="F1750" s="31"/>
      <c r="G1750" s="21"/>
      <c r="H1750" s="22"/>
      <c r="I1750" s="23"/>
      <c r="J1750" s="24"/>
      <c r="K1750" s="25"/>
      <c r="L1750" s="23"/>
      <c r="M1750" s="23"/>
      <c r="N1750" s="24"/>
      <c r="O1750" s="24"/>
      <c r="P1750" s="25"/>
      <c r="Q1750" s="25"/>
    </row>
    <row r="1751" spans="1:17" s="20" customFormat="1" x14ac:dyDescent="0.25">
      <c r="A1751" s="9"/>
      <c r="B1751" s="28"/>
      <c r="C1751" s="28"/>
      <c r="D1751" s="28"/>
      <c r="E1751" s="28"/>
      <c r="F1751" s="31"/>
      <c r="G1751" s="21"/>
      <c r="H1751" s="22"/>
      <c r="I1751" s="23"/>
      <c r="J1751" s="24"/>
      <c r="K1751" s="25"/>
      <c r="L1751" s="23"/>
      <c r="M1751" s="23"/>
      <c r="N1751" s="24"/>
      <c r="O1751" s="24"/>
      <c r="P1751" s="25"/>
      <c r="Q1751" s="25"/>
    </row>
    <row r="1752" spans="1:17" s="20" customFormat="1" x14ac:dyDescent="0.25">
      <c r="A1752" s="9"/>
      <c r="B1752" s="28"/>
      <c r="C1752" s="28"/>
      <c r="D1752" s="28"/>
      <c r="E1752" s="28"/>
      <c r="F1752" s="31"/>
      <c r="G1752" s="21"/>
      <c r="H1752" s="22"/>
      <c r="I1752" s="23"/>
      <c r="J1752" s="24"/>
      <c r="K1752" s="25"/>
      <c r="L1752" s="23"/>
      <c r="M1752" s="23"/>
      <c r="N1752" s="24"/>
      <c r="O1752" s="24"/>
      <c r="P1752" s="25"/>
      <c r="Q1752" s="25"/>
    </row>
    <row r="1753" spans="1:17" s="20" customFormat="1" x14ac:dyDescent="0.25">
      <c r="A1753" s="9"/>
      <c r="B1753" s="28"/>
      <c r="C1753" s="28"/>
      <c r="D1753" s="28"/>
      <c r="E1753" s="28"/>
      <c r="F1753" s="31"/>
      <c r="G1753" s="21"/>
      <c r="H1753" s="22"/>
      <c r="I1753" s="23"/>
      <c r="J1753" s="24"/>
      <c r="K1753" s="25"/>
      <c r="L1753" s="23"/>
      <c r="M1753" s="23"/>
      <c r="N1753" s="24"/>
      <c r="O1753" s="24"/>
      <c r="P1753" s="25"/>
      <c r="Q1753" s="25"/>
    </row>
    <row r="1754" spans="1:17" s="20" customFormat="1" x14ac:dyDescent="0.25">
      <c r="A1754" s="9"/>
      <c r="B1754" s="28"/>
      <c r="C1754" s="28"/>
      <c r="D1754" s="28"/>
      <c r="E1754" s="28"/>
      <c r="F1754" s="31"/>
      <c r="G1754" s="21"/>
      <c r="H1754" s="22"/>
      <c r="I1754" s="23"/>
      <c r="J1754" s="24"/>
      <c r="K1754" s="25"/>
      <c r="L1754" s="23"/>
      <c r="M1754" s="23"/>
      <c r="N1754" s="24"/>
      <c r="O1754" s="24"/>
      <c r="P1754" s="25"/>
      <c r="Q1754" s="25"/>
    </row>
    <row r="1755" spans="1:17" s="20" customFormat="1" x14ac:dyDescent="0.25">
      <c r="A1755" s="9"/>
      <c r="B1755" s="28"/>
      <c r="C1755" s="28"/>
      <c r="D1755" s="28"/>
      <c r="E1755" s="28"/>
      <c r="F1755" s="31"/>
      <c r="G1755" s="21"/>
      <c r="H1755" s="22"/>
      <c r="I1755" s="23"/>
      <c r="J1755" s="24"/>
      <c r="K1755" s="25"/>
      <c r="L1755" s="23"/>
      <c r="M1755" s="23"/>
      <c r="N1755" s="24"/>
      <c r="O1755" s="24"/>
      <c r="P1755" s="25"/>
      <c r="Q1755" s="25"/>
    </row>
    <row r="1756" spans="1:17" s="20" customFormat="1" x14ac:dyDescent="0.25">
      <c r="A1756" s="9"/>
      <c r="B1756" s="28"/>
      <c r="C1756" s="28"/>
      <c r="D1756" s="28"/>
      <c r="E1756" s="28"/>
      <c r="F1756" s="31"/>
      <c r="G1756" s="21"/>
      <c r="H1756" s="22"/>
      <c r="I1756" s="23"/>
      <c r="J1756" s="24"/>
      <c r="K1756" s="25"/>
      <c r="L1756" s="23"/>
      <c r="M1756" s="23"/>
      <c r="N1756" s="24"/>
      <c r="O1756" s="24"/>
      <c r="P1756" s="25"/>
      <c r="Q1756" s="25"/>
    </row>
    <row r="1757" spans="1:17" s="20" customFormat="1" x14ac:dyDescent="0.25">
      <c r="A1757" s="9"/>
      <c r="B1757" s="28"/>
      <c r="C1757" s="28"/>
      <c r="D1757" s="28"/>
      <c r="E1757" s="28"/>
      <c r="F1757" s="31"/>
      <c r="G1757" s="21"/>
      <c r="H1757" s="22"/>
      <c r="I1757" s="23"/>
      <c r="J1757" s="24"/>
      <c r="K1757" s="25"/>
      <c r="L1757" s="23"/>
      <c r="M1757" s="23"/>
      <c r="N1757" s="24"/>
      <c r="O1757" s="24"/>
      <c r="P1757" s="25"/>
      <c r="Q1757" s="25"/>
    </row>
    <row r="1758" spans="1:17" s="20" customFormat="1" x14ac:dyDescent="0.25">
      <c r="A1758" s="9"/>
      <c r="B1758" s="28"/>
      <c r="C1758" s="28"/>
      <c r="D1758" s="28"/>
      <c r="E1758" s="28"/>
      <c r="F1758" s="31"/>
      <c r="G1758" s="21"/>
      <c r="H1758" s="22"/>
      <c r="I1758" s="23"/>
      <c r="J1758" s="24"/>
      <c r="K1758" s="25"/>
      <c r="L1758" s="23"/>
      <c r="M1758" s="23"/>
      <c r="N1758" s="24"/>
      <c r="O1758" s="24"/>
      <c r="P1758" s="25"/>
      <c r="Q1758" s="25"/>
    </row>
    <row r="1759" spans="1:17" s="20" customFormat="1" x14ac:dyDescent="0.25">
      <c r="A1759" s="9"/>
      <c r="B1759" s="28"/>
      <c r="C1759" s="28"/>
      <c r="D1759" s="28"/>
      <c r="E1759" s="28"/>
      <c r="F1759" s="31"/>
      <c r="G1759" s="21"/>
      <c r="H1759" s="22"/>
      <c r="I1759" s="23"/>
      <c r="J1759" s="24"/>
      <c r="K1759" s="25"/>
      <c r="L1759" s="23"/>
      <c r="M1759" s="23"/>
      <c r="N1759" s="24"/>
      <c r="O1759" s="24"/>
      <c r="P1759" s="25"/>
      <c r="Q1759" s="25"/>
    </row>
    <row r="1760" spans="1:17" s="20" customFormat="1" x14ac:dyDescent="0.25">
      <c r="A1760" s="9"/>
      <c r="B1760" s="28"/>
      <c r="C1760" s="28"/>
      <c r="D1760" s="28"/>
      <c r="E1760" s="28"/>
      <c r="F1760" s="31"/>
      <c r="G1760" s="21"/>
      <c r="H1760" s="22"/>
      <c r="I1760" s="23"/>
      <c r="J1760" s="24"/>
      <c r="K1760" s="25"/>
      <c r="L1760" s="23"/>
      <c r="M1760" s="23"/>
      <c r="N1760" s="24"/>
      <c r="O1760" s="24"/>
      <c r="P1760" s="25"/>
      <c r="Q1760" s="25"/>
    </row>
    <row r="1761" spans="1:17" s="20" customFormat="1" x14ac:dyDescent="0.25">
      <c r="A1761" s="9"/>
      <c r="B1761" s="28"/>
      <c r="C1761" s="28"/>
      <c r="D1761" s="28"/>
      <c r="E1761" s="28"/>
      <c r="F1761" s="31"/>
      <c r="G1761" s="21"/>
      <c r="H1761" s="22"/>
      <c r="I1761" s="23"/>
      <c r="J1761" s="24"/>
      <c r="K1761" s="25"/>
      <c r="L1761" s="23"/>
      <c r="M1761" s="23"/>
      <c r="N1761" s="24"/>
      <c r="O1761" s="24"/>
      <c r="P1761" s="25"/>
      <c r="Q1761" s="25"/>
    </row>
    <row r="1762" spans="1:17" s="20" customFormat="1" x14ac:dyDescent="0.25">
      <c r="A1762" s="9"/>
      <c r="B1762" s="28"/>
      <c r="C1762" s="28"/>
      <c r="D1762" s="28"/>
      <c r="E1762" s="28"/>
      <c r="F1762" s="31"/>
      <c r="G1762" s="21"/>
      <c r="H1762" s="22"/>
      <c r="I1762" s="23"/>
      <c r="J1762" s="24"/>
      <c r="K1762" s="25"/>
      <c r="L1762" s="23"/>
      <c r="M1762" s="23"/>
      <c r="N1762" s="24"/>
      <c r="O1762" s="24"/>
      <c r="P1762" s="25"/>
      <c r="Q1762" s="25"/>
    </row>
    <row r="1763" spans="1:17" s="20" customFormat="1" x14ac:dyDescent="0.25">
      <c r="A1763" s="9"/>
      <c r="B1763" s="28"/>
      <c r="C1763" s="28"/>
      <c r="D1763" s="28"/>
      <c r="E1763" s="28"/>
      <c r="F1763" s="31"/>
      <c r="G1763" s="21"/>
      <c r="H1763" s="22"/>
      <c r="I1763" s="23"/>
      <c r="J1763" s="24"/>
      <c r="K1763" s="25"/>
      <c r="L1763" s="23"/>
      <c r="M1763" s="23"/>
      <c r="N1763" s="24"/>
      <c r="O1763" s="24"/>
      <c r="P1763" s="25"/>
      <c r="Q1763" s="25"/>
    </row>
    <row r="1764" spans="1:17" s="20" customFormat="1" x14ac:dyDescent="0.25">
      <c r="A1764" s="9"/>
      <c r="B1764" s="28"/>
      <c r="C1764" s="28"/>
      <c r="D1764" s="28"/>
      <c r="E1764" s="28"/>
      <c r="F1764" s="31"/>
      <c r="G1764" s="21"/>
      <c r="H1764" s="22"/>
      <c r="I1764" s="23"/>
      <c r="J1764" s="24"/>
      <c r="K1764" s="25"/>
      <c r="L1764" s="23"/>
      <c r="M1764" s="23"/>
      <c r="N1764" s="24"/>
      <c r="O1764" s="24"/>
      <c r="P1764" s="25"/>
      <c r="Q1764" s="25"/>
    </row>
    <row r="1765" spans="1:17" s="20" customFormat="1" x14ac:dyDescent="0.25">
      <c r="A1765" s="9"/>
      <c r="B1765" s="28"/>
      <c r="C1765" s="28"/>
      <c r="D1765" s="28"/>
      <c r="E1765" s="28"/>
      <c r="F1765" s="31"/>
      <c r="G1765" s="21"/>
      <c r="H1765" s="22"/>
      <c r="I1765" s="23"/>
      <c r="J1765" s="24"/>
      <c r="K1765" s="25"/>
      <c r="L1765" s="23"/>
      <c r="M1765" s="23"/>
      <c r="N1765" s="24"/>
      <c r="O1765" s="24"/>
      <c r="P1765" s="25"/>
      <c r="Q1765" s="25"/>
    </row>
    <row r="1766" spans="1:17" s="20" customFormat="1" x14ac:dyDescent="0.25">
      <c r="A1766" s="9"/>
      <c r="B1766" s="28"/>
      <c r="C1766" s="28"/>
      <c r="D1766" s="28"/>
      <c r="E1766" s="28"/>
      <c r="F1766" s="31"/>
      <c r="G1766" s="21"/>
      <c r="H1766" s="22"/>
      <c r="I1766" s="23"/>
      <c r="J1766" s="24"/>
      <c r="K1766" s="25"/>
      <c r="L1766" s="23"/>
      <c r="M1766" s="23"/>
      <c r="N1766" s="24"/>
      <c r="O1766" s="24"/>
      <c r="P1766" s="25"/>
      <c r="Q1766" s="25"/>
    </row>
    <row r="1767" spans="1:17" s="20" customFormat="1" x14ac:dyDescent="0.25">
      <c r="A1767" s="9"/>
      <c r="B1767" s="28"/>
      <c r="C1767" s="28"/>
      <c r="D1767" s="28"/>
      <c r="E1767" s="28"/>
      <c r="F1767" s="31"/>
      <c r="G1767" s="21"/>
      <c r="H1767" s="22"/>
      <c r="I1767" s="23"/>
      <c r="J1767" s="24"/>
      <c r="K1767" s="25"/>
      <c r="L1767" s="23"/>
      <c r="M1767" s="23"/>
      <c r="N1767" s="24"/>
      <c r="O1767" s="24"/>
      <c r="P1767" s="25"/>
      <c r="Q1767" s="25"/>
    </row>
    <row r="1768" spans="1:17" s="20" customFormat="1" x14ac:dyDescent="0.25">
      <c r="A1768" s="9"/>
      <c r="B1768" s="28"/>
      <c r="C1768" s="28"/>
      <c r="D1768" s="28"/>
      <c r="E1768" s="28"/>
      <c r="F1768" s="31"/>
      <c r="G1768" s="21"/>
      <c r="H1768" s="22"/>
      <c r="I1768" s="23"/>
      <c r="J1768" s="24"/>
      <c r="K1768" s="25"/>
      <c r="L1768" s="23"/>
      <c r="M1768" s="23"/>
      <c r="N1768" s="24"/>
      <c r="O1768" s="24"/>
      <c r="P1768" s="25"/>
      <c r="Q1768" s="25"/>
    </row>
    <row r="1769" spans="1:17" s="20" customFormat="1" x14ac:dyDescent="0.25">
      <c r="A1769" s="9"/>
      <c r="B1769" s="28"/>
      <c r="C1769" s="28"/>
      <c r="D1769" s="28"/>
      <c r="E1769" s="28"/>
      <c r="F1769" s="31"/>
      <c r="G1769" s="21"/>
      <c r="H1769" s="22"/>
      <c r="I1769" s="23"/>
      <c r="J1769" s="24"/>
      <c r="K1769" s="25"/>
      <c r="L1769" s="23"/>
      <c r="M1769" s="23"/>
      <c r="N1769" s="24"/>
      <c r="O1769" s="24"/>
      <c r="P1769" s="25"/>
      <c r="Q1769" s="25"/>
    </row>
    <row r="1770" spans="1:17" s="20" customFormat="1" x14ac:dyDescent="0.25">
      <c r="A1770" s="9"/>
      <c r="B1770" s="28"/>
      <c r="C1770" s="28"/>
      <c r="D1770" s="28"/>
      <c r="E1770" s="28"/>
      <c r="F1770" s="31"/>
      <c r="G1770" s="21"/>
      <c r="H1770" s="22"/>
      <c r="I1770" s="23"/>
      <c r="J1770" s="24"/>
      <c r="K1770" s="25"/>
      <c r="L1770" s="23"/>
      <c r="M1770" s="23"/>
      <c r="N1770" s="24"/>
      <c r="O1770" s="24"/>
      <c r="P1770" s="25"/>
      <c r="Q1770" s="25"/>
    </row>
    <row r="1771" spans="1:17" s="20" customFormat="1" x14ac:dyDescent="0.25">
      <c r="A1771" s="9"/>
      <c r="B1771" s="28"/>
      <c r="C1771" s="28"/>
      <c r="D1771" s="28"/>
      <c r="E1771" s="28"/>
      <c r="F1771" s="31"/>
      <c r="G1771" s="21"/>
      <c r="H1771" s="22"/>
      <c r="I1771" s="23"/>
      <c r="J1771" s="24"/>
      <c r="K1771" s="25"/>
      <c r="L1771" s="23"/>
      <c r="M1771" s="23"/>
      <c r="N1771" s="24"/>
      <c r="O1771" s="24"/>
      <c r="P1771" s="25"/>
      <c r="Q1771" s="25"/>
    </row>
    <row r="1772" spans="1:17" s="20" customFormat="1" x14ac:dyDescent="0.25">
      <c r="A1772" s="9"/>
      <c r="B1772" s="28"/>
      <c r="C1772" s="28"/>
      <c r="D1772" s="28"/>
      <c r="E1772" s="28"/>
      <c r="F1772" s="31"/>
      <c r="G1772" s="21"/>
      <c r="H1772" s="22"/>
      <c r="I1772" s="23"/>
      <c r="J1772" s="24"/>
      <c r="K1772" s="25"/>
      <c r="L1772" s="23"/>
      <c r="M1772" s="23"/>
      <c r="N1772" s="24"/>
      <c r="O1772" s="24"/>
      <c r="P1772" s="25"/>
      <c r="Q1772" s="25"/>
    </row>
    <row r="1773" spans="1:17" s="20" customFormat="1" x14ac:dyDescent="0.25">
      <c r="A1773" s="9"/>
      <c r="B1773" s="28"/>
      <c r="C1773" s="28"/>
      <c r="D1773" s="28"/>
      <c r="E1773" s="28"/>
      <c r="F1773" s="31"/>
      <c r="G1773" s="21"/>
      <c r="H1773" s="22"/>
      <c r="I1773" s="23"/>
      <c r="J1773" s="24"/>
      <c r="K1773" s="25"/>
      <c r="L1773" s="23"/>
      <c r="M1773" s="23"/>
      <c r="N1773" s="24"/>
      <c r="O1773" s="24"/>
      <c r="P1773" s="25"/>
      <c r="Q1773" s="25"/>
    </row>
    <row r="1774" spans="1:17" s="20" customFormat="1" x14ac:dyDescent="0.25">
      <c r="A1774" s="9"/>
      <c r="B1774" s="28"/>
      <c r="C1774" s="28"/>
      <c r="D1774" s="28"/>
      <c r="E1774" s="28"/>
      <c r="F1774" s="31"/>
      <c r="G1774" s="21"/>
      <c r="H1774" s="22"/>
      <c r="I1774" s="23"/>
      <c r="J1774" s="24"/>
      <c r="K1774" s="25"/>
      <c r="L1774" s="23"/>
      <c r="M1774" s="23"/>
      <c r="N1774" s="24"/>
      <c r="O1774" s="24"/>
      <c r="P1774" s="25"/>
      <c r="Q1774" s="25"/>
    </row>
    <row r="1775" spans="1:17" s="20" customFormat="1" x14ac:dyDescent="0.25">
      <c r="A1775" s="9"/>
      <c r="B1775" s="28"/>
      <c r="C1775" s="28"/>
      <c r="D1775" s="28"/>
      <c r="E1775" s="28"/>
      <c r="F1775" s="31"/>
      <c r="G1775" s="21"/>
      <c r="H1775" s="22"/>
      <c r="I1775" s="23"/>
      <c r="J1775" s="24"/>
      <c r="K1775" s="25"/>
      <c r="L1775" s="23"/>
      <c r="M1775" s="23"/>
      <c r="N1775" s="24"/>
      <c r="O1775" s="24"/>
      <c r="P1775" s="25"/>
      <c r="Q1775" s="25"/>
    </row>
    <row r="1776" spans="1:17" s="20" customFormat="1" x14ac:dyDescent="0.25">
      <c r="A1776" s="9"/>
      <c r="B1776" s="28"/>
      <c r="C1776" s="28"/>
      <c r="D1776" s="28"/>
      <c r="E1776" s="28"/>
      <c r="F1776" s="31"/>
      <c r="G1776" s="21"/>
      <c r="H1776" s="22"/>
      <c r="I1776" s="23"/>
      <c r="J1776" s="24"/>
      <c r="K1776" s="25"/>
      <c r="L1776" s="23"/>
      <c r="M1776" s="23"/>
      <c r="N1776" s="24"/>
      <c r="O1776" s="24"/>
      <c r="P1776" s="25"/>
      <c r="Q1776" s="25"/>
    </row>
    <row r="1777" spans="1:17" s="20" customFormat="1" x14ac:dyDescent="0.25">
      <c r="A1777" s="9"/>
      <c r="B1777" s="28"/>
      <c r="C1777" s="28"/>
      <c r="D1777" s="28"/>
      <c r="E1777" s="28"/>
      <c r="F1777" s="31"/>
      <c r="G1777" s="21"/>
      <c r="H1777" s="22"/>
      <c r="I1777" s="23"/>
      <c r="J1777" s="24"/>
      <c r="K1777" s="25"/>
      <c r="L1777" s="23"/>
      <c r="M1777" s="23"/>
      <c r="N1777" s="24"/>
      <c r="O1777" s="24"/>
      <c r="P1777" s="25"/>
      <c r="Q1777" s="25"/>
    </row>
    <row r="1778" spans="1:17" s="20" customFormat="1" x14ac:dyDescent="0.25">
      <c r="A1778" s="9"/>
      <c r="B1778" s="28"/>
      <c r="C1778" s="28"/>
      <c r="D1778" s="28"/>
      <c r="E1778" s="28"/>
      <c r="F1778" s="31"/>
      <c r="G1778" s="21"/>
      <c r="H1778" s="22"/>
      <c r="I1778" s="23"/>
      <c r="J1778" s="24"/>
      <c r="K1778" s="25"/>
      <c r="L1778" s="23"/>
      <c r="M1778" s="23"/>
      <c r="N1778" s="24"/>
      <c r="O1778" s="24"/>
      <c r="P1778" s="25"/>
      <c r="Q1778" s="25"/>
    </row>
    <row r="1779" spans="1:17" s="20" customFormat="1" x14ac:dyDescent="0.25">
      <c r="A1779" s="9"/>
      <c r="B1779" s="28"/>
      <c r="C1779" s="28"/>
      <c r="D1779" s="28"/>
      <c r="E1779" s="28"/>
      <c r="F1779" s="31"/>
      <c r="G1779" s="21"/>
      <c r="H1779" s="22"/>
      <c r="I1779" s="23"/>
      <c r="J1779" s="24"/>
      <c r="K1779" s="25"/>
      <c r="L1779" s="23"/>
      <c r="M1779" s="23"/>
      <c r="N1779" s="24"/>
      <c r="O1779" s="24"/>
      <c r="P1779" s="25"/>
      <c r="Q1779" s="25"/>
    </row>
    <row r="1780" spans="1:17" s="20" customFormat="1" x14ac:dyDescent="0.25">
      <c r="A1780" s="9"/>
      <c r="B1780" s="28"/>
      <c r="C1780" s="28"/>
      <c r="D1780" s="28"/>
      <c r="E1780" s="28"/>
      <c r="F1780" s="31"/>
      <c r="G1780" s="21"/>
      <c r="H1780" s="22"/>
      <c r="I1780" s="23"/>
      <c r="J1780" s="24"/>
      <c r="K1780" s="25"/>
      <c r="L1780" s="23"/>
      <c r="M1780" s="23"/>
      <c r="N1780" s="24"/>
      <c r="O1780" s="24"/>
      <c r="P1780" s="25"/>
      <c r="Q1780" s="25"/>
    </row>
    <row r="1781" spans="1:17" s="20" customFormat="1" x14ac:dyDescent="0.25">
      <c r="A1781" s="9"/>
      <c r="B1781" s="28"/>
      <c r="C1781" s="28"/>
      <c r="D1781" s="28"/>
      <c r="E1781" s="28"/>
      <c r="F1781" s="31"/>
      <c r="G1781" s="21"/>
      <c r="H1781" s="22"/>
      <c r="I1781" s="23"/>
      <c r="J1781" s="24"/>
      <c r="K1781" s="25"/>
      <c r="L1781" s="23"/>
      <c r="M1781" s="23"/>
      <c r="N1781" s="24"/>
      <c r="O1781" s="24"/>
      <c r="P1781" s="25"/>
      <c r="Q1781" s="25"/>
    </row>
    <row r="1782" spans="1:17" s="20" customFormat="1" x14ac:dyDescent="0.25">
      <c r="A1782" s="9"/>
      <c r="B1782" s="28"/>
      <c r="C1782" s="28"/>
      <c r="D1782" s="28"/>
      <c r="E1782" s="28"/>
      <c r="F1782" s="31"/>
      <c r="G1782" s="21"/>
      <c r="H1782" s="22"/>
      <c r="I1782" s="23"/>
      <c r="J1782" s="24"/>
      <c r="K1782" s="25"/>
      <c r="L1782" s="23"/>
      <c r="M1782" s="23"/>
      <c r="N1782" s="24"/>
      <c r="O1782" s="24"/>
      <c r="P1782" s="25"/>
      <c r="Q1782" s="25"/>
    </row>
    <row r="1783" spans="1:17" s="20" customFormat="1" x14ac:dyDescent="0.25">
      <c r="A1783" s="9"/>
      <c r="B1783" s="28"/>
      <c r="C1783" s="28"/>
      <c r="D1783" s="28"/>
      <c r="E1783" s="28"/>
      <c r="F1783" s="31"/>
      <c r="G1783" s="21"/>
      <c r="H1783" s="22"/>
      <c r="I1783" s="23"/>
      <c r="J1783" s="24"/>
      <c r="K1783" s="25"/>
      <c r="L1783" s="23"/>
      <c r="M1783" s="23"/>
      <c r="N1783" s="24"/>
      <c r="O1783" s="24"/>
      <c r="P1783" s="25"/>
      <c r="Q1783" s="25"/>
    </row>
    <row r="1784" spans="1:17" s="20" customFormat="1" x14ac:dyDescent="0.25">
      <c r="A1784" s="9"/>
      <c r="B1784" s="28"/>
      <c r="C1784" s="28"/>
      <c r="D1784" s="28"/>
      <c r="E1784" s="28"/>
      <c r="F1784" s="31"/>
      <c r="G1784" s="21"/>
      <c r="H1784" s="22"/>
      <c r="I1784" s="23"/>
      <c r="J1784" s="24"/>
      <c r="K1784" s="25"/>
      <c r="L1784" s="23"/>
      <c r="M1784" s="23"/>
      <c r="N1784" s="24"/>
      <c r="O1784" s="24"/>
      <c r="P1784" s="25"/>
      <c r="Q1784" s="25"/>
    </row>
    <row r="1785" spans="1:17" s="20" customFormat="1" x14ac:dyDescent="0.25">
      <c r="A1785" s="9"/>
      <c r="B1785" s="28"/>
      <c r="C1785" s="28"/>
      <c r="D1785" s="28"/>
      <c r="E1785" s="28"/>
      <c r="F1785" s="31"/>
      <c r="G1785" s="21"/>
      <c r="H1785" s="22"/>
      <c r="I1785" s="23"/>
      <c r="J1785" s="24"/>
      <c r="K1785" s="25"/>
      <c r="L1785" s="23"/>
      <c r="M1785" s="23"/>
      <c r="N1785" s="24"/>
      <c r="O1785" s="24"/>
      <c r="P1785" s="25"/>
      <c r="Q1785" s="25"/>
    </row>
    <row r="1786" spans="1:17" s="20" customFormat="1" x14ac:dyDescent="0.25">
      <c r="A1786" s="9"/>
      <c r="B1786" s="28"/>
      <c r="C1786" s="28"/>
      <c r="D1786" s="28"/>
      <c r="E1786" s="28"/>
      <c r="F1786" s="31"/>
      <c r="G1786" s="21"/>
      <c r="H1786" s="22"/>
      <c r="I1786" s="23"/>
      <c r="J1786" s="24"/>
      <c r="K1786" s="25"/>
      <c r="L1786" s="23"/>
      <c r="M1786" s="23"/>
      <c r="N1786" s="24"/>
      <c r="O1786" s="24"/>
      <c r="P1786" s="25"/>
      <c r="Q1786" s="25"/>
    </row>
    <row r="1787" spans="1:17" s="20" customFormat="1" x14ac:dyDescent="0.25">
      <c r="A1787" s="9"/>
      <c r="B1787" s="28"/>
      <c r="C1787" s="28"/>
      <c r="D1787" s="28"/>
      <c r="E1787" s="28"/>
      <c r="F1787" s="31"/>
      <c r="G1787" s="21"/>
      <c r="H1787" s="22"/>
      <c r="I1787" s="23"/>
      <c r="J1787" s="24"/>
      <c r="K1787" s="25"/>
      <c r="L1787" s="23"/>
      <c r="M1787" s="23"/>
      <c r="N1787" s="24"/>
      <c r="O1787" s="24"/>
      <c r="P1787" s="25"/>
      <c r="Q1787" s="25"/>
    </row>
    <row r="1788" spans="1:17" s="20" customFormat="1" x14ac:dyDescent="0.25">
      <c r="A1788" s="9"/>
      <c r="B1788" s="28"/>
      <c r="C1788" s="28"/>
      <c r="D1788" s="28"/>
      <c r="E1788" s="28"/>
      <c r="F1788" s="31"/>
      <c r="G1788" s="21"/>
      <c r="H1788" s="22"/>
      <c r="I1788" s="23"/>
      <c r="J1788" s="24"/>
      <c r="K1788" s="25"/>
      <c r="L1788" s="23"/>
      <c r="M1788" s="23"/>
      <c r="N1788" s="24"/>
      <c r="O1788" s="24"/>
      <c r="P1788" s="25"/>
      <c r="Q1788" s="25"/>
    </row>
    <row r="1789" spans="1:17" s="20" customFormat="1" x14ac:dyDescent="0.25">
      <c r="A1789" s="9"/>
      <c r="B1789" s="28"/>
      <c r="C1789" s="28"/>
      <c r="D1789" s="28"/>
      <c r="E1789" s="28"/>
      <c r="F1789" s="31"/>
      <c r="G1789" s="21"/>
      <c r="H1789" s="22"/>
      <c r="I1789" s="23"/>
      <c r="J1789" s="24"/>
      <c r="K1789" s="25"/>
      <c r="L1789" s="23"/>
      <c r="M1789" s="23"/>
      <c r="N1789" s="24"/>
      <c r="O1789" s="24"/>
      <c r="P1789" s="25"/>
      <c r="Q1789" s="25"/>
    </row>
    <row r="1790" spans="1:17" s="20" customFormat="1" x14ac:dyDescent="0.25">
      <c r="A1790" s="9"/>
      <c r="B1790" s="28"/>
      <c r="C1790" s="28"/>
      <c r="D1790" s="28"/>
      <c r="E1790" s="28"/>
      <c r="F1790" s="31"/>
      <c r="G1790" s="21"/>
      <c r="H1790" s="22"/>
      <c r="I1790" s="23"/>
      <c r="J1790" s="24"/>
      <c r="K1790" s="25"/>
      <c r="L1790" s="23"/>
      <c r="M1790" s="23"/>
      <c r="N1790" s="24"/>
      <c r="O1790" s="24"/>
      <c r="P1790" s="25"/>
      <c r="Q1790" s="25"/>
    </row>
    <row r="1791" spans="1:17" s="20" customFormat="1" x14ac:dyDescent="0.25">
      <c r="A1791" s="9"/>
      <c r="B1791" s="28"/>
      <c r="C1791" s="28"/>
      <c r="D1791" s="28"/>
      <c r="E1791" s="28"/>
      <c r="F1791" s="31"/>
      <c r="G1791" s="21"/>
      <c r="H1791" s="22"/>
      <c r="I1791" s="23"/>
      <c r="J1791" s="24"/>
      <c r="K1791" s="25"/>
      <c r="L1791" s="23"/>
      <c r="M1791" s="23"/>
      <c r="N1791" s="24"/>
      <c r="O1791" s="24"/>
      <c r="P1791" s="25"/>
      <c r="Q1791" s="25"/>
    </row>
    <row r="1792" spans="1:17" s="20" customFormat="1" x14ac:dyDescent="0.25">
      <c r="A1792" s="9"/>
      <c r="B1792" s="28"/>
      <c r="C1792" s="28"/>
      <c r="D1792" s="28"/>
      <c r="E1792" s="28"/>
      <c r="F1792" s="31"/>
      <c r="G1792" s="21"/>
      <c r="H1792" s="22"/>
      <c r="I1792" s="23"/>
      <c r="J1792" s="24"/>
      <c r="K1792" s="25"/>
      <c r="L1792" s="23"/>
      <c r="M1792" s="23"/>
      <c r="N1792" s="24"/>
      <c r="O1792" s="24"/>
      <c r="P1792" s="25"/>
      <c r="Q1792" s="25"/>
    </row>
    <row r="1793" spans="1:17" s="20" customFormat="1" x14ac:dyDescent="0.25">
      <c r="A1793" s="9"/>
      <c r="B1793" s="28"/>
      <c r="C1793" s="28"/>
      <c r="D1793" s="28"/>
      <c r="E1793" s="28"/>
      <c r="F1793" s="31"/>
      <c r="G1793" s="21"/>
      <c r="H1793" s="22"/>
      <c r="I1793" s="23"/>
      <c r="J1793" s="24"/>
      <c r="K1793" s="25"/>
      <c r="L1793" s="23"/>
      <c r="M1793" s="23"/>
      <c r="N1793" s="24"/>
      <c r="O1793" s="24"/>
      <c r="P1793" s="25"/>
      <c r="Q1793" s="25"/>
    </row>
    <row r="1794" spans="1:17" s="20" customFormat="1" x14ac:dyDescent="0.25">
      <c r="A1794" s="9"/>
      <c r="B1794" s="28"/>
      <c r="C1794" s="28"/>
      <c r="D1794" s="28"/>
      <c r="E1794" s="28"/>
      <c r="F1794" s="31"/>
      <c r="G1794" s="21"/>
      <c r="H1794" s="22"/>
      <c r="I1794" s="23"/>
      <c r="J1794" s="24"/>
      <c r="K1794" s="25"/>
      <c r="L1794" s="23"/>
      <c r="M1794" s="23"/>
      <c r="N1794" s="24"/>
      <c r="O1794" s="24"/>
      <c r="P1794" s="25"/>
      <c r="Q1794" s="25"/>
    </row>
    <row r="1795" spans="1:17" s="20" customFormat="1" x14ac:dyDescent="0.25">
      <c r="A1795" s="9"/>
      <c r="B1795" s="28"/>
      <c r="C1795" s="28"/>
      <c r="D1795" s="28"/>
      <c r="E1795" s="28"/>
      <c r="F1795" s="31"/>
      <c r="G1795" s="21"/>
      <c r="H1795" s="22"/>
      <c r="I1795" s="23"/>
      <c r="J1795" s="24"/>
      <c r="K1795" s="25"/>
      <c r="L1795" s="23"/>
      <c r="M1795" s="23"/>
      <c r="N1795" s="24"/>
      <c r="O1795" s="24"/>
      <c r="P1795" s="25"/>
      <c r="Q1795" s="25"/>
    </row>
    <row r="1796" spans="1:17" s="20" customFormat="1" x14ac:dyDescent="0.25">
      <c r="A1796" s="9"/>
      <c r="B1796" s="28"/>
      <c r="C1796" s="28"/>
      <c r="D1796" s="28"/>
      <c r="E1796" s="28"/>
      <c r="F1796" s="31"/>
      <c r="G1796" s="21"/>
      <c r="H1796" s="22"/>
      <c r="I1796" s="23"/>
      <c r="J1796" s="24"/>
      <c r="K1796" s="25"/>
      <c r="L1796" s="23"/>
      <c r="M1796" s="23"/>
      <c r="N1796" s="24"/>
      <c r="O1796" s="24"/>
      <c r="P1796" s="25"/>
      <c r="Q1796" s="25"/>
    </row>
    <row r="1797" spans="1:17" s="20" customFormat="1" x14ac:dyDescent="0.25">
      <c r="A1797" s="9"/>
      <c r="B1797" s="28"/>
      <c r="C1797" s="28"/>
      <c r="D1797" s="28"/>
      <c r="E1797" s="28"/>
      <c r="F1797" s="31"/>
      <c r="G1797" s="21"/>
      <c r="H1797" s="22"/>
      <c r="I1797" s="23"/>
      <c r="J1797" s="24"/>
      <c r="K1797" s="25"/>
      <c r="L1797" s="23"/>
      <c r="M1797" s="23"/>
      <c r="N1797" s="24"/>
      <c r="O1797" s="24"/>
      <c r="P1797" s="25"/>
      <c r="Q1797" s="25"/>
    </row>
    <row r="1798" spans="1:17" s="20" customFormat="1" x14ac:dyDescent="0.25">
      <c r="A1798" s="9"/>
      <c r="B1798" s="28"/>
      <c r="C1798" s="28"/>
      <c r="D1798" s="28"/>
      <c r="E1798" s="28"/>
      <c r="F1798" s="31"/>
      <c r="G1798" s="21"/>
      <c r="H1798" s="22"/>
      <c r="I1798" s="23"/>
      <c r="J1798" s="24"/>
      <c r="K1798" s="25"/>
      <c r="L1798" s="23"/>
      <c r="M1798" s="23"/>
      <c r="N1798" s="24"/>
      <c r="O1798" s="24"/>
      <c r="P1798" s="25"/>
      <c r="Q1798" s="25"/>
    </row>
    <row r="1799" spans="1:17" s="20" customFormat="1" x14ac:dyDescent="0.25">
      <c r="A1799" s="9"/>
      <c r="B1799" s="28"/>
      <c r="C1799" s="28"/>
      <c r="D1799" s="28"/>
      <c r="E1799" s="28"/>
      <c r="F1799" s="31"/>
      <c r="G1799" s="21"/>
      <c r="H1799" s="22"/>
      <c r="I1799" s="23"/>
      <c r="J1799" s="24"/>
      <c r="K1799" s="25"/>
      <c r="L1799" s="23"/>
      <c r="M1799" s="23"/>
      <c r="N1799" s="24"/>
      <c r="O1799" s="24"/>
      <c r="P1799" s="25"/>
      <c r="Q1799" s="25"/>
    </row>
    <row r="1800" spans="1:17" s="20" customFormat="1" x14ac:dyDescent="0.25">
      <c r="A1800" s="9"/>
      <c r="B1800" s="28"/>
      <c r="C1800" s="28"/>
      <c r="D1800" s="28"/>
      <c r="E1800" s="28"/>
      <c r="F1800" s="31"/>
      <c r="G1800" s="21"/>
      <c r="H1800" s="22"/>
      <c r="I1800" s="23"/>
      <c r="J1800" s="24"/>
      <c r="K1800" s="25"/>
      <c r="L1800" s="23"/>
      <c r="M1800" s="23"/>
      <c r="N1800" s="24"/>
      <c r="O1800" s="24"/>
      <c r="P1800" s="25"/>
      <c r="Q1800" s="25"/>
    </row>
    <row r="1801" spans="1:17" s="20" customFormat="1" x14ac:dyDescent="0.25">
      <c r="A1801" s="9"/>
      <c r="B1801" s="28"/>
      <c r="C1801" s="28"/>
      <c r="D1801" s="28"/>
      <c r="E1801" s="28"/>
      <c r="F1801" s="31"/>
      <c r="G1801" s="21"/>
      <c r="H1801" s="22"/>
      <c r="I1801" s="23"/>
      <c r="J1801" s="24"/>
      <c r="K1801" s="25"/>
      <c r="L1801" s="23"/>
      <c r="M1801" s="23"/>
      <c r="N1801" s="24"/>
      <c r="O1801" s="24"/>
      <c r="P1801" s="25"/>
      <c r="Q1801" s="25"/>
    </row>
    <row r="1802" spans="1:17" s="20" customFormat="1" x14ac:dyDescent="0.25">
      <c r="A1802" s="9"/>
      <c r="B1802" s="28"/>
      <c r="C1802" s="28"/>
      <c r="D1802" s="28"/>
      <c r="E1802" s="28"/>
      <c r="F1802" s="31"/>
      <c r="G1802" s="21"/>
      <c r="H1802" s="22"/>
      <c r="I1802" s="23"/>
      <c r="J1802" s="24"/>
      <c r="K1802" s="25"/>
      <c r="L1802" s="23"/>
      <c r="M1802" s="23"/>
      <c r="N1802" s="24"/>
      <c r="O1802" s="24"/>
      <c r="P1802" s="25"/>
      <c r="Q1802" s="25"/>
    </row>
    <row r="1803" spans="1:17" s="20" customFormat="1" x14ac:dyDescent="0.25">
      <c r="A1803" s="9"/>
      <c r="B1803" s="28"/>
      <c r="C1803" s="28"/>
      <c r="D1803" s="28"/>
      <c r="E1803" s="28"/>
      <c r="F1803" s="31"/>
      <c r="G1803" s="21"/>
      <c r="H1803" s="22"/>
      <c r="I1803" s="23"/>
      <c r="J1803" s="24"/>
      <c r="K1803" s="25"/>
      <c r="L1803" s="23"/>
      <c r="M1803" s="23"/>
      <c r="N1803" s="24"/>
      <c r="O1803" s="24"/>
      <c r="P1803" s="25"/>
      <c r="Q1803" s="25"/>
    </row>
    <row r="1804" spans="1:17" s="20" customFormat="1" x14ac:dyDescent="0.25">
      <c r="A1804" s="9"/>
      <c r="B1804" s="28"/>
      <c r="C1804" s="28"/>
      <c r="D1804" s="28"/>
      <c r="E1804" s="28"/>
      <c r="F1804" s="31"/>
      <c r="G1804" s="21"/>
      <c r="H1804" s="22"/>
      <c r="I1804" s="23"/>
      <c r="J1804" s="24"/>
      <c r="K1804" s="25"/>
      <c r="L1804" s="23"/>
      <c r="M1804" s="23"/>
      <c r="N1804" s="24"/>
      <c r="O1804" s="24"/>
      <c r="P1804" s="25"/>
      <c r="Q1804" s="25"/>
    </row>
    <row r="1805" spans="1:17" s="20" customFormat="1" x14ac:dyDescent="0.25">
      <c r="A1805" s="9"/>
      <c r="B1805" s="28"/>
      <c r="C1805" s="28"/>
      <c r="D1805" s="28"/>
      <c r="E1805" s="28"/>
      <c r="F1805" s="31"/>
      <c r="G1805" s="21"/>
      <c r="H1805" s="22"/>
      <c r="I1805" s="23"/>
      <c r="J1805" s="24"/>
      <c r="K1805" s="25"/>
      <c r="L1805" s="23"/>
      <c r="M1805" s="23"/>
      <c r="N1805" s="24"/>
      <c r="O1805" s="24"/>
      <c r="P1805" s="25"/>
      <c r="Q1805" s="25"/>
    </row>
    <row r="1806" spans="1:17" s="20" customFormat="1" x14ac:dyDescent="0.25">
      <c r="A1806" s="9"/>
      <c r="B1806" s="28"/>
      <c r="C1806" s="28"/>
      <c r="D1806" s="28"/>
      <c r="E1806" s="28"/>
      <c r="F1806" s="31"/>
      <c r="G1806" s="21"/>
      <c r="H1806" s="22"/>
      <c r="I1806" s="23"/>
      <c r="J1806" s="24"/>
      <c r="K1806" s="25"/>
      <c r="L1806" s="23"/>
      <c r="M1806" s="23"/>
      <c r="N1806" s="24"/>
      <c r="O1806" s="24"/>
      <c r="P1806" s="25"/>
      <c r="Q1806" s="25"/>
    </row>
    <row r="1807" spans="1:17" s="20" customFormat="1" x14ac:dyDescent="0.25">
      <c r="A1807" s="9"/>
      <c r="B1807" s="28"/>
      <c r="C1807" s="28"/>
      <c r="D1807" s="28"/>
      <c r="E1807" s="28"/>
      <c r="F1807" s="31"/>
      <c r="G1807" s="21"/>
      <c r="H1807" s="22"/>
      <c r="I1807" s="23"/>
      <c r="J1807" s="24"/>
      <c r="K1807" s="25"/>
      <c r="L1807" s="23"/>
      <c r="M1807" s="23"/>
      <c r="N1807" s="24"/>
      <c r="O1807" s="24"/>
      <c r="P1807" s="25"/>
      <c r="Q1807" s="25"/>
    </row>
    <row r="1808" spans="1:17" s="20" customFormat="1" x14ac:dyDescent="0.25">
      <c r="A1808" s="9"/>
      <c r="B1808" s="28"/>
      <c r="C1808" s="28"/>
      <c r="D1808" s="28"/>
      <c r="E1808" s="28"/>
      <c r="F1808" s="31"/>
      <c r="G1808" s="21"/>
      <c r="H1808" s="22"/>
      <c r="I1808" s="23"/>
      <c r="J1808" s="24"/>
      <c r="K1808" s="25"/>
      <c r="L1808" s="23"/>
      <c r="M1808" s="23"/>
      <c r="N1808" s="24"/>
      <c r="O1808" s="24"/>
      <c r="P1808" s="25"/>
      <c r="Q1808" s="25"/>
    </row>
    <row r="1809" spans="1:17" s="20" customFormat="1" x14ac:dyDescent="0.25">
      <c r="A1809" s="9"/>
      <c r="B1809" s="28"/>
      <c r="C1809" s="28"/>
      <c r="D1809" s="28"/>
      <c r="E1809" s="28"/>
      <c r="F1809" s="31"/>
      <c r="G1809" s="21"/>
      <c r="H1809" s="22"/>
      <c r="I1809" s="23"/>
      <c r="J1809" s="24"/>
      <c r="K1809" s="25"/>
      <c r="L1809" s="23"/>
      <c r="M1809" s="23"/>
      <c r="N1809" s="24"/>
      <c r="O1809" s="24"/>
      <c r="P1809" s="25"/>
      <c r="Q1809" s="25"/>
    </row>
    <row r="1810" spans="1:17" s="20" customFormat="1" x14ac:dyDescent="0.25">
      <c r="A1810" s="9"/>
      <c r="B1810" s="28"/>
      <c r="C1810" s="28"/>
      <c r="D1810" s="28"/>
      <c r="E1810" s="28"/>
      <c r="F1810" s="31"/>
      <c r="G1810" s="21"/>
      <c r="H1810" s="22"/>
      <c r="I1810" s="23"/>
      <c r="J1810" s="24"/>
      <c r="K1810" s="25"/>
      <c r="L1810" s="23"/>
      <c r="M1810" s="23"/>
      <c r="N1810" s="24"/>
      <c r="O1810" s="24"/>
      <c r="P1810" s="25"/>
      <c r="Q1810" s="25"/>
    </row>
    <row r="1811" spans="1:17" s="20" customFormat="1" x14ac:dyDescent="0.25">
      <c r="A1811" s="9"/>
      <c r="B1811" s="28"/>
      <c r="C1811" s="28"/>
      <c r="D1811" s="28"/>
      <c r="E1811" s="28"/>
      <c r="F1811" s="31"/>
      <c r="G1811" s="21"/>
      <c r="H1811" s="22"/>
      <c r="I1811" s="23"/>
      <c r="J1811" s="24"/>
      <c r="K1811" s="25"/>
      <c r="L1811" s="23"/>
      <c r="M1811" s="23"/>
      <c r="N1811" s="24"/>
      <c r="O1811" s="24"/>
      <c r="P1811" s="25"/>
      <c r="Q1811" s="25"/>
    </row>
    <row r="1812" spans="1:17" s="20" customFormat="1" x14ac:dyDescent="0.25">
      <c r="A1812" s="9"/>
      <c r="B1812" s="28"/>
      <c r="C1812" s="28"/>
      <c r="D1812" s="28"/>
      <c r="E1812" s="28"/>
      <c r="F1812" s="31"/>
      <c r="G1812" s="21"/>
      <c r="H1812" s="22"/>
      <c r="I1812" s="23"/>
      <c r="J1812" s="24"/>
      <c r="K1812" s="25"/>
      <c r="L1812" s="23"/>
      <c r="M1812" s="23"/>
      <c r="N1812" s="24"/>
      <c r="O1812" s="24"/>
      <c r="P1812" s="25"/>
      <c r="Q1812" s="25"/>
    </row>
    <row r="1813" spans="1:17" s="20" customFormat="1" x14ac:dyDescent="0.25">
      <c r="A1813" s="9"/>
      <c r="B1813" s="28"/>
      <c r="C1813" s="28"/>
      <c r="D1813" s="28"/>
      <c r="E1813" s="28"/>
      <c r="F1813" s="31"/>
      <c r="G1813" s="21"/>
      <c r="H1813" s="22"/>
      <c r="I1813" s="23"/>
      <c r="J1813" s="24"/>
      <c r="K1813" s="25"/>
      <c r="L1813" s="23"/>
      <c r="M1813" s="23"/>
      <c r="N1813" s="24"/>
      <c r="O1813" s="24"/>
      <c r="P1813" s="25"/>
      <c r="Q1813" s="25"/>
    </row>
    <row r="1814" spans="1:17" s="20" customFormat="1" x14ac:dyDescent="0.25">
      <c r="A1814" s="9"/>
      <c r="B1814" s="28"/>
      <c r="C1814" s="28"/>
      <c r="D1814" s="28"/>
      <c r="E1814" s="28"/>
      <c r="F1814" s="31"/>
      <c r="G1814" s="21"/>
      <c r="H1814" s="22"/>
      <c r="I1814" s="23"/>
      <c r="J1814" s="24"/>
      <c r="K1814" s="25"/>
      <c r="L1814" s="23"/>
      <c r="M1814" s="23"/>
      <c r="N1814" s="24"/>
      <c r="O1814" s="24"/>
      <c r="P1814" s="25"/>
      <c r="Q1814" s="25"/>
    </row>
    <row r="1815" spans="1:17" s="20" customFormat="1" x14ac:dyDescent="0.25">
      <c r="A1815" s="9"/>
      <c r="B1815" s="28"/>
      <c r="C1815" s="28"/>
      <c r="D1815" s="28"/>
      <c r="E1815" s="28"/>
      <c r="F1815" s="31"/>
      <c r="G1815" s="21"/>
      <c r="H1815" s="22"/>
      <c r="I1815" s="23"/>
      <c r="J1815" s="24"/>
      <c r="K1815" s="25"/>
      <c r="L1815" s="23"/>
      <c r="M1815" s="23"/>
      <c r="N1815" s="24"/>
      <c r="O1815" s="24"/>
      <c r="P1815" s="25"/>
      <c r="Q1815" s="25"/>
    </row>
    <row r="1816" spans="1:17" s="20" customFormat="1" x14ac:dyDescent="0.25">
      <c r="A1816" s="9"/>
      <c r="B1816" s="28"/>
      <c r="C1816" s="28"/>
      <c r="D1816" s="28"/>
      <c r="E1816" s="28"/>
      <c r="F1816" s="31"/>
      <c r="G1816" s="21"/>
      <c r="H1816" s="22"/>
      <c r="I1816" s="23"/>
      <c r="J1816" s="24"/>
      <c r="K1816" s="25"/>
      <c r="L1816" s="23"/>
      <c r="M1816" s="23"/>
      <c r="N1816" s="24"/>
      <c r="O1816" s="24"/>
      <c r="P1816" s="25"/>
      <c r="Q1816" s="25"/>
    </row>
    <row r="1817" spans="1:17" s="20" customFormat="1" x14ac:dyDescent="0.25">
      <c r="A1817" s="9"/>
      <c r="B1817" s="28"/>
      <c r="C1817" s="28"/>
      <c r="D1817" s="28"/>
      <c r="E1817" s="28"/>
      <c r="F1817" s="31"/>
      <c r="G1817" s="21"/>
      <c r="H1817" s="22"/>
      <c r="I1817" s="23"/>
      <c r="J1817" s="24"/>
      <c r="K1817" s="25"/>
      <c r="L1817" s="23"/>
      <c r="M1817" s="23"/>
      <c r="N1817" s="24"/>
      <c r="O1817" s="24"/>
      <c r="P1817" s="25"/>
      <c r="Q1817" s="25"/>
    </row>
    <row r="1818" spans="1:17" s="20" customFormat="1" x14ac:dyDescent="0.25">
      <c r="A1818" s="9"/>
      <c r="B1818" s="28"/>
      <c r="C1818" s="28"/>
      <c r="D1818" s="28"/>
      <c r="E1818" s="28"/>
      <c r="F1818" s="31"/>
      <c r="G1818" s="21"/>
      <c r="H1818" s="22"/>
      <c r="I1818" s="23"/>
      <c r="J1818" s="24"/>
      <c r="K1818" s="25"/>
      <c r="L1818" s="23"/>
      <c r="M1818" s="23"/>
      <c r="N1818" s="24"/>
      <c r="O1818" s="24"/>
      <c r="P1818" s="25"/>
      <c r="Q1818" s="25"/>
    </row>
    <row r="1819" spans="1:17" s="20" customFormat="1" x14ac:dyDescent="0.25">
      <c r="A1819" s="9"/>
      <c r="B1819" s="28"/>
      <c r="C1819" s="28"/>
      <c r="D1819" s="28"/>
      <c r="E1819" s="28"/>
      <c r="F1819" s="31"/>
      <c r="G1819" s="21"/>
      <c r="H1819" s="22"/>
      <c r="I1819" s="23"/>
      <c r="J1819" s="24"/>
      <c r="K1819" s="25"/>
      <c r="L1819" s="23"/>
      <c r="M1819" s="23"/>
      <c r="N1819" s="24"/>
      <c r="O1819" s="24"/>
      <c r="P1819" s="25"/>
      <c r="Q1819" s="25"/>
    </row>
    <row r="1820" spans="1:17" s="20" customFormat="1" x14ac:dyDescent="0.25">
      <c r="A1820" s="9"/>
      <c r="B1820" s="28"/>
      <c r="C1820" s="28"/>
      <c r="D1820" s="28"/>
      <c r="E1820" s="28"/>
      <c r="F1820" s="31"/>
      <c r="G1820" s="21"/>
      <c r="H1820" s="22"/>
      <c r="I1820" s="23"/>
      <c r="J1820" s="24"/>
      <c r="K1820" s="25"/>
      <c r="L1820" s="23"/>
      <c r="M1820" s="23"/>
      <c r="N1820" s="24"/>
      <c r="O1820" s="24"/>
      <c r="P1820" s="25"/>
      <c r="Q1820" s="25"/>
    </row>
    <row r="1821" spans="1:17" s="20" customFormat="1" x14ac:dyDescent="0.25">
      <c r="A1821" s="9"/>
      <c r="B1821" s="28"/>
      <c r="C1821" s="28"/>
      <c r="D1821" s="28"/>
      <c r="E1821" s="28"/>
      <c r="F1821" s="31"/>
      <c r="G1821" s="21"/>
      <c r="H1821" s="22"/>
      <c r="I1821" s="23"/>
      <c r="J1821" s="24"/>
      <c r="K1821" s="25"/>
      <c r="L1821" s="23"/>
      <c r="M1821" s="23"/>
      <c r="N1821" s="24"/>
      <c r="O1821" s="24"/>
      <c r="P1821" s="25"/>
      <c r="Q1821" s="25"/>
    </row>
    <row r="1822" spans="1:17" s="20" customFormat="1" x14ac:dyDescent="0.25">
      <c r="A1822" s="9"/>
      <c r="B1822" s="28"/>
      <c r="C1822" s="28"/>
      <c r="D1822" s="28"/>
      <c r="E1822" s="28"/>
      <c r="F1822" s="31"/>
      <c r="G1822" s="21"/>
      <c r="H1822" s="22"/>
      <c r="I1822" s="23"/>
      <c r="J1822" s="24"/>
      <c r="K1822" s="25"/>
      <c r="L1822" s="23"/>
      <c r="M1822" s="23"/>
      <c r="N1822" s="24"/>
      <c r="O1822" s="24"/>
      <c r="P1822" s="25"/>
      <c r="Q1822" s="25"/>
    </row>
    <row r="1823" spans="1:17" s="20" customFormat="1" x14ac:dyDescent="0.25">
      <c r="A1823" s="9"/>
      <c r="B1823" s="28"/>
      <c r="C1823" s="28"/>
      <c r="D1823" s="28"/>
      <c r="E1823" s="28"/>
      <c r="F1823" s="31"/>
      <c r="G1823" s="21"/>
      <c r="H1823" s="22"/>
      <c r="I1823" s="23"/>
      <c r="J1823" s="24"/>
      <c r="K1823" s="25"/>
      <c r="L1823" s="23"/>
      <c r="M1823" s="23"/>
      <c r="N1823" s="24"/>
      <c r="O1823" s="24"/>
      <c r="P1823" s="25"/>
      <c r="Q1823" s="25"/>
    </row>
    <row r="1824" spans="1:17" s="20" customFormat="1" x14ac:dyDescent="0.25">
      <c r="A1824" s="9"/>
      <c r="B1824" s="28"/>
      <c r="C1824" s="28"/>
      <c r="D1824" s="28"/>
      <c r="E1824" s="28"/>
      <c r="F1824" s="31"/>
      <c r="G1824" s="21"/>
      <c r="H1824" s="22"/>
      <c r="I1824" s="23"/>
      <c r="J1824" s="24"/>
      <c r="K1824" s="25"/>
      <c r="L1824" s="23"/>
      <c r="M1824" s="23"/>
      <c r="N1824" s="24"/>
      <c r="O1824" s="24"/>
      <c r="P1824" s="25"/>
      <c r="Q1824" s="25"/>
    </row>
    <row r="1825" spans="1:17" s="20" customFormat="1" x14ac:dyDescent="0.25">
      <c r="A1825" s="9"/>
      <c r="B1825" s="28"/>
      <c r="C1825" s="28"/>
      <c r="D1825" s="28"/>
      <c r="E1825" s="28"/>
      <c r="F1825" s="31"/>
      <c r="G1825" s="21"/>
      <c r="H1825" s="22"/>
      <c r="I1825" s="23"/>
      <c r="J1825" s="24"/>
      <c r="K1825" s="25"/>
      <c r="L1825" s="23"/>
      <c r="M1825" s="23"/>
      <c r="N1825" s="24"/>
      <c r="O1825" s="24"/>
      <c r="P1825" s="25"/>
      <c r="Q1825" s="25"/>
    </row>
    <row r="1826" spans="1:17" s="20" customFormat="1" x14ac:dyDescent="0.25">
      <c r="A1826" s="9"/>
      <c r="B1826" s="28"/>
      <c r="C1826" s="28"/>
      <c r="D1826" s="28"/>
      <c r="E1826" s="28"/>
      <c r="F1826" s="31"/>
      <c r="G1826" s="21"/>
      <c r="H1826" s="22"/>
      <c r="I1826" s="23"/>
      <c r="J1826" s="24"/>
      <c r="K1826" s="25"/>
      <c r="L1826" s="23"/>
      <c r="M1826" s="23"/>
      <c r="N1826" s="24"/>
      <c r="O1826" s="24"/>
      <c r="P1826" s="25"/>
      <c r="Q1826" s="25"/>
    </row>
    <row r="1827" spans="1:17" s="20" customFormat="1" x14ac:dyDescent="0.25">
      <c r="A1827" s="9"/>
      <c r="B1827" s="28"/>
      <c r="C1827" s="28"/>
      <c r="D1827" s="28"/>
      <c r="E1827" s="28"/>
      <c r="F1827" s="31"/>
      <c r="G1827" s="21"/>
      <c r="H1827" s="22"/>
      <c r="I1827" s="23"/>
      <c r="J1827" s="24"/>
      <c r="K1827" s="25"/>
      <c r="L1827" s="23"/>
      <c r="M1827" s="23"/>
      <c r="N1827" s="24"/>
      <c r="O1827" s="24"/>
      <c r="P1827" s="25"/>
      <c r="Q1827" s="25"/>
    </row>
    <row r="1828" spans="1:17" s="20" customFormat="1" x14ac:dyDescent="0.25">
      <c r="A1828" s="9"/>
      <c r="B1828" s="28"/>
      <c r="C1828" s="28"/>
      <c r="D1828" s="28"/>
      <c r="E1828" s="28"/>
      <c r="F1828" s="31"/>
      <c r="G1828" s="21"/>
      <c r="H1828" s="22"/>
      <c r="I1828" s="23"/>
      <c r="J1828" s="24"/>
      <c r="K1828" s="25"/>
      <c r="L1828" s="23"/>
      <c r="M1828" s="23"/>
      <c r="N1828" s="24"/>
      <c r="O1828" s="24"/>
      <c r="P1828" s="25"/>
      <c r="Q1828" s="25"/>
    </row>
    <row r="1829" spans="1:17" s="20" customFormat="1" x14ac:dyDescent="0.25">
      <c r="A1829" s="9"/>
      <c r="B1829" s="28"/>
      <c r="C1829" s="28"/>
      <c r="D1829" s="28"/>
      <c r="E1829" s="28"/>
      <c r="F1829" s="31"/>
      <c r="G1829" s="21"/>
      <c r="H1829" s="22"/>
      <c r="I1829" s="23"/>
      <c r="J1829" s="24"/>
      <c r="K1829" s="25"/>
      <c r="L1829" s="23"/>
      <c r="M1829" s="23"/>
      <c r="N1829" s="24"/>
      <c r="O1829" s="24"/>
      <c r="P1829" s="25"/>
      <c r="Q1829" s="25"/>
    </row>
    <row r="1830" spans="1:17" s="20" customFormat="1" x14ac:dyDescent="0.25">
      <c r="A1830" s="9"/>
      <c r="B1830" s="28"/>
      <c r="C1830" s="28"/>
      <c r="D1830" s="28"/>
      <c r="E1830" s="28"/>
      <c r="F1830" s="31"/>
      <c r="G1830" s="21"/>
      <c r="H1830" s="22"/>
      <c r="I1830" s="23"/>
      <c r="J1830" s="24"/>
      <c r="K1830" s="25"/>
      <c r="L1830" s="23"/>
      <c r="M1830" s="23"/>
      <c r="N1830" s="24"/>
      <c r="O1830" s="24"/>
      <c r="P1830" s="25"/>
      <c r="Q1830" s="25"/>
    </row>
    <row r="1831" spans="1:17" s="20" customFormat="1" x14ac:dyDescent="0.25">
      <c r="A1831" s="9"/>
      <c r="B1831" s="28"/>
      <c r="C1831" s="28"/>
      <c r="D1831" s="28"/>
      <c r="E1831" s="28"/>
      <c r="F1831" s="31"/>
      <c r="G1831" s="21"/>
      <c r="H1831" s="22"/>
      <c r="I1831" s="23"/>
      <c r="J1831" s="24"/>
      <c r="K1831" s="25"/>
      <c r="L1831" s="23"/>
      <c r="M1831" s="23"/>
      <c r="N1831" s="24"/>
      <c r="O1831" s="24"/>
      <c r="P1831" s="25"/>
      <c r="Q1831" s="25"/>
    </row>
    <row r="1832" spans="1:17" s="20" customFormat="1" x14ac:dyDescent="0.25">
      <c r="A1832" s="9"/>
      <c r="B1832" s="28"/>
      <c r="C1832" s="28"/>
      <c r="D1832" s="28"/>
      <c r="E1832" s="28"/>
      <c r="F1832" s="31"/>
      <c r="G1832" s="21"/>
      <c r="H1832" s="22"/>
      <c r="I1832" s="23"/>
      <c r="J1832" s="24"/>
      <c r="K1832" s="25"/>
      <c r="L1832" s="23"/>
      <c r="M1832" s="23"/>
      <c r="N1832" s="24"/>
      <c r="O1832" s="24"/>
      <c r="P1832" s="25"/>
      <c r="Q1832" s="25"/>
    </row>
    <row r="1833" spans="1:17" s="20" customFormat="1" x14ac:dyDescent="0.25">
      <c r="A1833" s="9"/>
      <c r="B1833" s="28"/>
      <c r="C1833" s="28"/>
      <c r="D1833" s="28"/>
      <c r="E1833" s="28"/>
      <c r="F1833" s="31"/>
      <c r="G1833" s="21"/>
      <c r="H1833" s="22"/>
      <c r="I1833" s="23"/>
      <c r="J1833" s="24"/>
      <c r="K1833" s="25"/>
      <c r="L1833" s="23"/>
      <c r="M1833" s="23"/>
      <c r="N1833" s="24"/>
      <c r="O1833" s="24"/>
      <c r="P1833" s="25"/>
      <c r="Q1833" s="25"/>
    </row>
    <row r="1834" spans="1:17" s="20" customFormat="1" x14ac:dyDescent="0.25">
      <c r="A1834" s="9"/>
      <c r="B1834" s="28"/>
      <c r="C1834" s="28"/>
      <c r="D1834" s="28"/>
      <c r="E1834" s="28"/>
      <c r="F1834" s="31"/>
      <c r="G1834" s="21"/>
      <c r="H1834" s="22"/>
      <c r="I1834" s="23"/>
      <c r="J1834" s="24"/>
      <c r="K1834" s="25"/>
      <c r="L1834" s="23"/>
      <c r="M1834" s="23"/>
      <c r="N1834" s="24"/>
      <c r="O1834" s="24"/>
      <c r="P1834" s="25"/>
      <c r="Q1834" s="25"/>
    </row>
    <row r="1835" spans="1:17" s="20" customFormat="1" x14ac:dyDescent="0.25">
      <c r="A1835" s="9"/>
      <c r="B1835" s="28"/>
      <c r="C1835" s="28"/>
      <c r="D1835" s="28"/>
      <c r="E1835" s="28"/>
      <c r="F1835" s="31"/>
      <c r="G1835" s="21"/>
      <c r="H1835" s="22"/>
      <c r="I1835" s="23"/>
      <c r="J1835" s="24"/>
      <c r="K1835" s="25"/>
      <c r="L1835" s="23"/>
      <c r="M1835" s="23"/>
      <c r="N1835" s="24"/>
      <c r="O1835" s="24"/>
      <c r="P1835" s="25"/>
      <c r="Q1835" s="25"/>
    </row>
    <row r="1836" spans="1:17" s="20" customFormat="1" x14ac:dyDescent="0.25">
      <c r="A1836" s="9"/>
      <c r="B1836" s="28"/>
      <c r="C1836" s="28"/>
      <c r="D1836" s="28"/>
      <c r="E1836" s="28"/>
      <c r="F1836" s="31"/>
      <c r="G1836" s="21"/>
      <c r="H1836" s="22"/>
      <c r="I1836" s="23"/>
      <c r="J1836" s="24"/>
      <c r="K1836" s="25"/>
      <c r="L1836" s="23"/>
      <c r="M1836" s="23"/>
      <c r="N1836" s="24"/>
      <c r="O1836" s="24"/>
      <c r="P1836" s="25"/>
      <c r="Q1836" s="25"/>
    </row>
    <row r="1837" spans="1:17" s="20" customFormat="1" x14ac:dyDescent="0.25">
      <c r="A1837" s="9"/>
      <c r="B1837" s="28"/>
      <c r="C1837" s="28"/>
      <c r="D1837" s="28"/>
      <c r="E1837" s="28"/>
      <c r="F1837" s="31"/>
      <c r="G1837" s="21"/>
      <c r="H1837" s="22"/>
      <c r="I1837" s="23"/>
      <c r="J1837" s="24"/>
      <c r="K1837" s="25"/>
      <c r="L1837" s="23"/>
      <c r="M1837" s="23"/>
      <c r="N1837" s="24"/>
      <c r="O1837" s="24"/>
      <c r="P1837" s="25"/>
      <c r="Q1837" s="25"/>
    </row>
    <row r="1838" spans="1:17" s="20" customFormat="1" x14ac:dyDescent="0.25">
      <c r="A1838" s="9"/>
      <c r="B1838" s="28"/>
      <c r="C1838" s="28"/>
      <c r="D1838" s="28"/>
      <c r="E1838" s="28"/>
      <c r="F1838" s="31"/>
      <c r="G1838" s="21"/>
      <c r="H1838" s="22"/>
      <c r="I1838" s="23"/>
      <c r="J1838" s="24"/>
      <c r="K1838" s="25"/>
      <c r="L1838" s="23"/>
      <c r="M1838" s="23"/>
      <c r="N1838" s="24"/>
      <c r="O1838" s="24"/>
      <c r="P1838" s="25"/>
      <c r="Q1838" s="25"/>
    </row>
    <row r="1839" spans="1:17" s="20" customFormat="1" x14ac:dyDescent="0.25">
      <c r="A1839" s="9"/>
      <c r="B1839" s="28"/>
      <c r="C1839" s="28"/>
      <c r="D1839" s="28"/>
      <c r="E1839" s="28"/>
      <c r="F1839" s="31"/>
      <c r="G1839" s="21"/>
      <c r="H1839" s="22"/>
      <c r="I1839" s="23"/>
      <c r="J1839" s="24"/>
      <c r="K1839" s="25"/>
      <c r="L1839" s="23"/>
      <c r="M1839" s="23"/>
      <c r="N1839" s="24"/>
      <c r="O1839" s="24"/>
      <c r="P1839" s="25"/>
      <c r="Q1839" s="25"/>
    </row>
    <row r="1840" spans="1:17" s="20" customFormat="1" x14ac:dyDescent="0.25">
      <c r="A1840" s="9"/>
      <c r="B1840" s="28"/>
      <c r="C1840" s="28"/>
      <c r="D1840" s="28"/>
      <c r="E1840" s="28"/>
      <c r="F1840" s="31"/>
      <c r="G1840" s="21"/>
      <c r="H1840" s="22"/>
      <c r="I1840" s="23"/>
      <c r="J1840" s="24"/>
      <c r="K1840" s="25"/>
      <c r="L1840" s="23"/>
      <c r="M1840" s="23"/>
      <c r="N1840" s="24"/>
      <c r="O1840" s="24"/>
      <c r="P1840" s="25"/>
      <c r="Q1840" s="25"/>
    </row>
    <row r="1841" spans="1:17" s="20" customFormat="1" x14ac:dyDescent="0.25">
      <c r="A1841" s="9"/>
      <c r="B1841" s="28"/>
      <c r="C1841" s="28"/>
      <c r="D1841" s="28"/>
      <c r="E1841" s="28"/>
      <c r="F1841" s="31"/>
      <c r="G1841" s="21"/>
      <c r="H1841" s="22"/>
      <c r="I1841" s="23"/>
      <c r="J1841" s="24"/>
      <c r="K1841" s="25"/>
      <c r="L1841" s="23"/>
      <c r="M1841" s="23"/>
      <c r="N1841" s="24"/>
      <c r="O1841" s="24"/>
      <c r="P1841" s="25"/>
      <c r="Q1841" s="25"/>
    </row>
    <row r="1842" spans="1:17" s="20" customFormat="1" x14ac:dyDescent="0.25">
      <c r="A1842" s="9"/>
      <c r="B1842" s="28"/>
      <c r="C1842" s="28"/>
      <c r="D1842" s="28"/>
      <c r="E1842" s="28"/>
      <c r="F1842" s="31"/>
      <c r="G1842" s="21"/>
      <c r="H1842" s="22"/>
      <c r="I1842" s="23"/>
      <c r="J1842" s="24"/>
      <c r="K1842" s="25"/>
      <c r="L1842" s="23"/>
      <c r="M1842" s="23"/>
      <c r="N1842" s="24"/>
      <c r="O1842" s="24"/>
      <c r="P1842" s="25"/>
      <c r="Q1842" s="25"/>
    </row>
    <row r="1843" spans="1:17" s="20" customFormat="1" x14ac:dyDescent="0.25">
      <c r="A1843" s="9"/>
      <c r="B1843" s="28"/>
      <c r="C1843" s="28"/>
      <c r="D1843" s="28"/>
      <c r="E1843" s="28"/>
      <c r="F1843" s="31"/>
      <c r="G1843" s="21"/>
      <c r="H1843" s="22"/>
      <c r="I1843" s="23"/>
      <c r="J1843" s="24"/>
      <c r="K1843" s="25"/>
      <c r="L1843" s="23"/>
      <c r="M1843" s="23"/>
      <c r="N1843" s="24"/>
      <c r="O1843" s="24"/>
      <c r="P1843" s="25"/>
      <c r="Q1843" s="25"/>
    </row>
    <row r="1844" spans="1:17" s="20" customFormat="1" x14ac:dyDescent="0.25">
      <c r="A1844" s="9"/>
      <c r="B1844" s="28"/>
      <c r="C1844" s="28"/>
      <c r="D1844" s="28"/>
      <c r="E1844" s="28"/>
      <c r="F1844" s="31"/>
      <c r="G1844" s="21"/>
      <c r="H1844" s="22"/>
      <c r="I1844" s="23"/>
      <c r="J1844" s="24"/>
      <c r="K1844" s="25"/>
      <c r="L1844" s="23"/>
      <c r="M1844" s="23"/>
      <c r="N1844" s="24"/>
      <c r="O1844" s="24"/>
      <c r="P1844" s="25"/>
      <c r="Q1844" s="25"/>
    </row>
    <row r="1845" spans="1:17" s="20" customFormat="1" x14ac:dyDescent="0.25">
      <c r="A1845" s="9"/>
      <c r="B1845" s="28"/>
      <c r="C1845" s="28"/>
      <c r="D1845" s="28"/>
      <c r="E1845" s="28"/>
      <c r="F1845" s="31"/>
      <c r="G1845" s="21"/>
      <c r="H1845" s="22"/>
      <c r="I1845" s="23"/>
      <c r="J1845" s="24"/>
      <c r="K1845" s="25"/>
      <c r="L1845" s="23"/>
      <c r="M1845" s="23"/>
      <c r="N1845" s="24"/>
      <c r="O1845" s="24"/>
      <c r="P1845" s="25"/>
      <c r="Q1845" s="25"/>
    </row>
    <row r="1846" spans="1:17" s="20" customFormat="1" x14ac:dyDescent="0.25">
      <c r="A1846" s="9"/>
      <c r="B1846" s="28"/>
      <c r="C1846" s="28"/>
      <c r="D1846" s="28"/>
      <c r="E1846" s="28"/>
      <c r="F1846" s="31"/>
      <c r="G1846" s="21"/>
      <c r="H1846" s="22"/>
      <c r="I1846" s="23"/>
      <c r="J1846" s="24"/>
      <c r="K1846" s="25"/>
      <c r="L1846" s="23"/>
      <c r="M1846" s="23"/>
      <c r="N1846" s="24"/>
      <c r="O1846" s="24"/>
      <c r="P1846" s="25"/>
      <c r="Q1846" s="25"/>
    </row>
    <row r="1847" spans="1:17" s="20" customFormat="1" x14ac:dyDescent="0.25">
      <c r="A1847" s="9"/>
      <c r="B1847" s="28"/>
      <c r="C1847" s="28"/>
      <c r="D1847" s="28"/>
      <c r="E1847" s="28"/>
      <c r="F1847" s="31"/>
      <c r="G1847" s="21"/>
      <c r="H1847" s="22"/>
      <c r="I1847" s="23"/>
      <c r="J1847" s="24"/>
      <c r="K1847" s="25"/>
      <c r="L1847" s="23"/>
      <c r="M1847" s="23"/>
      <c r="N1847" s="24"/>
      <c r="O1847" s="24"/>
      <c r="P1847" s="25"/>
      <c r="Q1847" s="25"/>
    </row>
    <row r="1848" spans="1:17" s="20" customFormat="1" x14ac:dyDescent="0.25">
      <c r="A1848" s="9"/>
      <c r="B1848" s="28"/>
      <c r="C1848" s="28"/>
      <c r="D1848" s="28"/>
      <c r="E1848" s="28"/>
      <c r="F1848" s="31"/>
      <c r="G1848" s="21"/>
      <c r="H1848" s="22"/>
      <c r="I1848" s="23"/>
      <c r="J1848" s="24"/>
      <c r="K1848" s="25"/>
      <c r="L1848" s="23"/>
      <c r="M1848" s="23"/>
      <c r="N1848" s="24"/>
      <c r="O1848" s="24"/>
      <c r="P1848" s="25"/>
      <c r="Q1848" s="25"/>
    </row>
    <row r="1849" spans="1:17" s="20" customFormat="1" x14ac:dyDescent="0.25">
      <c r="A1849" s="9"/>
      <c r="B1849" s="28"/>
      <c r="C1849" s="28"/>
      <c r="D1849" s="28"/>
      <c r="E1849" s="28"/>
      <c r="F1849" s="31"/>
      <c r="G1849" s="21"/>
      <c r="H1849" s="22"/>
      <c r="I1849" s="23"/>
      <c r="J1849" s="24"/>
      <c r="K1849" s="25"/>
      <c r="L1849" s="23"/>
      <c r="M1849" s="23"/>
      <c r="N1849" s="24"/>
      <c r="O1849" s="24"/>
      <c r="P1849" s="25"/>
      <c r="Q1849" s="25"/>
    </row>
    <row r="1850" spans="1:17" s="20" customFormat="1" x14ac:dyDescent="0.25">
      <c r="A1850" s="9"/>
      <c r="B1850" s="28"/>
      <c r="C1850" s="28"/>
      <c r="D1850" s="28"/>
      <c r="E1850" s="28"/>
      <c r="F1850" s="31"/>
      <c r="G1850" s="21"/>
      <c r="H1850" s="22"/>
      <c r="I1850" s="23"/>
      <c r="J1850" s="24"/>
      <c r="K1850" s="25"/>
      <c r="L1850" s="23"/>
      <c r="M1850" s="23"/>
      <c r="N1850" s="24"/>
      <c r="O1850" s="24"/>
      <c r="P1850" s="25"/>
      <c r="Q1850" s="25"/>
    </row>
    <row r="1851" spans="1:17" s="20" customFormat="1" x14ac:dyDescent="0.25">
      <c r="A1851" s="9"/>
      <c r="B1851" s="28"/>
      <c r="C1851" s="28"/>
      <c r="D1851" s="28"/>
      <c r="E1851" s="28"/>
      <c r="F1851" s="31"/>
      <c r="G1851" s="21"/>
      <c r="H1851" s="22"/>
      <c r="I1851" s="23"/>
      <c r="J1851" s="24"/>
      <c r="K1851" s="25"/>
      <c r="L1851" s="23"/>
      <c r="M1851" s="23"/>
      <c r="N1851" s="24"/>
      <c r="O1851" s="24"/>
      <c r="P1851" s="25"/>
      <c r="Q1851" s="25"/>
    </row>
    <row r="1852" spans="1:17" s="20" customFormat="1" x14ac:dyDescent="0.25">
      <c r="A1852" s="9"/>
      <c r="B1852" s="28"/>
      <c r="C1852" s="28"/>
      <c r="D1852" s="28"/>
      <c r="E1852" s="28"/>
      <c r="F1852" s="31"/>
      <c r="G1852" s="21"/>
      <c r="H1852" s="22"/>
      <c r="I1852" s="23"/>
      <c r="J1852" s="24"/>
      <c r="K1852" s="25"/>
      <c r="L1852" s="23"/>
      <c r="M1852" s="23"/>
      <c r="N1852" s="24"/>
      <c r="O1852" s="24"/>
      <c r="P1852" s="25"/>
      <c r="Q1852" s="25"/>
    </row>
    <row r="1853" spans="1:17" s="20" customFormat="1" x14ac:dyDescent="0.25">
      <c r="A1853" s="9"/>
      <c r="B1853" s="28"/>
      <c r="C1853" s="28"/>
      <c r="D1853" s="28"/>
      <c r="E1853" s="28"/>
      <c r="F1853" s="31"/>
      <c r="G1853" s="21"/>
      <c r="H1853" s="22"/>
      <c r="I1853" s="23"/>
      <c r="J1853" s="24"/>
      <c r="K1853" s="25"/>
      <c r="L1853" s="23"/>
      <c r="M1853" s="23"/>
      <c r="N1853" s="24"/>
      <c r="O1853" s="24"/>
      <c r="P1853" s="25"/>
      <c r="Q1853" s="25"/>
    </row>
    <row r="1854" spans="1:17" s="20" customFormat="1" x14ac:dyDescent="0.25">
      <c r="A1854" s="9"/>
      <c r="B1854" s="28"/>
      <c r="C1854" s="28"/>
      <c r="D1854" s="28"/>
      <c r="E1854" s="28"/>
      <c r="F1854" s="31"/>
      <c r="G1854" s="21"/>
      <c r="H1854" s="22"/>
      <c r="I1854" s="23"/>
      <c r="J1854" s="24"/>
      <c r="K1854" s="25"/>
      <c r="L1854" s="23"/>
      <c r="M1854" s="23"/>
      <c r="N1854" s="24"/>
      <c r="O1854" s="24"/>
      <c r="P1854" s="25"/>
      <c r="Q1854" s="25"/>
    </row>
    <row r="1855" spans="1:17" s="20" customFormat="1" x14ac:dyDescent="0.25">
      <c r="A1855" s="9"/>
      <c r="B1855" s="28"/>
      <c r="C1855" s="28"/>
      <c r="D1855" s="28"/>
      <c r="E1855" s="28"/>
      <c r="F1855" s="31"/>
      <c r="G1855" s="21"/>
      <c r="H1855" s="22"/>
      <c r="I1855" s="23"/>
      <c r="J1855" s="24"/>
      <c r="K1855" s="25"/>
      <c r="L1855" s="23"/>
      <c r="M1855" s="23"/>
      <c r="N1855" s="24"/>
      <c r="O1855" s="24"/>
      <c r="P1855" s="25"/>
      <c r="Q1855" s="25"/>
    </row>
    <row r="1856" spans="1:17" s="20" customFormat="1" x14ac:dyDescent="0.25">
      <c r="A1856" s="9"/>
      <c r="B1856" s="28"/>
      <c r="C1856" s="28"/>
      <c r="D1856" s="28"/>
      <c r="E1856" s="28"/>
      <c r="F1856" s="31"/>
      <c r="G1856" s="21"/>
      <c r="H1856" s="22"/>
      <c r="I1856" s="23"/>
      <c r="J1856" s="24"/>
      <c r="K1856" s="25"/>
      <c r="L1856" s="23"/>
      <c r="M1856" s="23"/>
      <c r="N1856" s="24"/>
      <c r="O1856" s="24"/>
      <c r="P1856" s="25"/>
      <c r="Q1856" s="25"/>
    </row>
    <row r="1857" spans="1:17" s="20" customFormat="1" x14ac:dyDescent="0.25">
      <c r="A1857" s="9"/>
      <c r="B1857" s="28"/>
      <c r="C1857" s="28"/>
      <c r="D1857" s="28"/>
      <c r="E1857" s="28"/>
      <c r="F1857" s="31"/>
      <c r="G1857" s="21"/>
      <c r="H1857" s="22"/>
      <c r="I1857" s="23"/>
      <c r="J1857" s="24"/>
      <c r="K1857" s="25"/>
      <c r="L1857" s="23"/>
      <c r="M1857" s="23"/>
      <c r="N1857" s="24"/>
      <c r="O1857" s="24"/>
      <c r="P1857" s="25"/>
      <c r="Q1857" s="25"/>
    </row>
    <row r="1858" spans="1:17" s="20" customFormat="1" x14ac:dyDescent="0.25">
      <c r="A1858" s="9"/>
      <c r="B1858" s="28"/>
      <c r="C1858" s="28"/>
      <c r="D1858" s="28"/>
      <c r="E1858" s="28"/>
      <c r="F1858" s="31"/>
      <c r="G1858" s="21"/>
      <c r="H1858" s="22"/>
      <c r="I1858" s="23"/>
      <c r="J1858" s="24"/>
      <c r="K1858" s="25"/>
      <c r="L1858" s="23"/>
      <c r="M1858" s="23"/>
      <c r="N1858" s="24"/>
      <c r="O1858" s="24"/>
      <c r="P1858" s="25"/>
      <c r="Q1858" s="25"/>
    </row>
    <row r="1859" spans="1:17" s="20" customFormat="1" x14ac:dyDescent="0.25">
      <c r="A1859" s="9"/>
      <c r="B1859" s="28"/>
      <c r="C1859" s="28"/>
      <c r="D1859" s="28"/>
      <c r="E1859" s="28"/>
      <c r="F1859" s="31"/>
      <c r="G1859" s="21"/>
      <c r="H1859" s="22"/>
      <c r="I1859" s="23"/>
      <c r="J1859" s="24"/>
      <c r="K1859" s="25"/>
      <c r="L1859" s="23"/>
      <c r="M1859" s="23"/>
      <c r="N1859" s="24"/>
      <c r="O1859" s="24"/>
      <c r="P1859" s="25"/>
      <c r="Q1859" s="25"/>
    </row>
    <row r="1860" spans="1:17" s="20" customFormat="1" x14ac:dyDescent="0.25">
      <c r="A1860" s="9"/>
      <c r="B1860" s="28"/>
      <c r="C1860" s="28"/>
      <c r="D1860" s="28"/>
      <c r="E1860" s="28"/>
      <c r="F1860" s="31"/>
      <c r="G1860" s="21"/>
      <c r="H1860" s="22"/>
      <c r="I1860" s="23"/>
      <c r="J1860" s="24"/>
      <c r="K1860" s="25"/>
      <c r="L1860" s="23"/>
      <c r="M1860" s="23"/>
      <c r="N1860" s="24"/>
      <c r="O1860" s="24"/>
      <c r="P1860" s="25"/>
      <c r="Q1860" s="25"/>
    </row>
    <row r="1861" spans="1:17" s="20" customFormat="1" x14ac:dyDescent="0.25">
      <c r="A1861" s="9"/>
      <c r="B1861" s="28"/>
      <c r="C1861" s="28"/>
      <c r="D1861" s="28"/>
      <c r="E1861" s="28"/>
      <c r="F1861" s="31"/>
      <c r="G1861" s="21"/>
      <c r="H1861" s="22"/>
      <c r="I1861" s="23"/>
      <c r="J1861" s="24"/>
      <c r="K1861" s="25"/>
      <c r="L1861" s="23"/>
      <c r="M1861" s="23"/>
      <c r="N1861" s="24"/>
      <c r="O1861" s="24"/>
      <c r="P1861" s="25"/>
      <c r="Q1861" s="25"/>
    </row>
    <row r="1862" spans="1:17" s="20" customFormat="1" x14ac:dyDescent="0.25">
      <c r="A1862" s="9"/>
      <c r="B1862" s="28"/>
      <c r="C1862" s="28"/>
      <c r="D1862" s="28"/>
      <c r="E1862" s="28"/>
      <c r="F1862" s="31"/>
      <c r="G1862" s="21"/>
      <c r="H1862" s="22"/>
      <c r="I1862" s="23"/>
      <c r="J1862" s="24"/>
      <c r="K1862" s="25"/>
      <c r="L1862" s="23"/>
      <c r="M1862" s="23"/>
      <c r="N1862" s="24"/>
      <c r="O1862" s="24"/>
      <c r="P1862" s="25"/>
      <c r="Q1862" s="25"/>
    </row>
    <row r="1863" spans="1:17" s="20" customFormat="1" x14ac:dyDescent="0.25">
      <c r="A1863" s="9"/>
      <c r="B1863" s="28"/>
      <c r="C1863" s="28"/>
      <c r="D1863" s="28"/>
      <c r="E1863" s="28"/>
      <c r="F1863" s="31"/>
      <c r="G1863" s="21"/>
      <c r="H1863" s="22"/>
      <c r="I1863" s="23"/>
      <c r="J1863" s="24"/>
      <c r="K1863" s="25"/>
      <c r="L1863" s="23"/>
      <c r="M1863" s="23"/>
      <c r="N1863" s="24"/>
      <c r="O1863" s="24"/>
      <c r="P1863" s="25"/>
      <c r="Q1863" s="25"/>
    </row>
    <row r="1864" spans="1:17" s="20" customFormat="1" x14ac:dyDescent="0.25">
      <c r="A1864" s="9"/>
      <c r="B1864" s="28"/>
      <c r="C1864" s="28"/>
      <c r="D1864" s="28"/>
      <c r="E1864" s="28"/>
      <c r="F1864" s="31"/>
      <c r="G1864" s="21"/>
      <c r="H1864" s="22"/>
      <c r="I1864" s="23"/>
      <c r="J1864" s="24"/>
      <c r="K1864" s="25"/>
      <c r="L1864" s="23"/>
      <c r="M1864" s="23"/>
      <c r="N1864" s="24"/>
      <c r="O1864" s="24"/>
      <c r="P1864" s="25"/>
      <c r="Q1864" s="25"/>
    </row>
    <row r="1865" spans="1:17" s="20" customFormat="1" x14ac:dyDescent="0.25">
      <c r="A1865" s="9"/>
      <c r="B1865" s="28"/>
      <c r="C1865" s="28"/>
      <c r="D1865" s="28"/>
      <c r="E1865" s="28"/>
      <c r="F1865" s="31"/>
      <c r="G1865" s="21"/>
      <c r="H1865" s="22"/>
      <c r="I1865" s="23"/>
      <c r="J1865" s="24"/>
      <c r="K1865" s="25"/>
      <c r="L1865" s="23"/>
      <c r="M1865" s="23"/>
      <c r="N1865" s="24"/>
      <c r="O1865" s="24"/>
      <c r="P1865" s="25"/>
      <c r="Q1865" s="25"/>
    </row>
    <row r="1866" spans="1:17" s="20" customFormat="1" x14ac:dyDescent="0.25">
      <c r="A1866" s="9"/>
      <c r="B1866" s="28"/>
      <c r="C1866" s="28"/>
      <c r="D1866" s="28"/>
      <c r="E1866" s="28"/>
      <c r="F1866" s="31"/>
      <c r="G1866" s="21"/>
      <c r="H1866" s="22"/>
      <c r="I1866" s="23"/>
      <c r="J1866" s="24"/>
      <c r="K1866" s="25"/>
      <c r="L1866" s="23"/>
      <c r="M1866" s="23"/>
      <c r="N1866" s="24"/>
      <c r="O1866" s="24"/>
      <c r="P1866" s="25"/>
      <c r="Q1866" s="25"/>
    </row>
    <row r="1867" spans="1:17" s="20" customFormat="1" x14ac:dyDescent="0.25">
      <c r="A1867" s="9"/>
      <c r="B1867" s="28"/>
      <c r="C1867" s="28"/>
      <c r="D1867" s="28"/>
      <c r="E1867" s="28"/>
      <c r="F1867" s="31"/>
      <c r="G1867" s="21"/>
      <c r="H1867" s="22"/>
      <c r="I1867" s="23"/>
      <c r="J1867" s="24"/>
      <c r="K1867" s="25"/>
      <c r="L1867" s="23"/>
      <c r="M1867" s="23"/>
      <c r="N1867" s="24"/>
      <c r="O1867" s="24"/>
      <c r="P1867" s="25"/>
      <c r="Q1867" s="25"/>
    </row>
    <row r="1868" spans="1:17" s="20" customFormat="1" x14ac:dyDescent="0.25">
      <c r="A1868" s="9"/>
      <c r="B1868" s="28"/>
      <c r="C1868" s="28"/>
      <c r="D1868" s="28"/>
      <c r="E1868" s="28"/>
      <c r="F1868" s="31"/>
      <c r="G1868" s="21"/>
      <c r="H1868" s="22"/>
      <c r="I1868" s="23"/>
      <c r="J1868" s="24"/>
      <c r="K1868" s="25"/>
      <c r="L1868" s="23"/>
      <c r="M1868" s="23"/>
      <c r="N1868" s="24"/>
      <c r="O1868" s="24"/>
      <c r="P1868" s="25"/>
      <c r="Q1868" s="25"/>
    </row>
    <row r="1869" spans="1:17" s="20" customFormat="1" x14ac:dyDescent="0.25">
      <c r="A1869" s="9"/>
      <c r="B1869" s="28"/>
      <c r="C1869" s="28"/>
      <c r="D1869" s="28"/>
      <c r="E1869" s="28"/>
      <c r="F1869" s="31"/>
      <c r="G1869" s="21"/>
      <c r="H1869" s="22"/>
      <c r="I1869" s="23"/>
      <c r="J1869" s="24"/>
      <c r="K1869" s="25"/>
      <c r="L1869" s="23"/>
      <c r="M1869" s="23"/>
      <c r="N1869" s="24"/>
      <c r="O1869" s="24"/>
      <c r="P1869" s="25"/>
      <c r="Q1869" s="25"/>
    </row>
    <row r="1870" spans="1:17" s="20" customFormat="1" x14ac:dyDescent="0.25">
      <c r="A1870" s="9"/>
      <c r="B1870" s="28"/>
      <c r="C1870" s="28"/>
      <c r="D1870" s="28"/>
      <c r="E1870" s="28"/>
      <c r="F1870" s="31"/>
      <c r="G1870" s="21"/>
      <c r="H1870" s="22"/>
      <c r="I1870" s="23"/>
      <c r="J1870" s="24"/>
      <c r="K1870" s="25"/>
      <c r="L1870" s="23"/>
      <c r="M1870" s="23"/>
      <c r="N1870" s="24"/>
      <c r="O1870" s="24"/>
      <c r="P1870" s="25"/>
      <c r="Q1870" s="25"/>
    </row>
    <row r="1871" spans="1:17" s="20" customFormat="1" x14ac:dyDescent="0.25">
      <c r="A1871" s="9"/>
      <c r="B1871" s="28"/>
      <c r="C1871" s="28"/>
      <c r="D1871" s="28"/>
      <c r="E1871" s="28"/>
      <c r="F1871" s="31"/>
      <c r="G1871" s="21"/>
      <c r="H1871" s="22"/>
      <c r="I1871" s="23"/>
      <c r="J1871" s="24"/>
      <c r="K1871" s="25"/>
      <c r="L1871" s="23"/>
      <c r="M1871" s="23"/>
      <c r="N1871" s="24"/>
      <c r="O1871" s="24"/>
      <c r="P1871" s="25"/>
      <c r="Q1871" s="25"/>
    </row>
    <row r="1872" spans="1:17" s="20" customFormat="1" x14ac:dyDescent="0.25">
      <c r="A1872" s="9"/>
      <c r="B1872" s="28"/>
      <c r="C1872" s="28"/>
      <c r="D1872" s="28"/>
      <c r="E1872" s="28"/>
      <c r="F1872" s="31"/>
      <c r="G1872" s="21"/>
      <c r="H1872" s="22"/>
      <c r="I1872" s="23"/>
      <c r="J1872" s="24"/>
      <c r="K1872" s="25"/>
      <c r="L1872" s="23"/>
      <c r="M1872" s="23"/>
      <c r="N1872" s="24"/>
      <c r="O1872" s="24"/>
      <c r="P1872" s="25"/>
      <c r="Q1872" s="25"/>
    </row>
    <row r="1873" spans="1:17" s="20" customFormat="1" x14ac:dyDescent="0.25">
      <c r="A1873" s="9"/>
      <c r="B1873" s="28"/>
      <c r="C1873" s="28"/>
      <c r="D1873" s="28"/>
      <c r="E1873" s="28"/>
      <c r="F1873" s="31"/>
      <c r="G1873" s="21"/>
      <c r="H1873" s="22"/>
      <c r="I1873" s="23"/>
      <c r="J1873" s="24"/>
      <c r="K1873" s="25"/>
      <c r="L1873" s="23"/>
      <c r="M1873" s="23"/>
      <c r="N1873" s="24"/>
      <c r="O1873" s="24"/>
      <c r="P1873" s="25"/>
      <c r="Q1873" s="25"/>
    </row>
    <row r="1874" spans="1:17" s="20" customFormat="1" x14ac:dyDescent="0.25">
      <c r="A1874" s="9"/>
      <c r="B1874" s="28"/>
      <c r="C1874" s="28"/>
      <c r="D1874" s="28"/>
      <c r="E1874" s="28"/>
      <c r="F1874" s="31"/>
      <c r="G1874" s="21"/>
      <c r="H1874" s="22"/>
      <c r="I1874" s="23"/>
      <c r="J1874" s="24"/>
      <c r="K1874" s="25"/>
      <c r="L1874" s="23"/>
      <c r="M1874" s="23"/>
      <c r="N1874" s="24"/>
      <c r="O1874" s="24"/>
      <c r="P1874" s="25"/>
      <c r="Q1874" s="25"/>
    </row>
    <row r="1875" spans="1:17" s="20" customFormat="1" x14ac:dyDescent="0.25">
      <c r="A1875" s="9"/>
      <c r="B1875" s="28"/>
      <c r="C1875" s="28"/>
      <c r="D1875" s="28"/>
      <c r="E1875" s="28"/>
      <c r="F1875" s="31"/>
      <c r="G1875" s="21"/>
      <c r="H1875" s="22"/>
      <c r="I1875" s="23"/>
      <c r="J1875" s="24"/>
      <c r="K1875" s="25"/>
      <c r="L1875" s="23"/>
      <c r="M1875" s="23"/>
      <c r="N1875" s="24"/>
      <c r="O1875" s="24"/>
      <c r="P1875" s="25"/>
      <c r="Q1875" s="25"/>
    </row>
    <row r="1876" spans="1:17" s="20" customFormat="1" x14ac:dyDescent="0.25">
      <c r="A1876" s="9"/>
      <c r="B1876" s="28"/>
      <c r="C1876" s="28"/>
      <c r="D1876" s="28"/>
      <c r="E1876" s="28"/>
      <c r="F1876" s="31"/>
      <c r="G1876" s="21"/>
      <c r="H1876" s="22"/>
      <c r="I1876" s="23"/>
      <c r="J1876" s="24"/>
      <c r="K1876" s="25"/>
      <c r="L1876" s="23"/>
      <c r="M1876" s="23"/>
      <c r="N1876" s="24"/>
      <c r="O1876" s="24"/>
      <c r="P1876" s="25"/>
      <c r="Q1876" s="25"/>
    </row>
    <row r="1877" spans="1:17" s="20" customFormat="1" x14ac:dyDescent="0.25">
      <c r="A1877" s="9"/>
      <c r="B1877" s="28"/>
      <c r="C1877" s="28"/>
      <c r="D1877" s="28"/>
      <c r="E1877" s="28"/>
      <c r="F1877" s="31"/>
      <c r="G1877" s="21"/>
      <c r="H1877" s="22"/>
      <c r="I1877" s="23"/>
      <c r="J1877" s="24"/>
      <c r="K1877" s="25"/>
      <c r="L1877" s="23"/>
      <c r="M1877" s="23"/>
      <c r="N1877" s="24"/>
      <c r="O1877" s="24"/>
      <c r="P1877" s="25"/>
      <c r="Q1877" s="25"/>
    </row>
    <row r="1878" spans="1:17" s="20" customFormat="1" x14ac:dyDescent="0.25">
      <c r="A1878" s="9"/>
      <c r="B1878" s="28"/>
      <c r="C1878" s="28"/>
      <c r="D1878" s="28"/>
      <c r="E1878" s="28"/>
      <c r="F1878" s="31"/>
      <c r="G1878" s="21"/>
      <c r="H1878" s="22"/>
      <c r="I1878" s="23"/>
      <c r="J1878" s="24"/>
      <c r="K1878" s="25"/>
      <c r="L1878" s="23"/>
      <c r="M1878" s="23"/>
      <c r="N1878" s="24"/>
      <c r="O1878" s="24"/>
      <c r="P1878" s="25"/>
      <c r="Q1878" s="25"/>
    </row>
    <row r="1879" spans="1:17" s="20" customFormat="1" x14ac:dyDescent="0.25">
      <c r="A1879" s="9"/>
      <c r="B1879" s="28"/>
      <c r="C1879" s="28"/>
      <c r="D1879" s="28"/>
      <c r="E1879" s="28"/>
      <c r="F1879" s="31"/>
      <c r="G1879" s="21"/>
      <c r="H1879" s="22"/>
      <c r="I1879" s="23"/>
      <c r="J1879" s="24"/>
      <c r="K1879" s="25"/>
      <c r="L1879" s="23"/>
      <c r="M1879" s="23"/>
      <c r="N1879" s="24"/>
      <c r="O1879" s="24"/>
      <c r="P1879" s="25"/>
      <c r="Q1879" s="25"/>
    </row>
    <row r="1880" spans="1:17" s="20" customFormat="1" x14ac:dyDescent="0.25">
      <c r="A1880" s="9"/>
      <c r="B1880" s="28"/>
      <c r="C1880" s="28"/>
      <c r="D1880" s="28"/>
      <c r="E1880" s="28"/>
      <c r="F1880" s="31"/>
      <c r="G1880" s="21"/>
      <c r="H1880" s="22"/>
      <c r="I1880" s="23"/>
      <c r="J1880" s="24"/>
      <c r="K1880" s="25"/>
      <c r="L1880" s="23"/>
      <c r="M1880" s="23"/>
      <c r="N1880" s="24"/>
      <c r="O1880" s="24"/>
      <c r="P1880" s="25"/>
      <c r="Q1880" s="25"/>
    </row>
    <row r="1881" spans="1:17" s="20" customFormat="1" x14ac:dyDescent="0.25">
      <c r="A1881" s="9"/>
      <c r="B1881" s="28"/>
      <c r="C1881" s="28"/>
      <c r="D1881" s="28"/>
      <c r="E1881" s="28"/>
      <c r="F1881" s="31"/>
      <c r="G1881" s="21"/>
      <c r="H1881" s="22"/>
      <c r="I1881" s="23"/>
      <c r="J1881" s="24"/>
      <c r="K1881" s="25"/>
      <c r="L1881" s="23"/>
      <c r="M1881" s="23"/>
      <c r="N1881" s="24"/>
      <c r="O1881" s="24"/>
      <c r="P1881" s="25"/>
      <c r="Q1881" s="25"/>
    </row>
    <row r="1882" spans="1:17" s="20" customFormat="1" x14ac:dyDescent="0.25">
      <c r="A1882" s="9"/>
      <c r="B1882" s="28"/>
      <c r="C1882" s="28"/>
      <c r="D1882" s="28"/>
      <c r="E1882" s="28"/>
      <c r="F1882" s="31"/>
      <c r="G1882" s="21"/>
      <c r="H1882" s="22"/>
      <c r="I1882" s="23"/>
      <c r="J1882" s="24"/>
      <c r="K1882" s="25"/>
      <c r="L1882" s="23"/>
      <c r="M1882" s="23"/>
      <c r="N1882" s="24"/>
      <c r="O1882" s="24"/>
      <c r="P1882" s="25"/>
      <c r="Q1882" s="25"/>
    </row>
    <row r="1883" spans="1:17" s="20" customFormat="1" x14ac:dyDescent="0.25">
      <c r="A1883" s="9"/>
      <c r="B1883" s="28"/>
      <c r="C1883" s="28"/>
      <c r="D1883" s="28"/>
      <c r="E1883" s="28"/>
      <c r="F1883" s="31"/>
      <c r="G1883" s="21"/>
      <c r="H1883" s="22"/>
      <c r="I1883" s="23"/>
      <c r="J1883" s="24"/>
      <c r="K1883" s="25"/>
      <c r="L1883" s="23"/>
      <c r="M1883" s="23"/>
      <c r="N1883" s="24"/>
      <c r="O1883" s="24"/>
      <c r="P1883" s="25"/>
      <c r="Q1883" s="25"/>
    </row>
    <row r="1884" spans="1:17" s="20" customFormat="1" x14ac:dyDescent="0.25">
      <c r="A1884" s="9"/>
      <c r="B1884" s="28"/>
      <c r="C1884" s="28"/>
      <c r="D1884" s="28"/>
      <c r="E1884" s="28"/>
      <c r="F1884" s="31"/>
      <c r="G1884" s="21"/>
      <c r="H1884" s="22"/>
      <c r="I1884" s="23"/>
      <c r="J1884" s="24"/>
      <c r="K1884" s="25"/>
      <c r="L1884" s="23"/>
      <c r="M1884" s="23"/>
      <c r="N1884" s="24"/>
      <c r="O1884" s="24"/>
      <c r="P1884" s="25"/>
      <c r="Q1884" s="25"/>
    </row>
    <row r="1885" spans="1:17" s="20" customFormat="1" x14ac:dyDescent="0.25">
      <c r="A1885" s="9"/>
      <c r="B1885" s="28"/>
      <c r="C1885" s="28"/>
      <c r="D1885" s="28"/>
      <c r="E1885" s="28"/>
      <c r="F1885" s="31"/>
      <c r="G1885" s="21"/>
      <c r="H1885" s="22"/>
      <c r="I1885" s="23"/>
      <c r="J1885" s="24"/>
      <c r="K1885" s="25"/>
      <c r="L1885" s="23"/>
      <c r="M1885" s="23"/>
      <c r="N1885" s="24"/>
      <c r="O1885" s="24"/>
      <c r="P1885" s="25"/>
      <c r="Q1885" s="25"/>
    </row>
    <row r="1886" spans="1:17" s="20" customFormat="1" x14ac:dyDescent="0.25">
      <c r="A1886" s="9"/>
      <c r="B1886" s="28"/>
      <c r="C1886" s="28"/>
      <c r="D1886" s="28"/>
      <c r="E1886" s="28"/>
      <c r="F1886" s="31"/>
      <c r="G1886" s="21"/>
      <c r="H1886" s="22"/>
      <c r="I1886" s="23"/>
      <c r="J1886" s="24"/>
      <c r="K1886" s="25"/>
      <c r="L1886" s="23"/>
      <c r="M1886" s="23"/>
      <c r="N1886" s="24"/>
      <c r="O1886" s="24"/>
      <c r="P1886" s="25"/>
      <c r="Q1886" s="25"/>
    </row>
    <row r="1887" spans="1:17" s="20" customFormat="1" x14ac:dyDescent="0.25">
      <c r="A1887" s="9"/>
      <c r="B1887" s="28"/>
      <c r="C1887" s="28"/>
      <c r="D1887" s="28"/>
      <c r="E1887" s="28"/>
      <c r="F1887" s="31"/>
      <c r="G1887" s="21"/>
      <c r="H1887" s="22"/>
      <c r="I1887" s="23"/>
      <c r="J1887" s="24"/>
      <c r="K1887" s="25"/>
      <c r="L1887" s="23"/>
      <c r="M1887" s="23"/>
      <c r="N1887" s="24"/>
      <c r="O1887" s="24"/>
      <c r="P1887" s="25"/>
      <c r="Q1887" s="25"/>
    </row>
    <row r="1888" spans="1:17" s="20" customFormat="1" x14ac:dyDescent="0.25">
      <c r="A1888" s="9"/>
      <c r="B1888" s="28"/>
      <c r="C1888" s="28"/>
      <c r="D1888" s="28"/>
      <c r="E1888" s="28"/>
      <c r="F1888" s="31"/>
      <c r="G1888" s="21"/>
      <c r="H1888" s="22"/>
      <c r="I1888" s="23"/>
      <c r="J1888" s="24"/>
      <c r="K1888" s="25"/>
      <c r="L1888" s="23"/>
      <c r="M1888" s="23"/>
      <c r="N1888" s="24"/>
      <c r="O1888" s="24"/>
      <c r="P1888" s="25"/>
      <c r="Q1888" s="25"/>
    </row>
    <row r="1889" spans="1:17" s="20" customFormat="1" x14ac:dyDescent="0.25">
      <c r="A1889" s="9"/>
      <c r="B1889" s="28"/>
      <c r="C1889" s="28"/>
      <c r="D1889" s="28"/>
      <c r="E1889" s="28"/>
      <c r="F1889" s="31"/>
      <c r="G1889" s="21"/>
      <c r="H1889" s="22"/>
      <c r="I1889" s="23"/>
      <c r="J1889" s="24"/>
      <c r="K1889" s="25"/>
      <c r="L1889" s="23"/>
      <c r="M1889" s="23"/>
      <c r="N1889" s="24"/>
      <c r="O1889" s="24"/>
      <c r="P1889" s="25"/>
      <c r="Q1889" s="25"/>
    </row>
    <row r="1890" spans="1:17" s="20" customFormat="1" x14ac:dyDescent="0.25">
      <c r="A1890" s="9"/>
      <c r="B1890" s="28"/>
      <c r="C1890" s="28"/>
      <c r="D1890" s="28"/>
      <c r="E1890" s="28"/>
      <c r="F1890" s="31"/>
      <c r="G1890" s="21"/>
      <c r="H1890" s="22"/>
      <c r="I1890" s="23"/>
      <c r="J1890" s="24"/>
      <c r="K1890" s="25"/>
      <c r="L1890" s="23"/>
      <c r="M1890" s="23"/>
      <c r="N1890" s="24"/>
      <c r="O1890" s="24"/>
      <c r="P1890" s="25"/>
      <c r="Q1890" s="25"/>
    </row>
    <row r="1891" spans="1:17" s="20" customFormat="1" x14ac:dyDescent="0.25">
      <c r="A1891" s="9"/>
      <c r="B1891" s="28"/>
      <c r="C1891" s="28"/>
      <c r="D1891" s="28"/>
      <c r="E1891" s="28"/>
      <c r="F1891" s="31"/>
      <c r="G1891" s="21"/>
      <c r="H1891" s="22"/>
      <c r="I1891" s="23"/>
      <c r="J1891" s="24"/>
      <c r="K1891" s="25"/>
      <c r="L1891" s="23"/>
      <c r="M1891" s="23"/>
      <c r="N1891" s="24"/>
      <c r="O1891" s="24"/>
      <c r="P1891" s="25"/>
      <c r="Q1891" s="25"/>
    </row>
    <row r="1892" spans="1:17" s="20" customFormat="1" x14ac:dyDescent="0.25">
      <c r="A1892" s="9"/>
      <c r="B1892" s="28"/>
      <c r="C1892" s="28"/>
      <c r="D1892" s="28"/>
      <c r="E1892" s="28"/>
      <c r="F1892" s="31"/>
      <c r="G1892" s="21"/>
      <c r="H1892" s="22"/>
      <c r="I1892" s="23"/>
      <c r="J1892" s="24"/>
      <c r="K1892" s="25"/>
      <c r="L1892" s="23"/>
      <c r="M1892" s="23"/>
      <c r="N1892" s="24"/>
      <c r="O1892" s="24"/>
      <c r="P1892" s="25"/>
      <c r="Q1892" s="25"/>
    </row>
    <row r="1893" spans="1:17" s="20" customFormat="1" x14ac:dyDescent="0.25">
      <c r="A1893" s="9"/>
      <c r="B1893" s="28"/>
      <c r="C1893" s="28"/>
      <c r="D1893" s="28"/>
      <c r="E1893" s="28"/>
      <c r="F1893" s="31"/>
      <c r="G1893" s="21"/>
      <c r="H1893" s="22"/>
      <c r="I1893" s="23"/>
      <c r="J1893" s="24"/>
      <c r="K1893" s="25"/>
      <c r="L1893" s="23"/>
      <c r="M1893" s="23"/>
      <c r="N1893" s="24"/>
      <c r="O1893" s="24"/>
      <c r="P1893" s="25"/>
      <c r="Q1893" s="25"/>
    </row>
    <row r="1894" spans="1:17" s="20" customFormat="1" x14ac:dyDescent="0.25">
      <c r="A1894" s="9"/>
      <c r="B1894" s="28"/>
      <c r="C1894" s="28"/>
      <c r="D1894" s="28"/>
      <c r="E1894" s="28"/>
      <c r="F1894" s="31"/>
      <c r="G1894" s="21"/>
      <c r="H1894" s="22"/>
      <c r="I1894" s="23"/>
      <c r="J1894" s="24"/>
      <c r="K1894" s="25"/>
      <c r="L1894" s="23"/>
      <c r="M1894" s="23"/>
      <c r="N1894" s="24"/>
      <c r="O1894" s="24"/>
      <c r="P1894" s="25"/>
      <c r="Q1894" s="25"/>
    </row>
    <row r="1895" spans="1:17" s="20" customFormat="1" x14ac:dyDescent="0.25">
      <c r="A1895" s="9"/>
      <c r="B1895" s="28"/>
      <c r="C1895" s="28"/>
      <c r="D1895" s="28"/>
      <c r="E1895" s="28"/>
      <c r="F1895" s="31"/>
      <c r="G1895" s="21"/>
      <c r="H1895" s="22"/>
      <c r="I1895" s="23"/>
      <c r="J1895" s="24"/>
      <c r="K1895" s="25"/>
      <c r="L1895" s="23"/>
      <c r="M1895" s="23"/>
      <c r="N1895" s="24"/>
      <c r="O1895" s="24"/>
      <c r="P1895" s="25"/>
      <c r="Q1895" s="25"/>
    </row>
    <row r="1896" spans="1:17" s="20" customFormat="1" x14ac:dyDescent="0.25">
      <c r="A1896" s="9"/>
      <c r="B1896" s="28"/>
      <c r="C1896" s="28"/>
      <c r="D1896" s="28"/>
      <c r="E1896" s="28"/>
      <c r="F1896" s="31"/>
      <c r="G1896" s="21"/>
      <c r="H1896" s="22"/>
      <c r="I1896" s="23"/>
      <c r="J1896" s="24"/>
      <c r="K1896" s="25"/>
      <c r="L1896" s="23"/>
      <c r="M1896" s="23"/>
      <c r="N1896" s="24"/>
      <c r="O1896" s="24"/>
      <c r="P1896" s="25"/>
      <c r="Q1896" s="25"/>
    </row>
    <row r="1897" spans="1:17" s="20" customFormat="1" x14ac:dyDescent="0.25">
      <c r="A1897" s="9"/>
      <c r="B1897" s="28"/>
      <c r="C1897" s="28"/>
      <c r="D1897" s="28"/>
      <c r="E1897" s="28"/>
      <c r="F1897" s="31"/>
      <c r="G1897" s="21"/>
      <c r="H1897" s="22"/>
      <c r="I1897" s="23"/>
      <c r="J1897" s="24"/>
      <c r="K1897" s="25"/>
      <c r="L1897" s="23"/>
      <c r="M1897" s="23"/>
      <c r="N1897" s="24"/>
      <c r="O1897" s="24"/>
      <c r="P1897" s="25"/>
      <c r="Q1897" s="25"/>
    </row>
    <row r="1898" spans="1:17" s="20" customFormat="1" x14ac:dyDescent="0.25">
      <c r="A1898" s="9"/>
      <c r="B1898" s="28"/>
      <c r="C1898" s="28"/>
      <c r="D1898" s="28"/>
      <c r="E1898" s="28"/>
      <c r="F1898" s="31"/>
      <c r="G1898" s="21"/>
      <c r="H1898" s="22"/>
      <c r="I1898" s="23"/>
      <c r="J1898" s="24"/>
      <c r="K1898" s="25"/>
      <c r="L1898" s="23"/>
      <c r="M1898" s="23"/>
      <c r="N1898" s="24"/>
      <c r="O1898" s="24"/>
      <c r="P1898" s="25"/>
      <c r="Q1898" s="25"/>
    </row>
    <row r="1899" spans="1:17" s="20" customFormat="1" x14ac:dyDescent="0.25">
      <c r="A1899" s="9"/>
      <c r="B1899" s="28"/>
      <c r="C1899" s="28"/>
      <c r="D1899" s="28"/>
      <c r="E1899" s="28"/>
      <c r="F1899" s="31"/>
      <c r="G1899" s="21"/>
      <c r="H1899" s="22"/>
      <c r="I1899" s="23"/>
      <c r="J1899" s="24"/>
      <c r="K1899" s="25"/>
      <c r="L1899" s="23"/>
      <c r="M1899" s="23"/>
      <c r="N1899" s="24"/>
      <c r="O1899" s="24"/>
      <c r="P1899" s="25"/>
      <c r="Q1899" s="25"/>
    </row>
    <row r="1900" spans="1:17" s="20" customFormat="1" x14ac:dyDescent="0.25">
      <c r="A1900" s="9"/>
      <c r="B1900" s="28"/>
      <c r="C1900" s="28"/>
      <c r="D1900" s="28"/>
      <c r="E1900" s="28"/>
      <c r="F1900" s="31"/>
      <c r="G1900" s="21"/>
      <c r="H1900" s="22"/>
      <c r="I1900" s="23"/>
      <c r="J1900" s="24"/>
      <c r="K1900" s="25"/>
      <c r="L1900" s="23"/>
      <c r="M1900" s="23"/>
      <c r="N1900" s="24"/>
      <c r="O1900" s="24"/>
      <c r="P1900" s="25"/>
      <c r="Q1900" s="25"/>
    </row>
    <row r="1901" spans="1:17" s="20" customFormat="1" x14ac:dyDescent="0.25">
      <c r="A1901" s="9"/>
      <c r="B1901" s="28"/>
      <c r="C1901" s="28"/>
      <c r="D1901" s="28"/>
      <c r="E1901" s="28"/>
      <c r="F1901" s="31"/>
      <c r="G1901" s="21"/>
      <c r="H1901" s="22"/>
      <c r="I1901" s="23"/>
      <c r="J1901" s="24"/>
      <c r="K1901" s="25"/>
      <c r="L1901" s="23"/>
      <c r="M1901" s="23"/>
      <c r="N1901" s="24"/>
      <c r="O1901" s="24"/>
      <c r="P1901" s="25"/>
      <c r="Q1901" s="25"/>
    </row>
    <row r="1902" spans="1:17" s="20" customFormat="1" x14ac:dyDescent="0.25">
      <c r="A1902" s="9"/>
      <c r="B1902" s="28"/>
      <c r="C1902" s="28"/>
      <c r="D1902" s="28"/>
      <c r="E1902" s="28"/>
      <c r="F1902" s="31"/>
      <c r="G1902" s="21"/>
      <c r="H1902" s="22"/>
      <c r="I1902" s="23"/>
      <c r="J1902" s="24"/>
      <c r="K1902" s="25"/>
      <c r="L1902" s="23"/>
      <c r="M1902" s="23"/>
      <c r="N1902" s="24"/>
      <c r="O1902" s="24"/>
      <c r="P1902" s="25"/>
      <c r="Q1902" s="25"/>
    </row>
    <row r="1903" spans="1:17" s="20" customFormat="1" x14ac:dyDescent="0.25">
      <c r="A1903" s="9"/>
      <c r="B1903" s="28"/>
      <c r="C1903" s="28"/>
      <c r="D1903" s="28"/>
      <c r="E1903" s="28"/>
      <c r="F1903" s="31"/>
      <c r="G1903" s="21"/>
      <c r="H1903" s="22"/>
      <c r="I1903" s="23"/>
      <c r="J1903" s="24"/>
      <c r="K1903" s="25"/>
      <c r="L1903" s="23"/>
      <c r="M1903" s="23"/>
      <c r="N1903" s="24"/>
      <c r="O1903" s="24"/>
      <c r="P1903" s="25"/>
      <c r="Q1903" s="25"/>
    </row>
    <row r="1904" spans="1:17" s="20" customFormat="1" x14ac:dyDescent="0.25">
      <c r="A1904" s="9"/>
      <c r="B1904" s="28"/>
      <c r="C1904" s="28"/>
      <c r="D1904" s="28"/>
      <c r="E1904" s="28"/>
      <c r="F1904" s="31"/>
      <c r="G1904" s="21"/>
      <c r="H1904" s="22"/>
      <c r="I1904" s="23"/>
      <c r="J1904" s="24"/>
      <c r="K1904" s="25"/>
      <c r="L1904" s="23"/>
      <c r="M1904" s="23"/>
      <c r="N1904" s="24"/>
      <c r="O1904" s="24"/>
      <c r="P1904" s="25"/>
      <c r="Q1904" s="25"/>
    </row>
    <row r="1905" spans="1:17" s="20" customFormat="1" x14ac:dyDescent="0.25">
      <c r="A1905" s="9"/>
      <c r="B1905" s="28"/>
      <c r="C1905" s="28"/>
      <c r="D1905" s="28"/>
      <c r="E1905" s="28"/>
      <c r="F1905" s="31"/>
      <c r="G1905" s="21"/>
      <c r="H1905" s="22"/>
      <c r="I1905" s="23"/>
      <c r="J1905" s="24"/>
      <c r="K1905" s="25"/>
      <c r="L1905" s="23"/>
      <c r="M1905" s="23"/>
      <c r="N1905" s="24"/>
      <c r="O1905" s="24"/>
      <c r="P1905" s="25"/>
      <c r="Q1905" s="25"/>
    </row>
    <row r="1906" spans="1:17" s="20" customFormat="1" x14ac:dyDescent="0.25">
      <c r="A1906" s="9"/>
      <c r="B1906" s="28"/>
      <c r="C1906" s="28"/>
      <c r="D1906" s="28"/>
      <c r="E1906" s="28"/>
      <c r="F1906" s="31"/>
      <c r="G1906" s="21"/>
      <c r="H1906" s="22"/>
      <c r="I1906" s="23"/>
      <c r="J1906" s="24"/>
      <c r="K1906" s="25"/>
      <c r="L1906" s="23"/>
      <c r="M1906" s="23"/>
      <c r="N1906" s="24"/>
      <c r="O1906" s="24"/>
      <c r="P1906" s="25"/>
      <c r="Q1906" s="25"/>
    </row>
    <row r="1907" spans="1:17" s="20" customFormat="1" x14ac:dyDescent="0.25">
      <c r="A1907" s="9"/>
      <c r="B1907" s="28"/>
      <c r="C1907" s="28"/>
      <c r="D1907" s="28"/>
      <c r="E1907" s="28"/>
      <c r="F1907" s="31"/>
      <c r="G1907" s="21"/>
      <c r="H1907" s="22"/>
      <c r="I1907" s="23"/>
      <c r="J1907" s="24"/>
      <c r="K1907" s="25"/>
      <c r="L1907" s="23"/>
      <c r="M1907" s="23"/>
      <c r="N1907" s="24"/>
      <c r="O1907" s="24"/>
      <c r="P1907" s="25"/>
      <c r="Q1907" s="25"/>
    </row>
    <row r="1908" spans="1:17" s="20" customFormat="1" x14ac:dyDescent="0.25">
      <c r="A1908" s="9"/>
      <c r="B1908" s="28"/>
      <c r="C1908" s="28"/>
      <c r="D1908" s="28"/>
      <c r="E1908" s="28"/>
      <c r="F1908" s="31"/>
      <c r="G1908" s="21"/>
      <c r="H1908" s="22"/>
      <c r="I1908" s="23"/>
      <c r="J1908" s="24"/>
      <c r="K1908" s="25"/>
      <c r="L1908" s="23"/>
      <c r="M1908" s="23"/>
      <c r="N1908" s="24"/>
      <c r="O1908" s="24"/>
      <c r="P1908" s="25"/>
      <c r="Q1908" s="25"/>
    </row>
    <row r="1909" spans="1:17" s="20" customFormat="1" x14ac:dyDescent="0.25">
      <c r="A1909" s="9"/>
      <c r="B1909" s="28"/>
      <c r="C1909" s="28"/>
      <c r="D1909" s="28"/>
      <c r="E1909" s="28"/>
      <c r="F1909" s="31"/>
      <c r="G1909" s="21"/>
      <c r="H1909" s="22"/>
      <c r="I1909" s="23"/>
      <c r="J1909" s="24"/>
      <c r="K1909" s="25"/>
      <c r="L1909" s="23"/>
      <c r="M1909" s="23"/>
      <c r="N1909" s="24"/>
      <c r="O1909" s="24"/>
      <c r="P1909" s="25"/>
      <c r="Q1909" s="25"/>
    </row>
    <row r="1910" spans="1:17" s="20" customFormat="1" x14ac:dyDescent="0.25">
      <c r="A1910" s="9"/>
      <c r="B1910" s="28"/>
      <c r="C1910" s="28"/>
      <c r="D1910" s="28"/>
      <c r="E1910" s="28"/>
      <c r="F1910" s="31"/>
      <c r="G1910" s="21"/>
      <c r="H1910" s="22"/>
      <c r="I1910" s="23"/>
      <c r="J1910" s="24"/>
      <c r="K1910" s="25"/>
      <c r="L1910" s="23"/>
      <c r="M1910" s="23"/>
      <c r="N1910" s="24"/>
      <c r="O1910" s="24"/>
      <c r="P1910" s="25"/>
      <c r="Q1910" s="25"/>
    </row>
    <row r="1911" spans="1:17" s="20" customFormat="1" x14ac:dyDescent="0.25">
      <c r="A1911" s="9"/>
      <c r="B1911" s="28"/>
      <c r="C1911" s="28"/>
      <c r="D1911" s="28"/>
      <c r="E1911" s="28"/>
      <c r="F1911" s="31"/>
      <c r="G1911" s="21"/>
      <c r="H1911" s="22"/>
      <c r="I1911" s="23"/>
      <c r="J1911" s="24"/>
      <c r="K1911" s="25"/>
      <c r="L1911" s="23"/>
      <c r="M1911" s="23"/>
      <c r="N1911" s="24"/>
      <c r="O1911" s="24"/>
      <c r="P1911" s="25"/>
      <c r="Q1911" s="25"/>
    </row>
    <row r="1912" spans="1:17" s="20" customFormat="1" x14ac:dyDescent="0.25">
      <c r="A1912" s="9"/>
      <c r="B1912" s="28"/>
      <c r="C1912" s="28"/>
      <c r="D1912" s="28"/>
      <c r="E1912" s="28"/>
      <c r="F1912" s="31"/>
      <c r="G1912" s="21"/>
      <c r="H1912" s="22"/>
      <c r="I1912" s="23"/>
      <c r="J1912" s="24"/>
      <c r="K1912" s="25"/>
      <c r="L1912" s="23"/>
      <c r="M1912" s="23"/>
      <c r="N1912" s="24"/>
      <c r="O1912" s="24"/>
      <c r="P1912" s="25"/>
      <c r="Q1912" s="25"/>
    </row>
    <row r="1913" spans="1:17" s="20" customFormat="1" x14ac:dyDescent="0.25">
      <c r="A1913" s="9"/>
      <c r="B1913" s="28"/>
      <c r="C1913" s="28"/>
      <c r="D1913" s="28"/>
      <c r="E1913" s="28"/>
      <c r="F1913" s="31"/>
      <c r="G1913" s="21"/>
      <c r="H1913" s="22"/>
      <c r="I1913" s="23"/>
      <c r="J1913" s="24"/>
      <c r="K1913" s="25"/>
      <c r="L1913" s="23"/>
      <c r="M1913" s="23"/>
      <c r="N1913" s="24"/>
      <c r="O1913" s="24"/>
      <c r="P1913" s="25"/>
      <c r="Q1913" s="25"/>
    </row>
    <row r="1914" spans="1:17" s="20" customFormat="1" x14ac:dyDescent="0.25">
      <c r="A1914" s="9"/>
      <c r="B1914" s="28"/>
      <c r="C1914" s="28"/>
      <c r="D1914" s="28"/>
      <c r="E1914" s="28"/>
      <c r="F1914" s="31"/>
      <c r="G1914" s="21"/>
      <c r="H1914" s="22"/>
      <c r="I1914" s="23"/>
      <c r="J1914" s="24"/>
      <c r="K1914" s="25"/>
      <c r="L1914" s="23"/>
      <c r="M1914" s="23"/>
      <c r="N1914" s="24"/>
      <c r="O1914" s="24"/>
      <c r="P1914" s="25"/>
      <c r="Q1914" s="25"/>
    </row>
    <row r="1915" spans="1:17" s="20" customFormat="1" x14ac:dyDescent="0.25">
      <c r="A1915" s="9"/>
      <c r="B1915" s="28"/>
      <c r="C1915" s="28"/>
      <c r="D1915" s="28"/>
      <c r="E1915" s="28"/>
      <c r="F1915" s="31"/>
      <c r="G1915" s="21"/>
      <c r="H1915" s="22"/>
      <c r="I1915" s="23"/>
      <c r="J1915" s="24"/>
      <c r="K1915" s="25"/>
      <c r="L1915" s="23"/>
      <c r="M1915" s="23"/>
      <c r="N1915" s="24"/>
      <c r="O1915" s="24"/>
      <c r="P1915" s="25"/>
      <c r="Q1915" s="25"/>
    </row>
    <row r="1916" spans="1:17" s="20" customFormat="1" x14ac:dyDescent="0.25">
      <c r="A1916" s="9"/>
      <c r="B1916" s="28"/>
      <c r="C1916" s="28"/>
      <c r="D1916" s="28"/>
      <c r="E1916" s="28"/>
      <c r="F1916" s="31"/>
      <c r="G1916" s="21"/>
      <c r="H1916" s="22"/>
      <c r="I1916" s="23"/>
      <c r="J1916" s="24"/>
      <c r="K1916" s="25"/>
      <c r="L1916" s="23"/>
      <c r="M1916" s="23"/>
      <c r="N1916" s="24"/>
      <c r="O1916" s="24"/>
      <c r="P1916" s="25"/>
      <c r="Q1916" s="25"/>
    </row>
    <row r="1917" spans="1:17" s="20" customFormat="1" x14ac:dyDescent="0.25">
      <c r="A1917" s="9"/>
      <c r="B1917" s="28"/>
      <c r="C1917" s="28"/>
      <c r="D1917" s="28"/>
      <c r="E1917" s="28"/>
      <c r="F1917" s="31"/>
      <c r="G1917" s="21"/>
      <c r="H1917" s="22"/>
      <c r="I1917" s="23"/>
      <c r="J1917" s="24"/>
      <c r="K1917" s="25"/>
      <c r="L1917" s="23"/>
      <c r="M1917" s="23"/>
      <c r="N1917" s="24"/>
      <c r="O1917" s="24"/>
      <c r="P1917" s="25"/>
      <c r="Q1917" s="25"/>
    </row>
    <row r="1918" spans="1:17" s="20" customFormat="1" x14ac:dyDescent="0.25">
      <c r="A1918" s="9"/>
      <c r="B1918" s="28"/>
      <c r="C1918" s="28"/>
      <c r="D1918" s="28"/>
      <c r="E1918" s="28"/>
      <c r="F1918" s="31"/>
      <c r="G1918" s="21"/>
      <c r="H1918" s="22"/>
      <c r="I1918" s="23"/>
      <c r="J1918" s="24"/>
      <c r="K1918" s="25"/>
      <c r="L1918" s="23"/>
      <c r="M1918" s="23"/>
      <c r="N1918" s="24"/>
      <c r="O1918" s="24"/>
      <c r="P1918" s="25"/>
      <c r="Q1918" s="25"/>
    </row>
    <row r="1919" spans="1:17" s="20" customFormat="1" x14ac:dyDescent="0.25">
      <c r="A1919" s="9"/>
      <c r="B1919" s="28"/>
      <c r="C1919" s="28"/>
      <c r="D1919" s="28"/>
      <c r="E1919" s="28"/>
      <c r="F1919" s="31"/>
      <c r="G1919" s="21"/>
      <c r="H1919" s="22"/>
      <c r="I1919" s="23"/>
      <c r="J1919" s="24"/>
      <c r="K1919" s="25"/>
      <c r="L1919" s="23"/>
      <c r="M1919" s="23"/>
      <c r="N1919" s="24"/>
      <c r="O1919" s="24"/>
      <c r="P1919" s="25"/>
      <c r="Q1919" s="25"/>
    </row>
    <row r="1920" spans="1:17" s="20" customFormat="1" x14ac:dyDescent="0.25">
      <c r="A1920" s="9"/>
      <c r="B1920" s="28"/>
      <c r="C1920" s="28"/>
      <c r="D1920" s="28"/>
      <c r="E1920" s="28"/>
      <c r="F1920" s="31"/>
      <c r="G1920" s="21"/>
      <c r="H1920" s="22"/>
      <c r="I1920" s="23"/>
      <c r="J1920" s="24"/>
      <c r="K1920" s="25"/>
      <c r="L1920" s="23"/>
      <c r="M1920" s="23"/>
      <c r="N1920" s="24"/>
      <c r="O1920" s="24"/>
      <c r="P1920" s="25"/>
      <c r="Q1920" s="25"/>
    </row>
    <row r="1921" spans="1:17" s="20" customFormat="1" x14ac:dyDescent="0.25">
      <c r="A1921" s="9"/>
      <c r="B1921" s="28"/>
      <c r="C1921" s="28"/>
      <c r="D1921" s="28"/>
      <c r="E1921" s="28"/>
      <c r="F1921" s="31"/>
      <c r="G1921" s="21"/>
      <c r="H1921" s="22"/>
      <c r="I1921" s="23"/>
      <c r="J1921" s="24"/>
      <c r="K1921" s="25"/>
      <c r="L1921" s="23"/>
      <c r="M1921" s="23"/>
      <c r="N1921" s="24"/>
      <c r="O1921" s="24"/>
      <c r="P1921" s="25"/>
      <c r="Q1921" s="25"/>
    </row>
    <row r="1922" spans="1:17" s="20" customFormat="1" x14ac:dyDescent="0.25">
      <c r="A1922" s="9"/>
      <c r="B1922" s="28"/>
      <c r="C1922" s="28"/>
      <c r="D1922" s="28"/>
      <c r="E1922" s="28"/>
      <c r="F1922" s="31"/>
      <c r="G1922" s="21"/>
      <c r="H1922" s="22"/>
      <c r="I1922" s="23"/>
      <c r="J1922" s="24"/>
      <c r="K1922" s="25"/>
      <c r="L1922" s="23"/>
      <c r="M1922" s="23"/>
      <c r="N1922" s="24"/>
      <c r="O1922" s="24"/>
      <c r="P1922" s="25"/>
      <c r="Q1922" s="25"/>
    </row>
    <row r="1923" spans="1:17" s="20" customFormat="1" x14ac:dyDescent="0.25">
      <c r="A1923" s="9"/>
      <c r="B1923" s="28"/>
      <c r="C1923" s="28"/>
      <c r="D1923" s="28"/>
      <c r="E1923" s="28"/>
      <c r="F1923" s="31"/>
      <c r="G1923" s="21"/>
      <c r="H1923" s="22"/>
      <c r="I1923" s="23"/>
      <c r="J1923" s="24"/>
      <c r="K1923" s="25"/>
      <c r="L1923" s="23"/>
      <c r="M1923" s="23"/>
      <c r="N1923" s="24"/>
      <c r="O1923" s="24"/>
      <c r="P1923" s="25"/>
      <c r="Q1923" s="25"/>
    </row>
    <row r="1924" spans="1:17" s="20" customFormat="1" x14ac:dyDescent="0.25">
      <c r="A1924" s="9"/>
      <c r="B1924" s="28"/>
      <c r="C1924" s="28"/>
      <c r="D1924" s="28"/>
      <c r="E1924" s="28"/>
      <c r="F1924" s="31"/>
      <c r="G1924" s="21"/>
      <c r="H1924" s="22"/>
      <c r="I1924" s="23"/>
      <c r="J1924" s="24"/>
      <c r="K1924" s="25"/>
      <c r="L1924" s="23"/>
      <c r="M1924" s="23"/>
      <c r="N1924" s="24"/>
      <c r="O1924" s="24"/>
      <c r="P1924" s="25"/>
      <c r="Q1924" s="25"/>
    </row>
    <row r="1925" spans="1:17" s="20" customFormat="1" x14ac:dyDescent="0.25">
      <c r="A1925" s="9"/>
      <c r="B1925" s="28"/>
      <c r="C1925" s="28"/>
      <c r="D1925" s="28"/>
      <c r="E1925" s="28"/>
      <c r="F1925" s="31"/>
      <c r="G1925" s="21"/>
      <c r="H1925" s="22"/>
      <c r="I1925" s="23"/>
      <c r="J1925" s="24"/>
      <c r="K1925" s="25"/>
      <c r="L1925" s="23"/>
      <c r="M1925" s="23"/>
      <c r="N1925" s="24"/>
      <c r="O1925" s="24"/>
      <c r="P1925" s="25"/>
      <c r="Q1925" s="25"/>
    </row>
    <row r="1926" spans="1:17" s="20" customFormat="1" x14ac:dyDescent="0.25">
      <c r="A1926" s="9"/>
      <c r="B1926" s="28"/>
      <c r="C1926" s="28"/>
      <c r="D1926" s="28"/>
      <c r="E1926" s="28"/>
      <c r="F1926" s="31"/>
      <c r="G1926" s="21"/>
      <c r="H1926" s="22"/>
      <c r="I1926" s="23"/>
      <c r="J1926" s="24"/>
      <c r="K1926" s="25"/>
      <c r="L1926" s="23"/>
      <c r="M1926" s="23"/>
      <c r="N1926" s="24"/>
      <c r="O1926" s="24"/>
      <c r="P1926" s="25"/>
      <c r="Q1926" s="25"/>
    </row>
    <row r="1927" spans="1:17" s="20" customFormat="1" x14ac:dyDescent="0.25">
      <c r="A1927" s="9"/>
      <c r="B1927" s="28"/>
      <c r="C1927" s="28"/>
      <c r="D1927" s="28"/>
      <c r="E1927" s="28"/>
      <c r="F1927" s="31"/>
      <c r="G1927" s="21"/>
      <c r="H1927" s="22"/>
      <c r="I1927" s="23"/>
      <c r="J1927" s="24"/>
      <c r="K1927" s="25"/>
      <c r="L1927" s="23"/>
      <c r="M1927" s="23"/>
      <c r="N1927" s="24"/>
      <c r="O1927" s="24"/>
      <c r="P1927" s="25"/>
      <c r="Q1927" s="25"/>
    </row>
    <row r="1928" spans="1:17" s="20" customFormat="1" x14ac:dyDescent="0.25">
      <c r="A1928" s="9"/>
      <c r="B1928" s="28"/>
      <c r="C1928" s="28"/>
      <c r="D1928" s="28"/>
      <c r="E1928" s="28"/>
      <c r="F1928" s="31"/>
      <c r="G1928" s="21"/>
      <c r="H1928" s="22"/>
      <c r="I1928" s="23"/>
      <c r="J1928" s="24"/>
      <c r="K1928" s="25"/>
      <c r="L1928" s="23"/>
      <c r="M1928" s="23"/>
      <c r="N1928" s="24"/>
      <c r="O1928" s="24"/>
      <c r="P1928" s="25"/>
      <c r="Q1928" s="25"/>
    </row>
    <row r="1929" spans="1:17" s="20" customFormat="1" x14ac:dyDescent="0.25">
      <c r="A1929" s="9"/>
      <c r="B1929" s="28"/>
      <c r="C1929" s="28"/>
      <c r="D1929" s="28"/>
      <c r="E1929" s="28"/>
      <c r="F1929" s="31"/>
      <c r="G1929" s="21"/>
      <c r="H1929" s="22"/>
      <c r="I1929" s="23"/>
      <c r="J1929" s="24"/>
      <c r="K1929" s="25"/>
      <c r="L1929" s="23"/>
      <c r="M1929" s="23"/>
      <c r="N1929" s="24"/>
      <c r="O1929" s="24"/>
      <c r="P1929" s="25"/>
      <c r="Q1929" s="25"/>
    </row>
    <row r="1930" spans="1:17" s="20" customFormat="1" x14ac:dyDescent="0.25">
      <c r="A1930" s="9"/>
      <c r="B1930" s="28"/>
      <c r="C1930" s="28"/>
      <c r="D1930" s="28"/>
      <c r="E1930" s="28"/>
      <c r="F1930" s="31"/>
      <c r="G1930" s="21"/>
      <c r="H1930" s="22"/>
      <c r="I1930" s="23"/>
      <c r="J1930" s="24"/>
      <c r="K1930" s="25"/>
      <c r="L1930" s="23"/>
      <c r="M1930" s="23"/>
      <c r="N1930" s="24"/>
      <c r="O1930" s="24"/>
      <c r="P1930" s="25"/>
      <c r="Q1930" s="25"/>
    </row>
    <row r="1931" spans="1:17" s="20" customFormat="1" x14ac:dyDescent="0.25">
      <c r="A1931" s="9"/>
      <c r="B1931" s="28"/>
      <c r="C1931" s="28"/>
      <c r="D1931" s="28"/>
      <c r="E1931" s="28"/>
      <c r="F1931" s="31"/>
      <c r="G1931" s="21"/>
      <c r="H1931" s="22"/>
      <c r="I1931" s="23"/>
      <c r="J1931" s="24"/>
      <c r="K1931" s="25"/>
      <c r="L1931" s="23"/>
      <c r="M1931" s="23"/>
      <c r="N1931" s="24"/>
      <c r="O1931" s="24"/>
      <c r="P1931" s="25"/>
      <c r="Q1931" s="25"/>
    </row>
    <row r="1932" spans="1:17" s="20" customFormat="1" x14ac:dyDescent="0.25">
      <c r="A1932" s="9"/>
      <c r="B1932" s="28"/>
      <c r="C1932" s="28"/>
      <c r="D1932" s="28"/>
      <c r="E1932" s="28"/>
      <c r="F1932" s="31"/>
      <c r="G1932" s="21"/>
      <c r="H1932" s="22"/>
      <c r="I1932" s="23"/>
      <c r="J1932" s="24"/>
      <c r="K1932" s="25"/>
      <c r="L1932" s="23"/>
      <c r="M1932" s="23"/>
      <c r="N1932" s="24"/>
      <c r="O1932" s="24"/>
      <c r="P1932" s="25"/>
      <c r="Q1932" s="25"/>
    </row>
    <row r="1933" spans="1:17" s="20" customFormat="1" x14ac:dyDescent="0.25">
      <c r="A1933" s="9"/>
      <c r="B1933" s="28"/>
      <c r="C1933" s="28"/>
      <c r="D1933" s="28"/>
      <c r="E1933" s="28"/>
      <c r="F1933" s="31"/>
      <c r="G1933" s="21"/>
      <c r="H1933" s="22"/>
      <c r="I1933" s="23"/>
      <c r="J1933" s="24"/>
      <c r="K1933" s="25"/>
      <c r="L1933" s="23"/>
      <c r="M1933" s="23"/>
      <c r="N1933" s="24"/>
      <c r="O1933" s="24"/>
      <c r="P1933" s="25"/>
      <c r="Q1933" s="25"/>
    </row>
    <row r="1934" spans="1:17" s="20" customFormat="1" x14ac:dyDescent="0.25">
      <c r="A1934" s="9"/>
      <c r="B1934" s="28"/>
      <c r="C1934" s="28"/>
      <c r="D1934" s="28"/>
      <c r="E1934" s="28"/>
      <c r="F1934" s="31"/>
      <c r="G1934" s="21"/>
      <c r="H1934" s="22"/>
      <c r="I1934" s="23"/>
      <c r="J1934" s="24"/>
      <c r="K1934" s="25"/>
      <c r="L1934" s="23"/>
      <c r="M1934" s="23"/>
      <c r="N1934" s="24"/>
      <c r="O1934" s="24"/>
      <c r="P1934" s="25"/>
      <c r="Q1934" s="25"/>
    </row>
    <row r="1935" spans="1:17" s="20" customFormat="1" x14ac:dyDescent="0.25">
      <c r="A1935" s="9"/>
      <c r="B1935" s="28"/>
      <c r="C1935" s="28"/>
      <c r="D1935" s="28"/>
      <c r="E1935" s="28"/>
      <c r="F1935" s="31"/>
      <c r="G1935" s="21"/>
      <c r="H1935" s="22"/>
      <c r="I1935" s="23"/>
      <c r="J1935" s="24"/>
      <c r="K1935" s="25"/>
      <c r="L1935" s="23"/>
      <c r="M1935" s="23"/>
      <c r="N1935" s="24"/>
      <c r="O1935" s="24"/>
      <c r="P1935" s="25"/>
      <c r="Q1935" s="25"/>
    </row>
    <row r="1936" spans="1:17" s="20" customFormat="1" x14ac:dyDescent="0.25">
      <c r="A1936" s="9"/>
      <c r="B1936" s="28"/>
      <c r="C1936" s="28"/>
      <c r="D1936" s="28"/>
      <c r="E1936" s="28"/>
      <c r="F1936" s="31"/>
      <c r="G1936" s="21"/>
      <c r="H1936" s="22"/>
      <c r="I1936" s="23"/>
      <c r="J1936" s="24"/>
      <c r="K1936" s="25"/>
      <c r="L1936" s="23"/>
      <c r="M1936" s="23"/>
      <c r="N1936" s="24"/>
      <c r="O1936" s="24"/>
      <c r="P1936" s="25"/>
      <c r="Q1936" s="25"/>
    </row>
    <row r="1937" spans="1:17" s="20" customFormat="1" x14ac:dyDescent="0.25">
      <c r="A1937" s="9"/>
      <c r="B1937" s="28"/>
      <c r="C1937" s="28"/>
      <c r="D1937" s="28"/>
      <c r="E1937" s="28"/>
      <c r="F1937" s="31"/>
      <c r="G1937" s="21"/>
      <c r="H1937" s="22"/>
      <c r="I1937" s="23"/>
      <c r="J1937" s="24"/>
      <c r="K1937" s="25"/>
      <c r="L1937" s="23"/>
      <c r="M1937" s="23"/>
      <c r="N1937" s="24"/>
      <c r="O1937" s="24"/>
      <c r="P1937" s="25"/>
      <c r="Q1937" s="25"/>
    </row>
    <row r="1938" spans="1:17" s="20" customFormat="1" x14ac:dyDescent="0.25">
      <c r="A1938" s="9"/>
      <c r="B1938" s="28"/>
      <c r="C1938" s="28"/>
      <c r="D1938" s="28"/>
      <c r="E1938" s="28"/>
      <c r="F1938" s="31"/>
      <c r="G1938" s="21"/>
      <c r="H1938" s="22"/>
      <c r="I1938" s="23"/>
      <c r="J1938" s="24"/>
      <c r="K1938" s="25"/>
      <c r="L1938" s="23"/>
      <c r="M1938" s="23"/>
      <c r="N1938" s="24"/>
      <c r="O1938" s="24"/>
      <c r="P1938" s="25"/>
      <c r="Q1938" s="25"/>
    </row>
    <row r="1939" spans="1:17" s="20" customFormat="1" x14ac:dyDescent="0.25">
      <c r="A1939" s="9"/>
      <c r="B1939" s="28"/>
      <c r="C1939" s="28"/>
      <c r="D1939" s="28"/>
      <c r="E1939" s="28"/>
      <c r="F1939" s="31"/>
      <c r="G1939" s="21"/>
      <c r="H1939" s="22"/>
      <c r="I1939" s="23"/>
      <c r="J1939" s="24"/>
      <c r="K1939" s="25"/>
      <c r="L1939" s="23"/>
      <c r="M1939" s="23"/>
      <c r="N1939" s="24"/>
      <c r="O1939" s="24"/>
      <c r="P1939" s="25"/>
      <c r="Q1939" s="25"/>
    </row>
    <row r="1940" spans="1:17" s="20" customFormat="1" x14ac:dyDescent="0.25">
      <c r="A1940" s="9"/>
      <c r="B1940" s="28"/>
      <c r="C1940" s="28"/>
      <c r="D1940" s="28"/>
      <c r="E1940" s="28"/>
      <c r="F1940" s="31"/>
      <c r="G1940" s="21"/>
      <c r="H1940" s="22"/>
      <c r="I1940" s="23"/>
      <c r="J1940" s="24"/>
      <c r="K1940" s="25"/>
      <c r="L1940" s="23"/>
      <c r="M1940" s="23"/>
      <c r="N1940" s="24"/>
      <c r="O1940" s="24"/>
      <c r="P1940" s="25"/>
      <c r="Q1940" s="25"/>
    </row>
    <row r="1941" spans="1:17" s="20" customFormat="1" x14ac:dyDescent="0.25">
      <c r="A1941" s="9"/>
      <c r="B1941" s="28"/>
      <c r="C1941" s="28"/>
      <c r="D1941" s="28"/>
      <c r="E1941" s="28"/>
      <c r="F1941" s="31"/>
      <c r="G1941" s="21"/>
      <c r="H1941" s="22"/>
      <c r="I1941" s="23"/>
      <c r="J1941" s="24"/>
      <c r="K1941" s="25"/>
      <c r="L1941" s="23"/>
      <c r="M1941" s="23"/>
      <c r="N1941" s="24"/>
      <c r="O1941" s="24"/>
      <c r="P1941" s="25"/>
      <c r="Q1941" s="25"/>
    </row>
    <row r="1942" spans="1:17" s="20" customFormat="1" x14ac:dyDescent="0.25">
      <c r="A1942" s="9"/>
      <c r="B1942" s="28"/>
      <c r="C1942" s="28"/>
      <c r="D1942" s="28"/>
      <c r="E1942" s="28"/>
      <c r="F1942" s="31"/>
      <c r="G1942" s="21"/>
      <c r="H1942" s="22"/>
      <c r="I1942" s="23"/>
      <c r="J1942" s="24"/>
      <c r="K1942" s="25"/>
      <c r="L1942" s="23"/>
      <c r="M1942" s="23"/>
      <c r="N1942" s="24"/>
      <c r="O1942" s="24"/>
      <c r="P1942" s="25"/>
      <c r="Q1942" s="25"/>
    </row>
    <row r="1943" spans="1:17" s="20" customFormat="1" x14ac:dyDescent="0.25">
      <c r="A1943" s="9"/>
      <c r="B1943" s="28"/>
      <c r="C1943" s="28"/>
      <c r="D1943" s="28"/>
      <c r="E1943" s="28"/>
      <c r="F1943" s="31"/>
      <c r="G1943" s="21"/>
      <c r="H1943" s="22"/>
      <c r="I1943" s="23"/>
      <c r="J1943" s="24"/>
      <c r="K1943" s="25"/>
      <c r="L1943" s="23"/>
      <c r="M1943" s="23"/>
      <c r="N1943" s="24"/>
      <c r="O1943" s="24"/>
      <c r="P1943" s="25"/>
      <c r="Q1943" s="25"/>
    </row>
    <row r="1944" spans="1:17" s="20" customFormat="1" x14ac:dyDescent="0.25">
      <c r="A1944" s="9"/>
      <c r="B1944" s="28"/>
      <c r="C1944" s="28"/>
      <c r="D1944" s="28"/>
      <c r="E1944" s="28"/>
      <c r="F1944" s="31"/>
      <c r="G1944" s="21"/>
      <c r="H1944" s="22"/>
      <c r="I1944" s="23"/>
      <c r="J1944" s="24"/>
      <c r="K1944" s="25"/>
      <c r="L1944" s="23"/>
      <c r="M1944" s="23"/>
      <c r="N1944" s="24"/>
      <c r="O1944" s="24"/>
      <c r="P1944" s="25"/>
      <c r="Q1944" s="25"/>
    </row>
    <row r="1945" spans="1:17" s="20" customFormat="1" x14ac:dyDescent="0.25">
      <c r="A1945" s="9"/>
      <c r="B1945" s="28"/>
      <c r="C1945" s="28"/>
      <c r="D1945" s="28"/>
      <c r="E1945" s="28"/>
      <c r="F1945" s="31"/>
      <c r="G1945" s="21"/>
      <c r="H1945" s="22"/>
      <c r="I1945" s="23"/>
      <c r="J1945" s="24"/>
      <c r="K1945" s="25"/>
      <c r="L1945" s="23"/>
      <c r="M1945" s="23"/>
      <c r="N1945" s="24"/>
      <c r="O1945" s="24"/>
      <c r="P1945" s="25"/>
      <c r="Q1945" s="25"/>
    </row>
    <row r="1946" spans="1:17" s="20" customFormat="1" x14ac:dyDescent="0.25">
      <c r="A1946" s="9"/>
      <c r="B1946" s="28"/>
      <c r="C1946" s="28"/>
      <c r="D1946" s="28"/>
      <c r="E1946" s="28"/>
      <c r="F1946" s="31"/>
      <c r="G1946" s="21"/>
      <c r="H1946" s="22"/>
      <c r="I1946" s="23"/>
      <c r="J1946" s="24"/>
      <c r="K1946" s="25"/>
      <c r="L1946" s="23"/>
      <c r="M1946" s="23"/>
      <c r="N1946" s="24"/>
      <c r="O1946" s="24"/>
      <c r="P1946" s="25"/>
      <c r="Q1946" s="25"/>
    </row>
    <row r="1947" spans="1:17" s="20" customFormat="1" x14ac:dyDescent="0.25">
      <c r="A1947" s="9"/>
      <c r="B1947" s="28"/>
      <c r="C1947" s="28"/>
      <c r="D1947" s="28"/>
      <c r="E1947" s="28"/>
      <c r="F1947" s="31"/>
      <c r="G1947" s="21"/>
      <c r="H1947" s="22"/>
      <c r="I1947" s="23"/>
      <c r="J1947" s="24"/>
      <c r="K1947" s="25"/>
      <c r="L1947" s="23"/>
      <c r="M1947" s="23"/>
      <c r="N1947" s="24"/>
      <c r="O1947" s="24"/>
      <c r="P1947" s="25"/>
      <c r="Q1947" s="25"/>
    </row>
    <row r="1948" spans="1:17" s="20" customFormat="1" x14ac:dyDescent="0.25">
      <c r="A1948" s="9"/>
      <c r="B1948" s="28"/>
      <c r="C1948" s="28"/>
      <c r="D1948" s="28"/>
      <c r="E1948" s="28"/>
      <c r="F1948" s="31"/>
      <c r="G1948" s="21"/>
      <c r="H1948" s="22"/>
      <c r="I1948" s="23"/>
      <c r="J1948" s="24"/>
      <c r="K1948" s="25"/>
      <c r="L1948" s="23"/>
      <c r="M1948" s="23"/>
      <c r="N1948" s="24"/>
      <c r="O1948" s="24"/>
      <c r="P1948" s="25"/>
      <c r="Q1948" s="25"/>
    </row>
    <row r="1949" spans="1:17" s="20" customFormat="1" x14ac:dyDescent="0.25">
      <c r="A1949" s="9"/>
      <c r="B1949" s="28"/>
      <c r="C1949" s="28"/>
      <c r="D1949" s="28"/>
      <c r="E1949" s="28"/>
      <c r="F1949" s="31"/>
      <c r="G1949" s="21"/>
      <c r="H1949" s="22"/>
      <c r="I1949" s="23"/>
      <c r="J1949" s="24"/>
      <c r="K1949" s="25"/>
      <c r="L1949" s="23"/>
      <c r="M1949" s="23"/>
      <c r="N1949" s="24"/>
      <c r="O1949" s="24"/>
      <c r="P1949" s="25"/>
      <c r="Q1949" s="25"/>
    </row>
    <row r="1950" spans="1:17" s="20" customFormat="1" x14ac:dyDescent="0.25">
      <c r="A1950" s="9"/>
      <c r="B1950" s="28"/>
      <c r="C1950" s="28"/>
      <c r="D1950" s="28"/>
      <c r="E1950" s="28"/>
      <c r="F1950" s="31"/>
      <c r="G1950" s="21"/>
      <c r="H1950" s="22"/>
      <c r="I1950" s="23"/>
      <c r="J1950" s="24"/>
      <c r="K1950" s="25"/>
      <c r="L1950" s="23"/>
      <c r="M1950" s="23"/>
      <c r="N1950" s="24"/>
      <c r="O1950" s="24"/>
      <c r="P1950" s="25"/>
      <c r="Q1950" s="25"/>
    </row>
    <row r="1951" spans="1:17" s="20" customFormat="1" x14ac:dyDescent="0.25">
      <c r="A1951" s="9"/>
      <c r="B1951" s="28"/>
      <c r="C1951" s="28"/>
      <c r="D1951" s="28"/>
      <c r="E1951" s="28"/>
      <c r="F1951" s="31"/>
      <c r="G1951" s="21"/>
      <c r="H1951" s="22"/>
      <c r="I1951" s="23"/>
      <c r="J1951" s="24"/>
      <c r="K1951" s="25"/>
      <c r="L1951" s="23"/>
      <c r="M1951" s="23"/>
      <c r="N1951" s="24"/>
      <c r="O1951" s="24"/>
      <c r="P1951" s="25"/>
      <c r="Q1951" s="25"/>
    </row>
    <row r="1952" spans="1:17" s="20" customFormat="1" x14ac:dyDescent="0.25">
      <c r="A1952" s="9"/>
      <c r="B1952" s="28"/>
      <c r="C1952" s="28"/>
      <c r="D1952" s="28"/>
      <c r="E1952" s="28"/>
      <c r="F1952" s="31"/>
      <c r="G1952" s="21"/>
      <c r="H1952" s="22"/>
      <c r="I1952" s="23"/>
      <c r="J1952" s="24"/>
      <c r="K1952" s="25"/>
      <c r="L1952" s="23"/>
      <c r="M1952" s="23"/>
      <c r="N1952" s="24"/>
      <c r="O1952" s="24"/>
      <c r="P1952" s="25"/>
      <c r="Q1952" s="25"/>
    </row>
    <row r="1953" spans="1:17" s="20" customFormat="1" x14ac:dyDescent="0.25">
      <c r="A1953" s="9"/>
      <c r="B1953" s="28"/>
      <c r="C1953" s="28"/>
      <c r="D1953" s="28"/>
      <c r="E1953" s="28"/>
      <c r="F1953" s="31"/>
      <c r="G1953" s="21"/>
      <c r="H1953" s="22"/>
      <c r="I1953" s="23"/>
      <c r="J1953" s="24"/>
      <c r="K1953" s="25"/>
      <c r="L1953" s="23"/>
      <c r="M1953" s="23"/>
      <c r="N1953" s="24"/>
      <c r="O1953" s="24"/>
      <c r="P1953" s="25"/>
      <c r="Q1953" s="25"/>
    </row>
    <row r="1954" spans="1:17" s="20" customFormat="1" x14ac:dyDescent="0.25">
      <c r="A1954" s="9"/>
      <c r="B1954" s="28"/>
      <c r="C1954" s="28"/>
      <c r="D1954" s="28"/>
      <c r="E1954" s="28"/>
      <c r="F1954" s="31"/>
      <c r="G1954" s="21"/>
      <c r="H1954" s="22"/>
      <c r="I1954" s="23"/>
      <c r="J1954" s="24"/>
      <c r="K1954" s="25"/>
      <c r="L1954" s="23"/>
      <c r="M1954" s="23"/>
      <c r="N1954" s="24"/>
      <c r="O1954" s="24"/>
      <c r="P1954" s="25"/>
      <c r="Q1954" s="25"/>
    </row>
    <row r="1955" spans="1:17" s="20" customFormat="1" x14ac:dyDescent="0.25">
      <c r="A1955" s="9"/>
      <c r="B1955" s="28"/>
      <c r="C1955" s="28"/>
      <c r="D1955" s="28"/>
      <c r="E1955" s="28"/>
      <c r="F1955" s="31"/>
      <c r="G1955" s="21"/>
      <c r="H1955" s="22"/>
      <c r="I1955" s="23"/>
      <c r="J1955" s="24"/>
      <c r="K1955" s="25"/>
      <c r="L1955" s="23"/>
      <c r="M1955" s="23"/>
      <c r="N1955" s="24"/>
      <c r="O1955" s="24"/>
      <c r="P1955" s="25"/>
      <c r="Q1955" s="25"/>
    </row>
    <row r="1956" spans="1:17" s="20" customFormat="1" x14ac:dyDescent="0.25">
      <c r="A1956" s="9"/>
      <c r="B1956" s="28"/>
      <c r="C1956" s="28"/>
      <c r="D1956" s="28"/>
      <c r="E1956" s="28"/>
      <c r="F1956" s="31"/>
      <c r="G1956" s="21"/>
      <c r="H1956" s="22"/>
      <c r="I1956" s="23"/>
      <c r="J1956" s="24"/>
      <c r="K1956" s="25"/>
      <c r="L1956" s="23"/>
      <c r="M1956" s="23"/>
      <c r="N1956" s="24"/>
      <c r="O1956" s="24"/>
      <c r="P1956" s="25"/>
      <c r="Q1956" s="25"/>
    </row>
    <row r="1957" spans="1:17" s="20" customFormat="1" x14ac:dyDescent="0.25">
      <c r="A1957" s="9"/>
      <c r="B1957" s="28"/>
      <c r="C1957" s="28"/>
      <c r="D1957" s="28"/>
      <c r="E1957" s="28"/>
      <c r="F1957" s="31"/>
      <c r="G1957" s="21"/>
      <c r="H1957" s="22"/>
      <c r="I1957" s="23"/>
      <c r="J1957" s="24"/>
      <c r="K1957" s="25"/>
      <c r="L1957" s="23"/>
      <c r="M1957" s="23"/>
      <c r="N1957" s="24"/>
      <c r="O1957" s="24"/>
      <c r="P1957" s="25"/>
      <c r="Q1957" s="25"/>
    </row>
    <row r="1958" spans="1:17" s="20" customFormat="1" x14ac:dyDescent="0.25">
      <c r="A1958" s="9"/>
      <c r="B1958" s="28"/>
      <c r="C1958" s="28"/>
      <c r="D1958" s="28"/>
      <c r="E1958" s="28"/>
      <c r="F1958" s="31"/>
      <c r="G1958" s="21"/>
      <c r="H1958" s="22"/>
      <c r="I1958" s="23"/>
      <c r="J1958" s="24"/>
      <c r="K1958" s="25"/>
      <c r="L1958" s="23"/>
      <c r="M1958" s="23"/>
      <c r="N1958" s="24"/>
      <c r="O1958" s="24"/>
      <c r="P1958" s="25"/>
      <c r="Q1958" s="25"/>
    </row>
    <row r="1959" spans="1:17" s="20" customFormat="1" x14ac:dyDescent="0.25">
      <c r="A1959" s="9"/>
      <c r="B1959" s="28"/>
      <c r="C1959" s="28"/>
      <c r="D1959" s="28"/>
      <c r="E1959" s="28"/>
      <c r="F1959" s="31"/>
      <c r="G1959" s="21"/>
      <c r="H1959" s="22"/>
      <c r="I1959" s="23"/>
      <c r="J1959" s="24"/>
      <c r="K1959" s="25"/>
      <c r="L1959" s="23"/>
      <c r="M1959" s="23"/>
      <c r="N1959" s="24"/>
      <c r="O1959" s="24"/>
      <c r="P1959" s="25"/>
      <c r="Q1959" s="25"/>
    </row>
    <row r="1960" spans="1:17" s="20" customFormat="1" x14ac:dyDescent="0.25">
      <c r="A1960" s="9"/>
      <c r="B1960" s="28"/>
      <c r="C1960" s="28"/>
      <c r="D1960" s="28"/>
      <c r="E1960" s="28"/>
      <c r="F1960" s="31"/>
      <c r="G1960" s="21"/>
      <c r="H1960" s="22"/>
      <c r="I1960" s="23"/>
      <c r="J1960" s="24"/>
      <c r="K1960" s="25"/>
      <c r="L1960" s="23"/>
      <c r="M1960" s="23"/>
      <c r="N1960" s="24"/>
      <c r="O1960" s="24"/>
      <c r="P1960" s="25"/>
      <c r="Q1960" s="25"/>
    </row>
    <row r="1961" spans="1:17" s="20" customFormat="1" x14ac:dyDescent="0.25">
      <c r="A1961" s="9"/>
      <c r="B1961" s="28"/>
      <c r="C1961" s="28"/>
      <c r="D1961" s="28"/>
      <c r="E1961" s="28"/>
      <c r="F1961" s="31"/>
      <c r="G1961" s="21"/>
      <c r="H1961" s="22"/>
      <c r="I1961" s="23"/>
      <c r="J1961" s="24"/>
      <c r="K1961" s="25"/>
      <c r="L1961" s="23"/>
      <c r="M1961" s="23"/>
      <c r="N1961" s="24"/>
      <c r="O1961" s="24"/>
      <c r="P1961" s="25"/>
      <c r="Q1961" s="25"/>
    </row>
    <row r="1962" spans="1:17" s="20" customFormat="1" x14ac:dyDescent="0.25">
      <c r="A1962" s="9"/>
      <c r="B1962" s="28"/>
      <c r="C1962" s="28"/>
      <c r="D1962" s="28"/>
      <c r="E1962" s="28"/>
      <c r="F1962" s="31"/>
      <c r="G1962" s="21"/>
      <c r="H1962" s="22"/>
      <c r="I1962" s="23"/>
      <c r="J1962" s="24"/>
      <c r="K1962" s="25"/>
      <c r="L1962" s="23"/>
      <c r="M1962" s="23"/>
      <c r="N1962" s="24"/>
      <c r="O1962" s="24"/>
      <c r="P1962" s="25"/>
      <c r="Q1962" s="25"/>
    </row>
    <row r="1963" spans="1:17" s="20" customFormat="1" x14ac:dyDescent="0.25">
      <c r="A1963" s="9"/>
      <c r="B1963" s="28"/>
      <c r="C1963" s="28"/>
      <c r="D1963" s="28"/>
      <c r="E1963" s="28"/>
      <c r="F1963" s="31"/>
      <c r="G1963" s="21"/>
      <c r="H1963" s="22"/>
      <c r="I1963" s="23"/>
      <c r="J1963" s="24"/>
      <c r="K1963" s="25"/>
      <c r="L1963" s="23"/>
      <c r="M1963" s="23"/>
      <c r="N1963" s="24"/>
      <c r="O1963" s="24"/>
      <c r="P1963" s="25"/>
      <c r="Q1963" s="25"/>
    </row>
    <row r="1964" spans="1:17" s="20" customFormat="1" x14ac:dyDescent="0.25">
      <c r="A1964" s="9"/>
      <c r="B1964" s="28"/>
      <c r="C1964" s="28"/>
      <c r="D1964" s="28"/>
      <c r="E1964" s="28"/>
      <c r="F1964" s="31"/>
      <c r="G1964" s="21"/>
      <c r="H1964" s="22"/>
      <c r="I1964" s="23"/>
      <c r="J1964" s="24"/>
      <c r="K1964" s="25"/>
      <c r="L1964" s="23"/>
      <c r="M1964" s="23"/>
      <c r="N1964" s="24"/>
      <c r="O1964" s="24"/>
      <c r="P1964" s="25"/>
      <c r="Q1964" s="25"/>
    </row>
    <row r="1965" spans="1:17" s="20" customFormat="1" x14ac:dyDescent="0.25">
      <c r="A1965" s="9"/>
      <c r="B1965" s="28"/>
      <c r="C1965" s="28"/>
      <c r="D1965" s="28"/>
      <c r="E1965" s="28"/>
      <c r="F1965" s="31"/>
      <c r="G1965" s="21"/>
      <c r="H1965" s="22"/>
      <c r="I1965" s="23"/>
      <c r="J1965" s="24"/>
      <c r="K1965" s="25"/>
      <c r="L1965" s="23"/>
      <c r="M1965" s="23"/>
      <c r="N1965" s="24"/>
      <c r="O1965" s="24"/>
      <c r="P1965" s="25"/>
      <c r="Q1965" s="25"/>
    </row>
    <row r="1966" spans="1:17" s="20" customFormat="1" x14ac:dyDescent="0.25">
      <c r="A1966" s="9"/>
      <c r="B1966" s="28"/>
      <c r="C1966" s="28"/>
      <c r="D1966" s="28"/>
      <c r="E1966" s="28"/>
      <c r="F1966" s="31"/>
      <c r="G1966" s="21"/>
      <c r="H1966" s="22"/>
      <c r="I1966" s="23"/>
      <c r="J1966" s="24"/>
      <c r="K1966" s="25"/>
      <c r="L1966" s="23"/>
      <c r="M1966" s="23"/>
      <c r="N1966" s="24"/>
      <c r="O1966" s="24"/>
      <c r="P1966" s="25"/>
      <c r="Q1966" s="25"/>
    </row>
    <row r="1967" spans="1:17" s="20" customFormat="1" x14ac:dyDescent="0.25">
      <c r="A1967" s="9"/>
      <c r="B1967" s="28"/>
      <c r="C1967" s="28"/>
      <c r="D1967" s="28"/>
      <c r="E1967" s="28"/>
      <c r="F1967" s="31"/>
      <c r="G1967" s="21"/>
      <c r="H1967" s="22"/>
      <c r="I1967" s="23"/>
      <c r="J1967" s="24"/>
      <c r="K1967" s="25"/>
      <c r="L1967" s="23"/>
      <c r="M1967" s="23"/>
      <c r="N1967" s="24"/>
      <c r="O1967" s="24"/>
      <c r="P1967" s="25"/>
      <c r="Q1967" s="25"/>
    </row>
    <row r="1968" spans="1:17" s="20" customFormat="1" x14ac:dyDescent="0.25">
      <c r="A1968" s="9"/>
      <c r="B1968" s="28"/>
      <c r="C1968" s="28"/>
      <c r="D1968" s="28"/>
      <c r="E1968" s="28"/>
      <c r="F1968" s="31"/>
      <c r="G1968" s="21"/>
      <c r="H1968" s="22"/>
      <c r="I1968" s="23"/>
      <c r="J1968" s="24"/>
      <c r="K1968" s="25"/>
      <c r="L1968" s="23"/>
      <c r="M1968" s="23"/>
      <c r="N1968" s="24"/>
      <c r="O1968" s="24"/>
      <c r="P1968" s="25"/>
      <c r="Q1968" s="25"/>
    </row>
    <row r="1969" spans="1:17" s="20" customFormat="1" x14ac:dyDescent="0.25">
      <c r="A1969" s="9"/>
      <c r="B1969" s="28"/>
      <c r="C1969" s="28"/>
      <c r="D1969" s="28"/>
      <c r="E1969" s="28"/>
      <c r="F1969" s="31"/>
      <c r="G1969" s="21"/>
      <c r="H1969" s="22"/>
      <c r="I1969" s="23"/>
      <c r="J1969" s="24"/>
      <c r="K1969" s="25"/>
      <c r="L1969" s="23"/>
      <c r="M1969" s="23"/>
      <c r="N1969" s="24"/>
      <c r="O1969" s="24"/>
      <c r="P1969" s="25"/>
      <c r="Q1969" s="25"/>
    </row>
    <row r="1970" spans="1:17" s="20" customFormat="1" x14ac:dyDescent="0.25">
      <c r="A1970" s="9"/>
      <c r="B1970" s="28"/>
      <c r="C1970" s="28"/>
      <c r="D1970" s="28"/>
      <c r="E1970" s="28"/>
      <c r="F1970" s="31"/>
      <c r="G1970" s="21"/>
      <c r="H1970" s="22"/>
      <c r="I1970" s="23"/>
      <c r="J1970" s="24"/>
      <c r="K1970" s="25"/>
      <c r="L1970" s="23"/>
      <c r="M1970" s="23"/>
      <c r="N1970" s="24"/>
      <c r="O1970" s="24"/>
      <c r="P1970" s="25"/>
      <c r="Q1970" s="25"/>
    </row>
    <row r="1971" spans="1:17" s="20" customFormat="1" x14ac:dyDescent="0.25">
      <c r="A1971" s="9"/>
      <c r="B1971" s="28"/>
      <c r="C1971" s="28"/>
      <c r="D1971" s="28"/>
      <c r="E1971" s="28"/>
      <c r="F1971" s="31"/>
      <c r="G1971" s="21"/>
      <c r="H1971" s="22"/>
      <c r="I1971" s="23"/>
      <c r="J1971" s="24"/>
      <c r="K1971" s="25"/>
      <c r="L1971" s="23"/>
      <c r="M1971" s="23"/>
      <c r="N1971" s="24"/>
      <c r="O1971" s="24"/>
      <c r="P1971" s="25"/>
      <c r="Q1971" s="25"/>
    </row>
    <row r="1972" spans="1:17" s="20" customFormat="1" x14ac:dyDescent="0.25">
      <c r="A1972" s="9"/>
      <c r="B1972" s="28"/>
      <c r="C1972" s="28"/>
      <c r="D1972" s="28"/>
      <c r="E1972" s="28"/>
      <c r="F1972" s="31"/>
      <c r="G1972" s="21"/>
      <c r="H1972" s="22"/>
      <c r="I1972" s="23"/>
      <c r="J1972" s="24"/>
      <c r="K1972" s="25"/>
      <c r="L1972" s="23"/>
      <c r="M1972" s="23"/>
      <c r="N1972" s="24"/>
      <c r="O1972" s="24"/>
      <c r="P1972" s="25"/>
      <c r="Q1972" s="25"/>
    </row>
    <row r="1973" spans="1:17" s="20" customFormat="1" x14ac:dyDescent="0.25">
      <c r="A1973" s="9"/>
      <c r="B1973" s="28"/>
      <c r="C1973" s="28"/>
      <c r="D1973" s="28"/>
      <c r="E1973" s="28"/>
      <c r="F1973" s="31"/>
      <c r="G1973" s="21"/>
      <c r="H1973" s="22"/>
      <c r="I1973" s="23"/>
      <c r="J1973" s="24"/>
      <c r="K1973" s="25"/>
      <c r="L1973" s="23"/>
      <c r="M1973" s="23"/>
      <c r="N1973" s="24"/>
      <c r="O1973" s="24"/>
      <c r="P1973" s="25"/>
      <c r="Q1973" s="25"/>
    </row>
    <row r="1974" spans="1:17" s="20" customFormat="1" x14ac:dyDescent="0.25">
      <c r="A1974" s="9"/>
      <c r="B1974" s="28"/>
      <c r="C1974" s="28"/>
      <c r="D1974" s="28"/>
      <c r="E1974" s="28"/>
      <c r="F1974" s="31"/>
      <c r="G1974" s="21"/>
      <c r="H1974" s="22"/>
      <c r="I1974" s="23"/>
      <c r="J1974" s="24"/>
      <c r="K1974" s="25"/>
      <c r="L1974" s="23"/>
      <c r="M1974" s="23"/>
      <c r="N1974" s="24"/>
      <c r="O1974" s="24"/>
      <c r="P1974" s="25"/>
      <c r="Q1974" s="25"/>
    </row>
    <row r="1975" spans="1:17" s="20" customFormat="1" x14ac:dyDescent="0.25">
      <c r="A1975" s="9"/>
      <c r="B1975" s="28"/>
      <c r="C1975" s="28"/>
      <c r="D1975" s="28"/>
      <c r="E1975" s="28"/>
      <c r="F1975" s="31"/>
      <c r="G1975" s="21"/>
      <c r="H1975" s="22"/>
      <c r="I1975" s="23"/>
      <c r="J1975" s="24"/>
      <c r="K1975" s="25"/>
      <c r="L1975" s="23"/>
      <c r="M1975" s="23"/>
      <c r="N1975" s="24"/>
      <c r="O1975" s="24"/>
      <c r="P1975" s="25"/>
      <c r="Q1975" s="25"/>
    </row>
    <row r="1976" spans="1:17" s="20" customFormat="1" x14ac:dyDescent="0.25">
      <c r="A1976" s="9"/>
      <c r="B1976" s="28"/>
      <c r="C1976" s="28"/>
      <c r="D1976" s="28"/>
      <c r="E1976" s="28"/>
      <c r="F1976" s="31"/>
      <c r="G1976" s="21"/>
      <c r="H1976" s="22"/>
      <c r="I1976" s="23"/>
      <c r="J1976" s="24"/>
      <c r="K1976" s="25"/>
      <c r="L1976" s="23"/>
      <c r="M1976" s="23"/>
      <c r="N1976" s="24"/>
      <c r="O1976" s="24"/>
      <c r="P1976" s="25"/>
      <c r="Q1976" s="25"/>
    </row>
    <row r="1977" spans="1:17" s="20" customFormat="1" x14ac:dyDescent="0.25">
      <c r="A1977" s="9"/>
      <c r="B1977" s="28"/>
      <c r="C1977" s="28"/>
      <c r="D1977" s="28"/>
      <c r="E1977" s="28"/>
      <c r="F1977" s="31"/>
      <c r="G1977" s="21"/>
      <c r="H1977" s="22"/>
      <c r="I1977" s="23"/>
      <c r="J1977" s="24"/>
      <c r="K1977" s="25"/>
      <c r="L1977" s="23"/>
      <c r="M1977" s="23"/>
      <c r="N1977" s="24"/>
      <c r="O1977" s="24"/>
      <c r="P1977" s="25"/>
      <c r="Q1977" s="25"/>
    </row>
    <row r="1978" spans="1:17" s="20" customFormat="1" x14ac:dyDescent="0.25">
      <c r="A1978" s="9"/>
      <c r="B1978" s="28"/>
      <c r="C1978" s="28"/>
      <c r="D1978" s="28"/>
      <c r="E1978" s="28"/>
      <c r="F1978" s="31"/>
      <c r="G1978" s="21"/>
      <c r="H1978" s="22"/>
      <c r="I1978" s="23"/>
      <c r="J1978" s="24"/>
      <c r="K1978" s="25"/>
      <c r="L1978" s="23"/>
      <c r="M1978" s="23"/>
      <c r="N1978" s="24"/>
      <c r="O1978" s="24"/>
      <c r="P1978" s="25"/>
      <c r="Q1978" s="25"/>
    </row>
    <row r="1979" spans="1:17" s="20" customFormat="1" x14ac:dyDescent="0.25">
      <c r="A1979" s="9"/>
      <c r="B1979" s="28"/>
      <c r="C1979" s="28"/>
      <c r="D1979" s="28"/>
      <c r="E1979" s="28"/>
      <c r="F1979" s="31"/>
      <c r="G1979" s="21"/>
      <c r="H1979" s="22"/>
      <c r="I1979" s="23"/>
      <c r="J1979" s="24"/>
      <c r="K1979" s="25"/>
      <c r="L1979" s="23"/>
      <c r="M1979" s="23"/>
      <c r="N1979" s="24"/>
      <c r="O1979" s="24"/>
      <c r="P1979" s="25"/>
      <c r="Q1979" s="25"/>
    </row>
    <row r="1980" spans="1:17" s="20" customFormat="1" x14ac:dyDescent="0.25">
      <c r="A1980" s="9"/>
      <c r="B1980" s="28"/>
      <c r="C1980" s="28"/>
      <c r="D1980" s="28"/>
      <c r="E1980" s="28"/>
      <c r="F1980" s="31"/>
      <c r="G1980" s="21"/>
      <c r="H1980" s="22"/>
      <c r="I1980" s="23"/>
      <c r="J1980" s="24"/>
      <c r="K1980" s="25"/>
      <c r="L1980" s="23"/>
      <c r="M1980" s="23"/>
      <c r="N1980" s="24"/>
      <c r="O1980" s="24"/>
      <c r="P1980" s="25"/>
      <c r="Q1980" s="25"/>
    </row>
    <row r="1981" spans="1:17" s="20" customFormat="1" x14ac:dyDescent="0.25">
      <c r="A1981" s="9"/>
      <c r="B1981" s="28"/>
      <c r="C1981" s="28"/>
      <c r="D1981" s="28"/>
      <c r="E1981" s="28"/>
      <c r="F1981" s="31"/>
      <c r="G1981" s="21"/>
      <c r="H1981" s="22"/>
      <c r="I1981" s="23"/>
      <c r="J1981" s="24"/>
      <c r="K1981" s="25"/>
      <c r="L1981" s="23"/>
      <c r="M1981" s="23"/>
      <c r="N1981" s="24"/>
      <c r="O1981" s="24"/>
      <c r="P1981" s="25"/>
      <c r="Q1981" s="25"/>
    </row>
    <row r="1982" spans="1:17" s="20" customFormat="1" x14ac:dyDescent="0.25">
      <c r="A1982" s="9"/>
      <c r="B1982" s="28"/>
      <c r="C1982" s="28"/>
      <c r="D1982" s="28"/>
      <c r="E1982" s="28"/>
      <c r="F1982" s="31"/>
      <c r="G1982" s="21"/>
      <c r="H1982" s="22"/>
      <c r="I1982" s="23"/>
      <c r="J1982" s="24"/>
      <c r="K1982" s="25"/>
      <c r="L1982" s="23"/>
      <c r="M1982" s="23"/>
      <c r="N1982" s="24"/>
      <c r="O1982" s="24"/>
      <c r="P1982" s="25"/>
      <c r="Q1982" s="25"/>
    </row>
    <row r="1983" spans="1:17" s="20" customFormat="1" x14ac:dyDescent="0.25">
      <c r="A1983" s="9"/>
      <c r="B1983" s="28"/>
      <c r="C1983" s="28"/>
      <c r="D1983" s="28"/>
      <c r="E1983" s="28"/>
      <c r="F1983" s="31"/>
      <c r="G1983" s="21"/>
      <c r="H1983" s="22"/>
      <c r="I1983" s="23"/>
      <c r="J1983" s="24"/>
      <c r="K1983" s="25"/>
      <c r="L1983" s="23"/>
      <c r="M1983" s="23"/>
      <c r="N1983" s="24"/>
      <c r="O1983" s="24"/>
      <c r="P1983" s="25"/>
      <c r="Q1983" s="25"/>
    </row>
    <row r="1984" spans="1:17" s="20" customFormat="1" x14ac:dyDescent="0.25">
      <c r="A1984" s="9"/>
      <c r="B1984" s="28"/>
      <c r="C1984" s="28"/>
      <c r="D1984" s="28"/>
      <c r="E1984" s="28"/>
      <c r="F1984" s="31"/>
      <c r="G1984" s="21"/>
      <c r="H1984" s="22"/>
      <c r="I1984" s="23"/>
      <c r="J1984" s="24"/>
      <c r="K1984" s="25"/>
      <c r="L1984" s="23"/>
      <c r="M1984" s="23"/>
      <c r="N1984" s="24"/>
      <c r="O1984" s="24"/>
      <c r="P1984" s="25"/>
      <c r="Q1984" s="25"/>
    </row>
    <row r="1985" spans="1:17" s="20" customFormat="1" x14ac:dyDescent="0.25">
      <c r="A1985" s="9"/>
      <c r="B1985" s="28"/>
      <c r="C1985" s="28"/>
      <c r="D1985" s="28"/>
      <c r="E1985" s="28"/>
      <c r="F1985" s="31"/>
      <c r="G1985" s="21"/>
      <c r="H1985" s="22"/>
      <c r="I1985" s="23"/>
      <c r="J1985" s="24"/>
      <c r="K1985" s="25"/>
      <c r="L1985" s="23"/>
      <c r="M1985" s="23"/>
      <c r="N1985" s="24"/>
      <c r="O1985" s="24"/>
      <c r="P1985" s="25"/>
      <c r="Q1985" s="25"/>
    </row>
    <row r="1986" spans="1:17" s="20" customFormat="1" x14ac:dyDescent="0.25">
      <c r="A1986" s="9"/>
      <c r="B1986" s="28"/>
      <c r="C1986" s="28"/>
      <c r="D1986" s="28"/>
      <c r="E1986" s="28"/>
      <c r="F1986" s="31"/>
      <c r="G1986" s="21"/>
      <c r="H1986" s="22"/>
      <c r="I1986" s="23"/>
      <c r="J1986" s="24"/>
      <c r="K1986" s="25"/>
      <c r="L1986" s="23"/>
      <c r="M1986" s="23"/>
      <c r="N1986" s="24"/>
      <c r="O1986" s="24"/>
      <c r="P1986" s="25"/>
      <c r="Q1986" s="25"/>
    </row>
    <row r="1987" spans="1:17" s="20" customFormat="1" x14ac:dyDescent="0.25">
      <c r="A1987" s="9"/>
      <c r="B1987" s="28"/>
      <c r="C1987" s="28"/>
      <c r="D1987" s="28"/>
      <c r="E1987" s="28"/>
      <c r="F1987" s="31"/>
      <c r="G1987" s="21"/>
      <c r="H1987" s="22"/>
      <c r="I1987" s="23"/>
      <c r="J1987" s="24"/>
      <c r="K1987" s="25"/>
      <c r="L1987" s="23"/>
      <c r="M1987" s="23"/>
      <c r="N1987" s="24"/>
      <c r="O1987" s="24"/>
      <c r="P1987" s="25"/>
      <c r="Q1987" s="25"/>
    </row>
    <row r="1988" spans="1:17" s="20" customFormat="1" x14ac:dyDescent="0.25">
      <c r="A1988" s="9"/>
      <c r="B1988" s="28"/>
      <c r="C1988" s="28"/>
      <c r="D1988" s="28"/>
      <c r="E1988" s="28"/>
      <c r="F1988" s="31"/>
      <c r="G1988" s="21"/>
      <c r="H1988" s="22"/>
      <c r="I1988" s="23"/>
      <c r="J1988" s="24"/>
      <c r="K1988" s="25"/>
      <c r="L1988" s="23"/>
      <c r="M1988" s="23"/>
      <c r="N1988" s="24"/>
      <c r="O1988" s="24"/>
      <c r="P1988" s="25"/>
      <c r="Q1988" s="25"/>
    </row>
    <row r="1989" spans="1:17" s="20" customFormat="1" x14ac:dyDescent="0.25">
      <c r="A1989" s="9"/>
      <c r="B1989" s="28"/>
      <c r="C1989" s="28"/>
      <c r="D1989" s="28"/>
      <c r="E1989" s="28"/>
      <c r="F1989" s="31"/>
      <c r="G1989" s="21"/>
      <c r="H1989" s="22"/>
      <c r="I1989" s="23"/>
      <c r="J1989" s="24"/>
      <c r="K1989" s="25"/>
      <c r="L1989" s="23"/>
      <c r="M1989" s="23"/>
      <c r="N1989" s="24"/>
      <c r="O1989" s="24"/>
      <c r="P1989" s="25"/>
      <c r="Q1989" s="25"/>
    </row>
    <row r="1990" spans="1:17" s="20" customFormat="1" x14ac:dyDescent="0.25">
      <c r="A1990" s="9"/>
      <c r="B1990" s="28"/>
      <c r="C1990" s="28"/>
      <c r="D1990" s="28"/>
      <c r="E1990" s="28"/>
      <c r="F1990" s="31"/>
      <c r="G1990" s="21"/>
      <c r="H1990" s="22"/>
      <c r="I1990" s="23"/>
      <c r="J1990" s="24"/>
      <c r="K1990" s="25"/>
      <c r="L1990" s="23"/>
      <c r="M1990" s="23"/>
      <c r="N1990" s="24"/>
      <c r="O1990" s="24"/>
      <c r="P1990" s="25"/>
      <c r="Q1990" s="25"/>
    </row>
    <row r="1991" spans="1:17" s="20" customFormat="1" x14ac:dyDescent="0.25">
      <c r="A1991" s="9"/>
      <c r="B1991" s="28"/>
      <c r="C1991" s="28"/>
      <c r="D1991" s="28"/>
      <c r="E1991" s="28"/>
      <c r="F1991" s="31"/>
      <c r="G1991" s="21"/>
      <c r="H1991" s="22"/>
      <c r="I1991" s="23"/>
      <c r="J1991" s="24"/>
      <c r="K1991" s="25"/>
      <c r="L1991" s="23"/>
      <c r="M1991" s="23"/>
      <c r="N1991" s="24"/>
      <c r="O1991" s="24"/>
      <c r="P1991" s="25"/>
      <c r="Q1991" s="25"/>
    </row>
    <row r="1992" spans="1:17" s="20" customFormat="1" x14ac:dyDescent="0.25">
      <c r="A1992" s="9"/>
      <c r="B1992" s="28"/>
      <c r="C1992" s="28"/>
      <c r="D1992" s="28"/>
      <c r="E1992" s="28"/>
      <c r="F1992" s="31"/>
      <c r="G1992" s="21"/>
      <c r="H1992" s="22"/>
      <c r="I1992" s="23"/>
      <c r="J1992" s="24"/>
      <c r="K1992" s="25"/>
      <c r="L1992" s="23"/>
      <c r="M1992" s="23"/>
      <c r="N1992" s="24"/>
      <c r="O1992" s="24"/>
      <c r="P1992" s="25"/>
      <c r="Q1992" s="25"/>
    </row>
    <row r="1993" spans="1:17" s="20" customFormat="1" x14ac:dyDescent="0.25">
      <c r="A1993" s="9"/>
      <c r="B1993" s="28"/>
      <c r="C1993" s="28"/>
      <c r="D1993" s="28"/>
      <c r="E1993" s="28"/>
      <c r="F1993" s="31"/>
      <c r="G1993" s="21"/>
      <c r="H1993" s="22"/>
      <c r="I1993" s="23"/>
      <c r="J1993" s="24"/>
      <c r="K1993" s="25"/>
      <c r="L1993" s="23"/>
      <c r="M1993" s="23"/>
      <c r="N1993" s="24"/>
      <c r="O1993" s="24"/>
      <c r="P1993" s="25"/>
      <c r="Q1993" s="25"/>
    </row>
    <row r="1994" spans="1:17" s="20" customFormat="1" x14ac:dyDescent="0.25">
      <c r="A1994" s="9"/>
      <c r="B1994" s="28"/>
      <c r="C1994" s="28"/>
      <c r="D1994" s="28"/>
      <c r="E1994" s="28"/>
      <c r="F1994" s="31"/>
      <c r="G1994" s="21"/>
      <c r="H1994" s="22"/>
      <c r="I1994" s="23"/>
      <c r="J1994" s="24"/>
      <c r="K1994" s="25"/>
      <c r="L1994" s="23"/>
      <c r="M1994" s="23"/>
      <c r="N1994" s="24"/>
      <c r="O1994" s="24"/>
      <c r="P1994" s="25"/>
      <c r="Q1994" s="25"/>
    </row>
    <row r="1995" spans="1:17" s="20" customFormat="1" x14ac:dyDescent="0.25">
      <c r="A1995" s="9"/>
      <c r="B1995" s="28"/>
      <c r="C1995" s="28"/>
      <c r="D1995" s="28"/>
      <c r="E1995" s="28"/>
      <c r="F1995" s="31"/>
      <c r="G1995" s="21"/>
      <c r="H1995" s="22"/>
      <c r="I1995" s="23"/>
      <c r="J1995" s="24"/>
      <c r="K1995" s="25"/>
      <c r="L1995" s="23"/>
      <c r="M1995" s="23"/>
      <c r="N1995" s="24"/>
      <c r="O1995" s="24"/>
      <c r="P1995" s="25"/>
      <c r="Q1995" s="25"/>
    </row>
    <row r="1996" spans="1:17" s="20" customFormat="1" x14ac:dyDescent="0.25">
      <c r="A1996" s="9"/>
      <c r="B1996" s="28"/>
      <c r="C1996" s="28"/>
      <c r="D1996" s="28"/>
      <c r="E1996" s="28"/>
      <c r="F1996" s="31"/>
      <c r="G1996" s="21"/>
      <c r="H1996" s="22"/>
      <c r="I1996" s="23"/>
      <c r="J1996" s="24"/>
      <c r="K1996" s="25"/>
      <c r="L1996" s="23"/>
      <c r="M1996" s="23"/>
      <c r="N1996" s="24"/>
      <c r="O1996" s="24"/>
      <c r="P1996" s="25"/>
      <c r="Q1996" s="25"/>
    </row>
    <row r="1997" spans="1:17" s="20" customFormat="1" x14ac:dyDescent="0.25">
      <c r="A1997" s="9"/>
      <c r="B1997" s="28"/>
      <c r="C1997" s="28"/>
      <c r="D1997" s="28"/>
      <c r="E1997" s="28"/>
      <c r="F1997" s="31"/>
      <c r="G1997" s="21"/>
      <c r="H1997" s="22"/>
      <c r="I1997" s="23"/>
      <c r="J1997" s="24"/>
      <c r="K1997" s="25"/>
      <c r="L1997" s="23"/>
      <c r="M1997" s="23"/>
      <c r="N1997" s="24"/>
      <c r="O1997" s="24"/>
      <c r="P1997" s="25"/>
      <c r="Q1997" s="25"/>
    </row>
    <row r="1998" spans="1:17" s="20" customFormat="1" x14ac:dyDescent="0.25">
      <c r="A1998" s="9"/>
      <c r="B1998" s="28"/>
      <c r="C1998" s="28"/>
      <c r="D1998" s="28"/>
      <c r="E1998" s="28"/>
      <c r="F1998" s="31"/>
      <c r="G1998" s="21"/>
      <c r="H1998" s="22"/>
      <c r="I1998" s="23"/>
      <c r="J1998" s="24"/>
      <c r="K1998" s="25"/>
      <c r="L1998" s="23"/>
      <c r="M1998" s="23"/>
      <c r="N1998" s="24"/>
      <c r="O1998" s="24"/>
      <c r="P1998" s="25"/>
      <c r="Q1998" s="25"/>
    </row>
    <row r="1999" spans="1:17" s="20" customFormat="1" x14ac:dyDescent="0.25">
      <c r="A1999" s="9"/>
      <c r="B1999" s="28"/>
      <c r="C1999" s="28"/>
      <c r="D1999" s="28"/>
      <c r="E1999" s="28"/>
      <c r="F1999" s="31"/>
      <c r="G1999" s="21"/>
      <c r="H1999" s="22"/>
      <c r="I1999" s="23"/>
      <c r="J1999" s="24"/>
      <c r="K1999" s="25"/>
      <c r="L1999" s="23"/>
      <c r="M1999" s="23"/>
      <c r="N1999" s="24"/>
      <c r="O1999" s="24"/>
      <c r="P1999" s="25"/>
      <c r="Q1999" s="25"/>
    </row>
    <row r="2000" spans="1:17" s="20" customFormat="1" x14ac:dyDescent="0.25">
      <c r="A2000" s="9"/>
      <c r="B2000" s="28"/>
      <c r="C2000" s="28"/>
      <c r="D2000" s="28"/>
      <c r="E2000" s="28"/>
      <c r="F2000" s="31"/>
      <c r="G2000" s="21"/>
      <c r="H2000" s="22"/>
      <c r="I2000" s="23"/>
      <c r="J2000" s="24"/>
      <c r="K2000" s="25"/>
      <c r="L2000" s="23"/>
      <c r="M2000" s="23"/>
      <c r="N2000" s="24"/>
      <c r="O2000" s="24"/>
      <c r="P2000" s="25"/>
      <c r="Q2000" s="25"/>
    </row>
    <row r="2001" spans="1:17" s="20" customFormat="1" x14ac:dyDescent="0.25">
      <c r="A2001" s="9"/>
      <c r="B2001" s="28"/>
      <c r="C2001" s="28"/>
      <c r="D2001" s="28"/>
      <c r="E2001" s="28"/>
      <c r="F2001" s="31"/>
      <c r="G2001" s="21"/>
      <c r="H2001" s="22"/>
      <c r="I2001" s="23"/>
      <c r="J2001" s="24"/>
      <c r="K2001" s="25"/>
      <c r="L2001" s="23"/>
      <c r="M2001" s="23"/>
      <c r="N2001" s="24"/>
      <c r="O2001" s="24"/>
      <c r="P2001" s="25"/>
      <c r="Q2001" s="25"/>
    </row>
    <row r="2002" spans="1:17" s="20" customFormat="1" x14ac:dyDescent="0.25">
      <c r="A2002" s="9"/>
      <c r="B2002" s="28"/>
      <c r="C2002" s="28"/>
      <c r="D2002" s="28"/>
      <c r="E2002" s="28"/>
      <c r="F2002" s="31"/>
      <c r="G2002" s="21"/>
      <c r="H2002" s="22"/>
      <c r="I2002" s="23"/>
      <c r="J2002" s="24"/>
      <c r="K2002" s="25"/>
      <c r="L2002" s="23"/>
      <c r="M2002" s="23"/>
      <c r="N2002" s="24"/>
      <c r="O2002" s="24"/>
      <c r="P2002" s="25"/>
      <c r="Q2002" s="25"/>
    </row>
    <row r="2003" spans="1:17" s="20" customFormat="1" x14ac:dyDescent="0.25">
      <c r="A2003" s="9"/>
      <c r="B2003" s="28"/>
      <c r="C2003" s="28"/>
      <c r="D2003" s="28"/>
      <c r="E2003" s="28"/>
      <c r="F2003" s="31"/>
      <c r="G2003" s="21"/>
      <c r="H2003" s="22"/>
      <c r="I2003" s="23"/>
      <c r="J2003" s="24"/>
      <c r="K2003" s="25"/>
      <c r="L2003" s="23"/>
      <c r="M2003" s="23"/>
      <c r="N2003" s="24"/>
      <c r="O2003" s="24"/>
      <c r="P2003" s="25"/>
      <c r="Q2003" s="25"/>
    </row>
    <row r="2004" spans="1:17" s="20" customFormat="1" x14ac:dyDescent="0.25">
      <c r="A2004" s="9"/>
      <c r="B2004" s="28"/>
      <c r="C2004" s="28"/>
      <c r="D2004" s="28"/>
      <c r="E2004" s="28"/>
      <c r="F2004" s="31"/>
      <c r="G2004" s="21"/>
      <c r="H2004" s="22"/>
      <c r="I2004" s="23"/>
      <c r="J2004" s="24"/>
      <c r="K2004" s="25"/>
      <c r="L2004" s="23"/>
      <c r="M2004" s="23"/>
      <c r="N2004" s="24"/>
      <c r="O2004" s="24"/>
      <c r="P2004" s="25"/>
      <c r="Q2004" s="25"/>
    </row>
    <row r="2005" spans="1:17" s="20" customFormat="1" x14ac:dyDescent="0.25">
      <c r="A2005" s="9"/>
      <c r="B2005" s="28"/>
      <c r="C2005" s="28"/>
      <c r="D2005" s="28"/>
      <c r="E2005" s="28"/>
      <c r="F2005" s="31"/>
      <c r="G2005" s="21"/>
      <c r="H2005" s="22"/>
      <c r="I2005" s="23"/>
      <c r="J2005" s="24"/>
      <c r="K2005" s="25"/>
      <c r="L2005" s="23"/>
      <c r="M2005" s="23"/>
      <c r="N2005" s="24"/>
      <c r="O2005" s="24"/>
      <c r="P2005" s="25"/>
      <c r="Q2005" s="25"/>
    </row>
    <row r="2006" spans="1:17" s="20" customFormat="1" x14ac:dyDescent="0.25">
      <c r="A2006" s="9"/>
      <c r="B2006" s="28"/>
      <c r="C2006" s="28"/>
      <c r="D2006" s="28"/>
      <c r="E2006" s="28"/>
      <c r="F2006" s="31"/>
      <c r="G2006" s="21"/>
      <c r="H2006" s="22"/>
      <c r="I2006" s="23"/>
      <c r="J2006" s="24"/>
      <c r="K2006" s="25"/>
      <c r="L2006" s="23"/>
      <c r="M2006" s="23"/>
      <c r="N2006" s="24"/>
      <c r="O2006" s="24"/>
      <c r="P2006" s="25"/>
      <c r="Q2006" s="25"/>
    </row>
    <row r="2007" spans="1:17" s="20" customFormat="1" x14ac:dyDescent="0.25">
      <c r="A2007" s="9"/>
      <c r="B2007" s="28"/>
      <c r="C2007" s="28"/>
      <c r="D2007" s="28"/>
      <c r="E2007" s="28"/>
      <c r="F2007" s="31"/>
      <c r="G2007" s="21"/>
      <c r="H2007" s="22"/>
      <c r="I2007" s="23"/>
      <c r="J2007" s="24"/>
      <c r="K2007" s="25"/>
      <c r="L2007" s="23"/>
      <c r="M2007" s="23"/>
      <c r="N2007" s="24"/>
      <c r="O2007" s="24"/>
      <c r="P2007" s="25"/>
      <c r="Q2007" s="25"/>
    </row>
    <row r="2008" spans="1:17" s="20" customFormat="1" x14ac:dyDescent="0.25">
      <c r="A2008" s="9"/>
      <c r="B2008" s="28"/>
      <c r="C2008" s="28"/>
      <c r="D2008" s="28"/>
      <c r="E2008" s="28"/>
      <c r="F2008" s="31"/>
      <c r="G2008" s="21"/>
      <c r="H2008" s="22"/>
      <c r="I2008" s="23"/>
      <c r="J2008" s="24"/>
      <c r="K2008" s="25"/>
      <c r="L2008" s="23"/>
      <c r="M2008" s="23"/>
      <c r="N2008" s="24"/>
      <c r="O2008" s="24"/>
      <c r="P2008" s="25"/>
      <c r="Q2008" s="25"/>
    </row>
    <row r="2009" spans="1:17" s="20" customFormat="1" x14ac:dyDescent="0.25">
      <c r="A2009" s="9"/>
      <c r="B2009" s="28"/>
      <c r="C2009" s="28"/>
      <c r="D2009" s="28"/>
      <c r="E2009" s="28"/>
      <c r="F2009" s="31"/>
      <c r="G2009" s="21"/>
      <c r="H2009" s="22"/>
      <c r="I2009" s="23"/>
      <c r="J2009" s="24"/>
      <c r="K2009" s="25"/>
      <c r="L2009" s="23"/>
      <c r="M2009" s="23"/>
      <c r="N2009" s="24"/>
      <c r="O2009" s="24"/>
      <c r="P2009" s="25"/>
      <c r="Q2009" s="25"/>
    </row>
    <row r="2010" spans="1:17" s="20" customFormat="1" x14ac:dyDescent="0.25">
      <c r="A2010" s="9"/>
      <c r="B2010" s="28"/>
      <c r="C2010" s="28"/>
      <c r="D2010" s="28"/>
      <c r="E2010" s="28"/>
      <c r="F2010" s="31"/>
      <c r="G2010" s="21"/>
      <c r="H2010" s="22"/>
      <c r="I2010" s="23"/>
      <c r="J2010" s="24"/>
      <c r="K2010" s="25"/>
      <c r="L2010" s="23"/>
      <c r="M2010" s="23"/>
      <c r="N2010" s="24"/>
      <c r="O2010" s="24"/>
      <c r="P2010" s="25"/>
      <c r="Q2010" s="25"/>
    </row>
    <row r="2011" spans="1:17" s="20" customFormat="1" x14ac:dyDescent="0.25">
      <c r="A2011" s="9"/>
      <c r="B2011" s="28"/>
      <c r="C2011" s="28"/>
      <c r="D2011" s="28"/>
      <c r="E2011" s="28"/>
      <c r="F2011" s="31"/>
      <c r="G2011" s="21"/>
      <c r="H2011" s="22"/>
      <c r="I2011" s="23"/>
      <c r="J2011" s="24"/>
      <c r="K2011" s="25"/>
      <c r="L2011" s="23"/>
      <c r="M2011" s="23"/>
      <c r="N2011" s="24"/>
      <c r="O2011" s="24"/>
      <c r="P2011" s="25"/>
      <c r="Q2011" s="25"/>
    </row>
    <row r="2012" spans="1:17" s="20" customFormat="1" x14ac:dyDescent="0.25">
      <c r="A2012" s="9"/>
      <c r="B2012" s="28"/>
      <c r="C2012" s="28"/>
      <c r="D2012" s="28"/>
      <c r="E2012" s="28"/>
      <c r="F2012" s="31"/>
      <c r="G2012" s="21"/>
      <c r="H2012" s="22"/>
      <c r="I2012" s="23"/>
      <c r="J2012" s="24"/>
      <c r="K2012" s="25"/>
      <c r="L2012" s="23"/>
      <c r="M2012" s="23"/>
      <c r="N2012" s="24"/>
      <c r="O2012" s="24"/>
      <c r="P2012" s="25"/>
      <c r="Q2012" s="25"/>
    </row>
    <row r="2013" spans="1:17" s="20" customFormat="1" x14ac:dyDescent="0.25">
      <c r="A2013" s="9"/>
      <c r="B2013" s="28"/>
      <c r="C2013" s="28"/>
      <c r="D2013" s="28"/>
      <c r="E2013" s="28"/>
      <c r="F2013" s="31"/>
      <c r="G2013" s="21"/>
      <c r="H2013" s="22"/>
      <c r="I2013" s="23"/>
      <c r="J2013" s="24"/>
      <c r="K2013" s="25"/>
      <c r="L2013" s="23"/>
      <c r="M2013" s="23"/>
      <c r="N2013" s="24"/>
      <c r="O2013" s="24"/>
      <c r="P2013" s="25"/>
      <c r="Q2013" s="25"/>
    </row>
    <row r="2014" spans="1:17" s="20" customFormat="1" x14ac:dyDescent="0.25">
      <c r="A2014" s="9"/>
      <c r="B2014" s="28"/>
      <c r="C2014" s="28"/>
      <c r="D2014" s="28"/>
      <c r="E2014" s="28"/>
      <c r="F2014" s="31"/>
      <c r="G2014" s="21"/>
      <c r="H2014" s="22"/>
      <c r="I2014" s="23"/>
      <c r="J2014" s="24"/>
      <c r="K2014" s="25"/>
      <c r="L2014" s="23"/>
      <c r="M2014" s="23"/>
      <c r="N2014" s="24"/>
      <c r="O2014" s="24"/>
      <c r="P2014" s="25"/>
      <c r="Q2014" s="25"/>
    </row>
    <row r="2015" spans="1:17" s="20" customFormat="1" x14ac:dyDescent="0.25">
      <c r="A2015" s="9"/>
      <c r="B2015" s="28"/>
      <c r="C2015" s="28"/>
      <c r="D2015" s="28"/>
      <c r="E2015" s="28"/>
      <c r="F2015" s="31"/>
      <c r="G2015" s="21"/>
      <c r="H2015" s="22"/>
      <c r="I2015" s="23"/>
      <c r="J2015" s="24"/>
      <c r="K2015" s="25"/>
      <c r="L2015" s="23"/>
      <c r="M2015" s="23"/>
      <c r="N2015" s="24"/>
      <c r="O2015" s="24"/>
      <c r="P2015" s="25"/>
      <c r="Q2015" s="25"/>
    </row>
    <row r="2016" spans="1:17" s="20" customFormat="1" x14ac:dyDescent="0.25">
      <c r="A2016" s="9"/>
      <c r="B2016" s="28"/>
      <c r="C2016" s="28"/>
      <c r="D2016" s="28"/>
      <c r="E2016" s="28"/>
      <c r="F2016" s="31"/>
      <c r="G2016" s="21"/>
      <c r="H2016" s="22"/>
      <c r="I2016" s="23"/>
      <c r="J2016" s="24"/>
      <c r="K2016" s="25"/>
      <c r="L2016" s="23"/>
      <c r="M2016" s="23"/>
      <c r="N2016" s="24"/>
      <c r="O2016" s="24"/>
      <c r="P2016" s="25"/>
      <c r="Q2016" s="25"/>
    </row>
    <row r="2017" spans="1:17" s="20" customFormat="1" x14ac:dyDescent="0.25">
      <c r="A2017" s="9"/>
      <c r="B2017" s="28"/>
      <c r="C2017" s="28"/>
      <c r="D2017" s="28"/>
      <c r="E2017" s="28"/>
      <c r="F2017" s="31"/>
      <c r="G2017" s="21"/>
      <c r="H2017" s="22"/>
      <c r="I2017" s="23"/>
      <c r="J2017" s="24"/>
      <c r="K2017" s="25"/>
      <c r="L2017" s="23"/>
      <c r="M2017" s="23"/>
      <c r="N2017" s="24"/>
      <c r="O2017" s="24"/>
      <c r="P2017" s="25"/>
      <c r="Q2017" s="25"/>
    </row>
    <row r="2018" spans="1:17" s="20" customFormat="1" x14ac:dyDescent="0.25">
      <c r="A2018" s="9"/>
      <c r="B2018" s="28"/>
      <c r="C2018" s="28"/>
      <c r="D2018" s="28"/>
      <c r="E2018" s="28"/>
      <c r="F2018" s="31"/>
      <c r="G2018" s="21"/>
      <c r="H2018" s="22"/>
      <c r="I2018" s="23"/>
      <c r="J2018" s="24"/>
      <c r="K2018" s="25"/>
      <c r="L2018" s="23"/>
      <c r="M2018" s="23"/>
      <c r="N2018" s="24"/>
      <c r="O2018" s="24"/>
      <c r="P2018" s="25"/>
      <c r="Q2018" s="25"/>
    </row>
    <row r="2019" spans="1:17" s="20" customFormat="1" x14ac:dyDescent="0.25">
      <c r="A2019" s="9"/>
      <c r="B2019" s="28"/>
      <c r="C2019" s="28"/>
      <c r="D2019" s="28"/>
      <c r="E2019" s="28"/>
      <c r="F2019" s="31"/>
      <c r="G2019" s="21"/>
      <c r="H2019" s="22"/>
      <c r="I2019" s="23"/>
      <c r="J2019" s="24"/>
      <c r="K2019" s="25"/>
      <c r="L2019" s="23"/>
      <c r="M2019" s="23"/>
      <c r="N2019" s="24"/>
      <c r="O2019" s="24"/>
      <c r="P2019" s="25"/>
      <c r="Q2019" s="25"/>
    </row>
    <row r="2020" spans="1:17" s="20" customFormat="1" x14ac:dyDescent="0.25">
      <c r="A2020" s="9"/>
      <c r="B2020" s="28"/>
      <c r="C2020" s="28"/>
      <c r="D2020" s="28"/>
      <c r="E2020" s="28"/>
      <c r="F2020" s="31"/>
      <c r="G2020" s="21"/>
      <c r="H2020" s="22"/>
      <c r="I2020" s="23"/>
      <c r="J2020" s="24"/>
      <c r="K2020" s="25"/>
      <c r="L2020" s="23"/>
      <c r="M2020" s="23"/>
      <c r="N2020" s="24"/>
      <c r="O2020" s="24"/>
      <c r="P2020" s="25"/>
      <c r="Q2020" s="25"/>
    </row>
    <row r="2021" spans="1:17" s="20" customFormat="1" x14ac:dyDescent="0.25">
      <c r="A2021" s="9"/>
      <c r="B2021" s="28"/>
      <c r="C2021" s="28"/>
      <c r="D2021" s="28"/>
      <c r="E2021" s="28"/>
      <c r="F2021" s="31"/>
      <c r="G2021" s="21"/>
      <c r="H2021" s="22"/>
      <c r="I2021" s="23"/>
      <c r="J2021" s="24"/>
      <c r="K2021" s="25"/>
      <c r="L2021" s="23"/>
      <c r="M2021" s="23"/>
      <c r="N2021" s="24"/>
      <c r="O2021" s="24"/>
      <c r="P2021" s="25"/>
      <c r="Q2021" s="25"/>
    </row>
    <row r="2022" spans="1:17" s="20" customFormat="1" x14ac:dyDescent="0.25">
      <c r="A2022" s="9"/>
      <c r="B2022" s="28"/>
      <c r="C2022" s="28"/>
      <c r="D2022" s="28"/>
      <c r="E2022" s="28"/>
      <c r="F2022" s="31"/>
      <c r="G2022" s="21"/>
      <c r="H2022" s="22"/>
      <c r="I2022" s="23"/>
      <c r="J2022" s="24"/>
      <c r="K2022" s="25"/>
      <c r="L2022" s="23"/>
      <c r="M2022" s="23"/>
      <c r="N2022" s="24"/>
      <c r="O2022" s="24"/>
      <c r="P2022" s="25"/>
      <c r="Q2022" s="25"/>
    </row>
    <row r="2023" spans="1:17" s="20" customFormat="1" x14ac:dyDescent="0.25">
      <c r="A2023" s="9"/>
      <c r="B2023" s="28"/>
      <c r="C2023" s="28"/>
      <c r="D2023" s="28"/>
      <c r="E2023" s="28"/>
      <c r="F2023" s="31"/>
      <c r="G2023" s="21"/>
      <c r="H2023" s="22"/>
      <c r="I2023" s="23"/>
      <c r="J2023" s="24"/>
      <c r="K2023" s="25"/>
      <c r="L2023" s="23"/>
      <c r="M2023" s="23"/>
      <c r="N2023" s="24"/>
      <c r="O2023" s="24"/>
      <c r="P2023" s="25"/>
      <c r="Q2023" s="25"/>
    </row>
    <row r="2024" spans="1:17" s="20" customFormat="1" x14ac:dyDescent="0.25">
      <c r="A2024" s="9"/>
      <c r="B2024" s="28"/>
      <c r="C2024" s="28"/>
      <c r="D2024" s="28"/>
      <c r="E2024" s="28"/>
      <c r="F2024" s="31"/>
      <c r="G2024" s="21"/>
      <c r="H2024" s="22"/>
      <c r="I2024" s="23"/>
      <c r="J2024" s="24"/>
      <c r="K2024" s="25"/>
      <c r="L2024" s="23"/>
      <c r="M2024" s="23"/>
      <c r="N2024" s="24"/>
      <c r="O2024" s="24"/>
      <c r="P2024" s="25"/>
      <c r="Q2024" s="25"/>
    </row>
    <row r="2025" spans="1:17" s="20" customFormat="1" x14ac:dyDescent="0.25">
      <c r="A2025" s="9"/>
      <c r="B2025" s="28"/>
      <c r="C2025" s="28"/>
      <c r="D2025" s="28"/>
      <c r="E2025" s="28"/>
      <c r="F2025" s="31"/>
      <c r="G2025" s="21"/>
      <c r="H2025" s="22"/>
      <c r="I2025" s="23"/>
      <c r="J2025" s="24"/>
      <c r="K2025" s="25"/>
      <c r="L2025" s="23"/>
      <c r="M2025" s="23"/>
      <c r="N2025" s="24"/>
      <c r="O2025" s="24"/>
      <c r="P2025" s="25"/>
      <c r="Q2025" s="25"/>
    </row>
    <row r="2026" spans="1:17" s="20" customFormat="1" x14ac:dyDescent="0.25">
      <c r="A2026" s="9"/>
      <c r="B2026" s="28"/>
      <c r="C2026" s="28"/>
      <c r="D2026" s="28"/>
      <c r="E2026" s="28"/>
      <c r="F2026" s="31"/>
      <c r="G2026" s="21"/>
      <c r="H2026" s="22"/>
      <c r="I2026" s="23"/>
      <c r="J2026" s="24"/>
      <c r="K2026" s="25"/>
      <c r="L2026" s="23"/>
      <c r="M2026" s="23"/>
      <c r="N2026" s="24"/>
      <c r="O2026" s="24"/>
      <c r="P2026" s="25"/>
      <c r="Q2026" s="25"/>
    </row>
    <row r="2027" spans="1:17" s="20" customFormat="1" x14ac:dyDescent="0.25">
      <c r="A2027" s="9"/>
      <c r="B2027" s="28"/>
      <c r="C2027" s="28"/>
      <c r="D2027" s="28"/>
      <c r="E2027" s="28"/>
      <c r="F2027" s="31"/>
      <c r="G2027" s="21"/>
      <c r="H2027" s="22"/>
      <c r="I2027" s="23"/>
      <c r="J2027" s="24"/>
      <c r="K2027" s="25"/>
      <c r="L2027" s="23"/>
      <c r="M2027" s="23"/>
      <c r="N2027" s="24"/>
      <c r="O2027" s="24"/>
      <c r="P2027" s="25"/>
      <c r="Q2027" s="25"/>
    </row>
    <row r="2028" spans="1:17" s="20" customFormat="1" x14ac:dyDescent="0.25">
      <c r="A2028" s="9"/>
      <c r="B2028" s="28"/>
      <c r="C2028" s="28"/>
      <c r="D2028" s="28"/>
      <c r="E2028" s="28"/>
      <c r="F2028" s="31"/>
      <c r="G2028" s="21"/>
      <c r="H2028" s="22"/>
      <c r="I2028" s="23"/>
      <c r="J2028" s="24"/>
      <c r="K2028" s="25"/>
      <c r="L2028" s="23"/>
      <c r="M2028" s="23"/>
      <c r="N2028" s="24"/>
      <c r="O2028" s="24"/>
      <c r="P2028" s="25"/>
      <c r="Q2028" s="25"/>
    </row>
    <row r="2029" spans="1:17" s="20" customFormat="1" x14ac:dyDescent="0.25">
      <c r="A2029" s="9"/>
      <c r="B2029" s="28"/>
      <c r="C2029" s="28"/>
      <c r="D2029" s="28"/>
      <c r="E2029" s="28"/>
      <c r="F2029" s="31"/>
      <c r="G2029" s="21"/>
      <c r="H2029" s="22"/>
      <c r="I2029" s="23"/>
      <c r="J2029" s="24"/>
      <c r="K2029" s="25"/>
      <c r="L2029" s="23"/>
      <c r="M2029" s="23"/>
      <c r="N2029" s="24"/>
      <c r="O2029" s="24"/>
      <c r="P2029" s="25"/>
      <c r="Q2029" s="25"/>
    </row>
    <row r="2030" spans="1:17" s="20" customFormat="1" x14ac:dyDescent="0.25">
      <c r="A2030" s="9"/>
      <c r="B2030" s="28"/>
      <c r="C2030" s="28"/>
      <c r="D2030" s="28"/>
      <c r="E2030" s="28"/>
      <c r="F2030" s="31"/>
      <c r="G2030" s="21"/>
      <c r="H2030" s="22"/>
      <c r="I2030" s="23"/>
      <c r="J2030" s="24"/>
      <c r="K2030" s="25"/>
      <c r="L2030" s="23"/>
      <c r="M2030" s="23"/>
      <c r="N2030" s="24"/>
      <c r="O2030" s="24"/>
      <c r="P2030" s="25"/>
      <c r="Q2030" s="25"/>
    </row>
    <row r="2031" spans="1:17" s="20" customFormat="1" x14ac:dyDescent="0.25">
      <c r="A2031" s="9"/>
      <c r="B2031" s="28"/>
      <c r="C2031" s="28"/>
      <c r="D2031" s="28"/>
      <c r="E2031" s="28"/>
      <c r="F2031" s="31"/>
      <c r="G2031" s="21"/>
      <c r="H2031" s="22"/>
      <c r="I2031" s="23"/>
      <c r="J2031" s="24"/>
      <c r="K2031" s="25"/>
      <c r="L2031" s="23"/>
      <c r="M2031" s="23"/>
      <c r="N2031" s="24"/>
      <c r="O2031" s="24"/>
      <c r="P2031" s="25"/>
      <c r="Q2031" s="25"/>
    </row>
    <row r="2032" spans="1:17" s="20" customFormat="1" x14ac:dyDescent="0.25">
      <c r="A2032" s="9"/>
      <c r="B2032" s="28"/>
      <c r="C2032" s="28"/>
      <c r="D2032" s="28"/>
      <c r="E2032" s="28"/>
      <c r="F2032" s="31"/>
      <c r="G2032" s="21"/>
      <c r="H2032" s="22"/>
      <c r="I2032" s="23"/>
      <c r="J2032" s="24"/>
      <c r="K2032" s="25"/>
      <c r="L2032" s="23"/>
      <c r="M2032" s="23"/>
      <c r="N2032" s="24"/>
      <c r="O2032" s="24"/>
      <c r="P2032" s="25"/>
      <c r="Q2032" s="25"/>
    </row>
    <row r="2033" spans="1:17" s="20" customFormat="1" x14ac:dyDescent="0.25">
      <c r="A2033" s="9"/>
      <c r="B2033" s="28"/>
      <c r="C2033" s="28"/>
      <c r="D2033" s="28"/>
      <c r="E2033" s="28"/>
      <c r="F2033" s="31"/>
      <c r="G2033" s="21"/>
      <c r="H2033" s="22"/>
      <c r="I2033" s="23"/>
      <c r="J2033" s="24"/>
      <c r="K2033" s="25"/>
      <c r="L2033" s="23"/>
      <c r="M2033" s="23"/>
      <c r="N2033" s="24"/>
      <c r="O2033" s="24"/>
      <c r="P2033" s="25"/>
      <c r="Q2033" s="25"/>
    </row>
    <row r="2034" spans="1:17" s="20" customFormat="1" x14ac:dyDescent="0.25">
      <c r="A2034" s="9"/>
      <c r="B2034" s="28"/>
      <c r="C2034" s="28"/>
      <c r="D2034" s="28"/>
      <c r="E2034" s="28"/>
      <c r="F2034" s="31"/>
      <c r="G2034" s="21"/>
      <c r="H2034" s="22"/>
      <c r="I2034" s="23"/>
      <c r="J2034" s="24"/>
      <c r="K2034" s="25"/>
      <c r="L2034" s="23"/>
      <c r="M2034" s="23"/>
      <c r="N2034" s="24"/>
      <c r="O2034" s="24"/>
      <c r="P2034" s="25"/>
      <c r="Q2034" s="25"/>
    </row>
    <row r="2035" spans="1:17" s="20" customFormat="1" x14ac:dyDescent="0.25">
      <c r="A2035" s="9"/>
      <c r="B2035" s="28"/>
      <c r="C2035" s="28"/>
      <c r="D2035" s="28"/>
      <c r="E2035" s="28"/>
      <c r="F2035" s="31"/>
      <c r="G2035" s="21"/>
      <c r="H2035" s="22"/>
      <c r="I2035" s="23"/>
      <c r="J2035" s="24"/>
      <c r="K2035" s="25"/>
      <c r="L2035" s="23"/>
      <c r="M2035" s="23"/>
      <c r="N2035" s="24"/>
      <c r="O2035" s="24"/>
      <c r="P2035" s="25"/>
      <c r="Q2035" s="25"/>
    </row>
    <row r="2036" spans="1:17" s="20" customFormat="1" x14ac:dyDescent="0.25">
      <c r="A2036" s="9"/>
      <c r="B2036" s="28"/>
      <c r="C2036" s="28"/>
      <c r="D2036" s="28"/>
      <c r="E2036" s="28"/>
      <c r="F2036" s="31"/>
      <c r="G2036" s="21"/>
      <c r="H2036" s="22"/>
      <c r="I2036" s="23"/>
      <c r="J2036" s="24"/>
      <c r="K2036" s="25"/>
      <c r="L2036" s="23"/>
      <c r="M2036" s="23"/>
      <c r="N2036" s="24"/>
      <c r="O2036" s="24"/>
      <c r="P2036" s="25"/>
      <c r="Q2036" s="25"/>
    </row>
    <row r="2037" spans="1:17" s="20" customFormat="1" x14ac:dyDescent="0.25">
      <c r="A2037" s="9"/>
      <c r="B2037" s="28"/>
      <c r="C2037" s="28"/>
      <c r="D2037" s="28"/>
      <c r="E2037" s="28"/>
      <c r="F2037" s="31"/>
      <c r="G2037" s="21"/>
      <c r="H2037" s="22"/>
      <c r="I2037" s="23"/>
      <c r="J2037" s="24"/>
      <c r="K2037" s="25"/>
      <c r="L2037" s="23"/>
      <c r="M2037" s="23"/>
      <c r="N2037" s="24"/>
      <c r="O2037" s="24"/>
      <c r="P2037" s="25"/>
      <c r="Q2037" s="25"/>
    </row>
    <row r="2038" spans="1:17" s="20" customFormat="1" x14ac:dyDescent="0.25">
      <c r="A2038" s="9"/>
      <c r="B2038" s="28"/>
      <c r="C2038" s="28"/>
      <c r="D2038" s="28"/>
      <c r="E2038" s="28"/>
      <c r="F2038" s="31"/>
      <c r="G2038" s="21"/>
      <c r="H2038" s="22"/>
      <c r="I2038" s="23"/>
      <c r="J2038" s="24"/>
      <c r="K2038" s="25"/>
      <c r="L2038" s="23"/>
      <c r="M2038" s="23"/>
      <c r="N2038" s="24"/>
      <c r="O2038" s="24"/>
      <c r="P2038" s="25"/>
      <c r="Q2038" s="25"/>
    </row>
    <row r="2039" spans="1:17" s="20" customFormat="1" x14ac:dyDescent="0.25">
      <c r="A2039" s="9"/>
      <c r="B2039" s="28"/>
      <c r="C2039" s="28"/>
      <c r="D2039" s="28"/>
      <c r="E2039" s="28"/>
      <c r="F2039" s="31"/>
      <c r="G2039" s="21"/>
      <c r="H2039" s="22"/>
      <c r="I2039" s="23"/>
      <c r="J2039" s="24"/>
      <c r="K2039" s="25"/>
      <c r="L2039" s="23"/>
      <c r="M2039" s="23"/>
      <c r="N2039" s="24"/>
      <c r="O2039" s="24"/>
      <c r="P2039" s="25"/>
      <c r="Q2039" s="25"/>
    </row>
    <row r="2040" spans="1:17" s="20" customFormat="1" x14ac:dyDescent="0.25">
      <c r="A2040" s="9"/>
      <c r="B2040" s="28"/>
      <c r="C2040" s="28"/>
      <c r="D2040" s="28"/>
      <c r="E2040" s="28"/>
      <c r="F2040" s="31"/>
      <c r="G2040" s="21"/>
      <c r="H2040" s="22"/>
      <c r="I2040" s="23"/>
      <c r="J2040" s="24"/>
      <c r="K2040" s="25"/>
      <c r="L2040" s="23"/>
      <c r="M2040" s="23"/>
      <c r="N2040" s="24"/>
      <c r="O2040" s="24"/>
      <c r="P2040" s="25"/>
      <c r="Q2040" s="25"/>
    </row>
    <row r="2041" spans="1:17" s="20" customFormat="1" x14ac:dyDescent="0.25">
      <c r="A2041" s="9"/>
      <c r="B2041" s="28"/>
      <c r="C2041" s="28"/>
      <c r="D2041" s="28"/>
      <c r="E2041" s="28"/>
      <c r="F2041" s="31"/>
      <c r="G2041" s="21"/>
      <c r="H2041" s="22"/>
      <c r="I2041" s="23"/>
      <c r="J2041" s="24"/>
      <c r="K2041" s="25"/>
      <c r="L2041" s="23"/>
      <c r="M2041" s="23"/>
      <c r="N2041" s="24"/>
      <c r="O2041" s="24"/>
      <c r="P2041" s="25"/>
      <c r="Q2041" s="25"/>
    </row>
    <row r="2042" spans="1:17" s="20" customFormat="1" x14ac:dyDescent="0.25">
      <c r="A2042" s="9"/>
      <c r="B2042" s="28"/>
      <c r="C2042" s="28"/>
      <c r="D2042" s="28"/>
      <c r="E2042" s="28"/>
      <c r="F2042" s="31"/>
      <c r="G2042" s="21"/>
      <c r="H2042" s="22"/>
      <c r="I2042" s="23"/>
      <c r="J2042" s="24"/>
      <c r="K2042" s="25"/>
      <c r="L2042" s="23"/>
      <c r="M2042" s="23"/>
      <c r="N2042" s="24"/>
      <c r="O2042" s="24"/>
      <c r="P2042" s="25"/>
      <c r="Q2042" s="25"/>
    </row>
    <row r="2043" spans="1:17" s="20" customFormat="1" x14ac:dyDescent="0.25">
      <c r="A2043" s="9"/>
      <c r="B2043" s="28"/>
      <c r="C2043" s="28"/>
      <c r="D2043" s="28"/>
      <c r="E2043" s="28"/>
      <c r="F2043" s="31"/>
      <c r="G2043" s="21"/>
      <c r="H2043" s="22"/>
      <c r="I2043" s="23"/>
      <c r="J2043" s="24"/>
      <c r="K2043" s="25"/>
      <c r="L2043" s="23"/>
      <c r="M2043" s="23"/>
      <c r="N2043" s="24"/>
      <c r="O2043" s="24"/>
      <c r="P2043" s="25"/>
      <c r="Q2043" s="25"/>
    </row>
    <row r="2044" spans="1:17" s="20" customFormat="1" x14ac:dyDescent="0.25">
      <c r="A2044" s="9"/>
      <c r="B2044" s="28"/>
      <c r="C2044" s="28"/>
      <c r="D2044" s="28"/>
      <c r="E2044" s="28"/>
      <c r="F2044" s="31"/>
      <c r="G2044" s="21"/>
      <c r="H2044" s="22"/>
      <c r="I2044" s="23"/>
      <c r="J2044" s="24"/>
      <c r="K2044" s="25"/>
      <c r="L2044" s="23"/>
      <c r="M2044" s="23"/>
      <c r="N2044" s="24"/>
      <c r="O2044" s="24"/>
      <c r="P2044" s="25"/>
      <c r="Q2044" s="25"/>
    </row>
    <row r="2045" spans="1:17" s="20" customFormat="1" x14ac:dyDescent="0.25">
      <c r="A2045" s="9"/>
      <c r="B2045" s="28"/>
      <c r="C2045" s="28"/>
      <c r="D2045" s="28"/>
      <c r="E2045" s="28"/>
      <c r="F2045" s="31"/>
      <c r="G2045" s="21"/>
      <c r="H2045" s="22"/>
      <c r="I2045" s="23"/>
      <c r="J2045" s="24"/>
      <c r="K2045" s="25"/>
      <c r="L2045" s="23"/>
      <c r="M2045" s="23"/>
      <c r="N2045" s="24"/>
      <c r="O2045" s="24"/>
      <c r="P2045" s="25"/>
      <c r="Q2045" s="25"/>
    </row>
    <row r="2046" spans="1:17" s="20" customFormat="1" x14ac:dyDescent="0.25">
      <c r="A2046" s="9"/>
      <c r="B2046" s="28"/>
      <c r="C2046" s="28"/>
      <c r="D2046" s="28"/>
      <c r="E2046" s="28"/>
      <c r="F2046" s="31"/>
      <c r="G2046" s="21"/>
      <c r="H2046" s="22"/>
      <c r="I2046" s="23"/>
      <c r="J2046" s="24"/>
      <c r="K2046" s="25"/>
      <c r="L2046" s="23"/>
      <c r="M2046" s="23"/>
      <c r="N2046" s="24"/>
      <c r="O2046" s="24"/>
      <c r="P2046" s="25"/>
      <c r="Q2046" s="25"/>
    </row>
    <row r="2047" spans="1:17" s="20" customFormat="1" x14ac:dyDescent="0.25">
      <c r="A2047" s="9"/>
      <c r="B2047" s="28"/>
      <c r="C2047" s="28"/>
      <c r="D2047" s="28"/>
      <c r="E2047" s="28"/>
      <c r="F2047" s="31"/>
      <c r="G2047" s="21"/>
      <c r="H2047" s="22"/>
      <c r="I2047" s="23"/>
      <c r="J2047" s="24"/>
      <c r="K2047" s="25"/>
      <c r="L2047" s="23"/>
      <c r="M2047" s="23"/>
      <c r="N2047" s="24"/>
      <c r="O2047" s="24"/>
      <c r="P2047" s="25"/>
      <c r="Q2047" s="25"/>
    </row>
    <row r="2048" spans="1:17" s="20" customFormat="1" x14ac:dyDescent="0.25">
      <c r="A2048" s="9"/>
      <c r="B2048" s="28"/>
      <c r="C2048" s="28"/>
      <c r="D2048" s="28"/>
      <c r="E2048" s="28"/>
      <c r="F2048" s="31"/>
      <c r="G2048" s="21"/>
      <c r="H2048" s="22"/>
      <c r="I2048" s="23"/>
      <c r="J2048" s="24"/>
      <c r="K2048" s="25"/>
      <c r="L2048" s="23"/>
      <c r="M2048" s="23"/>
      <c r="N2048" s="24"/>
      <c r="O2048" s="24"/>
      <c r="P2048" s="25"/>
      <c r="Q2048" s="25"/>
    </row>
    <row r="2049" spans="1:17" s="20" customFormat="1" x14ac:dyDescent="0.25">
      <c r="A2049" s="9"/>
      <c r="B2049" s="28"/>
      <c r="C2049" s="28"/>
      <c r="D2049" s="28"/>
      <c r="E2049" s="28"/>
      <c r="F2049" s="31"/>
      <c r="G2049" s="21"/>
      <c r="H2049" s="22"/>
      <c r="I2049" s="23"/>
      <c r="J2049" s="24"/>
      <c r="K2049" s="25"/>
      <c r="L2049" s="23"/>
      <c r="M2049" s="23"/>
      <c r="N2049" s="24"/>
      <c r="O2049" s="24"/>
      <c r="P2049" s="25"/>
      <c r="Q2049" s="25"/>
    </row>
    <row r="2050" spans="1:17" s="20" customFormat="1" x14ac:dyDescent="0.25">
      <c r="A2050" s="9"/>
      <c r="B2050" s="28"/>
      <c r="C2050" s="28"/>
      <c r="D2050" s="28"/>
      <c r="E2050" s="28"/>
      <c r="F2050" s="31"/>
      <c r="G2050" s="21"/>
      <c r="H2050" s="22"/>
      <c r="I2050" s="23"/>
      <c r="J2050" s="24"/>
      <c r="K2050" s="25"/>
      <c r="L2050" s="23"/>
      <c r="M2050" s="23"/>
      <c r="N2050" s="24"/>
      <c r="O2050" s="24"/>
      <c r="P2050" s="25"/>
      <c r="Q2050" s="25"/>
    </row>
    <row r="2051" spans="1:17" s="20" customFormat="1" x14ac:dyDescent="0.25">
      <c r="A2051" s="9"/>
      <c r="B2051" s="28"/>
      <c r="C2051" s="28"/>
      <c r="D2051" s="28"/>
      <c r="E2051" s="28"/>
      <c r="F2051" s="31"/>
      <c r="G2051" s="21"/>
      <c r="H2051" s="22"/>
      <c r="I2051" s="23"/>
      <c r="J2051" s="24"/>
      <c r="K2051" s="25"/>
      <c r="L2051" s="23"/>
      <c r="M2051" s="23"/>
      <c r="N2051" s="24"/>
      <c r="O2051" s="24"/>
      <c r="P2051" s="25"/>
      <c r="Q2051" s="25"/>
    </row>
    <row r="2052" spans="1:17" s="20" customFormat="1" x14ac:dyDescent="0.25">
      <c r="A2052" s="9"/>
      <c r="B2052" s="28"/>
      <c r="C2052" s="28"/>
      <c r="D2052" s="28"/>
      <c r="E2052" s="28"/>
      <c r="F2052" s="31"/>
      <c r="G2052" s="21"/>
      <c r="H2052" s="22"/>
      <c r="I2052" s="23"/>
      <c r="J2052" s="24"/>
      <c r="K2052" s="25"/>
      <c r="L2052" s="23"/>
      <c r="M2052" s="23"/>
      <c r="N2052" s="24"/>
      <c r="O2052" s="24"/>
      <c r="P2052" s="25"/>
      <c r="Q2052" s="25"/>
    </row>
    <row r="2053" spans="1:17" s="20" customFormat="1" x14ac:dyDescent="0.25">
      <c r="A2053" s="9"/>
      <c r="B2053" s="28"/>
      <c r="C2053" s="28"/>
      <c r="D2053" s="28"/>
      <c r="E2053" s="28"/>
      <c r="F2053" s="31"/>
      <c r="G2053" s="21"/>
      <c r="H2053" s="22"/>
      <c r="I2053" s="23"/>
      <c r="J2053" s="24"/>
      <c r="K2053" s="25"/>
      <c r="L2053" s="23"/>
      <c r="M2053" s="23"/>
      <c r="N2053" s="24"/>
      <c r="O2053" s="24"/>
      <c r="P2053" s="25"/>
      <c r="Q2053" s="25"/>
    </row>
    <row r="2054" spans="1:17" s="20" customFormat="1" x14ac:dyDescent="0.25">
      <c r="A2054" s="9"/>
      <c r="B2054" s="28"/>
      <c r="C2054" s="28"/>
      <c r="D2054" s="28"/>
      <c r="E2054" s="28"/>
      <c r="F2054" s="31"/>
      <c r="G2054" s="21"/>
      <c r="H2054" s="22"/>
      <c r="I2054" s="23"/>
      <c r="J2054" s="24"/>
      <c r="K2054" s="25"/>
      <c r="L2054" s="23"/>
      <c r="M2054" s="23"/>
      <c r="N2054" s="24"/>
      <c r="O2054" s="24"/>
      <c r="P2054" s="25"/>
      <c r="Q2054" s="25"/>
    </row>
    <row r="2055" spans="1:17" s="20" customFormat="1" x14ac:dyDescent="0.25">
      <c r="A2055" s="9"/>
      <c r="B2055" s="28"/>
      <c r="C2055" s="28"/>
      <c r="D2055" s="28"/>
      <c r="E2055" s="28"/>
      <c r="F2055" s="31"/>
      <c r="G2055" s="21"/>
      <c r="H2055" s="22"/>
      <c r="I2055" s="23"/>
      <c r="J2055" s="24"/>
      <c r="K2055" s="25"/>
      <c r="L2055" s="23"/>
      <c r="M2055" s="23"/>
      <c r="N2055" s="24"/>
      <c r="O2055" s="24"/>
      <c r="P2055" s="25"/>
      <c r="Q2055" s="25"/>
    </row>
    <row r="2056" spans="1:17" s="20" customFormat="1" x14ac:dyDescent="0.25">
      <c r="A2056" s="9"/>
      <c r="B2056" s="28"/>
      <c r="C2056" s="28"/>
      <c r="D2056" s="28"/>
      <c r="E2056" s="28"/>
      <c r="F2056" s="31"/>
      <c r="G2056" s="21"/>
      <c r="H2056" s="22"/>
      <c r="I2056" s="23"/>
      <c r="J2056" s="24"/>
      <c r="K2056" s="25"/>
      <c r="L2056" s="23"/>
      <c r="M2056" s="23"/>
      <c r="N2056" s="24"/>
      <c r="O2056" s="24"/>
      <c r="P2056" s="25"/>
      <c r="Q2056" s="25"/>
    </row>
    <row r="2057" spans="1:17" s="20" customFormat="1" x14ac:dyDescent="0.25">
      <c r="A2057" s="9"/>
      <c r="B2057" s="28"/>
      <c r="C2057" s="28"/>
      <c r="D2057" s="28"/>
      <c r="E2057" s="28"/>
      <c r="F2057" s="31"/>
      <c r="G2057" s="21"/>
      <c r="H2057" s="22"/>
      <c r="I2057" s="23"/>
      <c r="J2057" s="24"/>
      <c r="K2057" s="25"/>
      <c r="L2057" s="23"/>
      <c r="M2057" s="23"/>
      <c r="N2057" s="24"/>
      <c r="O2057" s="24"/>
      <c r="P2057" s="25"/>
      <c r="Q2057" s="25"/>
    </row>
    <row r="2058" spans="1:17" s="20" customFormat="1" x14ac:dyDescent="0.25">
      <c r="A2058" s="9"/>
      <c r="B2058" s="28"/>
      <c r="C2058" s="28"/>
      <c r="D2058" s="28"/>
      <c r="E2058" s="28"/>
      <c r="F2058" s="31"/>
      <c r="G2058" s="21"/>
      <c r="H2058" s="22"/>
      <c r="I2058" s="23"/>
      <c r="J2058" s="24"/>
      <c r="K2058" s="25"/>
      <c r="L2058" s="23"/>
      <c r="M2058" s="23"/>
      <c r="N2058" s="24"/>
      <c r="O2058" s="24"/>
      <c r="P2058" s="25"/>
      <c r="Q2058" s="25"/>
    </row>
    <row r="2059" spans="1:17" s="20" customFormat="1" x14ac:dyDescent="0.25">
      <c r="A2059" s="9"/>
      <c r="B2059" s="28"/>
      <c r="C2059" s="28"/>
      <c r="D2059" s="28"/>
      <c r="E2059" s="28"/>
      <c r="F2059" s="31"/>
      <c r="G2059" s="21"/>
      <c r="H2059" s="22"/>
      <c r="I2059" s="23"/>
      <c r="J2059" s="24"/>
      <c r="K2059" s="25"/>
      <c r="L2059" s="23"/>
      <c r="M2059" s="23"/>
      <c r="N2059" s="24"/>
      <c r="O2059" s="24"/>
      <c r="P2059" s="25"/>
      <c r="Q2059" s="25"/>
    </row>
    <row r="2060" spans="1:17" s="20" customFormat="1" x14ac:dyDescent="0.25">
      <c r="A2060" s="9"/>
      <c r="B2060" s="28"/>
      <c r="C2060" s="28"/>
      <c r="D2060" s="28"/>
      <c r="E2060" s="28"/>
      <c r="F2060" s="31"/>
      <c r="G2060" s="21"/>
      <c r="H2060" s="22"/>
      <c r="I2060" s="23"/>
      <c r="J2060" s="24"/>
      <c r="K2060" s="25"/>
      <c r="L2060" s="23"/>
      <c r="M2060" s="23"/>
      <c r="N2060" s="24"/>
      <c r="O2060" s="24"/>
      <c r="P2060" s="25"/>
      <c r="Q2060" s="25"/>
    </row>
    <row r="2061" spans="1:17" s="20" customFormat="1" x14ac:dyDescent="0.25">
      <c r="A2061" s="9"/>
      <c r="B2061" s="28"/>
      <c r="C2061" s="28"/>
      <c r="D2061" s="28"/>
      <c r="E2061" s="28"/>
      <c r="F2061" s="31"/>
      <c r="G2061" s="21"/>
      <c r="H2061" s="22"/>
      <c r="I2061" s="23"/>
      <c r="J2061" s="24"/>
      <c r="K2061" s="25"/>
      <c r="L2061" s="23"/>
      <c r="M2061" s="23"/>
      <c r="N2061" s="24"/>
      <c r="O2061" s="24"/>
      <c r="P2061" s="25"/>
      <c r="Q2061" s="25"/>
    </row>
    <row r="2062" spans="1:17" s="20" customFormat="1" x14ac:dyDescent="0.25">
      <c r="A2062" s="9"/>
      <c r="B2062" s="28"/>
      <c r="C2062" s="28"/>
      <c r="D2062" s="28"/>
      <c r="E2062" s="28"/>
      <c r="F2062" s="31"/>
      <c r="G2062" s="21"/>
      <c r="H2062" s="22"/>
      <c r="I2062" s="23"/>
      <c r="J2062" s="24"/>
      <c r="K2062" s="25"/>
      <c r="L2062" s="23"/>
      <c r="M2062" s="23"/>
      <c r="N2062" s="24"/>
      <c r="O2062" s="24"/>
      <c r="P2062" s="25"/>
      <c r="Q2062" s="25"/>
    </row>
    <row r="2063" spans="1:17" s="20" customFormat="1" x14ac:dyDescent="0.25">
      <c r="A2063" s="9"/>
      <c r="B2063" s="28"/>
      <c r="C2063" s="28"/>
      <c r="D2063" s="28"/>
      <c r="E2063" s="28"/>
      <c r="F2063" s="31"/>
      <c r="G2063" s="21"/>
      <c r="H2063" s="22"/>
      <c r="I2063" s="23"/>
      <c r="J2063" s="24"/>
      <c r="K2063" s="25"/>
      <c r="L2063" s="23"/>
      <c r="M2063" s="23"/>
      <c r="N2063" s="24"/>
      <c r="O2063" s="24"/>
      <c r="P2063" s="25"/>
      <c r="Q2063" s="25"/>
    </row>
    <row r="2064" spans="1:17" s="20" customFormat="1" x14ac:dyDescent="0.25">
      <c r="A2064" s="9"/>
      <c r="B2064" s="28"/>
      <c r="C2064" s="28"/>
      <c r="D2064" s="28"/>
      <c r="E2064" s="28"/>
      <c r="F2064" s="31"/>
      <c r="G2064" s="21"/>
      <c r="H2064" s="22"/>
      <c r="I2064" s="23"/>
      <c r="J2064" s="24"/>
      <c r="K2064" s="25"/>
      <c r="L2064" s="23"/>
      <c r="M2064" s="23"/>
      <c r="N2064" s="24"/>
      <c r="O2064" s="24"/>
      <c r="P2064" s="25"/>
      <c r="Q2064" s="25"/>
    </row>
    <row r="2065" spans="1:17" s="20" customFormat="1" x14ac:dyDescent="0.25">
      <c r="A2065" s="9"/>
      <c r="B2065" s="28"/>
      <c r="C2065" s="28"/>
      <c r="D2065" s="28"/>
      <c r="E2065" s="28"/>
      <c r="F2065" s="31"/>
      <c r="G2065" s="21"/>
      <c r="H2065" s="22"/>
      <c r="I2065" s="23"/>
      <c r="J2065" s="24"/>
      <c r="K2065" s="25"/>
      <c r="L2065" s="23"/>
      <c r="M2065" s="23"/>
      <c r="N2065" s="24"/>
      <c r="O2065" s="24"/>
      <c r="P2065" s="25"/>
      <c r="Q2065" s="25"/>
    </row>
    <row r="2066" spans="1:17" s="20" customFormat="1" x14ac:dyDescent="0.25">
      <c r="A2066" s="9"/>
      <c r="B2066" s="28"/>
      <c r="C2066" s="28"/>
      <c r="D2066" s="28"/>
      <c r="E2066" s="28"/>
      <c r="F2066" s="31"/>
      <c r="G2066" s="21"/>
      <c r="H2066" s="22"/>
      <c r="I2066" s="23"/>
      <c r="J2066" s="24"/>
      <c r="K2066" s="25"/>
      <c r="L2066" s="23"/>
      <c r="M2066" s="23"/>
      <c r="N2066" s="24"/>
      <c r="O2066" s="24"/>
      <c r="P2066" s="25"/>
      <c r="Q2066" s="25"/>
    </row>
    <row r="2067" spans="1:17" s="20" customFormat="1" x14ac:dyDescent="0.25">
      <c r="A2067" s="9"/>
      <c r="B2067" s="28"/>
      <c r="C2067" s="28"/>
      <c r="D2067" s="28"/>
      <c r="E2067" s="28"/>
      <c r="F2067" s="31"/>
      <c r="G2067" s="21"/>
      <c r="H2067" s="22"/>
      <c r="I2067" s="23"/>
      <c r="J2067" s="24"/>
      <c r="K2067" s="25"/>
      <c r="L2067" s="23"/>
      <c r="M2067" s="23"/>
      <c r="N2067" s="24"/>
      <c r="O2067" s="24"/>
      <c r="P2067" s="25"/>
      <c r="Q2067" s="25"/>
    </row>
    <row r="2068" spans="1:17" s="20" customFormat="1" x14ac:dyDescent="0.25">
      <c r="A2068" s="9"/>
      <c r="B2068" s="28"/>
      <c r="C2068" s="28"/>
      <c r="D2068" s="28"/>
      <c r="E2068" s="28"/>
      <c r="F2068" s="31"/>
      <c r="G2068" s="21"/>
      <c r="H2068" s="22"/>
      <c r="I2068" s="23"/>
      <c r="J2068" s="24"/>
      <c r="K2068" s="25"/>
      <c r="L2068" s="23"/>
      <c r="M2068" s="23"/>
      <c r="N2068" s="24"/>
      <c r="O2068" s="24"/>
      <c r="P2068" s="25"/>
      <c r="Q2068" s="25"/>
    </row>
    <row r="2069" spans="1:17" s="20" customFormat="1" x14ac:dyDescent="0.25">
      <c r="A2069" s="9"/>
      <c r="B2069" s="28"/>
      <c r="C2069" s="28"/>
      <c r="D2069" s="28"/>
      <c r="E2069" s="28"/>
      <c r="F2069" s="31"/>
      <c r="G2069" s="21"/>
      <c r="H2069" s="22"/>
      <c r="I2069" s="23"/>
      <c r="J2069" s="24"/>
      <c r="K2069" s="25"/>
      <c r="L2069" s="23"/>
      <c r="M2069" s="23"/>
      <c r="N2069" s="24"/>
      <c r="O2069" s="24"/>
      <c r="P2069" s="25"/>
      <c r="Q2069" s="25"/>
    </row>
    <row r="2070" spans="1:17" s="20" customFormat="1" x14ac:dyDescent="0.25">
      <c r="A2070" s="9"/>
      <c r="B2070" s="28"/>
      <c r="C2070" s="28"/>
      <c r="D2070" s="28"/>
      <c r="E2070" s="28"/>
      <c r="F2070" s="31"/>
      <c r="G2070" s="21"/>
      <c r="H2070" s="22"/>
      <c r="I2070" s="23"/>
      <c r="J2070" s="24"/>
      <c r="K2070" s="25"/>
      <c r="L2070" s="23"/>
      <c r="M2070" s="23"/>
      <c r="N2070" s="24"/>
      <c r="O2070" s="24"/>
      <c r="P2070" s="25"/>
      <c r="Q2070" s="25"/>
    </row>
    <row r="2071" spans="1:17" s="20" customFormat="1" x14ac:dyDescent="0.25">
      <c r="A2071" s="9"/>
      <c r="B2071" s="28"/>
      <c r="C2071" s="28"/>
      <c r="D2071" s="28"/>
      <c r="E2071" s="28"/>
      <c r="F2071" s="31"/>
      <c r="G2071" s="21"/>
      <c r="H2071" s="22"/>
      <c r="I2071" s="23"/>
      <c r="J2071" s="24"/>
      <c r="K2071" s="25"/>
      <c r="L2071" s="23"/>
      <c r="M2071" s="23"/>
      <c r="N2071" s="24"/>
      <c r="O2071" s="24"/>
      <c r="P2071" s="25"/>
      <c r="Q2071" s="25"/>
    </row>
    <row r="2072" spans="1:17" s="20" customFormat="1" x14ac:dyDescent="0.25">
      <c r="A2072" s="9"/>
      <c r="B2072" s="28"/>
      <c r="C2072" s="28"/>
      <c r="D2072" s="28"/>
      <c r="E2072" s="28"/>
      <c r="F2072" s="31"/>
      <c r="G2072" s="21"/>
      <c r="H2072" s="22"/>
      <c r="I2072" s="23"/>
      <c r="J2072" s="24"/>
      <c r="K2072" s="25"/>
      <c r="L2072" s="23"/>
      <c r="M2072" s="23"/>
      <c r="N2072" s="24"/>
      <c r="O2072" s="24"/>
      <c r="P2072" s="25"/>
      <c r="Q2072" s="25"/>
    </row>
    <row r="2073" spans="1:17" s="20" customFormat="1" x14ac:dyDescent="0.25">
      <c r="A2073" s="9"/>
      <c r="B2073" s="28"/>
      <c r="C2073" s="28"/>
      <c r="D2073" s="28"/>
      <c r="E2073" s="28"/>
      <c r="F2073" s="31"/>
      <c r="G2073" s="21"/>
      <c r="H2073" s="22"/>
      <c r="I2073" s="23"/>
      <c r="J2073" s="24"/>
      <c r="K2073" s="25"/>
      <c r="L2073" s="23"/>
      <c r="M2073" s="23"/>
      <c r="N2073" s="24"/>
      <c r="O2073" s="24"/>
      <c r="P2073" s="25"/>
      <c r="Q2073" s="25"/>
    </row>
    <row r="2074" spans="1:17" s="20" customFormat="1" x14ac:dyDescent="0.25">
      <c r="A2074" s="9"/>
      <c r="B2074" s="28"/>
      <c r="C2074" s="28"/>
      <c r="D2074" s="28"/>
      <c r="E2074" s="28"/>
      <c r="F2074" s="31"/>
      <c r="G2074" s="21"/>
      <c r="H2074" s="22"/>
      <c r="I2074" s="23"/>
      <c r="J2074" s="24"/>
      <c r="K2074" s="25"/>
      <c r="L2074" s="23"/>
      <c r="M2074" s="23"/>
      <c r="N2074" s="24"/>
      <c r="O2074" s="24"/>
      <c r="P2074" s="25"/>
      <c r="Q2074" s="25"/>
    </row>
    <row r="2075" spans="1:17" s="20" customFormat="1" x14ac:dyDescent="0.25">
      <c r="A2075" s="9"/>
      <c r="B2075" s="28"/>
      <c r="C2075" s="28"/>
      <c r="D2075" s="28"/>
      <c r="E2075" s="28"/>
      <c r="F2075" s="31"/>
      <c r="G2075" s="21"/>
      <c r="H2075" s="22"/>
      <c r="I2075" s="23"/>
      <c r="J2075" s="24"/>
      <c r="K2075" s="25"/>
      <c r="L2075" s="23"/>
      <c r="M2075" s="23"/>
      <c r="N2075" s="24"/>
      <c r="O2075" s="24"/>
      <c r="P2075" s="25"/>
      <c r="Q2075" s="25"/>
    </row>
    <row r="2076" spans="1:17" s="20" customFormat="1" x14ac:dyDescent="0.25">
      <c r="A2076" s="9"/>
      <c r="B2076" s="28"/>
      <c r="C2076" s="28"/>
      <c r="D2076" s="28"/>
      <c r="E2076" s="28"/>
      <c r="F2076" s="31"/>
      <c r="G2076" s="21"/>
      <c r="H2076" s="22"/>
      <c r="I2076" s="23"/>
      <c r="J2076" s="24"/>
      <c r="K2076" s="25"/>
      <c r="L2076" s="23"/>
      <c r="M2076" s="23"/>
      <c r="N2076" s="24"/>
      <c r="O2076" s="24"/>
      <c r="P2076" s="25"/>
      <c r="Q2076" s="25"/>
    </row>
    <row r="2077" spans="1:17" s="20" customFormat="1" x14ac:dyDescent="0.25">
      <c r="A2077" s="9"/>
      <c r="B2077" s="28"/>
      <c r="C2077" s="28"/>
      <c r="D2077" s="28"/>
      <c r="E2077" s="28"/>
      <c r="F2077" s="31"/>
      <c r="G2077" s="21"/>
      <c r="H2077" s="22"/>
      <c r="I2077" s="23"/>
      <c r="J2077" s="24"/>
      <c r="K2077" s="25"/>
      <c r="L2077" s="23"/>
      <c r="M2077" s="23"/>
      <c r="N2077" s="24"/>
      <c r="O2077" s="24"/>
      <c r="P2077" s="25"/>
      <c r="Q2077" s="25"/>
    </row>
    <row r="2078" spans="1:17" s="20" customFormat="1" x14ac:dyDescent="0.25">
      <c r="A2078" s="9"/>
      <c r="B2078" s="28"/>
      <c r="C2078" s="28"/>
      <c r="D2078" s="28"/>
      <c r="E2078" s="28"/>
      <c r="F2078" s="31"/>
      <c r="G2078" s="21"/>
      <c r="H2078" s="22"/>
      <c r="I2078" s="23"/>
      <c r="J2078" s="24"/>
      <c r="K2078" s="25"/>
      <c r="L2078" s="23"/>
      <c r="M2078" s="23"/>
      <c r="N2078" s="24"/>
      <c r="O2078" s="24"/>
      <c r="P2078" s="25"/>
      <c r="Q2078" s="25"/>
    </row>
    <row r="2079" spans="1:17" s="20" customFormat="1" x14ac:dyDescent="0.25">
      <c r="A2079" s="9"/>
      <c r="B2079" s="28"/>
      <c r="C2079" s="28"/>
      <c r="D2079" s="28"/>
      <c r="E2079" s="28"/>
      <c r="F2079" s="31"/>
      <c r="G2079" s="21"/>
      <c r="H2079" s="22"/>
      <c r="I2079" s="23"/>
      <c r="J2079" s="24"/>
      <c r="K2079" s="25"/>
      <c r="L2079" s="23"/>
      <c r="M2079" s="23"/>
      <c r="N2079" s="24"/>
      <c r="O2079" s="24"/>
      <c r="P2079" s="25"/>
      <c r="Q2079" s="25"/>
    </row>
    <row r="2080" spans="1:17" s="20" customFormat="1" x14ac:dyDescent="0.25">
      <c r="A2080" s="9"/>
      <c r="B2080" s="28"/>
      <c r="C2080" s="28"/>
      <c r="D2080" s="28"/>
      <c r="E2080" s="28"/>
      <c r="F2080" s="31"/>
      <c r="G2080" s="21"/>
      <c r="H2080" s="22"/>
      <c r="I2080" s="23"/>
      <c r="J2080" s="24"/>
      <c r="K2080" s="25"/>
      <c r="L2080" s="23"/>
      <c r="M2080" s="23"/>
      <c r="N2080" s="24"/>
      <c r="O2080" s="24"/>
      <c r="P2080" s="25"/>
      <c r="Q2080" s="25"/>
    </row>
    <row r="2081" spans="1:17" s="20" customFormat="1" x14ac:dyDescent="0.25">
      <c r="A2081" s="9"/>
      <c r="B2081" s="28"/>
      <c r="C2081" s="28"/>
      <c r="D2081" s="28"/>
      <c r="E2081" s="28"/>
      <c r="F2081" s="31"/>
      <c r="G2081" s="21"/>
      <c r="H2081" s="22"/>
      <c r="I2081" s="23"/>
      <c r="J2081" s="24"/>
      <c r="K2081" s="25"/>
      <c r="L2081" s="23"/>
      <c r="M2081" s="23"/>
      <c r="N2081" s="24"/>
      <c r="O2081" s="24"/>
      <c r="P2081" s="25"/>
      <c r="Q2081" s="25"/>
    </row>
    <row r="2082" spans="1:17" s="20" customFormat="1" x14ac:dyDescent="0.25">
      <c r="A2082" s="9"/>
      <c r="B2082" s="28"/>
      <c r="C2082" s="28"/>
      <c r="D2082" s="28"/>
      <c r="E2082" s="28"/>
      <c r="F2082" s="31"/>
      <c r="G2082" s="21"/>
      <c r="H2082" s="22"/>
      <c r="I2082" s="23"/>
      <c r="J2082" s="24"/>
      <c r="K2082" s="25"/>
      <c r="L2082" s="23"/>
      <c r="M2082" s="23"/>
      <c r="N2082" s="24"/>
      <c r="O2082" s="24"/>
      <c r="P2082" s="25"/>
      <c r="Q2082" s="25"/>
    </row>
    <row r="2083" spans="1:17" s="20" customFormat="1" x14ac:dyDescent="0.25">
      <c r="A2083" s="9"/>
      <c r="B2083" s="28"/>
      <c r="C2083" s="28"/>
      <c r="D2083" s="28"/>
      <c r="E2083" s="28"/>
      <c r="F2083" s="31"/>
      <c r="G2083" s="21"/>
      <c r="H2083" s="22"/>
      <c r="I2083" s="23"/>
      <c r="J2083" s="24"/>
      <c r="K2083" s="25"/>
      <c r="L2083" s="23"/>
      <c r="M2083" s="23"/>
      <c r="N2083" s="24"/>
      <c r="O2083" s="24"/>
      <c r="P2083" s="25"/>
      <c r="Q2083" s="25"/>
    </row>
    <row r="2084" spans="1:17" s="20" customFormat="1" x14ac:dyDescent="0.25">
      <c r="A2084" s="9"/>
      <c r="B2084" s="28"/>
      <c r="C2084" s="28"/>
      <c r="D2084" s="28"/>
      <c r="E2084" s="28"/>
      <c r="F2084" s="31"/>
      <c r="G2084" s="21"/>
      <c r="H2084" s="22"/>
      <c r="I2084" s="23"/>
      <c r="J2084" s="24"/>
      <c r="K2084" s="25"/>
      <c r="L2084" s="23"/>
      <c r="M2084" s="23"/>
      <c r="N2084" s="24"/>
      <c r="O2084" s="24"/>
      <c r="P2084" s="25"/>
      <c r="Q2084" s="25"/>
    </row>
    <row r="2085" spans="1:17" s="20" customFormat="1" x14ac:dyDescent="0.25">
      <c r="A2085" s="9"/>
      <c r="B2085" s="28"/>
      <c r="C2085" s="28"/>
      <c r="D2085" s="28"/>
      <c r="E2085" s="28"/>
      <c r="F2085" s="31"/>
      <c r="G2085" s="21"/>
      <c r="H2085" s="22"/>
      <c r="I2085" s="23"/>
      <c r="J2085" s="24"/>
      <c r="K2085" s="25"/>
      <c r="L2085" s="23"/>
      <c r="M2085" s="23"/>
      <c r="N2085" s="24"/>
      <c r="O2085" s="24"/>
      <c r="P2085" s="25"/>
      <c r="Q2085" s="25"/>
    </row>
    <row r="2086" spans="1:17" s="20" customFormat="1" x14ac:dyDescent="0.25">
      <c r="A2086" s="9"/>
      <c r="B2086" s="28"/>
      <c r="C2086" s="28"/>
      <c r="D2086" s="28"/>
      <c r="E2086" s="28"/>
      <c r="F2086" s="31"/>
      <c r="G2086" s="21"/>
      <c r="H2086" s="22"/>
      <c r="I2086" s="23"/>
      <c r="J2086" s="24"/>
      <c r="K2086" s="25"/>
      <c r="L2086" s="23"/>
      <c r="M2086" s="23"/>
      <c r="N2086" s="24"/>
      <c r="O2086" s="24"/>
      <c r="P2086" s="25"/>
      <c r="Q2086" s="25"/>
    </row>
    <row r="2087" spans="1:17" s="20" customFormat="1" x14ac:dyDescent="0.25">
      <c r="A2087" s="9"/>
      <c r="B2087" s="28"/>
      <c r="C2087" s="28"/>
      <c r="D2087" s="28"/>
      <c r="E2087" s="28"/>
      <c r="F2087" s="31"/>
      <c r="G2087" s="21"/>
      <c r="H2087" s="22"/>
      <c r="I2087" s="23"/>
      <c r="J2087" s="24"/>
      <c r="K2087" s="25"/>
      <c r="L2087" s="23"/>
      <c r="M2087" s="23"/>
      <c r="N2087" s="24"/>
      <c r="O2087" s="24"/>
      <c r="P2087" s="25"/>
      <c r="Q2087" s="25"/>
    </row>
    <row r="2088" spans="1:17" s="20" customFormat="1" x14ac:dyDescent="0.25">
      <c r="A2088" s="9"/>
      <c r="B2088" s="28"/>
      <c r="C2088" s="28"/>
      <c r="D2088" s="28"/>
      <c r="E2088" s="28"/>
      <c r="F2088" s="31"/>
      <c r="G2088" s="21"/>
      <c r="H2088" s="22"/>
      <c r="I2088" s="23"/>
      <c r="J2088" s="24"/>
      <c r="K2088" s="25"/>
      <c r="L2088" s="23"/>
      <c r="M2088" s="23"/>
      <c r="N2088" s="24"/>
      <c r="O2088" s="24"/>
      <c r="P2088" s="25"/>
      <c r="Q2088" s="25"/>
    </row>
    <row r="2089" spans="1:17" s="20" customFormat="1" x14ac:dyDescent="0.25">
      <c r="A2089" s="9"/>
      <c r="B2089" s="28"/>
      <c r="C2089" s="28"/>
      <c r="D2089" s="28"/>
      <c r="E2089" s="28"/>
      <c r="F2089" s="31"/>
      <c r="G2089" s="21"/>
      <c r="H2089" s="22"/>
      <c r="I2089" s="23"/>
      <c r="J2089" s="24"/>
      <c r="K2089" s="25"/>
      <c r="L2089" s="23"/>
      <c r="M2089" s="23"/>
      <c r="N2089" s="24"/>
      <c r="O2089" s="24"/>
      <c r="P2089" s="25"/>
      <c r="Q2089" s="25"/>
    </row>
    <row r="2090" spans="1:17" s="20" customFormat="1" x14ac:dyDescent="0.25">
      <c r="A2090" s="9"/>
      <c r="B2090" s="28"/>
      <c r="C2090" s="28"/>
      <c r="D2090" s="28"/>
      <c r="E2090" s="28"/>
      <c r="F2090" s="31"/>
      <c r="G2090" s="21"/>
      <c r="H2090" s="22"/>
      <c r="I2090" s="23"/>
      <c r="J2090" s="24"/>
      <c r="K2090" s="25"/>
      <c r="L2090" s="23"/>
      <c r="M2090" s="23"/>
      <c r="N2090" s="24"/>
      <c r="O2090" s="24"/>
      <c r="P2090" s="25"/>
      <c r="Q2090" s="25"/>
    </row>
    <row r="2091" spans="1:17" s="20" customFormat="1" x14ac:dyDescent="0.25">
      <c r="A2091" s="9"/>
      <c r="B2091" s="28"/>
      <c r="C2091" s="28"/>
      <c r="D2091" s="28"/>
      <c r="E2091" s="28"/>
      <c r="F2091" s="31"/>
      <c r="G2091" s="21"/>
      <c r="H2091" s="22"/>
      <c r="I2091" s="23"/>
      <c r="J2091" s="24"/>
      <c r="K2091" s="25"/>
      <c r="L2091" s="23"/>
      <c r="M2091" s="23"/>
      <c r="N2091" s="24"/>
      <c r="O2091" s="24"/>
      <c r="P2091" s="25"/>
      <c r="Q2091" s="25"/>
    </row>
    <row r="2092" spans="1:17" s="20" customFormat="1" x14ac:dyDescent="0.25">
      <c r="A2092" s="9"/>
      <c r="B2092" s="28"/>
      <c r="C2092" s="28"/>
      <c r="D2092" s="28"/>
      <c r="E2092" s="28"/>
      <c r="F2092" s="31"/>
      <c r="G2092" s="21"/>
      <c r="H2092" s="22"/>
      <c r="I2092" s="23"/>
      <c r="J2092" s="24"/>
      <c r="K2092" s="25"/>
      <c r="L2092" s="23"/>
      <c r="M2092" s="23"/>
      <c r="N2092" s="24"/>
      <c r="O2092" s="24"/>
      <c r="P2092" s="25"/>
      <c r="Q2092" s="25"/>
    </row>
    <row r="2093" spans="1:17" s="20" customFormat="1" x14ac:dyDescent="0.25">
      <c r="A2093" s="9"/>
      <c r="B2093" s="28"/>
      <c r="C2093" s="28"/>
      <c r="D2093" s="28"/>
      <c r="E2093" s="28"/>
      <c r="F2093" s="31"/>
      <c r="G2093" s="21"/>
      <c r="H2093" s="22"/>
      <c r="I2093" s="23"/>
      <c r="J2093" s="24"/>
      <c r="K2093" s="25"/>
      <c r="L2093" s="23"/>
      <c r="M2093" s="23"/>
      <c r="N2093" s="24"/>
      <c r="O2093" s="24"/>
      <c r="P2093" s="25"/>
      <c r="Q2093" s="25"/>
    </row>
    <row r="2094" spans="1:17" s="20" customFormat="1" x14ac:dyDescent="0.25">
      <c r="A2094" s="9"/>
      <c r="B2094" s="28"/>
      <c r="C2094" s="28"/>
      <c r="D2094" s="28"/>
      <c r="E2094" s="28"/>
      <c r="F2094" s="31"/>
      <c r="G2094" s="21"/>
      <c r="H2094" s="22"/>
      <c r="I2094" s="23"/>
      <c r="J2094" s="24"/>
      <c r="K2094" s="25"/>
      <c r="L2094" s="23"/>
      <c r="M2094" s="23"/>
      <c r="N2094" s="24"/>
      <c r="O2094" s="24"/>
      <c r="P2094" s="25"/>
      <c r="Q2094" s="25"/>
    </row>
    <row r="2095" spans="1:17" s="20" customFormat="1" x14ac:dyDescent="0.25">
      <c r="A2095" s="9"/>
      <c r="B2095" s="28"/>
      <c r="C2095" s="28"/>
      <c r="D2095" s="28"/>
      <c r="E2095" s="28"/>
      <c r="F2095" s="31"/>
      <c r="G2095" s="21"/>
      <c r="H2095" s="22"/>
      <c r="I2095" s="23"/>
      <c r="J2095" s="24"/>
      <c r="K2095" s="25"/>
      <c r="L2095" s="23"/>
      <c r="M2095" s="23"/>
      <c r="N2095" s="24"/>
      <c r="O2095" s="24"/>
      <c r="P2095" s="25"/>
      <c r="Q2095" s="25"/>
    </row>
    <row r="2096" spans="1:17" s="20" customFormat="1" x14ac:dyDescent="0.25">
      <c r="A2096" s="9"/>
      <c r="B2096" s="28"/>
      <c r="C2096" s="28"/>
      <c r="D2096" s="28"/>
      <c r="E2096" s="28"/>
      <c r="F2096" s="31"/>
      <c r="G2096" s="21"/>
      <c r="H2096" s="22"/>
      <c r="I2096" s="23"/>
      <c r="J2096" s="24"/>
      <c r="K2096" s="25"/>
      <c r="L2096" s="23"/>
      <c r="M2096" s="23"/>
      <c r="N2096" s="24"/>
      <c r="O2096" s="24"/>
      <c r="P2096" s="25"/>
      <c r="Q2096" s="25"/>
    </row>
    <row r="2097" spans="1:17" s="20" customFormat="1" x14ac:dyDescent="0.25">
      <c r="A2097" s="9"/>
      <c r="B2097" s="28"/>
      <c r="C2097" s="28"/>
      <c r="D2097" s="28"/>
      <c r="E2097" s="28"/>
      <c r="F2097" s="31"/>
      <c r="G2097" s="21"/>
      <c r="H2097" s="22"/>
      <c r="I2097" s="23"/>
      <c r="J2097" s="24"/>
      <c r="K2097" s="25"/>
      <c r="L2097" s="23"/>
      <c r="M2097" s="23"/>
      <c r="N2097" s="24"/>
      <c r="O2097" s="24"/>
      <c r="P2097" s="25"/>
      <c r="Q2097" s="25"/>
    </row>
    <row r="2098" spans="1:17" s="20" customFormat="1" x14ac:dyDescent="0.25">
      <c r="A2098" s="9"/>
      <c r="B2098" s="28"/>
      <c r="C2098" s="28"/>
      <c r="D2098" s="28"/>
      <c r="E2098" s="28"/>
      <c r="F2098" s="31"/>
      <c r="G2098" s="21"/>
      <c r="H2098" s="22"/>
      <c r="I2098" s="23"/>
      <c r="J2098" s="24"/>
      <c r="K2098" s="25"/>
      <c r="L2098" s="23"/>
      <c r="M2098" s="23"/>
      <c r="N2098" s="24"/>
      <c r="O2098" s="24"/>
      <c r="P2098" s="25"/>
      <c r="Q2098" s="25"/>
    </row>
    <row r="2099" spans="1:17" s="20" customFormat="1" x14ac:dyDescent="0.25">
      <c r="A2099" s="9"/>
      <c r="B2099" s="28"/>
      <c r="C2099" s="28"/>
      <c r="D2099" s="28"/>
      <c r="E2099" s="28"/>
      <c r="F2099" s="31"/>
      <c r="G2099" s="21"/>
      <c r="H2099" s="22"/>
      <c r="I2099" s="23"/>
      <c r="J2099" s="24"/>
      <c r="K2099" s="25"/>
      <c r="L2099" s="23"/>
      <c r="M2099" s="23"/>
      <c r="N2099" s="24"/>
      <c r="O2099" s="24"/>
      <c r="P2099" s="25"/>
      <c r="Q2099" s="25"/>
    </row>
    <row r="2100" spans="1:17" s="20" customFormat="1" x14ac:dyDescent="0.25">
      <c r="A2100" s="9"/>
      <c r="B2100" s="28"/>
      <c r="C2100" s="28"/>
      <c r="D2100" s="28"/>
      <c r="E2100" s="28"/>
      <c r="F2100" s="31"/>
      <c r="G2100" s="21"/>
      <c r="H2100" s="22"/>
      <c r="I2100" s="23"/>
      <c r="J2100" s="24"/>
      <c r="K2100" s="25"/>
      <c r="L2100" s="23"/>
      <c r="M2100" s="23"/>
      <c r="N2100" s="24"/>
      <c r="O2100" s="24"/>
      <c r="P2100" s="25"/>
      <c r="Q2100" s="25"/>
    </row>
    <row r="2101" spans="1:17" s="20" customFormat="1" x14ac:dyDescent="0.25">
      <c r="A2101" s="9"/>
      <c r="B2101" s="28"/>
      <c r="C2101" s="28"/>
      <c r="D2101" s="28"/>
      <c r="E2101" s="28"/>
      <c r="F2101" s="31"/>
      <c r="G2101" s="21"/>
      <c r="H2101" s="22"/>
      <c r="I2101" s="23"/>
      <c r="J2101" s="24"/>
      <c r="K2101" s="25"/>
      <c r="L2101" s="23"/>
      <c r="M2101" s="23"/>
      <c r="N2101" s="24"/>
      <c r="O2101" s="24"/>
      <c r="P2101" s="25"/>
      <c r="Q2101" s="25"/>
    </row>
    <row r="2102" spans="1:17" s="20" customFormat="1" x14ac:dyDescent="0.25">
      <c r="A2102" s="9"/>
      <c r="B2102" s="28"/>
      <c r="C2102" s="28"/>
      <c r="D2102" s="28"/>
      <c r="E2102" s="28"/>
      <c r="F2102" s="31"/>
      <c r="G2102" s="21"/>
      <c r="H2102" s="22"/>
      <c r="I2102" s="23"/>
      <c r="J2102" s="24"/>
      <c r="K2102" s="25"/>
      <c r="L2102" s="23"/>
      <c r="M2102" s="23"/>
      <c r="N2102" s="24"/>
      <c r="O2102" s="24"/>
      <c r="P2102" s="25"/>
      <c r="Q2102" s="25"/>
    </row>
    <row r="2103" spans="1:17" s="20" customFormat="1" x14ac:dyDescent="0.25">
      <c r="A2103" s="9"/>
      <c r="B2103" s="28"/>
      <c r="C2103" s="28"/>
      <c r="D2103" s="28"/>
      <c r="E2103" s="28"/>
      <c r="F2103" s="31"/>
      <c r="G2103" s="21"/>
      <c r="H2103" s="22"/>
      <c r="I2103" s="23"/>
      <c r="J2103" s="24"/>
      <c r="K2103" s="25"/>
      <c r="L2103" s="23"/>
      <c r="M2103" s="23"/>
      <c r="N2103" s="24"/>
      <c r="O2103" s="24"/>
      <c r="P2103" s="25"/>
      <c r="Q2103" s="25"/>
    </row>
    <row r="2104" spans="1:17" s="20" customFormat="1" x14ac:dyDescent="0.25">
      <c r="A2104" s="9"/>
      <c r="B2104" s="28"/>
      <c r="C2104" s="28"/>
      <c r="D2104" s="28"/>
      <c r="E2104" s="28"/>
      <c r="F2104" s="31"/>
      <c r="G2104" s="21"/>
      <c r="H2104" s="22"/>
      <c r="I2104" s="23"/>
      <c r="J2104" s="24"/>
      <c r="K2104" s="25"/>
      <c r="L2104" s="23"/>
      <c r="M2104" s="23"/>
      <c r="N2104" s="24"/>
      <c r="O2104" s="24"/>
      <c r="P2104" s="25"/>
      <c r="Q2104" s="25"/>
    </row>
    <row r="2105" spans="1:17" s="20" customFormat="1" x14ac:dyDescent="0.25">
      <c r="A2105" s="9"/>
      <c r="B2105" s="28"/>
      <c r="C2105" s="28"/>
      <c r="D2105" s="28"/>
      <c r="E2105" s="28"/>
      <c r="F2105" s="31"/>
      <c r="G2105" s="21"/>
      <c r="H2105" s="22"/>
      <c r="I2105" s="23"/>
      <c r="J2105" s="24"/>
      <c r="K2105" s="25"/>
      <c r="L2105" s="23"/>
      <c r="M2105" s="23"/>
      <c r="N2105" s="24"/>
      <c r="O2105" s="24"/>
      <c r="P2105" s="25"/>
      <c r="Q2105" s="25"/>
    </row>
    <row r="2106" spans="1:17" s="20" customFormat="1" x14ac:dyDescent="0.25">
      <c r="A2106" s="9"/>
      <c r="B2106" s="28"/>
      <c r="C2106" s="28"/>
      <c r="D2106" s="28"/>
      <c r="E2106" s="28"/>
      <c r="F2106" s="31"/>
      <c r="G2106" s="21"/>
      <c r="H2106" s="22"/>
      <c r="I2106" s="23"/>
      <c r="J2106" s="24"/>
      <c r="K2106" s="25"/>
      <c r="L2106" s="23"/>
      <c r="M2106" s="23"/>
      <c r="N2106" s="24"/>
      <c r="O2106" s="24"/>
      <c r="P2106" s="25"/>
      <c r="Q2106" s="25"/>
    </row>
    <row r="2107" spans="1:17" s="20" customFormat="1" x14ac:dyDescent="0.25">
      <c r="A2107" s="9"/>
      <c r="B2107" s="28"/>
      <c r="C2107" s="28"/>
      <c r="D2107" s="28"/>
      <c r="E2107" s="28"/>
      <c r="F2107" s="31"/>
      <c r="G2107" s="21"/>
      <c r="H2107" s="22"/>
      <c r="I2107" s="23"/>
      <c r="J2107" s="24"/>
      <c r="K2107" s="25"/>
      <c r="L2107" s="23"/>
      <c r="M2107" s="23"/>
      <c r="N2107" s="24"/>
      <c r="O2107" s="24"/>
      <c r="P2107" s="25"/>
      <c r="Q2107" s="25"/>
    </row>
    <row r="2108" spans="1:17" s="20" customFormat="1" x14ac:dyDescent="0.25">
      <c r="A2108" s="9"/>
      <c r="B2108" s="28"/>
      <c r="C2108" s="28"/>
      <c r="D2108" s="28"/>
      <c r="E2108" s="28"/>
      <c r="F2108" s="31"/>
      <c r="G2108" s="21"/>
      <c r="H2108" s="22"/>
      <c r="I2108" s="23"/>
      <c r="J2108" s="24"/>
      <c r="K2108" s="25"/>
      <c r="L2108" s="23"/>
      <c r="M2108" s="23"/>
      <c r="N2108" s="24"/>
      <c r="O2108" s="24"/>
      <c r="P2108" s="25"/>
      <c r="Q2108" s="25"/>
    </row>
    <row r="2109" spans="1:17" s="20" customFormat="1" x14ac:dyDescent="0.25">
      <c r="A2109" s="9"/>
      <c r="B2109" s="28"/>
      <c r="C2109" s="28"/>
      <c r="D2109" s="28"/>
      <c r="E2109" s="28"/>
      <c r="F2109" s="31"/>
      <c r="G2109" s="21"/>
      <c r="H2109" s="22"/>
      <c r="I2109" s="23"/>
      <c r="J2109" s="24"/>
      <c r="K2109" s="25"/>
      <c r="L2109" s="23"/>
      <c r="M2109" s="23"/>
      <c r="N2109" s="24"/>
      <c r="O2109" s="24"/>
      <c r="P2109" s="25"/>
      <c r="Q2109" s="25"/>
    </row>
    <row r="2110" spans="1:17" s="20" customFormat="1" x14ac:dyDescent="0.25">
      <c r="A2110" s="9"/>
      <c r="B2110" s="28"/>
      <c r="C2110" s="28"/>
      <c r="D2110" s="28"/>
      <c r="E2110" s="28"/>
      <c r="F2110" s="31"/>
      <c r="G2110" s="21"/>
      <c r="H2110" s="22"/>
      <c r="I2110" s="23"/>
      <c r="J2110" s="24"/>
      <c r="K2110" s="25"/>
      <c r="L2110" s="23"/>
      <c r="M2110" s="23"/>
      <c r="N2110" s="24"/>
      <c r="O2110" s="24"/>
      <c r="P2110" s="25"/>
      <c r="Q2110" s="25"/>
    </row>
    <row r="2111" spans="1:17" s="20" customFormat="1" x14ac:dyDescent="0.25">
      <c r="A2111" s="9"/>
      <c r="B2111" s="28"/>
      <c r="C2111" s="28"/>
      <c r="D2111" s="28"/>
      <c r="E2111" s="28"/>
      <c r="F2111" s="31"/>
      <c r="G2111" s="21"/>
      <c r="H2111" s="22"/>
      <c r="I2111" s="23"/>
      <c r="J2111" s="24"/>
      <c r="K2111" s="25"/>
      <c r="L2111" s="23"/>
      <c r="M2111" s="23"/>
      <c r="N2111" s="24"/>
      <c r="O2111" s="24"/>
      <c r="P2111" s="25"/>
      <c r="Q2111" s="25"/>
    </row>
    <row r="2112" spans="1:17" s="20" customFormat="1" x14ac:dyDescent="0.25">
      <c r="A2112" s="9"/>
      <c r="B2112" s="28"/>
      <c r="C2112" s="28"/>
      <c r="D2112" s="28"/>
      <c r="E2112" s="28"/>
      <c r="F2112" s="31"/>
      <c r="G2112" s="21"/>
      <c r="H2112" s="22"/>
      <c r="I2112" s="23"/>
      <c r="J2112" s="24"/>
      <c r="K2112" s="25"/>
      <c r="L2112" s="23"/>
      <c r="M2112" s="23"/>
      <c r="N2112" s="24"/>
      <c r="O2112" s="24"/>
      <c r="P2112" s="25"/>
      <c r="Q2112" s="25"/>
    </row>
    <row r="2113" spans="1:17" s="20" customFormat="1" x14ac:dyDescent="0.25">
      <c r="A2113" s="9"/>
      <c r="B2113" s="28"/>
      <c r="C2113" s="28"/>
      <c r="D2113" s="28"/>
      <c r="E2113" s="28"/>
      <c r="F2113" s="31"/>
      <c r="G2113" s="21"/>
      <c r="H2113" s="22"/>
      <c r="I2113" s="23"/>
      <c r="J2113" s="24"/>
      <c r="K2113" s="25"/>
      <c r="L2113" s="23"/>
      <c r="M2113" s="23"/>
      <c r="N2113" s="24"/>
      <c r="O2113" s="24"/>
      <c r="P2113" s="25"/>
      <c r="Q2113" s="25"/>
    </row>
    <row r="2114" spans="1:17" s="20" customFormat="1" x14ac:dyDescent="0.25">
      <c r="A2114" s="9"/>
      <c r="B2114" s="28"/>
      <c r="C2114" s="28"/>
      <c r="D2114" s="28"/>
      <c r="E2114" s="28"/>
      <c r="F2114" s="31"/>
      <c r="G2114" s="21"/>
      <c r="H2114" s="22"/>
      <c r="I2114" s="23"/>
      <c r="J2114" s="24"/>
      <c r="K2114" s="25"/>
      <c r="L2114" s="23"/>
      <c r="M2114" s="23"/>
      <c r="N2114" s="24"/>
      <c r="O2114" s="24"/>
      <c r="P2114" s="25"/>
      <c r="Q2114" s="25"/>
    </row>
    <row r="2115" spans="1:17" s="20" customFormat="1" x14ac:dyDescent="0.25">
      <c r="A2115" s="9"/>
      <c r="B2115" s="28"/>
      <c r="C2115" s="28"/>
      <c r="D2115" s="28"/>
      <c r="E2115" s="28"/>
      <c r="F2115" s="31"/>
      <c r="G2115" s="21"/>
      <c r="H2115" s="22"/>
      <c r="I2115" s="23"/>
      <c r="J2115" s="24"/>
      <c r="K2115" s="25"/>
      <c r="L2115" s="23"/>
      <c r="M2115" s="23"/>
      <c r="N2115" s="24"/>
      <c r="O2115" s="24"/>
      <c r="P2115" s="25"/>
      <c r="Q2115" s="25"/>
    </row>
    <row r="2116" spans="1:17" s="20" customFormat="1" x14ac:dyDescent="0.25">
      <c r="A2116" s="9"/>
      <c r="B2116" s="28"/>
      <c r="C2116" s="28"/>
      <c r="D2116" s="28"/>
      <c r="E2116" s="28"/>
      <c r="F2116" s="31"/>
      <c r="G2116" s="21"/>
      <c r="H2116" s="22"/>
      <c r="I2116" s="23"/>
      <c r="J2116" s="24"/>
      <c r="K2116" s="25"/>
      <c r="L2116" s="23"/>
      <c r="M2116" s="23"/>
      <c r="N2116" s="24"/>
      <c r="O2116" s="24"/>
      <c r="P2116" s="25"/>
      <c r="Q2116" s="25"/>
    </row>
    <row r="2117" spans="1:17" s="20" customFormat="1" x14ac:dyDescent="0.25">
      <c r="A2117" s="9"/>
      <c r="B2117" s="28"/>
      <c r="C2117" s="28"/>
      <c r="D2117" s="28"/>
      <c r="E2117" s="28"/>
      <c r="F2117" s="31"/>
      <c r="G2117" s="21"/>
      <c r="H2117" s="22"/>
      <c r="I2117" s="23"/>
      <c r="J2117" s="24"/>
      <c r="K2117" s="25"/>
      <c r="L2117" s="23"/>
      <c r="M2117" s="23"/>
      <c r="N2117" s="24"/>
      <c r="O2117" s="24"/>
      <c r="P2117" s="25"/>
      <c r="Q2117" s="25"/>
    </row>
    <row r="2118" spans="1:17" s="20" customFormat="1" x14ac:dyDescent="0.25">
      <c r="A2118" s="9"/>
      <c r="B2118" s="28"/>
      <c r="C2118" s="28"/>
      <c r="D2118" s="28"/>
      <c r="E2118" s="28"/>
      <c r="F2118" s="31"/>
      <c r="G2118" s="21"/>
      <c r="H2118" s="22"/>
      <c r="I2118" s="23"/>
      <c r="J2118" s="24"/>
      <c r="K2118" s="25"/>
      <c r="L2118" s="23"/>
      <c r="M2118" s="23"/>
      <c r="N2118" s="24"/>
      <c r="O2118" s="24"/>
      <c r="P2118" s="25"/>
      <c r="Q2118" s="25"/>
    </row>
    <row r="2119" spans="1:17" s="20" customFormat="1" x14ac:dyDescent="0.25">
      <c r="A2119" s="9"/>
      <c r="B2119" s="28"/>
      <c r="C2119" s="28"/>
      <c r="D2119" s="28"/>
      <c r="E2119" s="28"/>
      <c r="F2119" s="31"/>
      <c r="G2119" s="21"/>
      <c r="H2119" s="22"/>
      <c r="I2119" s="23"/>
      <c r="J2119" s="24"/>
      <c r="K2119" s="25"/>
      <c r="L2119" s="23"/>
      <c r="M2119" s="23"/>
      <c r="N2119" s="24"/>
      <c r="O2119" s="24"/>
      <c r="P2119" s="25"/>
      <c r="Q2119" s="25"/>
    </row>
    <row r="2120" spans="1:17" s="20" customFormat="1" x14ac:dyDescent="0.25">
      <c r="A2120" s="9"/>
      <c r="B2120" s="28"/>
      <c r="C2120" s="28"/>
      <c r="D2120" s="28"/>
      <c r="E2120" s="28"/>
      <c r="F2120" s="31"/>
      <c r="G2120" s="21"/>
      <c r="H2120" s="22"/>
      <c r="I2120" s="23"/>
      <c r="J2120" s="24"/>
      <c r="K2120" s="25"/>
      <c r="L2120" s="23"/>
      <c r="M2120" s="23"/>
      <c r="N2120" s="24"/>
      <c r="O2120" s="24"/>
      <c r="P2120" s="25"/>
      <c r="Q2120" s="25"/>
    </row>
    <row r="2121" spans="1:17" s="20" customFormat="1" x14ac:dyDescent="0.25">
      <c r="A2121" s="9"/>
      <c r="B2121" s="28"/>
      <c r="C2121" s="28"/>
      <c r="D2121" s="28"/>
      <c r="E2121" s="28"/>
      <c r="F2121" s="31"/>
      <c r="G2121" s="21"/>
      <c r="H2121" s="22"/>
      <c r="I2121" s="23"/>
      <c r="J2121" s="24"/>
      <c r="K2121" s="25"/>
      <c r="L2121" s="23"/>
      <c r="M2121" s="23"/>
      <c r="N2121" s="24"/>
      <c r="O2121" s="24"/>
      <c r="P2121" s="25"/>
      <c r="Q2121" s="25"/>
    </row>
    <row r="2122" spans="1:17" s="20" customFormat="1" x14ac:dyDescent="0.25">
      <c r="A2122" s="9"/>
      <c r="B2122" s="28"/>
      <c r="C2122" s="28"/>
      <c r="D2122" s="28"/>
      <c r="E2122" s="28"/>
      <c r="F2122" s="31"/>
      <c r="G2122" s="21"/>
      <c r="H2122" s="22"/>
      <c r="I2122" s="23"/>
      <c r="J2122" s="24"/>
      <c r="K2122" s="25"/>
      <c r="L2122" s="23"/>
      <c r="M2122" s="23"/>
      <c r="N2122" s="24"/>
      <c r="O2122" s="24"/>
      <c r="P2122" s="25"/>
      <c r="Q2122" s="25"/>
    </row>
    <row r="2123" spans="1:17" s="20" customFormat="1" x14ac:dyDescent="0.25">
      <c r="A2123" s="9"/>
      <c r="B2123" s="28"/>
      <c r="C2123" s="28"/>
      <c r="D2123" s="28"/>
      <c r="E2123" s="28"/>
      <c r="F2123" s="31"/>
      <c r="G2123" s="21"/>
      <c r="H2123" s="22"/>
      <c r="I2123" s="23"/>
      <c r="J2123" s="24"/>
      <c r="K2123" s="25"/>
      <c r="L2123" s="23"/>
      <c r="M2123" s="23"/>
      <c r="N2123" s="24"/>
      <c r="O2123" s="24"/>
      <c r="P2123" s="25"/>
      <c r="Q2123" s="25"/>
    </row>
    <row r="2124" spans="1:17" s="20" customFormat="1" x14ac:dyDescent="0.25">
      <c r="A2124" s="9"/>
      <c r="B2124" s="28"/>
      <c r="C2124" s="28"/>
      <c r="D2124" s="28"/>
      <c r="E2124" s="28"/>
      <c r="F2124" s="31"/>
      <c r="G2124" s="21"/>
      <c r="H2124" s="22"/>
      <c r="I2124" s="23"/>
      <c r="J2124" s="24"/>
      <c r="K2124" s="25"/>
      <c r="L2124" s="23"/>
      <c r="M2124" s="23"/>
      <c r="N2124" s="24"/>
      <c r="O2124" s="24"/>
      <c r="P2124" s="25"/>
      <c r="Q2124" s="25"/>
    </row>
    <row r="2125" spans="1:17" s="20" customFormat="1" x14ac:dyDescent="0.25">
      <c r="A2125" s="9"/>
      <c r="B2125" s="28"/>
      <c r="C2125" s="28"/>
      <c r="D2125" s="28"/>
      <c r="E2125" s="28"/>
      <c r="F2125" s="31"/>
      <c r="G2125" s="21"/>
      <c r="H2125" s="22"/>
      <c r="I2125" s="23"/>
      <c r="J2125" s="24"/>
      <c r="K2125" s="25"/>
      <c r="L2125" s="23"/>
      <c r="M2125" s="23"/>
      <c r="N2125" s="24"/>
      <c r="O2125" s="24"/>
      <c r="P2125" s="25"/>
      <c r="Q2125" s="25"/>
    </row>
    <row r="2126" spans="1:17" s="20" customFormat="1" x14ac:dyDescent="0.25">
      <c r="A2126" s="9"/>
      <c r="B2126" s="28"/>
      <c r="C2126" s="28"/>
      <c r="D2126" s="28"/>
      <c r="E2126" s="28"/>
      <c r="F2126" s="31"/>
      <c r="G2126" s="21"/>
      <c r="H2126" s="22"/>
      <c r="I2126" s="23"/>
      <c r="J2126" s="24"/>
      <c r="K2126" s="25"/>
      <c r="L2126" s="23"/>
      <c r="M2126" s="23"/>
      <c r="N2126" s="24"/>
      <c r="O2126" s="24"/>
      <c r="P2126" s="25"/>
      <c r="Q2126" s="25"/>
    </row>
    <row r="2127" spans="1:17" s="20" customFormat="1" x14ac:dyDescent="0.25">
      <c r="A2127" s="9"/>
      <c r="B2127" s="28"/>
      <c r="C2127" s="28"/>
      <c r="D2127" s="28"/>
      <c r="E2127" s="28"/>
      <c r="F2127" s="31"/>
      <c r="G2127" s="21"/>
      <c r="H2127" s="22"/>
      <c r="I2127" s="23"/>
      <c r="J2127" s="24"/>
      <c r="K2127" s="25"/>
      <c r="L2127" s="23"/>
      <c r="M2127" s="23"/>
      <c r="N2127" s="24"/>
      <c r="O2127" s="24"/>
      <c r="P2127" s="25"/>
      <c r="Q2127" s="25"/>
    </row>
    <row r="2128" spans="1:17" s="20" customFormat="1" x14ac:dyDescent="0.25">
      <c r="A2128" s="9"/>
      <c r="B2128" s="28"/>
      <c r="C2128" s="28"/>
      <c r="D2128" s="28"/>
      <c r="E2128" s="28"/>
      <c r="F2128" s="31"/>
      <c r="G2128" s="21"/>
      <c r="H2128" s="22"/>
      <c r="I2128" s="23"/>
      <c r="J2128" s="24"/>
      <c r="K2128" s="25"/>
      <c r="L2128" s="23"/>
      <c r="M2128" s="23"/>
      <c r="N2128" s="24"/>
      <c r="O2128" s="24"/>
      <c r="P2128" s="25"/>
      <c r="Q2128" s="25"/>
    </row>
    <row r="2129" spans="1:17" s="20" customFormat="1" x14ac:dyDescent="0.25">
      <c r="A2129" s="9"/>
      <c r="B2129" s="28"/>
      <c r="C2129" s="28"/>
      <c r="D2129" s="28"/>
      <c r="E2129" s="28"/>
      <c r="F2129" s="31"/>
      <c r="G2129" s="21"/>
      <c r="H2129" s="22"/>
      <c r="I2129" s="23"/>
      <c r="J2129" s="24"/>
      <c r="K2129" s="25"/>
      <c r="L2129" s="23"/>
      <c r="M2129" s="23"/>
      <c r="N2129" s="24"/>
      <c r="O2129" s="24"/>
      <c r="P2129" s="25"/>
      <c r="Q2129" s="25"/>
    </row>
    <row r="2130" spans="1:17" s="20" customFormat="1" x14ac:dyDescent="0.25">
      <c r="A2130" s="9"/>
      <c r="B2130" s="28"/>
      <c r="C2130" s="28"/>
      <c r="D2130" s="28"/>
      <c r="E2130" s="28"/>
      <c r="F2130" s="31"/>
      <c r="G2130" s="21"/>
      <c r="H2130" s="22"/>
      <c r="I2130" s="23"/>
      <c r="J2130" s="24"/>
      <c r="K2130" s="25"/>
      <c r="L2130" s="23"/>
      <c r="M2130" s="23"/>
      <c r="N2130" s="24"/>
      <c r="O2130" s="24"/>
      <c r="P2130" s="25"/>
      <c r="Q2130" s="25"/>
    </row>
    <row r="2131" spans="1:17" s="20" customFormat="1" x14ac:dyDescent="0.25">
      <c r="A2131" s="9"/>
      <c r="B2131" s="28"/>
      <c r="C2131" s="28"/>
      <c r="D2131" s="28"/>
      <c r="E2131" s="28"/>
      <c r="F2131" s="31"/>
      <c r="G2131" s="21"/>
      <c r="H2131" s="22"/>
      <c r="I2131" s="23"/>
      <c r="J2131" s="24"/>
      <c r="K2131" s="25"/>
      <c r="L2131" s="23"/>
      <c r="M2131" s="23"/>
      <c r="N2131" s="24"/>
      <c r="O2131" s="24"/>
      <c r="P2131" s="25"/>
      <c r="Q2131" s="25"/>
    </row>
    <row r="2132" spans="1:17" s="20" customFormat="1" x14ac:dyDescent="0.25">
      <c r="A2132" s="9"/>
      <c r="B2132" s="28"/>
      <c r="C2132" s="28"/>
      <c r="D2132" s="28"/>
      <c r="E2132" s="28"/>
      <c r="F2132" s="31"/>
      <c r="G2132" s="21"/>
      <c r="H2132" s="22"/>
      <c r="I2132" s="23"/>
      <c r="J2132" s="24"/>
      <c r="K2132" s="25"/>
      <c r="L2132" s="23"/>
      <c r="M2132" s="23"/>
      <c r="N2132" s="24"/>
      <c r="O2132" s="24"/>
      <c r="P2132" s="25"/>
      <c r="Q2132" s="25"/>
    </row>
    <row r="2133" spans="1:17" s="20" customFormat="1" x14ac:dyDescent="0.25">
      <c r="A2133" s="9"/>
      <c r="B2133" s="28"/>
      <c r="C2133" s="28"/>
      <c r="D2133" s="28"/>
      <c r="E2133" s="28"/>
      <c r="F2133" s="31"/>
      <c r="G2133" s="21"/>
      <c r="H2133" s="22"/>
      <c r="I2133" s="23"/>
      <c r="J2133" s="24"/>
      <c r="K2133" s="25"/>
      <c r="L2133" s="23"/>
      <c r="M2133" s="23"/>
      <c r="N2133" s="24"/>
      <c r="O2133" s="24"/>
      <c r="P2133" s="25"/>
      <c r="Q2133" s="25"/>
    </row>
    <row r="2134" spans="1:17" s="20" customFormat="1" x14ac:dyDescent="0.25">
      <c r="A2134" s="9"/>
      <c r="B2134" s="28"/>
      <c r="C2134" s="28"/>
      <c r="D2134" s="28"/>
      <c r="E2134" s="28"/>
      <c r="F2134" s="31"/>
      <c r="G2134" s="21"/>
      <c r="H2134" s="22"/>
      <c r="I2134" s="23"/>
      <c r="J2134" s="24"/>
      <c r="K2134" s="25"/>
      <c r="L2134" s="23"/>
      <c r="M2134" s="23"/>
      <c r="N2134" s="24"/>
      <c r="O2134" s="24"/>
      <c r="P2134" s="25"/>
      <c r="Q2134" s="25"/>
    </row>
    <row r="2135" spans="1:17" s="20" customFormat="1" x14ac:dyDescent="0.25">
      <c r="A2135" s="9"/>
      <c r="B2135" s="28"/>
      <c r="C2135" s="28"/>
      <c r="D2135" s="28"/>
      <c r="E2135" s="28"/>
      <c r="F2135" s="31"/>
      <c r="G2135" s="21"/>
      <c r="H2135" s="22"/>
      <c r="I2135" s="23"/>
      <c r="J2135" s="24"/>
      <c r="K2135" s="25"/>
      <c r="L2135" s="23"/>
      <c r="M2135" s="23"/>
      <c r="N2135" s="24"/>
      <c r="O2135" s="24"/>
      <c r="P2135" s="25"/>
      <c r="Q2135" s="25"/>
    </row>
    <row r="2136" spans="1:17" s="20" customFormat="1" x14ac:dyDescent="0.25">
      <c r="A2136" s="9"/>
      <c r="B2136" s="28"/>
      <c r="C2136" s="28"/>
      <c r="D2136" s="28"/>
      <c r="E2136" s="28"/>
      <c r="F2136" s="31"/>
      <c r="G2136" s="21"/>
      <c r="H2136" s="22"/>
      <c r="I2136" s="23"/>
      <c r="J2136" s="24"/>
      <c r="K2136" s="25"/>
      <c r="L2136" s="23"/>
      <c r="M2136" s="23"/>
      <c r="N2136" s="24"/>
      <c r="O2136" s="24"/>
      <c r="P2136" s="25"/>
      <c r="Q2136" s="25"/>
    </row>
    <row r="2137" spans="1:17" s="20" customFormat="1" x14ac:dyDescent="0.25">
      <c r="A2137" s="9"/>
      <c r="B2137" s="28"/>
      <c r="C2137" s="28"/>
      <c r="D2137" s="28"/>
      <c r="E2137" s="28"/>
      <c r="F2137" s="31"/>
      <c r="G2137" s="21"/>
      <c r="H2137" s="22"/>
      <c r="I2137" s="23"/>
      <c r="J2137" s="24"/>
      <c r="K2137" s="25"/>
      <c r="L2137" s="23"/>
      <c r="M2137" s="23"/>
      <c r="N2137" s="24"/>
      <c r="O2137" s="24"/>
      <c r="P2137" s="25"/>
      <c r="Q2137" s="25"/>
    </row>
    <row r="2138" spans="1:17" s="20" customFormat="1" x14ac:dyDescent="0.25">
      <c r="A2138" s="9"/>
      <c r="B2138" s="28"/>
      <c r="C2138" s="28"/>
      <c r="D2138" s="28"/>
      <c r="E2138" s="28"/>
      <c r="F2138" s="31"/>
      <c r="G2138" s="21"/>
      <c r="H2138" s="22"/>
      <c r="I2138" s="23"/>
      <c r="J2138" s="24"/>
      <c r="K2138" s="25"/>
      <c r="L2138" s="23"/>
      <c r="M2138" s="23"/>
      <c r="N2138" s="24"/>
      <c r="O2138" s="24"/>
      <c r="P2138" s="25"/>
      <c r="Q2138" s="25"/>
    </row>
    <row r="2139" spans="1:17" s="20" customFormat="1" x14ac:dyDescent="0.25">
      <c r="A2139" s="9"/>
      <c r="B2139" s="28"/>
      <c r="C2139" s="28"/>
      <c r="D2139" s="28"/>
      <c r="E2139" s="28"/>
      <c r="F2139" s="31"/>
      <c r="G2139" s="21"/>
      <c r="H2139" s="22"/>
      <c r="I2139" s="23"/>
      <c r="J2139" s="24"/>
      <c r="K2139" s="25"/>
      <c r="L2139" s="23"/>
      <c r="M2139" s="23"/>
      <c r="N2139" s="24"/>
      <c r="O2139" s="24"/>
      <c r="P2139" s="25"/>
      <c r="Q2139" s="25"/>
    </row>
    <row r="2140" spans="1:17" s="20" customFormat="1" x14ac:dyDescent="0.25">
      <c r="A2140" s="9"/>
      <c r="B2140" s="28"/>
      <c r="C2140" s="28"/>
      <c r="D2140" s="28"/>
      <c r="E2140" s="28"/>
      <c r="F2140" s="31"/>
      <c r="G2140" s="21"/>
      <c r="H2140" s="22"/>
      <c r="I2140" s="23"/>
      <c r="J2140" s="24"/>
      <c r="K2140" s="25"/>
      <c r="L2140" s="23"/>
      <c r="M2140" s="23"/>
      <c r="N2140" s="24"/>
      <c r="O2140" s="24"/>
      <c r="P2140" s="25"/>
      <c r="Q2140" s="25"/>
    </row>
    <row r="2141" spans="1:17" s="20" customFormat="1" x14ac:dyDescent="0.25">
      <c r="A2141" s="9"/>
      <c r="B2141" s="28"/>
      <c r="C2141" s="28"/>
      <c r="D2141" s="28"/>
      <c r="E2141" s="28"/>
      <c r="F2141" s="31"/>
      <c r="G2141" s="21"/>
      <c r="H2141" s="22"/>
      <c r="I2141" s="23"/>
      <c r="J2141" s="24"/>
      <c r="K2141" s="25"/>
      <c r="L2141" s="23"/>
      <c r="M2141" s="23"/>
      <c r="N2141" s="24"/>
      <c r="O2141" s="24"/>
      <c r="P2141" s="25"/>
      <c r="Q2141" s="25"/>
    </row>
    <row r="2142" spans="1:17" s="20" customFormat="1" x14ac:dyDescent="0.25">
      <c r="A2142" s="9"/>
      <c r="B2142" s="28"/>
      <c r="C2142" s="28"/>
      <c r="D2142" s="28"/>
      <c r="E2142" s="28"/>
      <c r="F2142" s="31"/>
      <c r="G2142" s="21"/>
      <c r="H2142" s="22"/>
      <c r="I2142" s="23"/>
      <c r="J2142" s="24"/>
      <c r="K2142" s="25"/>
      <c r="L2142" s="23"/>
      <c r="M2142" s="23"/>
      <c r="N2142" s="24"/>
      <c r="O2142" s="24"/>
      <c r="P2142" s="25"/>
      <c r="Q2142" s="25"/>
    </row>
    <row r="2143" spans="1:17" s="20" customFormat="1" x14ac:dyDescent="0.25">
      <c r="A2143" s="9"/>
      <c r="B2143" s="28"/>
      <c r="C2143" s="28"/>
      <c r="D2143" s="28"/>
      <c r="E2143" s="28"/>
      <c r="F2143" s="31"/>
      <c r="G2143" s="21"/>
      <c r="H2143" s="22"/>
      <c r="I2143" s="23"/>
      <c r="J2143" s="24"/>
      <c r="K2143" s="25"/>
      <c r="L2143" s="23"/>
      <c r="M2143" s="23"/>
      <c r="N2143" s="24"/>
      <c r="O2143" s="24"/>
      <c r="P2143" s="25"/>
      <c r="Q2143" s="25"/>
    </row>
    <row r="2144" spans="1:17" s="20" customFormat="1" x14ac:dyDescent="0.25">
      <c r="A2144" s="9"/>
      <c r="B2144" s="28"/>
      <c r="C2144" s="28"/>
      <c r="D2144" s="28"/>
      <c r="E2144" s="28"/>
      <c r="F2144" s="31"/>
      <c r="G2144" s="21"/>
      <c r="H2144" s="22"/>
      <c r="I2144" s="23"/>
      <c r="J2144" s="24"/>
      <c r="K2144" s="25"/>
      <c r="L2144" s="23"/>
      <c r="M2144" s="23"/>
      <c r="N2144" s="24"/>
      <c r="O2144" s="24"/>
      <c r="P2144" s="25"/>
      <c r="Q2144" s="25"/>
    </row>
    <row r="2145" spans="1:18" s="20" customFormat="1" x14ac:dyDescent="0.25">
      <c r="A2145" s="9"/>
      <c r="B2145" s="28"/>
      <c r="C2145" s="28"/>
      <c r="D2145" s="28"/>
      <c r="E2145" s="28"/>
      <c r="F2145" s="31"/>
      <c r="G2145" s="21"/>
      <c r="H2145" s="22"/>
      <c r="I2145" s="23"/>
      <c r="J2145" s="24"/>
      <c r="K2145" s="25"/>
      <c r="L2145" s="23"/>
      <c r="M2145" s="23"/>
      <c r="N2145" s="24"/>
      <c r="O2145" s="24"/>
      <c r="P2145" s="25"/>
      <c r="Q2145" s="25"/>
    </row>
    <row r="2146" spans="1:18" s="20" customFormat="1" x14ac:dyDescent="0.25">
      <c r="A2146" s="9"/>
      <c r="B2146" s="28"/>
      <c r="C2146" s="28"/>
      <c r="D2146" s="28"/>
      <c r="E2146" s="28"/>
      <c r="F2146" s="31"/>
      <c r="G2146" s="21"/>
      <c r="H2146" s="22"/>
      <c r="I2146" s="23"/>
      <c r="J2146" s="24"/>
      <c r="K2146" s="25"/>
      <c r="L2146" s="23"/>
      <c r="M2146" s="23"/>
      <c r="N2146" s="24"/>
      <c r="O2146" s="24"/>
      <c r="P2146" s="25"/>
      <c r="Q2146" s="25"/>
    </row>
    <row r="2147" spans="1:18" s="20" customFormat="1" x14ac:dyDescent="0.25">
      <c r="A2147" s="9"/>
      <c r="B2147" s="28"/>
      <c r="C2147" s="28"/>
      <c r="D2147" s="28"/>
      <c r="E2147" s="28"/>
      <c r="F2147" s="31"/>
      <c r="G2147" s="21"/>
      <c r="H2147" s="22"/>
      <c r="I2147" s="23"/>
      <c r="J2147" s="24"/>
      <c r="K2147" s="25"/>
      <c r="L2147" s="23"/>
      <c r="M2147" s="23"/>
      <c r="N2147" s="24"/>
      <c r="O2147" s="24"/>
      <c r="P2147" s="25"/>
      <c r="Q2147" s="25"/>
    </row>
    <row r="2148" spans="1:18" s="20" customFormat="1" x14ac:dyDescent="0.25">
      <c r="A2148" s="9"/>
      <c r="B2148" s="28"/>
      <c r="C2148" s="28"/>
      <c r="D2148" s="28"/>
      <c r="E2148" s="28"/>
      <c r="F2148" s="31"/>
      <c r="G2148" s="21"/>
      <c r="H2148" s="22"/>
      <c r="I2148" s="23"/>
      <c r="J2148" s="24"/>
      <c r="K2148" s="25"/>
      <c r="L2148" s="23"/>
      <c r="M2148" s="23"/>
      <c r="N2148" s="24"/>
      <c r="O2148" s="24"/>
      <c r="P2148" s="25"/>
      <c r="Q2148" s="25"/>
    </row>
    <row r="2149" spans="1:18" s="20" customFormat="1" x14ac:dyDescent="0.25">
      <c r="A2149" s="9"/>
      <c r="B2149" s="28"/>
      <c r="C2149" s="28"/>
      <c r="D2149" s="28"/>
      <c r="E2149" s="28"/>
      <c r="F2149" s="31"/>
      <c r="G2149" s="21"/>
      <c r="H2149" s="22"/>
      <c r="I2149" s="23"/>
      <c r="J2149" s="24"/>
      <c r="K2149" s="25"/>
      <c r="L2149" s="23"/>
      <c r="M2149" s="23"/>
      <c r="N2149" s="24"/>
      <c r="O2149" s="24"/>
      <c r="P2149" s="25"/>
      <c r="Q2149" s="25"/>
    </row>
    <row r="2150" spans="1:18" s="20" customFormat="1" x14ac:dyDescent="0.25">
      <c r="A2150" s="9"/>
      <c r="B2150" s="28"/>
      <c r="C2150" s="28"/>
      <c r="D2150" s="28"/>
      <c r="E2150" s="28"/>
      <c r="F2150" s="31"/>
      <c r="G2150" s="21"/>
      <c r="H2150" s="22"/>
      <c r="I2150" s="23"/>
      <c r="J2150" s="24"/>
      <c r="K2150" s="25"/>
      <c r="L2150" s="23"/>
      <c r="M2150" s="23"/>
      <c r="N2150" s="24"/>
      <c r="O2150" s="24"/>
      <c r="P2150" s="25"/>
      <c r="Q2150" s="25"/>
    </row>
    <row r="2151" spans="1:18" s="20" customFormat="1" x14ac:dyDescent="0.25">
      <c r="A2151" s="9"/>
      <c r="B2151" s="28"/>
      <c r="C2151" s="28"/>
      <c r="D2151" s="28"/>
      <c r="E2151" s="28"/>
      <c r="F2151" s="31"/>
      <c r="G2151" s="21"/>
      <c r="H2151" s="22"/>
      <c r="I2151" s="23"/>
      <c r="J2151" s="24"/>
      <c r="K2151" s="25"/>
      <c r="L2151" s="23"/>
      <c r="M2151" s="23"/>
      <c r="N2151" s="24"/>
      <c r="O2151" s="24"/>
      <c r="P2151" s="25"/>
      <c r="Q2151" s="25"/>
    </row>
    <row r="2152" spans="1:18" s="20" customFormat="1" x14ac:dyDescent="0.25">
      <c r="A2152" s="9"/>
      <c r="B2152" s="28"/>
      <c r="C2152" s="28"/>
      <c r="D2152" s="28"/>
      <c r="E2152" s="28"/>
      <c r="F2152" s="31"/>
      <c r="G2152" s="21"/>
      <c r="H2152" s="22"/>
      <c r="I2152" s="23"/>
      <c r="J2152" s="24"/>
      <c r="K2152" s="25"/>
      <c r="L2152" s="23"/>
      <c r="M2152" s="23"/>
      <c r="N2152" s="24"/>
      <c r="O2152" s="24"/>
      <c r="P2152" s="25"/>
      <c r="Q2152" s="25"/>
    </row>
    <row r="2153" spans="1:18" s="20" customFormat="1" x14ac:dyDescent="0.25">
      <c r="A2153" s="9"/>
      <c r="B2153" s="28"/>
      <c r="C2153" s="28"/>
      <c r="D2153" s="28"/>
      <c r="E2153" s="28"/>
      <c r="F2153" s="31"/>
      <c r="G2153" s="21"/>
      <c r="H2153" s="22"/>
      <c r="I2153" s="23"/>
      <c r="J2153" s="24"/>
      <c r="K2153" s="25"/>
      <c r="L2153" s="23"/>
      <c r="M2153" s="23"/>
      <c r="N2153" s="24"/>
      <c r="O2153" s="24"/>
      <c r="P2153" s="25"/>
      <c r="Q2153" s="25"/>
    </row>
    <row r="2154" spans="1:18" s="20" customFormat="1" x14ac:dyDescent="0.25">
      <c r="A2154" s="9"/>
      <c r="B2154" s="28"/>
      <c r="C2154" s="28"/>
      <c r="D2154" s="28"/>
      <c r="E2154" s="28"/>
      <c r="F2154" s="31"/>
      <c r="G2154" s="21"/>
      <c r="H2154" s="22"/>
      <c r="I2154" s="23"/>
      <c r="J2154" s="24"/>
      <c r="K2154" s="25"/>
      <c r="L2154" s="23"/>
      <c r="M2154" s="23"/>
      <c r="N2154" s="24"/>
      <c r="O2154" s="24"/>
      <c r="P2154" s="25"/>
      <c r="Q2154" s="25"/>
    </row>
    <row r="2155" spans="1:18" s="20" customFormat="1" x14ac:dyDescent="0.25">
      <c r="A2155" s="9"/>
      <c r="B2155" s="28"/>
      <c r="C2155" s="28"/>
      <c r="D2155" s="28"/>
      <c r="E2155" s="28"/>
      <c r="F2155" s="31"/>
      <c r="G2155" s="21"/>
      <c r="H2155" s="22"/>
      <c r="I2155" s="23"/>
      <c r="J2155" s="24"/>
      <c r="K2155" s="25"/>
      <c r="L2155" s="23"/>
      <c r="M2155" s="23"/>
      <c r="N2155" s="24"/>
      <c r="O2155" s="24"/>
      <c r="P2155" s="25"/>
      <c r="Q2155" s="25"/>
    </row>
    <row r="2156" spans="1:18" s="20" customFormat="1" x14ac:dyDescent="0.25">
      <c r="A2156" s="9"/>
      <c r="B2156" s="28"/>
      <c r="C2156" s="28"/>
      <c r="D2156" s="28"/>
      <c r="E2156" s="28"/>
      <c r="F2156" s="31"/>
      <c r="G2156" s="21"/>
      <c r="H2156" s="22"/>
      <c r="I2156" s="23"/>
      <c r="J2156" s="24"/>
      <c r="K2156" s="25"/>
      <c r="L2156" s="23"/>
      <c r="M2156" s="23"/>
      <c r="N2156" s="24"/>
      <c r="O2156" s="24"/>
      <c r="P2156" s="25"/>
      <c r="Q2156" s="25"/>
    </row>
    <row r="2157" spans="1:18" x14ac:dyDescent="0.25">
      <c r="A2157" s="9"/>
      <c r="B2157" s="28"/>
      <c r="C2157" s="28"/>
      <c r="D2157" s="28"/>
      <c r="E2157" s="28"/>
      <c r="F2157" s="31"/>
      <c r="G2157" s="21"/>
      <c r="H2157" s="22"/>
      <c r="I2157" s="23"/>
      <c r="J2157" s="24"/>
      <c r="K2157" s="25"/>
      <c r="L2157" s="23"/>
      <c r="M2157" s="23"/>
      <c r="N2157" s="24"/>
      <c r="O2157" s="24"/>
      <c r="P2157" s="25"/>
      <c r="Q2157" s="25"/>
      <c r="R2157" s="20"/>
    </row>
    <row r="2158" spans="1:18" x14ac:dyDescent="0.25">
      <c r="A2158" s="9"/>
      <c r="B2158" s="28"/>
      <c r="C2158" s="28"/>
      <c r="D2158" s="28"/>
      <c r="E2158" s="28"/>
      <c r="F2158" s="31"/>
      <c r="G2158" s="21"/>
      <c r="H2158" s="22"/>
      <c r="I2158" s="23"/>
      <c r="J2158" s="24"/>
      <c r="K2158" s="25"/>
      <c r="L2158" s="23"/>
      <c r="M2158" s="23"/>
      <c r="N2158" s="24"/>
      <c r="O2158" s="24"/>
      <c r="P2158" s="25"/>
      <c r="Q2158" s="25"/>
      <c r="R2158" s="20"/>
    </row>
  </sheetData>
  <sheetProtection formatCells="0" insertRows="0"/>
  <dataConsolidate/>
  <conditionalFormatting sqref="G2:Q190">
    <cfRule type="expression" dxfId="21" priority="75">
      <formula>($B2=6)</formula>
    </cfRule>
  </conditionalFormatting>
  <dataValidations count="1">
    <dataValidation type="list" showInputMessage="1" showErrorMessage="1" sqref="A2:A190">
      <formula1>INDIRECT("txtstylestab[style_Name]")</formula1>
    </dataValidation>
  </dataValidations>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25"/>
  <sheetViews>
    <sheetView topLeftCell="A10" workbookViewId="0">
      <selection activeCell="F25" sqref="F25"/>
    </sheetView>
  </sheetViews>
  <sheetFormatPr defaultRowHeight="15" x14ac:dyDescent="0.25"/>
  <cols>
    <col min="1" max="1" width="10.42578125" customWidth="1"/>
    <col min="2" max="2" width="33.140625" customWidth="1"/>
    <col min="3" max="3" width="9.140625" customWidth="1"/>
  </cols>
  <sheetData>
    <row r="1" spans="1:6" x14ac:dyDescent="0.25">
      <c r="A1" t="s">
        <v>8</v>
      </c>
      <c r="B1" t="s">
        <v>9</v>
      </c>
    </row>
    <row r="2" spans="1:6" x14ac:dyDescent="0.25">
      <c r="A2">
        <v>0</v>
      </c>
      <c r="B2" t="s">
        <v>21</v>
      </c>
    </row>
    <row r="3" spans="1:6" x14ac:dyDescent="0.25">
      <c r="A3">
        <v>1</v>
      </c>
      <c r="B3" t="s">
        <v>10</v>
      </c>
    </row>
    <row r="4" spans="1:6" x14ac:dyDescent="0.25">
      <c r="A4">
        <v>2</v>
      </c>
      <c r="B4" t="s">
        <v>11</v>
      </c>
    </row>
    <row r="5" spans="1:6" x14ac:dyDescent="0.25">
      <c r="A5">
        <v>3</v>
      </c>
      <c r="B5" t="s">
        <v>12</v>
      </c>
    </row>
    <row r="6" spans="1:6" x14ac:dyDescent="0.25">
      <c r="A6">
        <v>4</v>
      </c>
      <c r="B6" t="s">
        <v>22</v>
      </c>
    </row>
    <row r="7" spans="1:6" x14ac:dyDescent="0.25">
      <c r="A7">
        <v>5</v>
      </c>
      <c r="B7" t="s">
        <v>23</v>
      </c>
    </row>
    <row r="8" spans="1:6" x14ac:dyDescent="0.25">
      <c r="A8">
        <v>6</v>
      </c>
      <c r="B8" t="s">
        <v>14</v>
      </c>
    </row>
    <row r="9" spans="1:6" x14ac:dyDescent="0.25">
      <c r="A9">
        <v>7</v>
      </c>
      <c r="B9" t="s">
        <v>13</v>
      </c>
    </row>
    <row r="10" spans="1:6" x14ac:dyDescent="0.25">
      <c r="A10">
        <v>8</v>
      </c>
      <c r="B10" t="s">
        <v>15</v>
      </c>
    </row>
    <row r="14" spans="1:6" x14ac:dyDescent="0.25">
      <c r="A14" t="s">
        <v>3492</v>
      </c>
      <c r="B14" t="s">
        <v>3493</v>
      </c>
      <c r="C14" t="s">
        <v>3498</v>
      </c>
      <c r="D14" t="s">
        <v>3494</v>
      </c>
      <c r="E14" t="s">
        <v>3495</v>
      </c>
      <c r="F14" t="s">
        <v>3496</v>
      </c>
    </row>
    <row r="15" spans="1:6" x14ac:dyDescent="0.25">
      <c r="A15">
        <v>1</v>
      </c>
      <c r="B15" s="79" t="s">
        <v>64</v>
      </c>
      <c r="C15" s="79" t="s">
        <v>3499</v>
      </c>
      <c r="D15">
        <v>0</v>
      </c>
      <c r="E15">
        <v>0</v>
      </c>
      <c r="F15">
        <v>0</v>
      </c>
    </row>
    <row r="16" spans="1:6" x14ac:dyDescent="0.25">
      <c r="A16">
        <v>2</v>
      </c>
      <c r="B16" s="80" t="s">
        <v>65</v>
      </c>
      <c r="C16" s="80" t="s">
        <v>3500</v>
      </c>
      <c r="D16">
        <v>83</v>
      </c>
      <c r="E16">
        <v>141</v>
      </c>
      <c r="F16">
        <v>213</v>
      </c>
    </row>
    <row r="17" spans="1:6" x14ac:dyDescent="0.25">
      <c r="A17">
        <v>3</v>
      </c>
      <c r="B17" s="81" t="s">
        <v>66</v>
      </c>
      <c r="C17" s="81" t="s">
        <v>3501</v>
      </c>
      <c r="D17">
        <v>150</v>
      </c>
      <c r="E17">
        <v>54</v>
      </c>
      <c r="F17">
        <v>52</v>
      </c>
    </row>
    <row r="18" spans="1:6" x14ac:dyDescent="0.25">
      <c r="A18">
        <v>4</v>
      </c>
      <c r="B18" s="82" t="s">
        <v>67</v>
      </c>
      <c r="C18" s="82" t="s">
        <v>3502</v>
      </c>
      <c r="D18">
        <v>118</v>
      </c>
      <c r="E18">
        <v>147</v>
      </c>
      <c r="F18">
        <v>60</v>
      </c>
    </row>
    <row r="19" spans="1:6" x14ac:dyDescent="0.25">
      <c r="A19">
        <v>5</v>
      </c>
      <c r="B19" s="83" t="s">
        <v>68</v>
      </c>
      <c r="C19" s="83" t="s">
        <v>3503</v>
      </c>
      <c r="D19">
        <v>151</v>
      </c>
      <c r="E19">
        <v>71</v>
      </c>
      <c r="F19">
        <v>6</v>
      </c>
    </row>
    <row r="20" spans="1:6" x14ac:dyDescent="0.25">
      <c r="A20">
        <v>6</v>
      </c>
      <c r="B20" s="84" t="s">
        <v>69</v>
      </c>
      <c r="C20" s="84" t="s">
        <v>3504</v>
      </c>
      <c r="D20">
        <v>24</v>
      </c>
      <c r="E20">
        <v>120</v>
      </c>
      <c r="F20">
        <v>32</v>
      </c>
    </row>
    <row r="21" spans="1:6" x14ac:dyDescent="0.25">
      <c r="A21">
        <v>7</v>
      </c>
      <c r="B21" s="85" t="s">
        <v>2330</v>
      </c>
      <c r="C21" s="85" t="s">
        <v>3505</v>
      </c>
      <c r="D21">
        <v>128</v>
      </c>
      <c r="E21">
        <v>24</v>
      </c>
      <c r="F21">
        <v>192</v>
      </c>
    </row>
    <row r="22" spans="1:6" x14ac:dyDescent="0.25">
      <c r="A22">
        <v>8</v>
      </c>
      <c r="B22" s="86" t="s">
        <v>70</v>
      </c>
      <c r="C22" s="86" t="s">
        <v>3506</v>
      </c>
      <c r="D22">
        <v>102</v>
      </c>
      <c r="E22">
        <v>80</v>
      </c>
      <c r="F22">
        <v>0</v>
      </c>
    </row>
    <row r="23" spans="1:6" x14ac:dyDescent="0.25">
      <c r="A23">
        <v>9</v>
      </c>
      <c r="B23" s="87" t="s">
        <v>3497</v>
      </c>
      <c r="C23" s="87" t="s">
        <v>3507</v>
      </c>
      <c r="D23">
        <v>0</v>
      </c>
      <c r="E23">
        <v>160</v>
      </c>
      <c r="F23">
        <v>156</v>
      </c>
    </row>
    <row r="24" spans="1:6" x14ac:dyDescent="0.25">
      <c r="A24">
        <v>10</v>
      </c>
      <c r="B24" s="88" t="s">
        <v>71</v>
      </c>
      <c r="C24" s="88" t="s">
        <v>3508</v>
      </c>
      <c r="D24">
        <v>102</v>
      </c>
      <c r="E24">
        <v>112</v>
      </c>
      <c r="F24">
        <v>154</v>
      </c>
    </row>
    <row r="25" spans="1:6" x14ac:dyDescent="0.25">
      <c r="A25">
        <v>11</v>
      </c>
      <c r="B25" s="85" t="s">
        <v>72</v>
      </c>
      <c r="C25" s="85" t="s">
        <v>3509</v>
      </c>
      <c r="D25">
        <v>128</v>
      </c>
      <c r="E25">
        <v>24</v>
      </c>
      <c r="F25">
        <v>192</v>
      </c>
    </row>
  </sheetData>
  <pageMargins left="0.7" right="0.7" top="0.75" bottom="0.75" header="0.3" footer="0.3"/>
  <pageSetup paperSize="9" orientation="portrait" horizontalDpi="1200" verticalDpi="1200"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4</vt:i4>
      </vt:variant>
    </vt:vector>
  </HeadingPairs>
  <TitlesOfParts>
    <vt:vector size="4" baseType="lpstr">
      <vt:lpstr>Основные</vt:lpstr>
      <vt:lpstr>Дополнительные</vt:lpstr>
      <vt:lpstr>Аварийные</vt:lpstr>
      <vt:lpstr>TxtStyles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Богданов Станислав Олегович</dc:creator>
  <cp:lastModifiedBy>Администратор</cp:lastModifiedBy>
  <dcterms:created xsi:type="dcterms:W3CDTF">2015-04-01T12:41:37Z</dcterms:created>
  <dcterms:modified xsi:type="dcterms:W3CDTF">2016-03-10T20:47:18Z</dcterms:modified>
</cp:coreProperties>
</file>