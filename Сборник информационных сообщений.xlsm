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definedNames>
    <definedName name="_Toc185218215" localSheetId="2">Аварийные!$G$41</definedName>
  </definedNames>
  <calcPr calcId="145621" concurrentCalc="0"/>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 i="5"/>
  <c r="C4" i="5"/>
  <c r="D4" i="5"/>
  <c r="E4" i="5"/>
  <c r="F4" i="5"/>
  <c r="B5" i="5"/>
  <c r="C5" i="5"/>
  <c r="D5" i="5"/>
  <c r="E5" i="5"/>
  <c r="F5" i="5"/>
  <c r="B6" i="5"/>
  <c r="C6" i="5"/>
  <c r="D6" i="5"/>
  <c r="E6" i="5"/>
  <c r="F6" i="5"/>
  <c r="B7" i="5"/>
  <c r="C7" i="5"/>
  <c r="D7" i="5"/>
  <c r="E7" i="5"/>
  <c r="F7" i="5"/>
  <c r="B8" i="5"/>
  <c r="C8" i="5"/>
  <c r="D8" i="5"/>
  <c r="E8" i="5"/>
  <c r="F8" i="5"/>
  <c r="B9" i="5"/>
  <c r="C9" i="5"/>
  <c r="D9" i="5"/>
  <c r="E9" i="5"/>
  <c r="F9" i="5"/>
  <c r="B10" i="5"/>
  <c r="C10" i="5"/>
  <c r="D10" i="5"/>
  <c r="E10" i="5"/>
  <c r="F10" i="5"/>
  <c r="B11" i="5"/>
  <c r="C11" i="5"/>
  <c r="D11" i="5"/>
  <c r="E11" i="5"/>
  <c r="F11" i="5"/>
  <c r="B12" i="5"/>
  <c r="C12" i="5"/>
  <c r="D12" i="5"/>
  <c r="E12" i="5"/>
  <c r="F12" i="5"/>
  <c r="B13" i="5"/>
  <c r="C13" i="5"/>
  <c r="D13" i="5"/>
  <c r="E13" i="5"/>
  <c r="F13" i="5"/>
  <c r="B14" i="5"/>
  <c r="C14" i="5"/>
  <c r="D14" i="5"/>
  <c r="E14" i="5"/>
  <c r="F14" i="5"/>
  <c r="B15" i="5"/>
  <c r="C15" i="5"/>
  <c r="D15" i="5"/>
  <c r="E15" i="5"/>
  <c r="F15" i="5"/>
  <c r="B16" i="5"/>
  <c r="C16" i="5"/>
  <c r="D16" i="5"/>
  <c r="E16" i="5"/>
  <c r="F16" i="5"/>
  <c r="B17" i="5"/>
  <c r="C17" i="5"/>
  <c r="D17" i="5"/>
  <c r="E17" i="5"/>
  <c r="F17" i="5"/>
  <c r="B18" i="5"/>
  <c r="C18" i="5"/>
  <c r="D18" i="5"/>
  <c r="E18" i="5"/>
  <c r="F18" i="5"/>
  <c r="B19" i="5"/>
  <c r="C19" i="5"/>
  <c r="D19" i="5"/>
  <c r="E19" i="5"/>
  <c r="F19" i="5"/>
  <c r="B20" i="5"/>
  <c r="C20" i="5"/>
  <c r="D20" i="5"/>
  <c r="E20" i="5"/>
  <c r="F20" i="5"/>
  <c r="B21" i="5"/>
  <c r="C21" i="5"/>
  <c r="D21" i="5"/>
  <c r="E21" i="5"/>
  <c r="F21" i="5"/>
  <c r="B22" i="5"/>
  <c r="C22" i="5"/>
  <c r="D22" i="5"/>
  <c r="E22" i="5"/>
  <c r="F22" i="5"/>
  <c r="B23" i="5"/>
  <c r="C23" i="5"/>
  <c r="D23" i="5"/>
  <c r="E23" i="5"/>
  <c r="F23" i="5"/>
  <c r="B24" i="5"/>
  <c r="C24" i="5"/>
  <c r="D24" i="5"/>
  <c r="E24" i="5"/>
  <c r="F24" i="5"/>
  <c r="B25" i="5"/>
  <c r="C25" i="5"/>
  <c r="D25" i="5"/>
  <c r="E25" i="5"/>
  <c r="F25" i="5"/>
  <c r="B26" i="5"/>
  <c r="C26" i="5"/>
  <c r="D26" i="5"/>
  <c r="E26" i="5"/>
  <c r="F26" i="5"/>
  <c r="B27" i="5"/>
  <c r="C27" i="5"/>
  <c r="D27" i="5"/>
  <c r="E27" i="5"/>
  <c r="F27" i="5"/>
  <c r="B28" i="5"/>
  <c r="C28" i="5"/>
  <c r="D28" i="5"/>
  <c r="E28" i="5"/>
  <c r="F28" i="5"/>
  <c r="B29" i="5"/>
  <c r="C29" i="5"/>
  <c r="D29" i="5"/>
  <c r="E29" i="5"/>
  <c r="F29" i="5"/>
  <c r="B30" i="5"/>
  <c r="C30" i="5"/>
  <c r="D30" i="5"/>
  <c r="E30" i="5"/>
  <c r="F30" i="5"/>
  <c r="B31" i="5"/>
  <c r="C31" i="5"/>
  <c r="D31" i="5"/>
  <c r="E31" i="5"/>
  <c r="F31" i="5"/>
  <c r="B32" i="5"/>
  <c r="C32" i="5"/>
  <c r="D32" i="5"/>
  <c r="E32" i="5"/>
  <c r="F32" i="5"/>
  <c r="B33" i="5"/>
  <c r="C33" i="5"/>
  <c r="D33" i="5"/>
  <c r="E33" i="5"/>
  <c r="F33" i="5"/>
  <c r="B34" i="5"/>
  <c r="C34" i="5"/>
  <c r="D34" i="5"/>
  <c r="E34" i="5"/>
  <c r="F34" i="5"/>
  <c r="B35" i="5"/>
  <c r="C35" i="5"/>
  <c r="D35" i="5"/>
  <c r="E35" i="5"/>
  <c r="F35" i="5"/>
  <c r="B36" i="5"/>
  <c r="C36" i="5"/>
  <c r="D36" i="5"/>
  <c r="E36" i="5"/>
  <c r="F36" i="5"/>
  <c r="B37" i="5"/>
  <c r="C37" i="5"/>
  <c r="D37" i="5"/>
  <c r="E37" i="5"/>
  <c r="F37" i="5"/>
  <c r="B38" i="5"/>
  <c r="C38" i="5"/>
  <c r="D38" i="5"/>
  <c r="E38" i="5"/>
  <c r="F38" i="5"/>
  <c r="B39" i="5"/>
  <c r="C39" i="5"/>
  <c r="D39" i="5"/>
  <c r="E39" i="5"/>
  <c r="F39" i="5"/>
  <c r="B40" i="5"/>
  <c r="C40" i="5"/>
  <c r="D40" i="5"/>
  <c r="E40" i="5"/>
  <c r="F40" i="5"/>
  <c r="B41" i="5"/>
  <c r="C41" i="5"/>
  <c r="D41" i="5"/>
  <c r="E41" i="5"/>
  <c r="F41" i="5"/>
  <c r="B42" i="5"/>
  <c r="C42" i="5"/>
  <c r="D42" i="5"/>
  <c r="E42" i="5"/>
  <c r="F42" i="5"/>
  <c r="B43" i="5"/>
  <c r="C43" i="5"/>
  <c r="D43" i="5"/>
  <c r="E43" i="5"/>
  <c r="F43" i="5"/>
  <c r="B44" i="5"/>
  <c r="C44" i="5"/>
  <c r="D44" i="5"/>
  <c r="E44" i="5"/>
  <c r="F44" i="5"/>
  <c r="B45" i="5"/>
  <c r="C45" i="5"/>
  <c r="D45" i="5"/>
  <c r="E45" i="5"/>
  <c r="F45" i="5"/>
  <c r="B46" i="5"/>
  <c r="C46" i="5"/>
  <c r="D46" i="5"/>
  <c r="E46" i="5"/>
  <c r="F46" i="5"/>
  <c r="B47" i="5"/>
  <c r="C47" i="5"/>
  <c r="D47" i="5"/>
  <c r="E47" i="5"/>
  <c r="F47" i="5"/>
  <c r="B48" i="5"/>
  <c r="C48" i="5"/>
  <c r="D48" i="5"/>
  <c r="E48" i="5"/>
  <c r="F48" i="5"/>
  <c r="B49" i="5"/>
  <c r="C49" i="5"/>
  <c r="D49" i="5"/>
  <c r="E49" i="5"/>
  <c r="F49" i="5"/>
  <c r="B50" i="5"/>
  <c r="C50" i="5"/>
  <c r="D50" i="5"/>
  <c r="E50" i="5"/>
  <c r="F50" i="5"/>
  <c r="B51" i="5"/>
  <c r="C51" i="5"/>
  <c r="D51" i="5"/>
  <c r="E51" i="5"/>
  <c r="F51" i="5"/>
  <c r="B52" i="5"/>
  <c r="C52" i="5"/>
  <c r="D52" i="5"/>
  <c r="E52" i="5"/>
  <c r="F52" i="5"/>
  <c r="B53" i="5"/>
  <c r="C53" i="5"/>
  <c r="D53" i="5"/>
  <c r="E53" i="5"/>
  <c r="F53" i="5"/>
  <c r="B54" i="5"/>
  <c r="C54" i="5"/>
  <c r="D54" i="5"/>
  <c r="E54" i="5"/>
  <c r="F54" i="5"/>
  <c r="B55" i="5"/>
  <c r="C55" i="5"/>
  <c r="D55" i="5"/>
  <c r="E55" i="5"/>
  <c r="F55" i="5"/>
  <c r="B56" i="5"/>
  <c r="C56" i="5"/>
  <c r="D56" i="5"/>
  <c r="E56" i="5"/>
  <c r="F56" i="5"/>
  <c r="B57" i="5"/>
  <c r="C57" i="5"/>
  <c r="D57" i="5"/>
  <c r="E57" i="5"/>
  <c r="F57" i="5"/>
  <c r="B58" i="5"/>
  <c r="C58" i="5"/>
  <c r="D58" i="5"/>
  <c r="E58" i="5"/>
  <c r="F58" i="5"/>
  <c r="B59" i="5"/>
  <c r="C59" i="5"/>
  <c r="D59" i="5"/>
  <c r="E59" i="5"/>
  <c r="F59" i="5"/>
  <c r="B60" i="5"/>
  <c r="C60" i="5"/>
  <c r="D60" i="5"/>
  <c r="E60" i="5"/>
  <c r="F60" i="5"/>
  <c r="B61" i="5"/>
  <c r="C61" i="5"/>
  <c r="D61" i="5"/>
  <c r="E61" i="5"/>
  <c r="F61" i="5"/>
  <c r="B62" i="5"/>
  <c r="C62" i="5"/>
  <c r="D62" i="5"/>
  <c r="E62" i="5"/>
  <c r="F62" i="5"/>
  <c r="B63" i="5"/>
  <c r="C63" i="5"/>
  <c r="D63" i="5"/>
  <c r="E63" i="5"/>
  <c r="F63" i="5"/>
  <c r="B64" i="5"/>
  <c r="C64" i="5"/>
  <c r="D64" i="5"/>
  <c r="E64" i="5"/>
  <c r="F64" i="5"/>
  <c r="B65" i="5"/>
  <c r="C65" i="5"/>
  <c r="D65" i="5"/>
  <c r="E65" i="5"/>
  <c r="F65" i="5"/>
  <c r="B66" i="5"/>
  <c r="C66" i="5"/>
  <c r="D66" i="5"/>
  <c r="E66" i="5"/>
  <c r="F66" i="5"/>
  <c r="B67" i="5"/>
  <c r="C67" i="5"/>
  <c r="D67" i="5"/>
  <c r="E67" i="5"/>
  <c r="F67" i="5"/>
  <c r="B68" i="5"/>
  <c r="C68" i="5"/>
  <c r="D68" i="5"/>
  <c r="E68" i="5"/>
  <c r="F68" i="5"/>
  <c r="B69" i="5"/>
  <c r="C69" i="5"/>
  <c r="D69" i="5"/>
  <c r="E69" i="5"/>
  <c r="F69" i="5"/>
  <c r="B70" i="5"/>
  <c r="C70" i="5"/>
  <c r="D70" i="5"/>
  <c r="E70" i="5"/>
  <c r="F70" i="5"/>
  <c r="B71" i="5"/>
  <c r="C71" i="5"/>
  <c r="D71" i="5"/>
  <c r="E71" i="5"/>
  <c r="F71" i="5"/>
  <c r="B72" i="5"/>
  <c r="C72" i="5"/>
  <c r="D72" i="5"/>
  <c r="E72" i="5"/>
  <c r="F72" i="5"/>
  <c r="B73" i="5"/>
  <c r="C73" i="5"/>
  <c r="D73" i="5"/>
  <c r="E73" i="5"/>
  <c r="F73" i="5"/>
  <c r="B74" i="5"/>
  <c r="C74" i="5"/>
  <c r="D74" i="5"/>
  <c r="E74" i="5"/>
  <c r="F74" i="5"/>
  <c r="B75" i="5"/>
  <c r="C75" i="5"/>
  <c r="D75" i="5"/>
  <c r="E75" i="5"/>
  <c r="F75" i="5"/>
  <c r="B76" i="5"/>
  <c r="C76" i="5"/>
  <c r="D76" i="5"/>
  <c r="E76" i="5"/>
  <c r="F76" i="5"/>
  <c r="B77" i="5"/>
  <c r="C77" i="5"/>
  <c r="D77" i="5"/>
  <c r="E77" i="5"/>
  <c r="F77" i="5"/>
  <c r="B78" i="5"/>
  <c r="C78" i="5"/>
  <c r="D78" i="5"/>
  <c r="E78" i="5"/>
  <c r="F78" i="5"/>
  <c r="B79" i="5"/>
  <c r="C79" i="5"/>
  <c r="D79" i="5"/>
  <c r="E79" i="5"/>
  <c r="F79" i="5"/>
  <c r="B80" i="5"/>
  <c r="C80" i="5"/>
  <c r="D80" i="5"/>
  <c r="E80" i="5"/>
  <c r="F80" i="5"/>
  <c r="B81" i="5"/>
  <c r="C81" i="5"/>
  <c r="D81" i="5"/>
  <c r="E81" i="5"/>
  <c r="F81" i="5"/>
  <c r="B82" i="5"/>
  <c r="C82" i="5"/>
  <c r="D82" i="5"/>
  <c r="E82" i="5"/>
  <c r="F82" i="5"/>
  <c r="B83" i="5"/>
  <c r="C83" i="5"/>
  <c r="D83" i="5"/>
  <c r="E83" i="5"/>
  <c r="F83" i="5"/>
  <c r="B84" i="5"/>
  <c r="C84" i="5"/>
  <c r="D84" i="5"/>
  <c r="E84" i="5"/>
  <c r="F84" i="5"/>
  <c r="B85" i="5"/>
  <c r="C85" i="5"/>
  <c r="D85" i="5"/>
  <c r="E85" i="5"/>
  <c r="F85" i="5"/>
  <c r="B86" i="5"/>
  <c r="C86" i="5"/>
  <c r="D86" i="5"/>
  <c r="E86" i="5"/>
  <c r="F86" i="5"/>
  <c r="B87" i="5"/>
  <c r="C87" i="5"/>
  <c r="D87" i="5"/>
  <c r="E87" i="5"/>
  <c r="F87" i="5"/>
  <c r="B88" i="5"/>
  <c r="C88" i="5"/>
  <c r="D88" i="5"/>
  <c r="E88" i="5"/>
  <c r="F88" i="5"/>
  <c r="B89" i="5"/>
  <c r="C89" i="5"/>
  <c r="D89" i="5"/>
  <c r="E89" i="5"/>
  <c r="F89" i="5"/>
  <c r="B90" i="5"/>
  <c r="C90" i="5"/>
  <c r="D90" i="5"/>
  <c r="E90" i="5"/>
  <c r="F90" i="5"/>
  <c r="B91" i="5"/>
  <c r="C91" i="5"/>
  <c r="D91" i="5"/>
  <c r="E91" i="5"/>
  <c r="F91" i="5"/>
  <c r="B92" i="5"/>
  <c r="C92" i="5"/>
  <c r="D92" i="5"/>
  <c r="E92" i="5"/>
  <c r="F92" i="5"/>
  <c r="B93" i="5"/>
  <c r="C93" i="5"/>
  <c r="D93" i="5"/>
  <c r="E93" i="5"/>
  <c r="F93" i="5"/>
  <c r="B94" i="5"/>
  <c r="C94" i="5"/>
  <c r="D94" i="5"/>
  <c r="E94" i="5"/>
  <c r="F94" i="5"/>
  <c r="B95" i="5"/>
  <c r="C95" i="5"/>
  <c r="D95" i="5"/>
  <c r="E95" i="5"/>
  <c r="F95" i="5"/>
  <c r="B96" i="5"/>
  <c r="C96" i="5"/>
  <c r="D96" i="5"/>
  <c r="E96" i="5"/>
  <c r="F96" i="5"/>
  <c r="B97" i="5"/>
  <c r="C97" i="5"/>
  <c r="D97" i="5"/>
  <c r="E97" i="5"/>
  <c r="F97" i="5"/>
  <c r="B98" i="5"/>
  <c r="C98" i="5"/>
  <c r="D98" i="5"/>
  <c r="E98" i="5"/>
  <c r="F98" i="5"/>
  <c r="B99" i="5"/>
  <c r="C99" i="5"/>
  <c r="D99" i="5"/>
  <c r="E99" i="5"/>
  <c r="F99" i="5"/>
  <c r="B100" i="5"/>
  <c r="C100" i="5"/>
  <c r="D100" i="5"/>
  <c r="E100" i="5"/>
  <c r="F100" i="5"/>
  <c r="B101" i="5"/>
  <c r="C101" i="5"/>
  <c r="D101" i="5"/>
  <c r="E101" i="5"/>
  <c r="F101" i="5"/>
  <c r="B102" i="5"/>
  <c r="C102" i="5"/>
  <c r="D102" i="5"/>
  <c r="E102" i="5"/>
  <c r="F102" i="5"/>
  <c r="B103" i="5"/>
  <c r="C103" i="5"/>
  <c r="D103" i="5"/>
  <c r="E103" i="5"/>
  <c r="F103" i="5"/>
  <c r="B104" i="5"/>
  <c r="C104" i="5"/>
  <c r="D104" i="5"/>
  <c r="E104" i="5"/>
  <c r="F104" i="5"/>
  <c r="B105" i="5"/>
  <c r="C105" i="5"/>
  <c r="D105" i="5"/>
  <c r="E105" i="5"/>
  <c r="F105" i="5"/>
  <c r="B106" i="5"/>
  <c r="C106" i="5"/>
  <c r="D106" i="5"/>
  <c r="E106" i="5"/>
  <c r="F106" i="5"/>
  <c r="B107" i="5"/>
  <c r="C107" i="5"/>
  <c r="D107" i="5"/>
  <c r="E107" i="5"/>
  <c r="F107" i="5"/>
  <c r="B108" i="5"/>
  <c r="C108" i="5"/>
  <c r="D108" i="5"/>
  <c r="E108" i="5"/>
  <c r="F108" i="5"/>
  <c r="B109" i="5"/>
  <c r="C109" i="5"/>
  <c r="D109" i="5"/>
  <c r="E109" i="5"/>
  <c r="F109" i="5"/>
  <c r="B110" i="5"/>
  <c r="C110" i="5"/>
  <c r="D110" i="5"/>
  <c r="E110" i="5"/>
  <c r="F110" i="5"/>
  <c r="B111" i="5"/>
  <c r="C111" i="5"/>
  <c r="D111" i="5"/>
  <c r="E111" i="5"/>
  <c r="F111" i="5"/>
  <c r="B112" i="5"/>
  <c r="C112" i="5"/>
  <c r="D112" i="5"/>
  <c r="E112" i="5"/>
  <c r="F112" i="5"/>
  <c r="B113" i="5"/>
  <c r="C113" i="5"/>
  <c r="D113" i="5"/>
  <c r="E113" i="5"/>
  <c r="F113" i="5"/>
  <c r="B114" i="5"/>
  <c r="C114" i="5"/>
  <c r="D114" i="5"/>
  <c r="E114" i="5"/>
  <c r="F114" i="5"/>
  <c r="B115" i="5"/>
  <c r="C115" i="5"/>
  <c r="D115" i="5"/>
  <c r="E115" i="5"/>
  <c r="F115" i="5"/>
  <c r="B116" i="5"/>
  <c r="C116" i="5"/>
  <c r="D116" i="5"/>
  <c r="E116" i="5"/>
  <c r="F116" i="5"/>
  <c r="B117" i="5"/>
  <c r="C117" i="5"/>
  <c r="D117" i="5"/>
  <c r="E117" i="5"/>
  <c r="F117" i="5"/>
  <c r="B118" i="5"/>
  <c r="C118" i="5"/>
  <c r="D118" i="5"/>
  <c r="E118" i="5"/>
  <c r="F118" i="5"/>
  <c r="B119" i="5"/>
  <c r="C119" i="5"/>
  <c r="D119" i="5"/>
  <c r="E119" i="5"/>
  <c r="F119" i="5"/>
  <c r="B120" i="5"/>
  <c r="C120" i="5"/>
  <c r="D120" i="5"/>
  <c r="E120" i="5"/>
  <c r="F120" i="5"/>
  <c r="B121" i="5"/>
  <c r="C121" i="5"/>
  <c r="D121" i="5"/>
  <c r="E121" i="5"/>
  <c r="F121" i="5"/>
  <c r="B122" i="5"/>
  <c r="C122" i="5"/>
  <c r="D122" i="5"/>
  <c r="E122" i="5"/>
  <c r="F122" i="5"/>
  <c r="B123" i="5"/>
  <c r="C123" i="5"/>
  <c r="D123" i="5"/>
  <c r="E123" i="5"/>
  <c r="F123" i="5"/>
  <c r="B124" i="5"/>
  <c r="C124" i="5"/>
  <c r="D124" i="5"/>
  <c r="E124" i="5"/>
  <c r="F124" i="5"/>
  <c r="B125" i="5"/>
  <c r="C125" i="5"/>
  <c r="D125" i="5"/>
  <c r="E125" i="5"/>
  <c r="F125" i="5"/>
  <c r="B126" i="5"/>
  <c r="C126" i="5"/>
  <c r="D126" i="5"/>
  <c r="E126" i="5"/>
  <c r="F126" i="5"/>
  <c r="B127" i="5"/>
  <c r="C127" i="5"/>
  <c r="D127" i="5"/>
  <c r="E127" i="5"/>
  <c r="F127" i="5"/>
  <c r="B128" i="5"/>
  <c r="C128" i="5"/>
  <c r="D128" i="5"/>
  <c r="E128" i="5"/>
  <c r="F128" i="5"/>
  <c r="B129" i="5"/>
  <c r="C129" i="5"/>
  <c r="D129" i="5"/>
  <c r="E129" i="5"/>
  <c r="F129" i="5"/>
  <c r="B130" i="5"/>
  <c r="C130" i="5"/>
  <c r="D130" i="5"/>
  <c r="E130" i="5"/>
  <c r="F130" i="5"/>
  <c r="B131" i="5"/>
  <c r="C131" i="5"/>
  <c r="D131" i="5"/>
  <c r="E131" i="5"/>
  <c r="F131" i="5"/>
  <c r="B132" i="5"/>
  <c r="C132" i="5"/>
  <c r="D132" i="5"/>
  <c r="E132" i="5"/>
  <c r="F132" i="5"/>
  <c r="B133" i="5"/>
  <c r="C133" i="5"/>
  <c r="D133" i="5"/>
  <c r="E133" i="5"/>
  <c r="F133" i="5"/>
  <c r="B134" i="5"/>
  <c r="C134" i="5"/>
  <c r="D134" i="5"/>
  <c r="E134" i="5"/>
  <c r="F134" i="5"/>
  <c r="B135" i="5"/>
  <c r="C135" i="5"/>
  <c r="D135" i="5"/>
  <c r="E135" i="5"/>
  <c r="F135" i="5"/>
  <c r="B136" i="5"/>
  <c r="C136" i="5"/>
  <c r="D136" i="5"/>
  <c r="E136" i="5"/>
  <c r="F136" i="5"/>
  <c r="B137" i="5"/>
  <c r="C137" i="5"/>
  <c r="D137" i="5"/>
  <c r="E137" i="5"/>
  <c r="F137" i="5"/>
  <c r="B138" i="5"/>
  <c r="C138" i="5"/>
  <c r="D138" i="5"/>
  <c r="E138" i="5"/>
  <c r="F138" i="5"/>
  <c r="B139" i="5"/>
  <c r="C139" i="5"/>
  <c r="D139" i="5"/>
  <c r="E139" i="5"/>
  <c r="F139" i="5"/>
  <c r="B140" i="5"/>
  <c r="C140" i="5"/>
  <c r="D140" i="5"/>
  <c r="E140" i="5"/>
  <c r="F140" i="5"/>
  <c r="B141" i="5"/>
  <c r="C141" i="5"/>
  <c r="D141" i="5"/>
  <c r="E141" i="5"/>
  <c r="F141" i="5"/>
  <c r="B142" i="5"/>
  <c r="C142" i="5"/>
  <c r="D142" i="5"/>
  <c r="E142" i="5"/>
  <c r="F142" i="5"/>
  <c r="B143" i="5"/>
  <c r="C143" i="5"/>
  <c r="D143" i="5"/>
  <c r="E143" i="5"/>
  <c r="F143" i="5"/>
  <c r="B144" i="5"/>
  <c r="C144" i="5"/>
  <c r="D144" i="5"/>
  <c r="E144" i="5"/>
  <c r="F144" i="5"/>
  <c r="B145" i="5"/>
  <c r="C145" i="5"/>
  <c r="D145" i="5"/>
  <c r="E145" i="5"/>
  <c r="F145" i="5"/>
  <c r="B146" i="5"/>
  <c r="C146" i="5"/>
  <c r="D146" i="5"/>
  <c r="E146" i="5"/>
  <c r="F146" i="5"/>
  <c r="B147" i="5"/>
  <c r="C147" i="5"/>
  <c r="D147" i="5"/>
  <c r="E147" i="5"/>
  <c r="F147" i="5"/>
  <c r="B148" i="5"/>
  <c r="C148" i="5"/>
  <c r="D148" i="5"/>
  <c r="E148" i="5"/>
  <c r="F148" i="5"/>
  <c r="B149" i="5"/>
  <c r="C149" i="5"/>
  <c r="D149" i="5"/>
  <c r="E149" i="5"/>
  <c r="F149" i="5"/>
  <c r="B150" i="5"/>
  <c r="C150" i="5"/>
  <c r="D150" i="5"/>
  <c r="E150" i="5"/>
  <c r="F150" i="5"/>
  <c r="B151" i="5"/>
  <c r="C151" i="5"/>
  <c r="D151" i="5"/>
  <c r="E151" i="5"/>
  <c r="F151" i="5"/>
  <c r="B152" i="5"/>
  <c r="C152" i="5"/>
  <c r="D152" i="5"/>
  <c r="E152" i="5"/>
  <c r="F152" i="5"/>
  <c r="B153" i="5"/>
  <c r="C153" i="5"/>
  <c r="D153" i="5"/>
  <c r="E153" i="5"/>
  <c r="F153" i="5"/>
  <c r="B154" i="5"/>
  <c r="C154" i="5"/>
  <c r="D154" i="5"/>
  <c r="E154" i="5"/>
  <c r="F154" i="5"/>
  <c r="B155" i="5"/>
  <c r="C155" i="5"/>
  <c r="D155" i="5"/>
  <c r="E155" i="5"/>
  <c r="F155" i="5"/>
  <c r="B156" i="5"/>
  <c r="C156" i="5"/>
  <c r="D156" i="5"/>
  <c r="E156" i="5"/>
  <c r="F156" i="5"/>
  <c r="B157" i="5"/>
  <c r="C157" i="5"/>
  <c r="D157" i="5"/>
  <c r="E157" i="5"/>
  <c r="F157" i="5"/>
  <c r="B158" i="5"/>
  <c r="C158" i="5"/>
  <c r="D158" i="5"/>
  <c r="E158" i="5"/>
  <c r="F158" i="5"/>
  <c r="B159" i="5"/>
  <c r="C159" i="5"/>
  <c r="D159" i="5"/>
  <c r="E159" i="5"/>
  <c r="F159" i="5"/>
  <c r="B160" i="5"/>
  <c r="C160" i="5"/>
  <c r="D160" i="5"/>
  <c r="E160" i="5"/>
  <c r="F160" i="5"/>
  <c r="B161" i="5"/>
  <c r="C161" i="5"/>
  <c r="D161" i="5"/>
  <c r="E161" i="5"/>
  <c r="F161" i="5"/>
  <c r="B162" i="5"/>
  <c r="C162" i="5"/>
  <c r="D162" i="5"/>
  <c r="E162" i="5"/>
  <c r="F162" i="5"/>
  <c r="B163" i="5"/>
  <c r="C163" i="5"/>
  <c r="D163" i="5"/>
  <c r="E163" i="5"/>
  <c r="F163" i="5"/>
  <c r="B164" i="5"/>
  <c r="C164" i="5"/>
  <c r="D164" i="5"/>
  <c r="E164" i="5"/>
  <c r="F164" i="5"/>
  <c r="B165" i="5"/>
  <c r="C165" i="5"/>
  <c r="D165" i="5"/>
  <c r="E165" i="5"/>
  <c r="F165" i="5"/>
  <c r="B166" i="5"/>
  <c r="C166" i="5"/>
  <c r="D166" i="5"/>
  <c r="E166" i="5"/>
  <c r="F166" i="5"/>
  <c r="B167" i="5"/>
  <c r="C167" i="5"/>
  <c r="D167" i="5"/>
  <c r="E167" i="5"/>
  <c r="F167" i="5"/>
  <c r="B168" i="5"/>
  <c r="C168" i="5"/>
  <c r="D168" i="5"/>
  <c r="E168" i="5"/>
  <c r="F168" i="5"/>
  <c r="B169" i="5"/>
  <c r="C169" i="5"/>
  <c r="D169" i="5"/>
  <c r="E169" i="5"/>
  <c r="F169" i="5"/>
  <c r="B170" i="5"/>
  <c r="C170" i="5"/>
  <c r="D170" i="5"/>
  <c r="E170" i="5"/>
  <c r="F170" i="5"/>
  <c r="B171" i="5"/>
  <c r="C171" i="5"/>
  <c r="D171" i="5"/>
  <c r="E171" i="5"/>
  <c r="F171" i="5"/>
  <c r="B172" i="5"/>
  <c r="C172" i="5"/>
  <c r="D172" i="5"/>
  <c r="E172" i="5"/>
  <c r="F172" i="5"/>
  <c r="B173" i="5"/>
  <c r="C173" i="5"/>
  <c r="D173" i="5"/>
  <c r="E173" i="5"/>
  <c r="F173" i="5"/>
  <c r="B174" i="5"/>
  <c r="C174" i="5"/>
  <c r="D174" i="5"/>
  <c r="E174" i="5"/>
  <c r="F174" i="5"/>
  <c r="B175" i="5"/>
  <c r="C175" i="5"/>
  <c r="D175" i="5"/>
  <c r="E175" i="5"/>
  <c r="F175" i="5"/>
  <c r="B176" i="5"/>
  <c r="C176" i="5"/>
  <c r="D176" i="5"/>
  <c r="E176" i="5"/>
  <c r="F176" i="5"/>
  <c r="B177" i="5"/>
  <c r="C177" i="5"/>
  <c r="D177" i="5"/>
  <c r="E177" i="5"/>
  <c r="F177" i="5"/>
  <c r="B178" i="5"/>
  <c r="C178" i="5"/>
  <c r="D178" i="5"/>
  <c r="E178" i="5"/>
  <c r="F178" i="5"/>
  <c r="B179" i="5"/>
  <c r="C179" i="5"/>
  <c r="D179" i="5"/>
  <c r="E179" i="5"/>
  <c r="F179" i="5"/>
  <c r="B180" i="5"/>
  <c r="C180" i="5"/>
  <c r="D180" i="5"/>
  <c r="E180" i="5"/>
  <c r="F180" i="5"/>
  <c r="B181" i="5"/>
  <c r="C181" i="5"/>
  <c r="D181" i="5"/>
  <c r="E181" i="5"/>
  <c r="F181" i="5"/>
  <c r="B182" i="5"/>
  <c r="C182" i="5"/>
  <c r="D182" i="5"/>
  <c r="E182" i="5"/>
  <c r="F182" i="5"/>
  <c r="B183" i="5"/>
  <c r="C183" i="5"/>
  <c r="D183" i="5"/>
  <c r="E183" i="5"/>
  <c r="F183" i="5"/>
  <c r="B184" i="5"/>
  <c r="C184" i="5"/>
  <c r="D184" i="5"/>
  <c r="E184" i="5"/>
  <c r="F184" i="5"/>
  <c r="B185" i="5"/>
  <c r="C185" i="5"/>
  <c r="D185" i="5"/>
  <c r="E185" i="5"/>
  <c r="F185" i="5"/>
  <c r="B186" i="5"/>
  <c r="C186" i="5"/>
  <c r="D186" i="5"/>
  <c r="E186" i="5"/>
  <c r="F186" i="5"/>
  <c r="B187" i="5"/>
  <c r="C187" i="5"/>
  <c r="D187" i="5"/>
  <c r="E187" i="5"/>
  <c r="F187" i="5"/>
  <c r="B188" i="5"/>
  <c r="C188" i="5"/>
  <c r="D188" i="5"/>
  <c r="E188" i="5"/>
  <c r="F188" i="5"/>
  <c r="B189" i="5"/>
  <c r="C189" i="5"/>
  <c r="D189" i="5"/>
  <c r="E189" i="5"/>
  <c r="F189" i="5"/>
  <c r="B190" i="5"/>
  <c r="C190" i="5"/>
  <c r="D190" i="5"/>
  <c r="E190" i="5"/>
  <c r="F190" i="5"/>
  <c r="B191" i="5"/>
  <c r="C191" i="5"/>
  <c r="D191" i="5"/>
  <c r="E191" i="5"/>
  <c r="F191" i="5"/>
  <c r="B192" i="5"/>
  <c r="C192" i="5"/>
  <c r="D192" i="5"/>
  <c r="E192" i="5"/>
  <c r="F192" i="5"/>
  <c r="B193" i="5"/>
  <c r="C193" i="5"/>
  <c r="D193" i="5"/>
  <c r="E193" i="5"/>
  <c r="F193" i="5"/>
  <c r="B194" i="5"/>
  <c r="C194" i="5"/>
  <c r="D194" i="5"/>
  <c r="E194" i="5"/>
  <c r="F194" i="5"/>
  <c r="B195" i="5"/>
  <c r="C195" i="5"/>
  <c r="D195" i="5"/>
  <c r="E195" i="5"/>
  <c r="F195" i="5"/>
  <c r="B196" i="5"/>
  <c r="C196" i="5"/>
  <c r="D196" i="5"/>
  <c r="E196" i="5"/>
  <c r="F196" i="5"/>
  <c r="B197" i="5"/>
  <c r="C197" i="5"/>
  <c r="D197" i="5"/>
  <c r="E197" i="5"/>
  <c r="F197" i="5"/>
  <c r="B198" i="5"/>
  <c r="C198" i="5"/>
  <c r="D198" i="5"/>
  <c r="E198" i="5"/>
  <c r="F198" i="5"/>
  <c r="B199" i="5"/>
  <c r="C199" i="5"/>
  <c r="D199" i="5"/>
  <c r="E199" i="5"/>
  <c r="F199" i="5"/>
  <c r="B200" i="5"/>
  <c r="C200" i="5"/>
  <c r="D200" i="5"/>
  <c r="E200" i="5"/>
  <c r="F200" i="5"/>
  <c r="B201" i="5"/>
  <c r="C201" i="5"/>
  <c r="D201" i="5"/>
  <c r="E201" i="5"/>
  <c r="F201" i="5"/>
  <c r="B202" i="5"/>
  <c r="C202" i="5"/>
  <c r="D202" i="5"/>
  <c r="E202" i="5"/>
  <c r="F202" i="5"/>
  <c r="B203" i="5"/>
  <c r="C203" i="5"/>
  <c r="D203" i="5"/>
  <c r="E203" i="5"/>
  <c r="F203" i="5"/>
  <c r="B204" i="5"/>
  <c r="C204" i="5"/>
  <c r="D204" i="5"/>
  <c r="E204" i="5"/>
  <c r="F204" i="5"/>
  <c r="B205" i="5"/>
  <c r="C205" i="5"/>
  <c r="D205" i="5"/>
  <c r="E205" i="5"/>
  <c r="F205" i="5"/>
  <c r="B206" i="5"/>
  <c r="C206" i="5"/>
  <c r="D206" i="5"/>
  <c r="E206" i="5"/>
  <c r="F206" i="5"/>
  <c r="B207" i="5"/>
  <c r="C207" i="5"/>
  <c r="D207" i="5"/>
  <c r="E207" i="5"/>
  <c r="F207" i="5"/>
  <c r="B208" i="5"/>
  <c r="C208" i="5"/>
  <c r="D208" i="5"/>
  <c r="E208" i="5"/>
  <c r="F208" i="5"/>
  <c r="B209" i="5"/>
  <c r="C209" i="5"/>
  <c r="D209" i="5"/>
  <c r="E209" i="5"/>
  <c r="F209" i="5"/>
  <c r="B210" i="5"/>
  <c r="C210" i="5"/>
  <c r="D210" i="5"/>
  <c r="E210" i="5"/>
  <c r="F210" i="5"/>
  <c r="B211" i="5"/>
  <c r="C211" i="5"/>
  <c r="D211" i="5"/>
  <c r="E211" i="5"/>
  <c r="F211" i="5"/>
  <c r="B212" i="5"/>
  <c r="C212" i="5"/>
  <c r="D212" i="5"/>
  <c r="E212" i="5"/>
  <c r="F212" i="5"/>
  <c r="B213" i="5"/>
  <c r="C213" i="5"/>
  <c r="D213" i="5"/>
  <c r="E213" i="5"/>
  <c r="F213" i="5"/>
  <c r="B214" i="5"/>
  <c r="C214" i="5"/>
  <c r="D214" i="5"/>
  <c r="E214" i="5"/>
  <c r="F214" i="5"/>
  <c r="B215" i="5"/>
  <c r="C215" i="5"/>
  <c r="D215" i="5"/>
  <c r="E215" i="5"/>
  <c r="F215" i="5"/>
  <c r="B216" i="5"/>
  <c r="C216" i="5"/>
  <c r="D216" i="5"/>
  <c r="E216" i="5"/>
  <c r="F216" i="5"/>
  <c r="B217" i="5"/>
  <c r="C217" i="5"/>
  <c r="D217" i="5"/>
  <c r="E217" i="5"/>
  <c r="F217" i="5"/>
  <c r="B218" i="5"/>
  <c r="C218" i="5"/>
  <c r="D218" i="5"/>
  <c r="E218" i="5"/>
  <c r="F218" i="5"/>
  <c r="B219" i="5"/>
  <c r="C219" i="5"/>
  <c r="D219" i="5"/>
  <c r="E219" i="5"/>
  <c r="F219" i="5"/>
  <c r="B220" i="5"/>
  <c r="C220" i="5"/>
  <c r="D220" i="5"/>
  <c r="E220" i="5"/>
  <c r="F220" i="5"/>
  <c r="B221" i="5"/>
  <c r="C221" i="5"/>
  <c r="D221" i="5"/>
  <c r="E221" i="5"/>
  <c r="F221" i="5"/>
  <c r="B222" i="5"/>
  <c r="C222" i="5"/>
  <c r="D222" i="5"/>
  <c r="E222" i="5"/>
  <c r="F222" i="5"/>
  <c r="B223" i="5"/>
  <c r="C223" i="5"/>
  <c r="D223" i="5"/>
  <c r="E223" i="5"/>
  <c r="F223" i="5"/>
  <c r="B224" i="5"/>
  <c r="C224" i="5"/>
  <c r="D224" i="5"/>
  <c r="E224" i="5"/>
  <c r="F224" i="5"/>
  <c r="B225" i="5"/>
  <c r="C225" i="5"/>
  <c r="D225" i="5"/>
  <c r="E225" i="5"/>
  <c r="F225" i="5"/>
  <c r="B226" i="5"/>
  <c r="C226" i="5"/>
  <c r="D226" i="5"/>
  <c r="E226" i="5"/>
  <c r="F226" i="5"/>
  <c r="B227" i="5"/>
  <c r="C227" i="5"/>
  <c r="D227" i="5"/>
  <c r="E227" i="5"/>
  <c r="F227" i="5"/>
  <c r="B228" i="5"/>
  <c r="C228" i="5"/>
  <c r="D228" i="5"/>
  <c r="E228" i="5"/>
  <c r="F228" i="5"/>
  <c r="B229" i="5"/>
  <c r="C229" i="5"/>
  <c r="D229" i="5"/>
  <c r="E229" i="5"/>
  <c r="F229" i="5"/>
  <c r="B230" i="5"/>
  <c r="C230" i="5"/>
  <c r="D230" i="5"/>
  <c r="E230" i="5"/>
  <c r="F230" i="5"/>
  <c r="B231" i="5"/>
  <c r="C231" i="5"/>
  <c r="D231" i="5"/>
  <c r="E231" i="5"/>
  <c r="F231" i="5"/>
  <c r="B232" i="5"/>
  <c r="C232" i="5"/>
  <c r="D232" i="5"/>
  <c r="E232" i="5"/>
  <c r="F232" i="5"/>
  <c r="B233" i="5"/>
  <c r="C233" i="5"/>
  <c r="D233" i="5"/>
  <c r="E233" i="5"/>
  <c r="F233" i="5"/>
  <c r="B234" i="5"/>
  <c r="C234" i="5"/>
  <c r="D234" i="5"/>
  <c r="E234" i="5"/>
  <c r="F234" i="5"/>
  <c r="B235" i="5"/>
  <c r="C235" i="5"/>
  <c r="D235" i="5"/>
  <c r="E235" i="5"/>
  <c r="F235" i="5"/>
  <c r="B236" i="5"/>
  <c r="C236" i="5"/>
  <c r="D236" i="5"/>
  <c r="E236" i="5"/>
  <c r="F236" i="5"/>
  <c r="B237" i="5"/>
  <c r="C237" i="5"/>
  <c r="D237" i="5"/>
  <c r="E237" i="5"/>
  <c r="F237" i="5"/>
  <c r="B238" i="5"/>
  <c r="C238" i="5"/>
  <c r="D238" i="5"/>
  <c r="E238" i="5"/>
  <c r="F238" i="5"/>
  <c r="B239" i="5"/>
  <c r="C239" i="5"/>
  <c r="D239" i="5"/>
  <c r="E239" i="5"/>
  <c r="F239" i="5"/>
  <c r="B240" i="5"/>
  <c r="C240" i="5"/>
  <c r="D240" i="5"/>
  <c r="E240" i="5"/>
  <c r="F240" i="5"/>
  <c r="B241" i="5"/>
  <c r="C241" i="5"/>
  <c r="D241" i="5"/>
  <c r="E241" i="5"/>
  <c r="F241" i="5"/>
  <c r="B242" i="5"/>
  <c r="C242" i="5"/>
  <c r="D242" i="5"/>
  <c r="E242" i="5"/>
  <c r="F242" i="5"/>
  <c r="B243" i="5"/>
  <c r="C243" i="5"/>
  <c r="D243" i="5"/>
  <c r="E243" i="5"/>
  <c r="F243" i="5"/>
  <c r="B244" i="5"/>
  <c r="C244" i="5"/>
  <c r="D244" i="5"/>
  <c r="E244" i="5"/>
  <c r="F244" i="5"/>
  <c r="B245" i="5"/>
  <c r="C245" i="5"/>
  <c r="D245" i="5"/>
  <c r="E245" i="5"/>
  <c r="F245" i="5"/>
  <c r="B246" i="5"/>
  <c r="C246" i="5"/>
  <c r="D246" i="5"/>
  <c r="E246" i="5"/>
  <c r="F246" i="5"/>
  <c r="B3" i="1"/>
  <c r="C3" i="1"/>
  <c r="D3" i="1"/>
  <c r="B3" i="5"/>
  <c r="C3" i="5"/>
  <c r="D3" i="5"/>
  <c r="B4" i="4"/>
  <c r="C4" i="4"/>
  <c r="D4" i="4"/>
  <c r="E4" i="4"/>
  <c r="F4" i="4"/>
  <c r="B5" i="4"/>
  <c r="C5" i="4"/>
  <c r="D5" i="4"/>
  <c r="E5" i="4"/>
  <c r="F5" i="4"/>
  <c r="B6" i="4"/>
  <c r="C6" i="4"/>
  <c r="D6" i="4"/>
  <c r="E6" i="4"/>
  <c r="F6" i="4"/>
  <c r="B7" i="4"/>
  <c r="C7" i="4"/>
  <c r="D7" i="4"/>
  <c r="E7" i="4"/>
  <c r="F7" i="4"/>
  <c r="B8" i="4"/>
  <c r="C8" i="4"/>
  <c r="D8" i="4"/>
  <c r="E8" i="4"/>
  <c r="F8" i="4"/>
  <c r="B9" i="4"/>
  <c r="C9" i="4"/>
  <c r="D9" i="4"/>
  <c r="E9" i="4"/>
  <c r="F9" i="4"/>
  <c r="B10" i="4"/>
  <c r="C10" i="4"/>
  <c r="D10" i="4"/>
  <c r="E10" i="4"/>
  <c r="F10" i="4"/>
  <c r="B11" i="4"/>
  <c r="C11" i="4"/>
  <c r="D11" i="4"/>
  <c r="E11" i="4"/>
  <c r="F11" i="4"/>
  <c r="B12" i="4"/>
  <c r="C12" i="4"/>
  <c r="D12" i="4"/>
  <c r="E12" i="4"/>
  <c r="F12" i="4"/>
  <c r="B13" i="4"/>
  <c r="C13" i="4"/>
  <c r="D13" i="4"/>
  <c r="E13" i="4"/>
  <c r="F13" i="4"/>
  <c r="B14" i="4"/>
  <c r="C14" i="4"/>
  <c r="D14" i="4"/>
  <c r="E14" i="4"/>
  <c r="F14" i="4"/>
  <c r="B15" i="4"/>
  <c r="C15" i="4"/>
  <c r="D15" i="4"/>
  <c r="E15" i="4"/>
  <c r="F15" i="4"/>
  <c r="B16" i="4"/>
  <c r="C16" i="4"/>
  <c r="D16" i="4"/>
  <c r="E16" i="4"/>
  <c r="F16" i="4"/>
  <c r="B17" i="4"/>
  <c r="C17" i="4"/>
  <c r="D17" i="4"/>
  <c r="E17" i="4"/>
  <c r="F17" i="4"/>
  <c r="B18" i="4"/>
  <c r="C18" i="4"/>
  <c r="D18" i="4"/>
  <c r="E18" i="4"/>
  <c r="F18" i="4"/>
  <c r="B19" i="4"/>
  <c r="C19" i="4"/>
  <c r="D19" i="4"/>
  <c r="E19" i="4"/>
  <c r="F19" i="4"/>
  <c r="B20" i="4"/>
  <c r="C20" i="4"/>
  <c r="D20" i="4"/>
  <c r="E20" i="4"/>
  <c r="F20" i="4"/>
  <c r="B21" i="4"/>
  <c r="C21" i="4"/>
  <c r="D21" i="4"/>
  <c r="E21" i="4"/>
  <c r="F21" i="4"/>
  <c r="B22" i="4"/>
  <c r="C22" i="4"/>
  <c r="D22" i="4"/>
  <c r="E22" i="4"/>
  <c r="F22" i="4"/>
  <c r="B23" i="4"/>
  <c r="C23" i="4"/>
  <c r="D23" i="4"/>
  <c r="E23" i="4"/>
  <c r="F23" i="4"/>
  <c r="B24" i="4"/>
  <c r="C24" i="4"/>
  <c r="D24" i="4"/>
  <c r="E24" i="4"/>
  <c r="F24" i="4"/>
  <c r="B25" i="4"/>
  <c r="C25" i="4"/>
  <c r="D25" i="4"/>
  <c r="E25" i="4"/>
  <c r="F25" i="4"/>
  <c r="B26" i="4"/>
  <c r="C26" i="4"/>
  <c r="D26" i="4"/>
  <c r="E26" i="4"/>
  <c r="F26" i="4"/>
  <c r="B27" i="4"/>
  <c r="C27" i="4"/>
  <c r="D27" i="4"/>
  <c r="E27" i="4"/>
  <c r="F27" i="4"/>
  <c r="B28" i="4"/>
  <c r="C28" i="4"/>
  <c r="D28" i="4"/>
  <c r="E28" i="4"/>
  <c r="F28" i="4"/>
  <c r="B29" i="4"/>
  <c r="C29" i="4"/>
  <c r="D29" i="4"/>
  <c r="E29" i="4"/>
  <c r="F29" i="4"/>
  <c r="B30" i="4"/>
  <c r="C30" i="4"/>
  <c r="D30" i="4"/>
  <c r="E30" i="4"/>
  <c r="F30" i="4"/>
  <c r="B31" i="4"/>
  <c r="C31" i="4"/>
  <c r="D31" i="4"/>
  <c r="E31" i="4"/>
  <c r="F31" i="4"/>
  <c r="B32" i="4"/>
  <c r="C32" i="4"/>
  <c r="D32" i="4"/>
  <c r="E32" i="4"/>
  <c r="F32" i="4"/>
  <c r="B33" i="4"/>
  <c r="C33" i="4"/>
  <c r="D33" i="4"/>
  <c r="E33" i="4"/>
  <c r="F33" i="4"/>
  <c r="B34" i="4"/>
  <c r="C34" i="4"/>
  <c r="D34" i="4"/>
  <c r="E34" i="4"/>
  <c r="F34" i="4"/>
  <c r="B35" i="4"/>
  <c r="C35" i="4"/>
  <c r="D35" i="4"/>
  <c r="E35" i="4"/>
  <c r="F35" i="4"/>
  <c r="B36" i="4"/>
  <c r="C36" i="4"/>
  <c r="D36" i="4"/>
  <c r="E36" i="4"/>
  <c r="F36" i="4"/>
  <c r="B37" i="4"/>
  <c r="C37" i="4"/>
  <c r="D37" i="4"/>
  <c r="E37" i="4"/>
  <c r="F37" i="4"/>
  <c r="B38" i="4"/>
  <c r="C38" i="4"/>
  <c r="D38" i="4"/>
  <c r="E38" i="4"/>
  <c r="F38" i="4"/>
  <c r="B39" i="4"/>
  <c r="C39" i="4"/>
  <c r="D39" i="4"/>
  <c r="E39" i="4"/>
  <c r="F39" i="4"/>
  <c r="B40" i="4"/>
  <c r="C40" i="4"/>
  <c r="D40" i="4"/>
  <c r="E40" i="4"/>
  <c r="F40" i="4"/>
  <c r="B41" i="4"/>
  <c r="C41" i="4"/>
  <c r="D41" i="4"/>
  <c r="E41" i="4"/>
  <c r="F41" i="4"/>
  <c r="B42" i="4"/>
  <c r="C42" i="4"/>
  <c r="D42" i="4"/>
  <c r="E42" i="4"/>
  <c r="F42" i="4"/>
  <c r="B43" i="4"/>
  <c r="C43" i="4"/>
  <c r="D43" i="4"/>
  <c r="E43" i="4"/>
  <c r="F43" i="4"/>
  <c r="B44" i="4"/>
  <c r="C44" i="4"/>
  <c r="D44" i="4"/>
  <c r="E44" i="4"/>
  <c r="F44" i="4"/>
  <c r="B45" i="4"/>
  <c r="C45" i="4"/>
  <c r="D45" i="4"/>
  <c r="E45" i="4"/>
  <c r="F45" i="4"/>
  <c r="B46" i="4"/>
  <c r="C46" i="4"/>
  <c r="D46" i="4"/>
  <c r="E46" i="4"/>
  <c r="F46" i="4"/>
  <c r="B47" i="4"/>
  <c r="C47" i="4"/>
  <c r="D47" i="4"/>
  <c r="E47" i="4"/>
  <c r="F47" i="4"/>
  <c r="B48" i="4"/>
  <c r="C48" i="4"/>
  <c r="D48" i="4"/>
  <c r="E48" i="4"/>
  <c r="F48" i="4"/>
  <c r="B49" i="4"/>
  <c r="C49" i="4"/>
  <c r="D49" i="4"/>
  <c r="E49" i="4"/>
  <c r="F49" i="4"/>
  <c r="B50" i="4"/>
  <c r="C50" i="4"/>
  <c r="D50" i="4"/>
  <c r="E50" i="4"/>
  <c r="F50" i="4"/>
  <c r="B51" i="4"/>
  <c r="C51" i="4"/>
  <c r="D51" i="4"/>
  <c r="E51" i="4"/>
  <c r="F51" i="4"/>
  <c r="B52" i="4"/>
  <c r="C52" i="4"/>
  <c r="D52" i="4"/>
  <c r="E52" i="4"/>
  <c r="F52" i="4"/>
  <c r="B53" i="4"/>
  <c r="C53" i="4"/>
  <c r="D53" i="4"/>
  <c r="E53" i="4"/>
  <c r="F53" i="4"/>
  <c r="B54" i="4"/>
  <c r="C54" i="4"/>
  <c r="D54" i="4"/>
  <c r="E54" i="4"/>
  <c r="F54" i="4"/>
  <c r="B55" i="4"/>
  <c r="C55" i="4"/>
  <c r="D55" i="4"/>
  <c r="E55" i="4"/>
  <c r="F55" i="4"/>
  <c r="B56" i="4"/>
  <c r="C56" i="4"/>
  <c r="D56" i="4"/>
  <c r="E56" i="4"/>
  <c r="F56" i="4"/>
  <c r="B57" i="4"/>
  <c r="C57" i="4"/>
  <c r="D57" i="4"/>
  <c r="E57" i="4"/>
  <c r="F57" i="4"/>
  <c r="B58" i="4"/>
  <c r="C58" i="4"/>
  <c r="D58" i="4"/>
  <c r="E58" i="4"/>
  <c r="F58" i="4"/>
  <c r="B59" i="4"/>
  <c r="C59" i="4"/>
  <c r="D59" i="4"/>
  <c r="E59" i="4"/>
  <c r="F59" i="4"/>
  <c r="B60" i="4"/>
  <c r="C60" i="4"/>
  <c r="D60" i="4"/>
  <c r="E60" i="4"/>
  <c r="F60" i="4"/>
  <c r="B61" i="4"/>
  <c r="C61" i="4"/>
  <c r="D61" i="4"/>
  <c r="E61" i="4"/>
  <c r="F61" i="4"/>
  <c r="B62" i="4"/>
  <c r="C62" i="4"/>
  <c r="D62" i="4"/>
  <c r="E62" i="4"/>
  <c r="F62" i="4"/>
  <c r="B63" i="4"/>
  <c r="C63" i="4"/>
  <c r="D63" i="4"/>
  <c r="E63" i="4"/>
  <c r="F63" i="4"/>
  <c r="B64" i="4"/>
  <c r="C64" i="4"/>
  <c r="D64" i="4"/>
  <c r="E64" i="4"/>
  <c r="F64" i="4"/>
  <c r="B65" i="4"/>
  <c r="C65" i="4"/>
  <c r="D65" i="4"/>
  <c r="E65" i="4"/>
  <c r="F65" i="4"/>
  <c r="B66" i="4"/>
  <c r="C66" i="4"/>
  <c r="D66" i="4"/>
  <c r="E66" i="4"/>
  <c r="F66" i="4"/>
  <c r="B67" i="4"/>
  <c r="C67" i="4"/>
  <c r="D67" i="4"/>
  <c r="E67" i="4"/>
  <c r="F67" i="4"/>
  <c r="B68" i="4"/>
  <c r="C68" i="4"/>
  <c r="D68" i="4"/>
  <c r="E68" i="4"/>
  <c r="F68" i="4"/>
  <c r="B69" i="4"/>
  <c r="C69" i="4"/>
  <c r="D69" i="4"/>
  <c r="E69" i="4"/>
  <c r="F69" i="4"/>
  <c r="B70" i="4"/>
  <c r="C70" i="4"/>
  <c r="D70" i="4"/>
  <c r="E70" i="4"/>
  <c r="F70" i="4"/>
  <c r="B71" i="4"/>
  <c r="C71" i="4"/>
  <c r="D71" i="4"/>
  <c r="E71" i="4"/>
  <c r="F71" i="4"/>
  <c r="B72" i="4"/>
  <c r="C72" i="4"/>
  <c r="D72" i="4"/>
  <c r="E72" i="4"/>
  <c r="F72" i="4"/>
  <c r="B73" i="4"/>
  <c r="C73" i="4"/>
  <c r="D73" i="4"/>
  <c r="E73" i="4"/>
  <c r="F73" i="4"/>
  <c r="B74" i="4"/>
  <c r="C74" i="4"/>
  <c r="D74" i="4"/>
  <c r="E74" i="4"/>
  <c r="F74" i="4"/>
  <c r="B75" i="4"/>
  <c r="C75" i="4"/>
  <c r="D75" i="4"/>
  <c r="E75" i="4"/>
  <c r="F75" i="4"/>
  <c r="B76" i="4"/>
  <c r="C76" i="4"/>
  <c r="D76" i="4"/>
  <c r="E76" i="4"/>
  <c r="F76" i="4"/>
  <c r="B77" i="4"/>
  <c r="C77" i="4"/>
  <c r="D77" i="4"/>
  <c r="E77" i="4"/>
  <c r="F77" i="4"/>
  <c r="B78" i="4"/>
  <c r="C78" i="4"/>
  <c r="D78" i="4"/>
  <c r="E78" i="4"/>
  <c r="F78" i="4"/>
  <c r="B79" i="4"/>
  <c r="C79" i="4"/>
  <c r="D79" i="4"/>
  <c r="E79" i="4"/>
  <c r="F79" i="4"/>
  <c r="B80" i="4"/>
  <c r="C80" i="4"/>
  <c r="D80" i="4"/>
  <c r="E80" i="4"/>
  <c r="F80" i="4"/>
  <c r="B81" i="4"/>
  <c r="C81" i="4"/>
  <c r="D81" i="4"/>
  <c r="E81" i="4"/>
  <c r="F81" i="4"/>
  <c r="B82" i="4"/>
  <c r="C82" i="4"/>
  <c r="D82" i="4"/>
  <c r="E82" i="4"/>
  <c r="F82" i="4"/>
  <c r="B83" i="4"/>
  <c r="C83" i="4"/>
  <c r="D83" i="4"/>
  <c r="E83" i="4"/>
  <c r="F83" i="4"/>
  <c r="B84" i="4"/>
  <c r="C84" i="4"/>
  <c r="D84" i="4"/>
  <c r="E84" i="4"/>
  <c r="F84" i="4"/>
  <c r="B85" i="4"/>
  <c r="C85" i="4"/>
  <c r="D85" i="4"/>
  <c r="E85" i="4"/>
  <c r="F85" i="4"/>
  <c r="B86" i="4"/>
  <c r="C86" i="4"/>
  <c r="D86" i="4"/>
  <c r="E86" i="4"/>
  <c r="F86" i="4"/>
  <c r="B87" i="4"/>
  <c r="C87" i="4"/>
  <c r="D87" i="4"/>
  <c r="E87" i="4"/>
  <c r="F87" i="4"/>
  <c r="B88" i="4"/>
  <c r="C88" i="4"/>
  <c r="D88" i="4"/>
  <c r="E88" i="4"/>
  <c r="F88" i="4"/>
  <c r="B89" i="4"/>
  <c r="C89" i="4"/>
  <c r="D89" i="4"/>
  <c r="E89" i="4"/>
  <c r="F89" i="4"/>
  <c r="B90" i="4"/>
  <c r="C90" i="4"/>
  <c r="D90" i="4"/>
  <c r="E90" i="4"/>
  <c r="F90" i="4"/>
  <c r="B91" i="4"/>
  <c r="C91" i="4"/>
  <c r="D91" i="4"/>
  <c r="E91" i="4"/>
  <c r="F91" i="4"/>
  <c r="B92" i="4"/>
  <c r="C92" i="4"/>
  <c r="D92" i="4"/>
  <c r="E92" i="4"/>
  <c r="F92" i="4"/>
  <c r="B93" i="4"/>
  <c r="C93" i="4"/>
  <c r="D93" i="4"/>
  <c r="E93" i="4"/>
  <c r="F93" i="4"/>
  <c r="B94" i="4"/>
  <c r="C94" i="4"/>
  <c r="D94" i="4"/>
  <c r="E94" i="4"/>
  <c r="F94" i="4"/>
  <c r="B95" i="4"/>
  <c r="C95" i="4"/>
  <c r="D95" i="4"/>
  <c r="E95" i="4"/>
  <c r="F95" i="4"/>
  <c r="B96" i="4"/>
  <c r="C96" i="4"/>
  <c r="D96" i="4"/>
  <c r="E96" i="4"/>
  <c r="F96" i="4"/>
  <c r="B97" i="4"/>
  <c r="C97" i="4"/>
  <c r="D97" i="4"/>
  <c r="E97" i="4"/>
  <c r="F97" i="4"/>
  <c r="B98" i="4"/>
  <c r="C98" i="4"/>
  <c r="D98" i="4"/>
  <c r="E98" i="4"/>
  <c r="F98" i="4"/>
  <c r="B99" i="4"/>
  <c r="C99" i="4"/>
  <c r="D99" i="4"/>
  <c r="E99" i="4"/>
  <c r="F99" i="4"/>
  <c r="B100" i="4"/>
  <c r="C100" i="4"/>
  <c r="D100" i="4"/>
  <c r="E100" i="4"/>
  <c r="F100" i="4"/>
  <c r="B101" i="4"/>
  <c r="C101" i="4"/>
  <c r="D101" i="4"/>
  <c r="E101" i="4"/>
  <c r="F101" i="4"/>
  <c r="B102" i="4"/>
  <c r="C102" i="4"/>
  <c r="D102" i="4"/>
  <c r="E102" i="4"/>
  <c r="F102" i="4"/>
  <c r="B103" i="4"/>
  <c r="C103" i="4"/>
  <c r="D103" i="4"/>
  <c r="E103" i="4"/>
  <c r="F103" i="4"/>
  <c r="B104" i="4"/>
  <c r="C104" i="4"/>
  <c r="D104" i="4"/>
  <c r="E104" i="4"/>
  <c r="F104" i="4"/>
  <c r="B105" i="4"/>
  <c r="C105" i="4"/>
  <c r="D105" i="4"/>
  <c r="E105" i="4"/>
  <c r="F105" i="4"/>
  <c r="B106" i="4"/>
  <c r="C106" i="4"/>
  <c r="D106" i="4"/>
  <c r="E106" i="4"/>
  <c r="F106" i="4"/>
  <c r="B107" i="4"/>
  <c r="C107" i="4"/>
  <c r="D107" i="4"/>
  <c r="E107" i="4"/>
  <c r="F107" i="4"/>
  <c r="B108" i="4"/>
  <c r="C108" i="4"/>
  <c r="D108" i="4"/>
  <c r="E108" i="4"/>
  <c r="F108" i="4"/>
  <c r="B109" i="4"/>
  <c r="C109" i="4"/>
  <c r="D109" i="4"/>
  <c r="E109" i="4"/>
  <c r="F109" i="4"/>
  <c r="B110" i="4"/>
  <c r="C110" i="4"/>
  <c r="D110" i="4"/>
  <c r="E110" i="4"/>
  <c r="F110" i="4"/>
  <c r="B111" i="4"/>
  <c r="C111" i="4"/>
  <c r="D111" i="4"/>
  <c r="E111" i="4"/>
  <c r="F111" i="4"/>
  <c r="B112" i="4"/>
  <c r="C112" i="4"/>
  <c r="D112" i="4"/>
  <c r="E112" i="4"/>
  <c r="F112" i="4"/>
  <c r="B113" i="4"/>
  <c r="C113" i="4"/>
  <c r="D113" i="4"/>
  <c r="E113" i="4"/>
  <c r="F113" i="4"/>
  <c r="B114" i="4"/>
  <c r="C114" i="4"/>
  <c r="D114" i="4"/>
  <c r="E114" i="4"/>
  <c r="F114" i="4"/>
  <c r="B115" i="4"/>
  <c r="C115" i="4"/>
  <c r="D115" i="4"/>
  <c r="E115" i="4"/>
  <c r="F115" i="4"/>
  <c r="B116" i="4"/>
  <c r="C116" i="4"/>
  <c r="D116" i="4"/>
  <c r="E116" i="4"/>
  <c r="F116" i="4"/>
  <c r="B117" i="4"/>
  <c r="C117" i="4"/>
  <c r="D117" i="4"/>
  <c r="E117" i="4"/>
  <c r="F117" i="4"/>
  <c r="B118" i="4"/>
  <c r="C118" i="4"/>
  <c r="D118" i="4"/>
  <c r="E118" i="4"/>
  <c r="F118" i="4"/>
  <c r="B119" i="4"/>
  <c r="C119" i="4"/>
  <c r="D119" i="4"/>
  <c r="E119" i="4"/>
  <c r="F119" i="4"/>
  <c r="B120" i="4"/>
  <c r="C120" i="4"/>
  <c r="D120" i="4"/>
  <c r="E120" i="4"/>
  <c r="F120" i="4"/>
  <c r="B121" i="4"/>
  <c r="C121" i="4"/>
  <c r="D121" i="4"/>
  <c r="E121" i="4"/>
  <c r="F121" i="4"/>
  <c r="B122" i="4"/>
  <c r="C122" i="4"/>
  <c r="D122" i="4"/>
  <c r="E122" i="4"/>
  <c r="F122" i="4"/>
  <c r="B123" i="4"/>
  <c r="C123" i="4"/>
  <c r="D123" i="4"/>
  <c r="E123" i="4"/>
  <c r="F123" i="4"/>
  <c r="B124" i="4"/>
  <c r="C124" i="4"/>
  <c r="D124" i="4"/>
  <c r="E124" i="4"/>
  <c r="F124" i="4"/>
  <c r="B125" i="4"/>
  <c r="C125" i="4"/>
  <c r="D125" i="4"/>
  <c r="E125" i="4"/>
  <c r="F125" i="4"/>
  <c r="B126" i="4"/>
  <c r="C126" i="4"/>
  <c r="D126" i="4"/>
  <c r="E126" i="4"/>
  <c r="F126" i="4"/>
  <c r="B127" i="4"/>
  <c r="C127" i="4"/>
  <c r="D127" i="4"/>
  <c r="E127" i="4"/>
  <c r="F127" i="4"/>
  <c r="B128" i="4"/>
  <c r="C128" i="4"/>
  <c r="D128" i="4"/>
  <c r="E128" i="4"/>
  <c r="F128" i="4"/>
  <c r="B129" i="4"/>
  <c r="C129" i="4"/>
  <c r="D129" i="4"/>
  <c r="E129" i="4"/>
  <c r="F129" i="4"/>
  <c r="B130" i="4"/>
  <c r="C130" i="4"/>
  <c r="D130" i="4"/>
  <c r="E130" i="4"/>
  <c r="F130" i="4"/>
  <c r="B131" i="4"/>
  <c r="C131" i="4"/>
  <c r="D131" i="4"/>
  <c r="E131" i="4"/>
  <c r="F131" i="4"/>
  <c r="B132" i="4"/>
  <c r="C132" i="4"/>
  <c r="D132" i="4"/>
  <c r="E132" i="4"/>
  <c r="F132" i="4"/>
  <c r="B133" i="4"/>
  <c r="C133" i="4"/>
  <c r="D133" i="4"/>
  <c r="E133" i="4"/>
  <c r="F133" i="4"/>
  <c r="B134" i="4"/>
  <c r="C134" i="4"/>
  <c r="D134" i="4"/>
  <c r="E134" i="4"/>
  <c r="F134" i="4"/>
  <c r="B135" i="4"/>
  <c r="C135" i="4"/>
  <c r="D135" i="4"/>
  <c r="E135" i="4"/>
  <c r="F135" i="4"/>
  <c r="B136" i="4"/>
  <c r="C136" i="4"/>
  <c r="D136" i="4"/>
  <c r="E136" i="4"/>
  <c r="F136" i="4"/>
  <c r="B137" i="4"/>
  <c r="C137" i="4"/>
  <c r="D137" i="4"/>
  <c r="E137" i="4"/>
  <c r="F137" i="4"/>
  <c r="B138" i="4"/>
  <c r="C138" i="4"/>
  <c r="D138" i="4"/>
  <c r="E138" i="4"/>
  <c r="F138" i="4"/>
  <c r="B139" i="4"/>
  <c r="C139" i="4"/>
  <c r="D139" i="4"/>
  <c r="E139" i="4"/>
  <c r="F139" i="4"/>
  <c r="B140" i="4"/>
  <c r="C140" i="4"/>
  <c r="D140" i="4"/>
  <c r="E140" i="4"/>
  <c r="F140" i="4"/>
  <c r="B141" i="4"/>
  <c r="C141" i="4"/>
  <c r="D141" i="4"/>
  <c r="E141" i="4"/>
  <c r="F141" i="4"/>
  <c r="B142" i="4"/>
  <c r="C142" i="4"/>
  <c r="D142" i="4"/>
  <c r="E142" i="4"/>
  <c r="F142" i="4"/>
  <c r="B143" i="4"/>
  <c r="C143" i="4"/>
  <c r="D143" i="4"/>
  <c r="E143" i="4"/>
  <c r="F143" i="4"/>
  <c r="B144" i="4"/>
  <c r="C144" i="4"/>
  <c r="D144" i="4"/>
  <c r="E144" i="4"/>
  <c r="F144" i="4"/>
  <c r="B145" i="4"/>
  <c r="C145" i="4"/>
  <c r="D145" i="4"/>
  <c r="E145" i="4"/>
  <c r="F145" i="4"/>
  <c r="B146" i="4"/>
  <c r="C146" i="4"/>
  <c r="D146" i="4"/>
  <c r="E146" i="4"/>
  <c r="F146" i="4"/>
  <c r="B147" i="4"/>
  <c r="C147" i="4"/>
  <c r="D147" i="4"/>
  <c r="E147" i="4"/>
  <c r="F147" i="4"/>
  <c r="B148" i="4"/>
  <c r="C148" i="4"/>
  <c r="D148" i="4"/>
  <c r="E148" i="4"/>
  <c r="F148" i="4"/>
  <c r="B149" i="4"/>
  <c r="C149" i="4"/>
  <c r="D149" i="4"/>
  <c r="E149" i="4"/>
  <c r="F149" i="4"/>
  <c r="B150" i="4"/>
  <c r="C150" i="4"/>
  <c r="D150" i="4"/>
  <c r="E150" i="4"/>
  <c r="F150" i="4"/>
  <c r="B151" i="4"/>
  <c r="C151" i="4"/>
  <c r="D151" i="4"/>
  <c r="E151" i="4"/>
  <c r="F151" i="4"/>
  <c r="B152" i="4"/>
  <c r="C152" i="4"/>
  <c r="D152" i="4"/>
  <c r="E152" i="4"/>
  <c r="F152" i="4"/>
  <c r="B153" i="4"/>
  <c r="C153" i="4"/>
  <c r="D153" i="4"/>
  <c r="E153" i="4"/>
  <c r="F153" i="4"/>
  <c r="B154" i="4"/>
  <c r="C154" i="4"/>
  <c r="D154" i="4"/>
  <c r="E154" i="4"/>
  <c r="F154" i="4"/>
  <c r="B155" i="4"/>
  <c r="C155" i="4"/>
  <c r="D155" i="4"/>
  <c r="E155" i="4"/>
  <c r="F155" i="4"/>
  <c r="B156" i="4"/>
  <c r="C156" i="4"/>
  <c r="D156" i="4"/>
  <c r="E156" i="4"/>
  <c r="F156" i="4"/>
  <c r="B157" i="4"/>
  <c r="C157" i="4"/>
  <c r="D157" i="4"/>
  <c r="E157" i="4"/>
  <c r="F157" i="4"/>
  <c r="B158" i="4"/>
  <c r="C158" i="4"/>
  <c r="D158" i="4"/>
  <c r="E158" i="4"/>
  <c r="F158" i="4"/>
  <c r="B159" i="4"/>
  <c r="C159" i="4"/>
  <c r="D159" i="4"/>
  <c r="E159" i="4"/>
  <c r="F159" i="4"/>
  <c r="B160" i="4"/>
  <c r="C160" i="4"/>
  <c r="D160" i="4"/>
  <c r="E160" i="4"/>
  <c r="F160" i="4"/>
  <c r="B161" i="4"/>
  <c r="C161" i="4"/>
  <c r="D161" i="4"/>
  <c r="E161" i="4"/>
  <c r="F161" i="4"/>
  <c r="B162" i="4"/>
  <c r="C162" i="4"/>
  <c r="D162" i="4"/>
  <c r="E162" i="4"/>
  <c r="F162" i="4"/>
  <c r="B163" i="4"/>
  <c r="C163" i="4"/>
  <c r="D163" i="4"/>
  <c r="E163" i="4"/>
  <c r="F163" i="4"/>
  <c r="B164" i="4"/>
  <c r="C164" i="4"/>
  <c r="D164" i="4"/>
  <c r="E164" i="4"/>
  <c r="F164" i="4"/>
  <c r="B165" i="4"/>
  <c r="C165" i="4"/>
  <c r="D165" i="4"/>
  <c r="E165" i="4"/>
  <c r="F165" i="4"/>
  <c r="B166" i="4"/>
  <c r="C166" i="4"/>
  <c r="D166" i="4"/>
  <c r="E166" i="4"/>
  <c r="F166" i="4"/>
  <c r="B167" i="4"/>
  <c r="C167" i="4"/>
  <c r="D167" i="4"/>
  <c r="E167" i="4"/>
  <c r="F167" i="4"/>
  <c r="B168" i="4"/>
  <c r="C168" i="4"/>
  <c r="D168" i="4"/>
  <c r="E168" i="4"/>
  <c r="F168" i="4"/>
  <c r="B169" i="4"/>
  <c r="C169" i="4"/>
  <c r="D169" i="4"/>
  <c r="E169" i="4"/>
  <c r="F169" i="4"/>
  <c r="B170" i="4"/>
  <c r="C170" i="4"/>
  <c r="D170" i="4"/>
  <c r="E170" i="4"/>
  <c r="F170" i="4"/>
  <c r="B171" i="4"/>
  <c r="C171" i="4"/>
  <c r="D171" i="4"/>
  <c r="E171" i="4"/>
  <c r="F171" i="4"/>
  <c r="B172" i="4"/>
  <c r="C172" i="4"/>
  <c r="D172" i="4"/>
  <c r="E172" i="4"/>
  <c r="F172" i="4"/>
  <c r="B173" i="4"/>
  <c r="C173" i="4"/>
  <c r="D173" i="4"/>
  <c r="E173" i="4"/>
  <c r="F173" i="4"/>
  <c r="B174" i="4"/>
  <c r="C174" i="4"/>
  <c r="D174" i="4"/>
  <c r="E174" i="4"/>
  <c r="F174" i="4"/>
  <c r="B175" i="4"/>
  <c r="C175" i="4"/>
  <c r="D175" i="4"/>
  <c r="E175" i="4"/>
  <c r="F175" i="4"/>
  <c r="B176" i="4"/>
  <c r="C176" i="4"/>
  <c r="D176" i="4"/>
  <c r="E176" i="4"/>
  <c r="F176" i="4"/>
  <c r="B177" i="4"/>
  <c r="C177" i="4"/>
  <c r="D177" i="4"/>
  <c r="E177" i="4"/>
  <c r="F177" i="4"/>
  <c r="B178" i="4"/>
  <c r="C178" i="4"/>
  <c r="D178" i="4"/>
  <c r="E178" i="4"/>
  <c r="F178" i="4"/>
  <c r="B179" i="4"/>
  <c r="C179" i="4"/>
  <c r="D179" i="4"/>
  <c r="E179" i="4"/>
  <c r="F179" i="4"/>
  <c r="B180" i="4"/>
  <c r="C180" i="4"/>
  <c r="D180" i="4"/>
  <c r="E180" i="4"/>
  <c r="F180" i="4"/>
  <c r="B181" i="4"/>
  <c r="C181" i="4"/>
  <c r="D181" i="4"/>
  <c r="E181" i="4"/>
  <c r="F181" i="4"/>
  <c r="B182" i="4"/>
  <c r="C182" i="4"/>
  <c r="D182" i="4"/>
  <c r="E182" i="4"/>
  <c r="F182" i="4"/>
  <c r="B183" i="4"/>
  <c r="C183" i="4"/>
  <c r="D183" i="4"/>
  <c r="E183" i="4"/>
  <c r="F183" i="4"/>
  <c r="B184" i="4"/>
  <c r="C184" i="4"/>
  <c r="D184" i="4"/>
  <c r="E184"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B3" i="4"/>
  <c r="C3" i="4"/>
  <c r="D3" i="4"/>
  <c r="E3" i="4"/>
  <c r="F3" i="4"/>
  <c r="B2" i="4"/>
  <c r="F2" i="4"/>
  <c r="E3" i="5"/>
  <c r="F3" i="5"/>
  <c r="B2" i="5"/>
  <c r="F2" i="5"/>
  <c r="B2" i="1"/>
  <c r="F2" i="1"/>
  <c r="F3" i="1"/>
  <c r="E3" i="1"/>
</calcChain>
</file>

<file path=xl/sharedStrings.xml><?xml version="1.0" encoding="utf-8"?>
<sst xmlns="http://schemas.openxmlformats.org/spreadsheetml/2006/main" count="6333" uniqueCount="3497">
  <si>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</si>
  <si>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</si>
  <si>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</si>
  <si>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</si>
  <si>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</si>
  <si>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</si>
  <si>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</si>
  <si>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</si>
  <si>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</si>
  <si>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</si>
  <si>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</si>
  <si>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</si>
  <si>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</si>
  <si>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</si>
  <si>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</si>
  <si>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</si>
  <si>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</si>
  <si>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</si>
  <si>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</si>
  <si>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</si>
  <si>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</si>
  <si>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</si>
  <si>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</si>
  <si>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</si>
  <si>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</si>
  <si>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</si>
  <si>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</si>
  <si>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</si>
  <si>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</si>
  <si>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</si>
  <si>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</si>
  <si>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</si>
  <si>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</si>
  <si>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</si>
  <si>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</si>
  <si>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</si>
  <si>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</si>
  <si>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</si>
  <si>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</si>
  <si>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</si>
  <si>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</si>
  <si>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</si>
  <si>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</si>
  <si>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</si>
  <si>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</si>
  <si>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</si>
  <si>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</si>
  <si>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</si>
  <si>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</si>
  <si>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</si>
  <si>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</si>
  <si>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</si>
  <si>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</si>
  <si>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</si>
  <si>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</si>
  <si>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</si>
  <si>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</si>
  <si>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</si>
  <si>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</si>
  <si>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</si>
  <si>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</si>
  <si>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</si>
  <si>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</si>
  <si>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</si>
  <si>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</si>
  <si>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</si>
  <si>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</si>
  <si>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</si>
  <si>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</si>
  <si>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</si>
  <si>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</si>
  <si>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</si>
  <si>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</si>
  <si>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</si>
  <si>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</si>
  <si>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</si>
  <si>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</si>
  <si>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</si>
  <si>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</si>
  <si>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</si>
  <si>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</si>
  <si>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</si>
  <si>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</si>
  <si>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</si>
  <si>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</si>
  <si>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</si>
  <si>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</si>
  <si>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</si>
  <si>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</si>
  <si>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</si>
  <si>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</si>
  <si>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</si>
  <si>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</si>
  <si>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</si>
  <si>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</si>
  <si>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</si>
  <si>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</si>
  <si>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</si>
  <si>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</si>
  <si>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</si>
  <si>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</si>
  <si>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</si>
  <si>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</si>
  <si>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</si>
  <si>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</si>
  <si>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</si>
  <si>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</si>
  <si>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</si>
  <si>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</si>
  <si>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</si>
  <si>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</si>
  <si>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</si>
  <si>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</si>
  <si>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</si>
  <si>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</si>
  <si>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</si>
  <si>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</si>
  <si>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</si>
  <si>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</si>
  <si>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</si>
  <si>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</si>
  <si>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</si>
  <si>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</si>
  <si>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</si>
  <si>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</si>
  <si>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</si>
  <si>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</si>
  <si>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</si>
  <si>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</si>
  <si>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</si>
  <si>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</si>
  <si>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</si>
  <si>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</si>
  <si>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</si>
  <si>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</si>
  <si>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</si>
  <si>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</si>
  <si>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</si>
  <si>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</si>
  <si>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</si>
  <si>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</si>
  <si>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</si>
  <si>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</si>
  <si>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</si>
  <si>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</si>
  <si>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</si>
  <si>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</si>
  <si>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</si>
  <si>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</si>
  <si>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</si>
  <si>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</si>
  <si>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</si>
  <si>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</si>
  <si>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</si>
  <si>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</si>
  <si>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</si>
  <si>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</si>
  <si>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</si>
  <si>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</si>
  <si>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</si>
  <si>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</si>
  <si>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</si>
  <si>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</si>
  <si>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</si>
  <si>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</si>
  <si>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</si>
  <si>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</si>
  <si>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</si>
  <si>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</si>
  <si>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</si>
  <si>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</si>
  <si>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</si>
  <si>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</si>
  <si>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</si>
  <si>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</si>
  <si>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</si>
  <si>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</si>
  <si>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</si>
  <si>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</si>
  <si>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</si>
  <si>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</si>
  <si>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</si>
  <si>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</si>
  <si>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</si>
  <si>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</si>
  <si>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</si>
  <si>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</si>
  <si>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</si>
  <si>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</si>
  <si>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</si>
  <si>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</si>
  <si>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</si>
  <si>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</si>
  <si>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</si>
  <si>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</si>
  <si>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</si>
  <si>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</si>
  <si>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</si>
  <si>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</si>
  <si>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</si>
  <si>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</si>
  <si>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</si>
  <si>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</si>
  <si>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</si>
  <si>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</si>
  <si>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</si>
  <si>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</si>
  <si>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</si>
  <si>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</si>
  <si>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</si>
  <si>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</si>
  <si>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</si>
  <si>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</si>
  <si>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</si>
  <si>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</si>
  <si>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</si>
  <si>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</si>
  <si>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</si>
  <si>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</si>
  <si>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</si>
  <si>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</si>
  <si>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</si>
  <si>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</si>
  <si>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</si>
  <si>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</si>
  <si>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</si>
  <si>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</si>
  <si>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</si>
  <si>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</si>
  <si>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</si>
  <si>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</si>
  <si>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</si>
  <si>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</si>
  <si>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</si>
  <si>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</si>
  <si>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</si>
  <si>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</si>
  <si>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</si>
  <si>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</si>
  <si>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</si>
  <si>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</si>
  <si>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</si>
  <si>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</si>
  <si>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</si>
  <si>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</si>
  <si>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</si>
  <si>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</si>
  <si>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</si>
  <si>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</si>
  <si>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</si>
  <si>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</si>
  <si>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</si>
  <si>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</si>
  <si>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</si>
  <si>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</si>
  <si>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</si>
  <si>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</si>
  <si>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</si>
  <si>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</si>
  <si>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</si>
  <si>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</si>
  <si>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</si>
  <si>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</si>
  <si>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</si>
  <si>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</si>
  <si>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</si>
  <si>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</si>
  <si>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</si>
  <si>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</si>
  <si>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</si>
  <si>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</si>
  <si>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</si>
  <si>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</si>
  <si>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</si>
  <si>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</si>
  <si>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</si>
  <si>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</si>
  <si>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</si>
  <si>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</si>
  <si>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</si>
  <si>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</si>
  <si>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</si>
  <si>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</si>
  <si>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</si>
  <si>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</si>
  <si>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</si>
  <si>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</si>
  <si>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</si>
  <si>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</si>
  <si>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</si>
  <si>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</si>
  <si>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</si>
  <si>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</si>
  <si>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</si>
  <si>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</si>
  <si>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</si>
  <si>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</si>
  <si>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</si>
  <si>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</si>
  <si>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</si>
  <si>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</si>
  <si>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</si>
  <si>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</si>
  <si>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</si>
  <si>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</si>
  <si>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</si>
  <si>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</si>
  <si>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</si>
  <si>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</si>
  <si>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</si>
  <si>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</si>
  <si>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</si>
  <si>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</si>
  <si>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</si>
  <si>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</si>
  <si>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</si>
  <si>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</si>
  <si>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</si>
  <si>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</si>
  <si>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</si>
  <si>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</si>
  <si>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</si>
  <si>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</si>
  <si>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</si>
  <si>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</si>
  <si>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</si>
  <si>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</si>
  <si>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</si>
  <si>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</si>
  <si>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</si>
  <si>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</si>
  <si>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</si>
  <si>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</si>
  <si>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</si>
  <si>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</si>
  <si>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</si>
  <si>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</si>
  <si>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</si>
  <si>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</si>
  <si>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</si>
  <si>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</si>
  <si>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</si>
  <si>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</si>
  <si>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</si>
  <si>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</si>
  <si>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</si>
  <si>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</si>
  <si>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</si>
  <si>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</si>
  <si>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</si>
  <si>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</si>
  <si>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</si>
  <si>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</si>
  <si>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</si>
  <si>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</si>
  <si>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</si>
  <si>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</si>
  <si>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</si>
  <si>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</si>
  <si>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</si>
  <si>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</si>
  <si>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</si>
  <si>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</si>
  <si>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</si>
  <si>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</si>
  <si>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</si>
  <si>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</si>
  <si>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</si>
  <si>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</si>
  <si>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</si>
  <si>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</si>
  <si>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</si>
  <si>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</si>
  <si>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</si>
  <si>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</si>
  <si>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</si>
  <si>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</si>
  <si>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</si>
  <si>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</si>
  <si>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</si>
  <si>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</si>
  <si>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</si>
  <si>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</si>
  <si>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</si>
  <si>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</si>
  <si>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</si>
  <si>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</si>
  <si>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</si>
  <si>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</si>
  <si>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</si>
  <si>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</si>
  <si>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</si>
  <si>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</si>
  <si>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</si>
  <si>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</si>
  <si>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</si>
  <si>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</si>
  <si>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</si>
  <si>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</si>
  <si>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</si>
  <si>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</si>
  <si>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</si>
  <si>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</si>
  <si>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</si>
  <si>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</si>
  <si>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</si>
  <si>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</si>
  <si>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</si>
  <si>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</si>
  <si>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</si>
  <si>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</si>
  <si>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</si>
  <si>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</si>
  <si>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</si>
  <si>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</si>
  <si>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</si>
  <si>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</si>
  <si>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</si>
  <si>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</si>
  <si>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</si>
  <si>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</si>
  <si>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</si>
  <si>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</si>
  <si>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</si>
  <si>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</si>
  <si>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</si>
  <si>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</si>
  <si>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</si>
  <si>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</si>
  <si>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</si>
  <si>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</si>
  <si>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</si>
  <si>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</si>
  <si>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</si>
  <si>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</si>
  <si>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</si>
  <si>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</si>
  <si>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</si>
  <si>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</si>
  <si>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</si>
  <si>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</si>
  <si>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</si>
  <si>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</si>
  <si>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</si>
  <si>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</si>
  <si>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</si>
  <si>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</si>
  <si>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</si>
  <si>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</si>
  <si>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</si>
  <si>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</si>
  <si>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</si>
  <si>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</si>
  <si>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</si>
  <si>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</si>
  <si>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</si>
  <si>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</si>
  <si>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</si>
  <si>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</si>
  <si>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</si>
  <si>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</si>
  <si>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</si>
  <si>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</si>
  <si>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</si>
  <si>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</si>
  <si>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</si>
  <si>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</si>
  <si>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</si>
  <si>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</si>
  <si>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</si>
  <si>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</si>
  <si>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</si>
  <si>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</si>
  <si>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</si>
  <si>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</si>
  <si>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</si>
  <si>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</si>
  <si>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</si>
  <si>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</si>
  <si>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</si>
  <si>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</si>
  <si>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</si>
  <si>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</si>
  <si>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</si>
  <si>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</si>
  <si>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</si>
  <si>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</si>
  <si>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</si>
  <si>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</si>
  <si>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</si>
  <si>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</si>
  <si>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</si>
  <si>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</si>
  <si>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</si>
  <si>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</si>
  <si>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</si>
  <si>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</si>
  <si>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</si>
  <si>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</si>
  <si>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</si>
  <si>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</si>
  <si>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</si>
  <si>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</si>
  <si>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</si>
  <si>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</si>
  <si>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</si>
  <si>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</si>
  <si>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</si>
  <si>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</si>
  <si>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</si>
  <si>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</si>
  <si>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</si>
  <si>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</si>
  <si>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</si>
  <si>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</si>
  <si>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</si>
  <si>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</si>
  <si>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</si>
  <si>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</si>
  <si>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</si>
  <si>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</si>
  <si>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</si>
  <si>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</si>
  <si>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</si>
  <si>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</si>
  <si>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</si>
  <si>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</si>
  <si>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</si>
  <si>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</si>
  <si>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</si>
  <si>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</si>
  <si>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</si>
  <si>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</si>
  <si>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</si>
  <si>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</si>
  <si>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</si>
  <si>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</si>
  <si>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</si>
  <si>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</si>
  <si>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</si>
  <si>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</si>
  <si>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</si>
  <si>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</si>
  <si>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</si>
  <si>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</si>
  <si>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</si>
  <si>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</si>
  <si>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</si>
  <si>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</si>
  <si>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</si>
  <si>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</si>
  <si>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</si>
  <si>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</si>
  <si>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</si>
  <si>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</si>
  <si>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</si>
  <si>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</si>
  <si>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</si>
  <si>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</si>
  <si>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</si>
  <si>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</si>
  <si>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</si>
  <si>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</si>
  <si>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</si>
  <si>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</si>
  <si>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</si>
  <si>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</si>
  <si>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</si>
  <si>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</si>
  <si>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</si>
  <si>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</si>
  <si>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</si>
  <si>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</si>
  <si>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</si>
  <si>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</si>
  <si>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</si>
  <si>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</si>
  <si>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</si>
  <si>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</si>
  <si>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</si>
  <si>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</si>
  <si>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</si>
  <si>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</si>
  <si>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</si>
  <si>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</si>
  <si>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</si>
  <si>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</si>
  <si>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</si>
  <si>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</si>
  <si>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</si>
  <si>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</si>
  <si>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</si>
  <si>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</si>
  <si>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</si>
  <si>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</si>
  <si>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</si>
  <si>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</si>
  <si>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</si>
  <si>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</si>
  <si>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</si>
  <si>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</si>
  <si>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</si>
  <si>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</si>
  <si>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</si>
  <si>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</si>
  <si>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</si>
  <si>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</si>
  <si>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</si>
  <si>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</si>
  <si>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</si>
  <si>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</si>
  <si>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</si>
  <si>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</si>
  <si>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</si>
  <si>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</si>
  <si>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</si>
  <si>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</si>
  <si>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</si>
  <si>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</si>
  <si>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</si>
  <si>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</si>
  <si>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</si>
  <si>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</si>
  <si>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</si>
  <si>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</si>
  <si>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</si>
  <si>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</si>
  <si>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</si>
  <si>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</si>
  <si>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</si>
  <si>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</si>
  <si>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</si>
  <si>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</si>
  <si>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</si>
  <si>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</si>
  <si>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</si>
  <si>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</si>
  <si>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</si>
  <si>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</si>
  <si>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</si>
  <si>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</si>
  <si>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</si>
  <si>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</si>
  <si>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</si>
  <si>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</si>
  <si>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</si>
  <si>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</si>
  <si>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</si>
  <si>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</si>
  <si>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</si>
  <si>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</si>
  <si>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</si>
  <si>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</si>
  <si>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</si>
  <si>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</si>
  <si>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</si>
  <si>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</si>
  <si>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</si>
  <si>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</si>
  <si>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</si>
  <si>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</si>
  <si>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</si>
  <si>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</si>
  <si>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</si>
  <si>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</si>
  <si>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</si>
  <si>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</si>
  <si>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</si>
  <si>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</si>
  <si>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</si>
  <si>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</si>
  <si>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</si>
  <si>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</si>
  <si>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</si>
  <si>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</si>
  <si>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</si>
  <si>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</si>
  <si>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</si>
  <si>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</si>
  <si>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</si>
  <si>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</si>
  <si>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</si>
  <si>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</si>
  <si>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</si>
  <si>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</si>
  <si>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</si>
  <si>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</si>
  <si>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</si>
  <si>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</si>
  <si>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</si>
  <si>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</si>
  <si>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</si>
  <si>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</si>
  <si>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</si>
  <si>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</si>
  <si>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</si>
  <si>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</si>
  <si>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</si>
  <si>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</si>
  <si>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</si>
  <si>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</si>
  <si>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</si>
  <si>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</si>
  <si>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</si>
  <si>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</si>
  <si>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</si>
  <si>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</si>
  <si>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</si>
  <si>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</si>
  <si>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</si>
  <si>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</si>
  <si>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</si>
  <si>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</si>
  <si>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</si>
  <si>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</si>
  <si>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</si>
  <si>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</si>
  <si>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</si>
  <si>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</si>
  <si>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</si>
  <si>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</si>
  <si>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</si>
  <si>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</si>
  <si>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</si>
  <si>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</si>
  <si>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</si>
  <si>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</si>
  <si>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</si>
  <si>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</si>
  <si>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</si>
  <si>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</si>
  <si>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</si>
  <si>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</si>
  <si>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</si>
  <si>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</si>
  <si>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</si>
  <si>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</si>
  <si>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</si>
  <si>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</si>
  <si>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</si>
  <si>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</si>
  <si>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</si>
  <si>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</si>
  <si>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</si>
  <si>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</si>
  <si>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</si>
  <si>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</si>
  <si>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</si>
  <si>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</si>
  <si>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</si>
  <si>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</si>
  <si>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</si>
  <si>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</si>
  <si>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</si>
  <si>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</si>
  <si>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</si>
  <si>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</si>
  <si>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</si>
  <si>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</si>
  <si>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</si>
  <si>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</si>
  <si>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</si>
  <si>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</si>
  <si>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</si>
  <si>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</si>
  <si>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</si>
  <si>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</si>
  <si>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</si>
  <si>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</si>
  <si>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</si>
  <si>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</si>
  <si>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</si>
  <si>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</si>
  <si>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</si>
  <si>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</si>
  <si>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</si>
  <si>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</si>
  <si>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</si>
  <si>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</si>
  <si>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</si>
  <si>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</si>
  <si>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</si>
  <si>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</si>
  <si>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</si>
  <si>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</si>
  <si>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</si>
  <si>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</si>
  <si>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</si>
  <si>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</si>
  <si>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</si>
  <si>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</si>
  <si>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</si>
  <si>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</si>
  <si>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</si>
  <si>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</si>
  <si>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</si>
  <si>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</si>
  <si>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</si>
  <si>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</si>
  <si>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</si>
  <si>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</si>
  <si>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</si>
  <si>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</si>
  <si>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</si>
  <si>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</si>
  <si>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</si>
  <si>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</si>
  <si>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</si>
  <si>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</si>
  <si>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</si>
  <si>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</si>
  <si>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</si>
  <si>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</si>
  <si>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</si>
  <si>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</si>
  <si>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</si>
  <si>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</si>
  <si>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</si>
  <si>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</si>
  <si>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</si>
  <si>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</si>
  <si>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</si>
  <si>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</si>
  <si>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</si>
  <si>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</si>
  <si>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</si>
  <si>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</si>
  <si>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</si>
  <si>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</si>
  <si>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</si>
  <si>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</si>
  <si>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</si>
  <si>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</si>
  <si>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</si>
  <si>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</si>
  <si>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</si>
  <si>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</si>
  <si>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</si>
  <si>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</si>
  <si>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</si>
  <si>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</si>
  <si>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</si>
  <si>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</si>
  <si>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</si>
  <si>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</si>
  <si>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</si>
  <si>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</si>
  <si>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</si>
  <si>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</si>
  <si>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</si>
  <si>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</si>
  <si>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</si>
  <si>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</si>
  <si>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</si>
  <si>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</si>
  <si>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</si>
  <si>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</si>
  <si>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</si>
  <si>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</si>
  <si>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</si>
  <si>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</si>
  <si>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</si>
  <si>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</si>
  <si>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</si>
  <si>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</si>
  <si>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</si>
  <si>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</si>
  <si>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</si>
  <si>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</si>
  <si>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</si>
  <si>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</si>
  <si>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</si>
  <si>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</si>
  <si>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</si>
  <si>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</si>
  <si>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</si>
  <si>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</si>
  <si>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</si>
  <si>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</si>
  <si>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</si>
  <si>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</si>
  <si>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</si>
  <si>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</si>
  <si>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</si>
  <si>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</si>
  <si>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</si>
  <si>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</si>
  <si>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</si>
  <si>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</si>
  <si>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</si>
  <si>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</si>
  <si>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</si>
  <si>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</si>
  <si>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</si>
  <si>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</si>
  <si>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</si>
  <si>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</si>
  <si>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</si>
  <si>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</si>
  <si>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</si>
  <si>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</si>
  <si>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</si>
  <si>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</si>
  <si>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</si>
  <si>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</si>
  <si>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</si>
  <si>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</si>
  <si>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</si>
  <si>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</si>
  <si>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</si>
  <si>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</si>
  <si>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</si>
  <si>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</si>
  <si>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</si>
  <si>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</si>
  <si>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</si>
  <si>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</si>
  <si>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</si>
  <si>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</si>
  <si>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</si>
  <si>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</si>
  <si>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</si>
  <si>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</si>
  <si>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</si>
  <si>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</si>
  <si>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</si>
  <si>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</si>
  <si>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</si>
  <si>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</si>
  <si>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</si>
  <si>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</si>
  <si>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</si>
  <si>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</si>
  <si>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</si>
  <si>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</si>
  <si>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</si>
  <si>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</si>
  <si>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</si>
  <si>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</si>
  <si>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</si>
  <si>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</si>
  <si>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</si>
  <si>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</si>
  <si>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</si>
  <si>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</si>
  <si>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</si>
  <si>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</si>
  <si>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</si>
  <si>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</si>
  <si>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</si>
  <si>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</si>
  <si>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</si>
  <si>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</si>
  <si>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</si>
  <si>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</si>
  <si>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</si>
  <si>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</si>
  <si>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</si>
  <si>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</si>
  <si>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</si>
  <si>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</si>
  <si>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</si>
  <si>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</si>
  <si>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</si>
  <si>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</si>
  <si>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</si>
  <si>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</si>
  <si>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</si>
  <si>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</si>
  <si>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</si>
  <si>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</si>
  <si>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</si>
  <si>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</si>
  <si>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</si>
  <si>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</si>
  <si>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</si>
  <si>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</si>
  <si>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</si>
  <si>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</si>
  <si>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</si>
  <si>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</si>
  <si>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</si>
  <si>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</si>
  <si>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</si>
  <si>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</si>
  <si>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</si>
  <si>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</si>
  <si>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</si>
  <si>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</si>
  <si>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</si>
  <si>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</si>
  <si>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</si>
  <si>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</si>
  <si>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</si>
  <si>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</si>
  <si>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</si>
  <si>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</si>
  <si>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</si>
  <si>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</si>
  <si>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</si>
  <si>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</si>
  <si>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</si>
  <si>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</si>
  <si>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</si>
  <si>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</si>
  <si>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</si>
  <si>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</si>
  <si>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</si>
  <si>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</si>
  <si>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</si>
  <si>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</si>
  <si>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</si>
  <si>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</si>
  <si>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</si>
  <si>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</si>
  <si>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</si>
  <si>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</si>
  <si>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</si>
  <si>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</si>
  <si>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</si>
  <si>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</si>
  <si>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</si>
  <si>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</si>
  <si>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</si>
  <si>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</si>
  <si>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</si>
  <si>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</si>
  <si>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</si>
  <si>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</si>
  <si>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</si>
  <si>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</si>
  <si>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</si>
  <si>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</si>
  <si>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</si>
  <si>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</si>
  <si>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</si>
  <si>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</si>
  <si>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</si>
  <si>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</si>
  <si>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</si>
  <si>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</si>
  <si>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</si>
  <si>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</si>
  <si>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</si>
  <si>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</si>
  <si>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</si>
  <si>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</si>
  <si>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</si>
  <si>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</si>
  <si>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</si>
  <si>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</si>
  <si>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</si>
  <si>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</si>
  <si>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</si>
  <si>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</si>
  <si>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</si>
  <si>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</si>
  <si>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</si>
  <si>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</si>
  <si>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</si>
  <si>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</si>
  <si>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</si>
  <si>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</si>
  <si>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</si>
  <si>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</si>
  <si>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</si>
  <si>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</si>
  <si>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</si>
  <si>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</si>
  <si>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</si>
  <si>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</si>
  <si>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</si>
  <si>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</si>
  <si>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</si>
  <si>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</si>
  <si>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</si>
  <si>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</si>
  <si>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</si>
  <si>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</si>
  <si>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</si>
  <si>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</si>
  <si>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</si>
  <si>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</si>
  <si>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</si>
  <si>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</si>
  <si>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</si>
  <si>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</si>
  <si>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</si>
  <si>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</si>
  <si>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</si>
  <si>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</si>
  <si>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</si>
  <si>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</si>
  <si>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</si>
  <si>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</si>
  <si>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</si>
  <si>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</si>
  <si>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</si>
  <si>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</si>
  <si>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</si>
  <si>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</si>
  <si>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</si>
  <si>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</si>
  <si>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</si>
  <si>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</si>
  <si>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</si>
  <si>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</si>
  <si>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</si>
  <si>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</si>
  <si>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</si>
  <si>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</si>
  <si>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</si>
  <si>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</si>
  <si>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</si>
  <si>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</si>
  <si>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</si>
  <si>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</si>
  <si>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</si>
  <si>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</si>
  <si>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</si>
  <si>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</si>
  <si>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</si>
  <si>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</si>
  <si>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</si>
  <si>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</si>
  <si>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</si>
  <si>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</si>
  <si>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</si>
  <si>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</si>
  <si>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</si>
  <si>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</si>
  <si>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</si>
  <si>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</si>
  <si>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</si>
  <si>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</si>
  <si>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</si>
  <si>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</si>
  <si>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</si>
  <si>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</si>
  <si>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</si>
  <si>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</si>
  <si>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</si>
  <si>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</si>
  <si>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</si>
  <si>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</si>
  <si>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</si>
  <si>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</si>
  <si>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</si>
  <si>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</si>
  <si>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</si>
  <si>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</si>
  <si>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</si>
  <si>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</si>
  <si>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</si>
  <si>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</si>
  <si>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</si>
  <si>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</si>
  <si>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</si>
  <si>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</si>
  <si>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</si>
  <si>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</si>
  <si>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</si>
  <si>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</si>
  <si>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</si>
  <si>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</si>
  <si>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</si>
  <si>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</si>
  <si>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</si>
  <si>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</si>
  <si>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</si>
  <si>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</si>
  <si>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</si>
  <si>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</si>
  <si>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</si>
  <si>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</si>
  <si>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</si>
  <si>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</si>
  <si>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</si>
  <si>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</si>
  <si>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</si>
  <si>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</si>
  <si>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</si>
  <si>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</si>
  <si>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</si>
  <si>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</si>
  <si>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</si>
  <si>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</si>
  <si>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</si>
  <si>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</si>
  <si>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</si>
  <si>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</si>
  <si>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</si>
  <si>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</si>
  <si>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</si>
  <si>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</si>
  <si>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</si>
  <si>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</si>
  <si>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</si>
  <si>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</si>
  <si>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</si>
  <si>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</si>
  <si>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</si>
  <si>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</si>
  <si>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</si>
  <si>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</si>
  <si>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</si>
  <si>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</si>
  <si>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</si>
  <si>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</si>
  <si>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</si>
  <si>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</si>
  <si>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</si>
  <si>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</si>
  <si>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</si>
  <si>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</si>
  <si>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</si>
  <si>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</si>
  <si>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</si>
  <si>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</si>
  <si>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</si>
  <si>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</si>
  <si>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</si>
  <si>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</si>
  <si>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</si>
  <si>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</si>
  <si>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</si>
  <si>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</si>
  <si>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</si>
  <si>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</si>
  <si>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</si>
  <si>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</si>
  <si>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</si>
  <si>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</si>
  <si>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</si>
  <si>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</si>
  <si>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</si>
  <si>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</si>
  <si>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</si>
  <si>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</si>
  <si>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</si>
  <si>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</si>
  <si>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</si>
  <si>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</si>
  <si>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</si>
  <si>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</si>
  <si>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</si>
  <si>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</si>
  <si>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</si>
  <si>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</si>
  <si>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</si>
  <si>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</si>
  <si>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</si>
  <si>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</si>
  <si>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</si>
  <si>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</si>
  <si>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</si>
  <si>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</si>
  <si>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</si>
  <si>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</si>
  <si>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</si>
  <si>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</si>
  <si>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</si>
  <si>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</si>
  <si>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</si>
  <si>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</si>
  <si>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</si>
  <si>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</si>
  <si>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</si>
  <si>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</si>
  <si>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</si>
  <si>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</si>
  <si>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</si>
  <si>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</si>
  <si>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</si>
  <si>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</si>
  <si>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</si>
  <si>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</si>
  <si>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</si>
  <si>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</si>
  <si>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</si>
  <si>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</si>
  <si>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</si>
  <si>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</si>
  <si>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</si>
  <si>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</si>
  <si>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</si>
  <si>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</si>
  <si>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</si>
  <si>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</si>
  <si>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</si>
  <si>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</si>
  <si>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</si>
  <si>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</si>
  <si>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</si>
  <si>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</si>
  <si>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</si>
  <si>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</si>
  <si>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</si>
  <si>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</si>
  <si>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</si>
  <si>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</si>
  <si>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</si>
  <si>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</si>
  <si>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</si>
  <si>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</si>
  <si>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</si>
  <si>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</si>
  <si>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</si>
  <si>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</si>
  <si>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</si>
  <si>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</si>
  <si>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</si>
  <si>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</si>
  <si>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</si>
  <si>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</si>
  <si>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</si>
  <si>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</si>
  <si>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</si>
  <si>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</si>
  <si>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</si>
  <si>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</si>
  <si>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</si>
  <si>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</si>
  <si>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</si>
  <si>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</si>
  <si>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</si>
  <si>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</si>
  <si>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</si>
  <si>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</si>
  <si>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</si>
  <si>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</si>
  <si>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</si>
  <si>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</si>
  <si>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</si>
  <si>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</si>
  <si>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</si>
  <si>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</si>
  <si>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</si>
  <si>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</si>
  <si>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</si>
  <si>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</si>
  <si>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</si>
  <si>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</si>
  <si>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</si>
  <si>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</si>
  <si>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</si>
  <si>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</si>
  <si>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</si>
  <si>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</si>
  <si>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</si>
  <si>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</si>
  <si>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</si>
  <si>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</si>
  <si>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</si>
  <si>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</si>
  <si>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</si>
  <si>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</si>
  <si>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</si>
  <si>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</si>
  <si>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</si>
  <si>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</si>
  <si>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</si>
  <si>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</si>
  <si>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</si>
  <si>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</si>
  <si>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</si>
  <si>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</si>
  <si>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</si>
  <si>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</si>
  <si>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</si>
  <si>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</si>
  <si>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</si>
  <si>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</si>
  <si>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</si>
  <si>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</si>
  <si>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</si>
  <si>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</si>
  <si>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</si>
  <si>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</si>
  <si>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</si>
  <si>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</si>
  <si>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</si>
  <si>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</si>
  <si>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</si>
  <si>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</si>
  <si>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</si>
  <si>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</si>
  <si>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</si>
  <si>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</si>
  <si>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</si>
  <si>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</si>
  <si>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</si>
  <si>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</si>
  <si>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</si>
  <si>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</si>
  <si>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</si>
  <si>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</si>
  <si>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</si>
  <si>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</si>
  <si>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</si>
  <si>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</si>
  <si>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</si>
  <si>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</si>
  <si>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</si>
  <si>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</si>
  <si>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</si>
  <si>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</si>
  <si>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</si>
  <si>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</si>
  <si>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</si>
  <si>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</si>
  <si>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</si>
  <si>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</si>
  <si>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</si>
  <si>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</si>
  <si>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</si>
  <si>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</si>
  <si>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</si>
  <si>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</si>
  <si>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</si>
  <si>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</si>
  <si>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</si>
  <si>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</si>
  <si>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</si>
  <si>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</si>
  <si>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</si>
  <si>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</si>
  <si>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</si>
  <si>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</si>
  <si>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</si>
  <si>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</si>
  <si>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</si>
  <si>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</si>
  <si>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</si>
  <si>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</si>
  <si>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</si>
  <si>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</si>
  <si>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</si>
  <si>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</si>
  <si>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</si>
  <si>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</si>
  <si>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</si>
  <si>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</si>
  <si>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</si>
  <si>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</si>
  <si>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</si>
  <si>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</si>
  <si>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</si>
  <si>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</si>
  <si>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</si>
  <si>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</si>
  <si>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</si>
  <si>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</si>
  <si>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</si>
  <si>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</si>
  <si>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</si>
  <si>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</si>
  <si>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</si>
  <si>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</si>
  <si>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</si>
  <si>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</si>
  <si>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</si>
  <si>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</si>
  <si>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</si>
  <si>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</si>
  <si>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</si>
  <si>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</si>
  <si>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</si>
  <si>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</si>
  <si>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</si>
  <si>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</si>
  <si>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</si>
  <si>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</si>
  <si>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</si>
  <si>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</si>
  <si>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</si>
  <si>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</si>
  <si>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</si>
  <si>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</si>
  <si>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</si>
  <si>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</si>
  <si>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</si>
  <si>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</si>
  <si>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</si>
  <si>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</si>
  <si>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</si>
  <si>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</si>
  <si>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</si>
  <si>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</si>
  <si>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</si>
  <si>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</si>
  <si>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</si>
  <si>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</si>
  <si>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</si>
  <si>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</si>
  <si>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</si>
  <si>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</si>
  <si>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</si>
  <si>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</si>
  <si>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</si>
  <si>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</si>
  <si>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</si>
  <si>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</si>
  <si>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</si>
  <si>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</si>
  <si>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</si>
  <si>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</si>
  <si>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</si>
  <si>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</si>
  <si>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</si>
  <si>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</si>
  <si>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</si>
  <si>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</si>
  <si>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</si>
  <si>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</si>
  <si>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</si>
  <si>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</si>
  <si>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</si>
  <si>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</si>
  <si>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</si>
  <si>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</si>
  <si>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</si>
  <si>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</si>
  <si>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</si>
  <si>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</si>
  <si>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</si>
  <si>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</si>
  <si>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</si>
  <si>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</si>
  <si>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</si>
  <si>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</si>
  <si>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</si>
  <si>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</si>
  <si>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</si>
  <si>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</si>
  <si>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</si>
  <si>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</si>
  <si>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</si>
  <si>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</si>
  <si>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</si>
  <si>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</si>
  <si>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</si>
  <si>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</si>
  <si>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</si>
  <si>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</si>
  <si>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</si>
  <si>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</si>
  <si>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</si>
  <si>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</si>
  <si>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</si>
  <si>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</si>
  <si>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</si>
  <si>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</si>
  <si>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</si>
  <si>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</si>
  <si>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</si>
  <si>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</si>
  <si>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</si>
  <si>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</si>
  <si>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</si>
  <si>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</si>
  <si>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</si>
  <si>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</si>
  <si>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</si>
  <si>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</si>
  <si>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</si>
  <si>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</si>
  <si>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</si>
  <si>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</si>
  <si>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</si>
  <si>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</si>
  <si>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</si>
  <si>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</si>
  <si>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</si>
  <si>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</si>
  <si>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</si>
  <si>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</si>
  <si>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</si>
  <si>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</si>
  <si>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</si>
  <si>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</si>
  <si>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</si>
  <si>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</si>
  <si>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</si>
  <si>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</si>
  <si>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</si>
  <si>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</si>
  <si>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</si>
  <si>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</si>
  <si>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</si>
  <si>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</si>
  <si>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</si>
  <si>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</si>
  <si>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</si>
  <si>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</si>
  <si>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</si>
  <si>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</si>
  <si>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</si>
  <si>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</si>
  <si>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</si>
  <si>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</si>
  <si>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</si>
  <si>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</si>
  <si>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</si>
  <si>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</si>
  <si>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</si>
  <si>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</si>
  <si>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</si>
  <si>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</si>
  <si>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</si>
  <si>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</si>
  <si>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</si>
  <si>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</si>
  <si>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</si>
  <si>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</si>
  <si>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</si>
  <si>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</si>
  <si>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</si>
  <si>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</si>
  <si>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</si>
  <si>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</si>
  <si>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</si>
  <si>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</si>
  <si>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</si>
  <si>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</si>
  <si>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</si>
  <si>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</si>
  <si>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</si>
  <si>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</si>
  <si>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</si>
  <si>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</si>
  <si>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</si>
  <si>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</si>
  <si>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</si>
  <si>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</si>
  <si>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</si>
  <si>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</si>
  <si>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</si>
  <si>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</si>
  <si>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</si>
  <si>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</si>
  <si>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</si>
  <si>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</si>
  <si>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</si>
  <si>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</si>
  <si>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</si>
  <si>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</si>
  <si>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</si>
  <si>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</si>
  <si>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</si>
  <si>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</si>
  <si>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</si>
  <si>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</si>
  <si>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</si>
  <si>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</si>
  <si>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</si>
  <si>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</si>
  <si>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</si>
  <si>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</si>
  <si>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</si>
  <si>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</si>
  <si>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</si>
  <si>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</si>
  <si>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</si>
  <si>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</si>
  <si>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</si>
  <si>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</si>
  <si>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</si>
  <si>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</si>
  <si>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</si>
  <si>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</si>
  <si>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</si>
  <si>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</si>
  <si>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</si>
  <si>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</si>
  <si>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</si>
  <si>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</si>
  <si>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</si>
  <si>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</si>
  <si>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</si>
  <si>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</si>
  <si>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</si>
  <si>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</si>
  <si>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</si>
  <si>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</si>
  <si>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</si>
  <si>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</si>
  <si>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</si>
  <si>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</si>
  <si>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</si>
  <si>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</si>
  <si>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</si>
  <si>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</si>
  <si>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</si>
  <si>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</si>
  <si>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</si>
  <si>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</si>
  <si>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</si>
  <si>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</si>
  <si>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</si>
  <si>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</si>
  <si>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</si>
  <si>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</si>
  <si>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</si>
  <si>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</si>
  <si>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</si>
  <si>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</si>
  <si>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</si>
  <si>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</si>
  <si>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</si>
  <si>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</si>
  <si>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</si>
  <si>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</si>
  <si>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</si>
  <si>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</si>
  <si>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</si>
  <si>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</si>
  <si>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</si>
  <si>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</si>
  <si>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</si>
  <si>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</si>
  <si>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</si>
  <si>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</si>
  <si>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</si>
  <si>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</si>
  <si>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</si>
  <si>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</si>
  <si>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</si>
  <si>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</si>
  <si>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</si>
  <si>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</si>
  <si>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</si>
  <si>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</si>
  <si>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</si>
  <si>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</si>
  <si>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</si>
  <si>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</si>
  <si>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</si>
  <si>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</si>
  <si>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</si>
  <si>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</si>
  <si>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</si>
  <si>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</si>
  <si>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</si>
  <si>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</si>
  <si>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</si>
  <si>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</si>
  <si>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</si>
  <si>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</si>
  <si>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</si>
  <si>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</si>
  <si>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</si>
  <si>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</si>
  <si>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</si>
  <si>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</si>
  <si>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</si>
  <si>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</si>
  <si>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</si>
  <si>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</si>
  <si>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</si>
  <si>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</si>
  <si>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</si>
  <si>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</si>
  <si>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</si>
  <si>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</si>
  <si>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</si>
  <si>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</si>
  <si>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</si>
  <si>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</si>
  <si>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</si>
  <si>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</si>
  <si>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</si>
  <si>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</si>
  <si>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</si>
  <si>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</si>
  <si>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</si>
  <si>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</si>
  <si>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</si>
  <si>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</si>
  <si>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</si>
  <si>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</si>
  <si>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</si>
  <si>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</si>
  <si>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</si>
  <si>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</si>
  <si>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</si>
  <si>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</si>
  <si>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</si>
  <si>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</si>
  <si>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</si>
  <si>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</si>
  <si>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</si>
  <si>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</si>
  <si>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</si>
  <si>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</si>
  <si>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</si>
  <si>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</si>
  <si>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</si>
  <si>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</si>
  <si>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</si>
  <si>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</si>
  <si>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</si>
  <si>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</si>
  <si>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</si>
  <si>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</si>
  <si>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</si>
  <si>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</si>
  <si>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</si>
  <si>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</si>
  <si>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</si>
  <si>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</si>
  <si>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</si>
  <si>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</si>
  <si>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</si>
  <si>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</si>
  <si>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</si>
  <si>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</si>
  <si>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</si>
  <si>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</si>
  <si>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</si>
  <si>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</si>
  <si>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</si>
  <si>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</si>
  <si>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</si>
  <si>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</si>
  <si>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</si>
  <si>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</si>
  <si>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</si>
  <si>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</si>
  <si>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</si>
  <si>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</si>
  <si>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</si>
  <si>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</si>
  <si>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</si>
  <si>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</si>
  <si>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</si>
  <si>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</si>
  <si>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</si>
  <si>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</si>
  <si>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</si>
  <si>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</si>
  <si>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</si>
  <si>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</si>
  <si>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</si>
  <si>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</si>
  <si>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</si>
  <si>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</si>
  <si>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</si>
  <si>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</si>
  <si>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</si>
  <si>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</si>
  <si>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</si>
  <si>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</si>
  <si>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</si>
  <si>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</si>
  <si>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</si>
  <si>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</si>
  <si>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</si>
  <si>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</si>
  <si>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</si>
  <si>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</si>
  <si>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</si>
  <si>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</si>
  <si>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</si>
  <si>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</si>
  <si>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</si>
  <si>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</si>
  <si>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</si>
  <si>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</si>
  <si>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</si>
  <si>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</si>
  <si>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</si>
  <si>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</si>
  <si>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</si>
  <si>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</si>
  <si>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</si>
  <si>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</si>
  <si>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</si>
  <si>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</si>
  <si>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</si>
  <si>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</si>
  <si>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</si>
  <si>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</si>
  <si>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</si>
  <si>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</si>
  <si>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</si>
  <si>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</si>
  <si>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</si>
  <si>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</si>
  <si>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</si>
  <si>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</si>
  <si>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</si>
  <si>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</si>
  <si>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</si>
  <si>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</si>
  <si>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</si>
  <si>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</si>
  <si>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</si>
  <si>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</si>
  <si>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</si>
  <si>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</si>
  <si>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</si>
  <si>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</si>
  <si>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</si>
  <si>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</si>
  <si>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</si>
  <si>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</si>
  <si>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</si>
  <si>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</si>
  <si>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</si>
  <si>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</si>
  <si>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</si>
  <si>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</si>
  <si>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</si>
  <si>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</si>
  <si>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</si>
  <si>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</si>
  <si>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</si>
  <si>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</si>
  <si>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</si>
  <si>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</si>
  <si>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</si>
  <si>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</si>
  <si>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</si>
  <si>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</si>
  <si>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</si>
  <si>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</si>
  <si>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</si>
  <si>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</si>
  <si>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</si>
  <si>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</si>
  <si>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</si>
  <si>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</si>
  <si>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</si>
  <si>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</si>
  <si>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</si>
  <si>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</si>
  <si>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</si>
  <si>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</si>
  <si>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</si>
  <si>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</si>
  <si>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</si>
  <si>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</si>
  <si>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</si>
  <si>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</si>
  <si>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</si>
  <si>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</si>
  <si>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</si>
  <si>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</si>
  <si>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</si>
  <si>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</si>
  <si>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</si>
  <si>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</si>
  <si>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</si>
  <si>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</si>
  <si>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</si>
  <si>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</si>
  <si>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</si>
  <si>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</si>
  <si>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</si>
  <si>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</si>
  <si>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</si>
  <si>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</si>
  <si>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</si>
  <si>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</si>
  <si>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</si>
  <si>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</si>
  <si>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</si>
  <si>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</si>
  <si>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</si>
  <si>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</si>
  <si>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</si>
  <si>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</si>
  <si>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</si>
  <si>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</si>
  <si>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</si>
  <si>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</si>
  <si>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</si>
  <si>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</si>
  <si>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</si>
  <si>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</si>
  <si>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</si>
  <si>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</si>
  <si>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</si>
  <si>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</si>
  <si>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</si>
  <si>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</si>
  <si>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</si>
  <si>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</si>
  <si>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</si>
  <si>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</si>
  <si>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</si>
  <si>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</si>
  <si>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</si>
  <si>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</si>
  <si>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</si>
  <si>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</si>
  <si>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</si>
  <si>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</si>
  <si>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</si>
  <si>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</si>
  <si>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</si>
  <si>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</si>
  <si>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</si>
  <si>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</si>
  <si>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</si>
  <si>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</si>
  <si>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</si>
  <si>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</si>
  <si>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</si>
  <si>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</si>
  <si>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</si>
  <si>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</si>
  <si>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</si>
  <si>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</si>
  <si>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</si>
  <si>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</si>
  <si>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</si>
  <si>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</si>
  <si>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</si>
  <si>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</si>
  <si>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</si>
  <si>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</si>
  <si>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</si>
  <si>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</si>
  <si>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</si>
  <si>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</si>
  <si>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</si>
  <si>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</si>
  <si>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</si>
  <si>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</si>
  <si>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</si>
  <si>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</si>
  <si>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</si>
  <si>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</si>
  <si>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</si>
  <si>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</si>
  <si>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</si>
  <si>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</si>
  <si>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</si>
  <si>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</si>
  <si>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</si>
  <si>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</si>
  <si>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</si>
  <si>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</si>
  <si>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</si>
  <si>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</si>
  <si>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</si>
  <si>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</si>
  <si>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</si>
  <si>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</si>
  <si>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</si>
  <si>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</si>
  <si>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</si>
  <si>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</si>
  <si>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</si>
  <si>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</si>
  <si>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</si>
  <si>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</si>
  <si>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</si>
  <si>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</si>
  <si>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</si>
  <si>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</si>
  <si>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</si>
  <si>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</si>
  <si>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</si>
  <si>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</si>
  <si>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</si>
  <si>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</si>
  <si>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</si>
  <si>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</si>
  <si>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</si>
  <si>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</si>
  <si>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</si>
  <si>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</si>
  <si>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</si>
  <si>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</si>
  <si>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</si>
  <si>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</si>
  <si>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</si>
  <si>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</si>
  <si>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</si>
  <si>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</si>
  <si>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</si>
  <si>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</si>
  <si>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</si>
  <si>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</si>
  <si>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</si>
  <si>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</si>
  <si>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</si>
  <si>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</si>
  <si>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</si>
  <si>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</si>
  <si>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</si>
  <si>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</si>
  <si>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</si>
  <si>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</si>
  <si>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</si>
  <si>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</si>
  <si>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</si>
  <si>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</si>
  <si>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</si>
  <si>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</si>
  <si>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</si>
  <si>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</si>
  <si>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</si>
  <si>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</si>
  <si>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</si>
  <si>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</si>
  <si>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</si>
  <si>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</si>
  <si>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</si>
  <si>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</si>
  <si>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</si>
  <si>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</si>
  <si>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</si>
  <si>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</si>
  <si>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</si>
  <si>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</si>
  <si>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</si>
  <si>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</si>
  <si>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</si>
  <si>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</si>
  <si>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</si>
  <si>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</si>
  <si>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</si>
  <si>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</si>
  <si>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</si>
  <si>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</si>
  <si>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</si>
  <si>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</si>
  <si>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</si>
  <si>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</si>
  <si>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</si>
  <si>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</si>
  <si>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</si>
  <si>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</si>
  <si>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</si>
  <si>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</si>
  <si>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</si>
  <si>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</si>
  <si>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</si>
  <si>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</si>
  <si>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</si>
  <si>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</si>
  <si>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</si>
  <si>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</si>
  <si>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</si>
  <si>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</si>
  <si>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</si>
  <si>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</si>
  <si>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</si>
  <si>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</si>
  <si>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</si>
  <si>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</si>
  <si>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</si>
  <si>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</si>
  <si>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</si>
  <si>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</si>
  <si>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</si>
  <si>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</si>
  <si>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</si>
  <si>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</si>
  <si>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</si>
  <si>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</si>
  <si>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</si>
  <si>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</si>
  <si>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</si>
  <si>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</si>
  <si>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</si>
  <si>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</si>
  <si>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</si>
  <si>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</si>
  <si>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</si>
  <si>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</si>
  <si>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</si>
  <si>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</si>
  <si>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</si>
  <si>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</si>
  <si>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</si>
  <si>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</si>
  <si>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</si>
  <si>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</si>
  <si>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</si>
  <si>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</si>
  <si>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</si>
  <si>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</si>
  <si>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</si>
  <si>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</si>
  <si>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</si>
  <si>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</si>
  <si>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</si>
  <si>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</si>
  <si>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</si>
  <si>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</si>
  <si>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</si>
  <si>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</si>
  <si>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</si>
  <si>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</si>
  <si>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</si>
  <si>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</si>
  <si>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</si>
  <si>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</si>
  <si>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</si>
  <si>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</si>
  <si>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</si>
  <si>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</si>
  <si>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</si>
  <si>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</si>
  <si>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</si>
  <si>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</si>
  <si>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</si>
  <si>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</si>
  <si>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</si>
  <si>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</si>
  <si>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</si>
  <si>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</si>
  <si>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</si>
  <si>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</si>
  <si>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</si>
  <si>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</si>
  <si>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</si>
  <si>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</si>
  <si>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</si>
  <si>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</si>
  <si>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</si>
  <si>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</si>
  <si>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</si>
  <si>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</si>
  <si>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</si>
  <si>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</si>
  <si>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</si>
  <si>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</si>
  <si>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</si>
  <si>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</si>
  <si>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</si>
  <si>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</si>
  <si>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</si>
  <si>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</si>
  <si>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</si>
  <si>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</si>
  <si>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</si>
  <si>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</si>
  <si>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</si>
  <si>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</si>
  <si>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</si>
  <si>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</si>
  <si>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</si>
  <si>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</si>
  <si>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</si>
  <si>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</si>
  <si>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</si>
  <si>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</si>
  <si>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</si>
  <si>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</si>
  <si>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</si>
  <si>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</si>
  <si>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</si>
  <si>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</si>
  <si>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</si>
  <si>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</si>
  <si>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</si>
  <si>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</si>
  <si>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</si>
  <si>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</si>
  <si>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</si>
  <si>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</si>
  <si>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</si>
  <si>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</si>
  <si>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</si>
  <si>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</si>
  <si>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</si>
  <si>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</si>
  <si>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</si>
  <si>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</si>
  <si>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</si>
  <si>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</si>
  <si>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</si>
  <si>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</si>
  <si>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</si>
  <si>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</si>
  <si>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</si>
  <si>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</si>
  <si>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</si>
  <si>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</si>
  <si>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</si>
  <si>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</si>
  <si>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</si>
  <si>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</si>
  <si>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</si>
  <si>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</si>
  <si>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</si>
  <si>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</si>
  <si>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</si>
  <si>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</si>
  <si>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</si>
  <si>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</si>
  <si>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</si>
  <si>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</si>
  <si>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</si>
  <si>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</si>
  <si>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</si>
  <si>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</si>
  <si>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</si>
  <si>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</si>
  <si>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</si>
  <si>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</si>
  <si>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</si>
  <si>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</si>
  <si>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</si>
  <si>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</si>
  <si>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</si>
  <si>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</si>
  <si>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</si>
  <si>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</si>
  <si>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</si>
  <si>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</si>
  <si>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</si>
  <si>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</si>
  <si>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</si>
  <si>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</si>
  <si>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</si>
  <si>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</si>
  <si>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</si>
  <si>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</si>
  <si>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</si>
  <si>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</si>
  <si>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</si>
  <si>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</si>
  <si>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</si>
  <si>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</si>
  <si>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</si>
  <si>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</si>
  <si>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</si>
  <si>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</si>
  <si>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</si>
  <si>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</si>
  <si>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</si>
  <si>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</si>
  <si>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</si>
  <si>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</si>
  <si>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</si>
  <si>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</si>
  <si>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</si>
  <si>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</si>
  <si>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</si>
  <si>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</si>
  <si>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</si>
  <si>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</si>
  <si>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</si>
  <si>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</si>
  <si>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</si>
  <si>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</si>
  <si>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</si>
  <si>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</si>
  <si>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</si>
  <si>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</si>
  <si>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</si>
  <si>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</si>
  <si>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</si>
  <si>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</si>
  <si>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</si>
  <si>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</si>
  <si>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</si>
  <si>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</si>
  <si>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</si>
  <si>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</si>
  <si>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</si>
  <si>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</si>
  <si>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</si>
  <si>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</si>
  <si>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</si>
  <si>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</si>
  <si>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</si>
  <si>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</si>
  <si>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</si>
  <si>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</si>
  <si>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</si>
  <si>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</si>
  <si>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</si>
  <si>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</si>
  <si>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</si>
  <si>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</si>
  <si>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</si>
  <si>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</si>
  <si>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</si>
  <si>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</si>
  <si>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</si>
  <si>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</si>
  <si>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</si>
  <si>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</si>
  <si>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</si>
  <si>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</si>
  <si>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</si>
  <si>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</si>
  <si>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</si>
  <si>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</si>
  <si>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</si>
  <si>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</si>
  <si>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</si>
  <si>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</si>
  <si>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</si>
  <si>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</si>
  <si>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</si>
  <si>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</si>
  <si>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</si>
  <si>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</si>
  <si>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</si>
  <si>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</si>
  <si>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</si>
  <si>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</si>
  <si>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</si>
  <si>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</si>
  <si>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</si>
  <si>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</si>
  <si>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</si>
  <si>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</si>
  <si>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</si>
  <si>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</si>
  <si>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</si>
  <si>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</si>
  <si>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</si>
  <si>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</si>
  <si>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</si>
  <si>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</si>
  <si>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</si>
  <si>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</si>
  <si>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</si>
  <si>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</si>
  <si>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</si>
  <si>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</si>
  <si>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</si>
  <si>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</si>
  <si>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</si>
  <si>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</si>
  <si>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</si>
  <si>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</si>
  <si>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</si>
  <si>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</si>
  <si>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</si>
  <si>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</si>
  <si>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</si>
  <si>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</si>
  <si>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</si>
  <si>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</si>
  <si>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</si>
  <si>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</si>
  <si>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</si>
  <si>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</si>
  <si>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</si>
  <si>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</si>
  <si>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</si>
  <si>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</si>
  <si>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</si>
  <si>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</si>
  <si>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</si>
  <si>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</si>
  <si>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</si>
  <si>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</si>
  <si>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</si>
  <si>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</si>
  <si>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</si>
  <si>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</si>
  <si>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</si>
  <si>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</si>
  <si>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</si>
  <si>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</si>
  <si>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</si>
  <si>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</si>
  <si>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</si>
  <si>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</si>
  <si>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</si>
  <si>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</si>
  <si>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</si>
  <si>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</si>
  <si>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</si>
  <si>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</si>
  <si>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</si>
  <si>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</si>
  <si>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</si>
  <si>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</si>
  <si>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</si>
  <si>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</si>
  <si>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</si>
  <si>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</si>
  <si>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</si>
  <si>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</si>
  <si>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</si>
  <si>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</si>
  <si>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</si>
  <si>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</si>
  <si>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</si>
  <si>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</si>
  <si>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</si>
  <si>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</si>
  <si>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</si>
  <si>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</si>
  <si>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</si>
  <si>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</si>
  <si>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</si>
  <si>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</si>
  <si>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</si>
  <si>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</si>
  <si>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</si>
  <si>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</si>
  <si>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</si>
  <si>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</si>
  <si>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</si>
  <si>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</si>
  <si>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</si>
  <si>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</si>
  <si>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</si>
  <si>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</si>
  <si>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</si>
  <si>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</si>
  <si>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</si>
  <si>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</si>
  <si>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</si>
  <si>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</si>
  <si>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</si>
  <si>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</si>
  <si>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</si>
  <si>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</si>
  <si>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</si>
  <si>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</si>
  <si>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</si>
  <si>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</si>
  <si>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</si>
  <si>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</si>
  <si>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</si>
  <si>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</si>
  <si>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</si>
  <si>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</si>
  <si>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</si>
  <si>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</si>
  <si>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</si>
  <si>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</si>
  <si>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</si>
  <si>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</si>
  <si>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</si>
  <si>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</si>
  <si>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</si>
  <si>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</si>
  <si>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</si>
  <si>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</si>
  <si>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</si>
  <si>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</si>
  <si>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</si>
  <si>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</si>
  <si>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</si>
  <si>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</si>
  <si>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</si>
  <si>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</si>
  <si>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</si>
  <si>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</si>
  <si>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</si>
  <si>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</si>
  <si>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</si>
  <si>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</si>
  <si>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</si>
  <si>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</si>
  <si>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</si>
  <si>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</si>
  <si>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</si>
  <si>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</si>
  <si>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</si>
  <si>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</si>
  <si>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</si>
  <si>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</si>
  <si>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</si>
  <si>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</si>
  <si>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</si>
  <si>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</si>
  <si>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</si>
  <si>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</si>
  <si>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</si>
  <si>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</si>
  <si>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</si>
  <si>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</si>
  <si>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</si>
  <si>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</si>
  <si>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</si>
  <si>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</si>
  <si>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</si>
  <si>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</si>
  <si>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</si>
  <si>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</si>
  <si>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</si>
  <si>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</si>
  <si>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</si>
  <si>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</si>
  <si>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</si>
  <si>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</si>
  <si>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</si>
  <si>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</si>
  <si>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</si>
  <si>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</si>
  <si>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</si>
  <si>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</si>
  <si>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</si>
  <si>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</si>
  <si>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</si>
  <si>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</si>
  <si>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</si>
  <si>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</si>
  <si>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</si>
  <si>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</si>
  <si>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</si>
  <si>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</si>
  <si>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</si>
  <si>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</si>
  <si>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</si>
  <si>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</si>
  <si>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</si>
  <si>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</si>
  <si>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</si>
  <si>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</si>
  <si>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</si>
  <si>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</si>
  <si>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</si>
  <si>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</si>
  <si>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</si>
  <si>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</si>
  <si>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</si>
  <si>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</si>
  <si>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</si>
  <si>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</si>
  <si>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</si>
  <si>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</si>
  <si>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</si>
  <si>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</si>
  <si>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</si>
  <si>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</si>
  <si>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</si>
  <si>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</si>
  <si>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</si>
  <si>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</si>
  <si>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</si>
  <si>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</si>
  <si>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</si>
  <si>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</si>
  <si>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</si>
  <si>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</si>
  <si>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</si>
  <si>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</si>
  <si>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</si>
  <si>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</si>
  <si>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</si>
  <si>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</si>
  <si>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</si>
  <si>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</si>
  <si>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</si>
  <si>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</si>
  <si>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</si>
  <si>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</si>
  <si>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</si>
  <si>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</si>
  <si>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</si>
  <si>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</si>
  <si>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</si>
  <si>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</si>
  <si>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</si>
  <si>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</si>
  <si>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</si>
  <si>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</si>
  <si>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</si>
  <si>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</si>
  <si>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</si>
  <si>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</si>
  <si>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</si>
  <si>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</si>
  <si>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</si>
  <si>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</si>
  <si>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</si>
  <si>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</si>
  <si>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</si>
  <si>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</si>
  <si>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</si>
  <si>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</si>
  <si>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</si>
  <si>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</si>
  <si>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</si>
  <si>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</si>
  <si>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</si>
  <si>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</si>
  <si>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</si>
  <si>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</si>
  <si>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</si>
  <si>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</si>
  <si>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</si>
  <si>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</si>
  <si>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</si>
  <si>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</si>
  <si>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</si>
  <si>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</si>
  <si>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</si>
  <si>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</si>
  <si>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</si>
  <si>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</si>
  <si>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</si>
  <si>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</si>
  <si>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</si>
  <si>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</si>
  <si>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</si>
  <si>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</si>
  <si>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</si>
  <si>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</si>
  <si>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</si>
  <si>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</si>
  <si>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</si>
  <si>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</si>
  <si>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</si>
  <si>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</si>
  <si>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</si>
  <si>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</si>
  <si>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</si>
  <si>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</si>
  <si>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</si>
  <si>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</si>
  <si>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</si>
  <si>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</si>
  <si>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</si>
  <si>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</si>
  <si>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</si>
  <si>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</si>
  <si>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</si>
  <si>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</si>
  <si>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</si>
  <si>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</si>
  <si>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</si>
  <si>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</si>
  <si>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</si>
  <si>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</si>
  <si>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</si>
  <si>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</si>
  <si>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</si>
  <si>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</si>
  <si>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</si>
  <si>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</si>
  <si>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</si>
  <si>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</si>
  <si>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</si>
  <si>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</si>
  <si>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</si>
  <si>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</si>
  <si>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</si>
  <si>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</si>
  <si>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</si>
  <si>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</si>
  <si>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</si>
  <si>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</si>
  <si>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</si>
  <si>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</si>
  <si>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</si>
  <si>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</si>
  <si>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</si>
  <si>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</si>
  <si>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</si>
  <si>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</si>
  <si>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</si>
  <si>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</si>
  <si>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</si>
  <si>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</si>
  <si>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</si>
  <si>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</si>
  <si>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</si>
  <si>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</si>
  <si>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</si>
  <si>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</si>
  <si>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</si>
  <si>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</si>
  <si>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</si>
  <si>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</si>
  <si>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</si>
  <si>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</si>
  <si>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</si>
  <si>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</si>
  <si>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</si>
  <si>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</si>
  <si>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</si>
  <si>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</si>
  <si>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</si>
  <si>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</si>
  <si>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</si>
  <si>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</si>
  <si>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</si>
  <si>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</si>
  <si>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</si>
  <si>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</si>
  <si>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</si>
  <si>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</si>
  <si>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</si>
  <si>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</si>
  <si>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</si>
  <si>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</si>
  <si>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</si>
  <si>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</si>
  <si>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</si>
  <si>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</si>
  <si>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</si>
  <si>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</si>
  <si>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</si>
  <si>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</si>
  <si>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</si>
  <si>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</si>
  <si>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</si>
  <si>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</si>
  <si>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</si>
  <si>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</si>
  <si>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</si>
  <si>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</si>
  <si>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</si>
  <si>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</si>
  <si>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</si>
  <si>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</si>
  <si>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</si>
  <si>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</si>
  <si>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</si>
  <si>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</si>
  <si>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</si>
  <si>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</si>
  <si>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</si>
  <si>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</si>
  <si>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</si>
  <si>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</si>
  <si>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</si>
  <si>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</si>
  <si>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</si>
  <si>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</si>
  <si>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</si>
  <si>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</si>
  <si>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</si>
  <si>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</si>
  <si>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</si>
  <si>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</si>
  <si>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</si>
  <si>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</si>
  <si>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</si>
  <si>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</si>
  <si>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</si>
  <si>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</si>
  <si>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</si>
  <si>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</si>
  <si>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</si>
  <si>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</si>
  <si>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</si>
  <si>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</si>
  <si>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</si>
  <si>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</si>
  <si>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</si>
  <si>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</si>
  <si>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</si>
  <si>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</si>
  <si>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</si>
  <si>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</si>
  <si>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</si>
  <si>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</si>
  <si>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</si>
  <si>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</si>
  <si>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</si>
  <si>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</si>
  <si>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</si>
  <si>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</si>
  <si>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</si>
  <si>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</si>
  <si>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</si>
  <si>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</si>
  <si>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</si>
  <si>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</si>
  <si>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</si>
  <si>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</si>
  <si>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</si>
  <si>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</si>
  <si>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</si>
  <si>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</si>
  <si>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</si>
  <si>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</si>
  <si>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</si>
  <si>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</si>
  <si>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</si>
  <si>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</si>
  <si>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</si>
  <si>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</si>
  <si>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</si>
  <si>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</si>
  <si>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</si>
  <si>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</si>
  <si>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</si>
  <si>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</si>
  <si>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</si>
  <si>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</si>
  <si>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</si>
  <si>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</si>
  <si>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</si>
  <si>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</si>
  <si>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</si>
  <si>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</si>
  <si>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</si>
  <si>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</si>
  <si>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</si>
  <si>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</si>
  <si>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</si>
  <si>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</si>
  <si>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</si>
  <si>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</si>
  <si>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</si>
  <si>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</si>
  <si>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</si>
  <si>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</si>
  <si>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</si>
  <si>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</si>
  <si>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</si>
  <si>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</si>
  <si>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</si>
  <si>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</si>
  <si>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</si>
  <si>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</si>
  <si>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</si>
  <si>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</si>
  <si>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</si>
  <si>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</si>
  <si>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</si>
  <si>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</si>
  <si>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</si>
  <si>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</si>
  <si>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</si>
  <si>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</si>
  <si>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</si>
  <si>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</si>
  <si>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</si>
  <si>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</si>
  <si>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</si>
  <si>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</si>
  <si>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</si>
  <si>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</si>
  <si>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</si>
  <si>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</si>
  <si>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</si>
  <si>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</si>
  <si>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</si>
  <si>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</si>
  <si>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</si>
  <si>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</si>
  <si>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</si>
  <si>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</si>
  <si>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</si>
  <si>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</si>
  <si>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</si>
  <si>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</si>
  <si>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</si>
  <si>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</si>
  <si>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</si>
  <si>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</si>
  <si>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</si>
  <si>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</si>
  <si>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</si>
  <si>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</si>
  <si>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</si>
  <si>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</si>
  <si>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</si>
  <si>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</si>
  <si>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</si>
  <si>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</si>
  <si>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</si>
  <si>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</si>
  <si>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</si>
  <si>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</si>
  <si>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</si>
  <si>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</si>
  <si>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</si>
  <si>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</si>
  <si>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</si>
  <si>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</si>
  <si>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</si>
  <si>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</si>
  <si>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</si>
  <si>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</si>
  <si>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</si>
  <si>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</si>
  <si>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</si>
  <si>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</si>
  <si>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</si>
  <si>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</si>
  <si>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</si>
  <si>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</si>
  <si>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</si>
  <si>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</si>
  <si>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</si>
  <si>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</si>
  <si>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</si>
  <si>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</si>
  <si>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</si>
  <si>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</si>
  <si>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</si>
  <si>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</si>
  <si>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</si>
  <si>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</si>
  <si>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</si>
  <si>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</si>
  <si>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</si>
  <si>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</si>
  <si>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</si>
  <si>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</si>
  <si>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</si>
  <si>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</si>
  <si>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</si>
  <si>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</si>
  <si>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</si>
  <si>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</si>
  <si>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</si>
  <si>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</si>
  <si>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</si>
  <si>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</si>
  <si>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</si>
  <si>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</si>
  <si>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</si>
  <si>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</si>
  <si>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</si>
  <si>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</si>
  <si>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</si>
  <si>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</si>
  <si>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</si>
  <si>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</si>
  <si>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</si>
  <si>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</si>
  <si>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</si>
  <si>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</si>
  <si>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</si>
  <si>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</si>
  <si>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</si>
  <si>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</si>
  <si>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</si>
  <si>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</si>
  <si>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</si>
  <si>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</si>
  <si>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</si>
  <si>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</si>
  <si>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</si>
  <si>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</si>
  <si>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</si>
  <si>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</si>
  <si>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</si>
  <si>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</si>
  <si>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</si>
  <si>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</si>
  <si>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</si>
  <si>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</si>
  <si>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</si>
  <si>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</si>
  <si>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</si>
  <si>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</si>
  <si>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</si>
  <si>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</si>
  <si>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</si>
  <si>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</si>
  <si>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</si>
  <si>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</si>
  <si>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</si>
  <si>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</si>
  <si>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</si>
  <si>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</si>
  <si>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</si>
  <si>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</si>
  <si>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</si>
  <si>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</si>
  <si>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</si>
  <si>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</si>
  <si>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</si>
  <si>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</si>
  <si>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</si>
  <si>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</si>
  <si>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</si>
  <si>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</si>
  <si>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</si>
  <si>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</si>
  <si>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</si>
  <si>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</si>
  <si>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</si>
  <si>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</si>
  <si>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</si>
  <si>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</si>
  <si>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</si>
  <si>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</si>
  <si>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</si>
  <si>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</si>
  <si>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</si>
  <si>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</si>
  <si>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</si>
  <si>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</si>
  <si>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</si>
  <si>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</si>
  <si>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</si>
  <si>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</si>
  <si>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</si>
  <si>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</si>
  <si>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</si>
  <si>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</si>
  <si>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</si>
  <si>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</si>
  <si>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</si>
  <si>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</si>
  <si>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</si>
  <si>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</si>
  <si>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</si>
  <si>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</si>
  <si>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</si>
  <si>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</si>
  <si>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</si>
  <si>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</si>
  <si>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</si>
  <si>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</si>
  <si>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</si>
  <si>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</si>
  <si>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</si>
  <si>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</si>
  <si>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</si>
  <si>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</si>
  <si>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</si>
  <si>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</si>
  <si>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</si>
  <si>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</si>
  <si>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</si>
  <si>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</si>
  <si>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</si>
  <si>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</si>
  <si>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</si>
  <si>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</si>
  <si>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</si>
  <si>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</si>
  <si>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</si>
  <si>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</si>
  <si>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</si>
  <si>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</si>
  <si>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</si>
  <si>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</si>
  <si>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</si>
  <si>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</si>
  <si>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</si>
  <si>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</si>
  <si>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</si>
  <si>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</si>
  <si>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</si>
  <si>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</si>
  <si>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</si>
  <si>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</si>
  <si>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</si>
  <si>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</si>
  <si>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</si>
  <si>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Необходимость медицинской помощи по прилету, когда пассажиры встают с мест 
(СБ или PRAM) (дневной/ночной рейс)</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</si>
  <si>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</si>
  <si>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</si>
  <si>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</si>
  <si>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</si>
  <si>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</si>
  <si>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</si>
  <si>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</si>
  <si>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</si>
  <si>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</si>
  <si>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</si>
  <si>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</si>
  <si>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</si>
  <si>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</si>
  <si>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</si>
  <si>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</si>
  <si>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</si>
  <si>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Japan-Transcription</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</si>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</sst>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79">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313">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69" totalsRowShown="0" headerRowDxfId="189" dataDxfId="188">
  <autoFilter ref="A1:R469"/>
  <tableColumns count="18">
    <tableColumn id="1" name="TxtStyle" dataDxfId="187"/>
    <tableColumn id="2" name="TxtStyleN" dataDxfId="186">
      <calculatedColumnFormula>IF(ISBLANK(A2),0,INDEX(txtstylestab[],MATCH(A2,txtstylestab[style_Name],0),1))</calculatedColumnFormula>
    </tableColumn>
    <tableColumn id="3" name="C1" dataDxfId="185">
      <calculatedColumnFormula>IF(B2=1,C1+1,C1)</calculatedColumnFormula>
    </tableColumn>
    <tableColumn id="4" name="C2" dataDxfId="184">
      <calculatedColumnFormula>IF(B2=1,0,IF(B2=2,D1+1,IF(AND(B2=3,D1=0),1,D1)))</calculatedColumnFormula>
    </tableColumn>
    <tableColumn id="5" name="C3" dataDxfId="183">
      <calculatedColumnFormula>IF(OR(B2=1,B2=2),0,IF(B2=3,E1+1,E1))</calculatedColumnFormula>
    </tableColumn>
    <tableColumn id="6" name="LstNum" dataDxfId="182">
      <calculatedColumnFormula>IF(OR(B2=1,B2=2,B2=3),TEXT(C2,"#")&amp;".","")&amp;IF(OR(B2=2,B2=3),TEXT(D2,"#")&amp;".","")&amp;IF(B2=3,TEXT(E2,"#")&amp;".","")</calculatedColumnFormula>
    </tableColumn>
    <tableColumn id="7" name="Russian" dataDxfId="181"/>
    <tableColumn id="8" name="English" dataDxfId="180"/>
    <tableColumn id="9" name="French" dataDxfId="179"/>
    <tableColumn id="10" name="German" dataDxfId="178"/>
    <tableColumn id="11" name="Spanish" dataDxfId="177"/>
    <tableColumn id="12" name="Chinese" dataDxfId="176"/>
    <tableColumn id="17" name="Pinyin" dataDxfId="175"/>
    <tableColumn id="13" name="Japanese" dataDxfId="174"/>
    <tableColumn id="18" name="Japan-Transcription" dataDxfId="173"/>
    <tableColumn id="14" name="Korean" dataDxfId="172"/>
    <tableColumn id="15" name="Vietnamese" dataDxfId="171"/>
    <tableColumn id="16" name="Separator" dataDxfId="170"/>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110" dataDxfId="109">
  <autoFilter ref="A1:R246"/>
  <tableColumns count="18">
    <tableColumn id="1" name="TxtStyle" dataDxfId="108"/>
    <tableColumn id="2" name="TxtStyleN" dataDxfId="107">
      <calculatedColumnFormula>IF(ISBLANK(A2),0,INDEX(txtstylestab[],MATCH(A2,txtstylestab[style_Name],0),1))</calculatedColumnFormula>
    </tableColumn>
    <tableColumn id="3" name="C1" dataDxfId="106">
      <calculatedColumnFormula>IF(B2=1,C1+1,C1)</calculatedColumnFormula>
    </tableColumn>
    <tableColumn id="4" name="C2" dataDxfId="105">
      <calculatedColumnFormula>IF(B2=1,0,IF(B2=2,D1+1,IF(AND(B2=3,D1=0),1,D1)))</calculatedColumnFormula>
    </tableColumn>
    <tableColumn id="5" name="C3" dataDxfId="104">
      <calculatedColumnFormula>IF(OR(B2=1,B2=2),0,IF(B2=3,E1+1,E1))</calculatedColumnFormula>
    </tableColumn>
    <tableColumn id="6" name="LstNum" dataDxfId="103">
      <calculatedColumnFormula>IF(OR(B2=1,B2=2,B2=3),TEXT(C2,"#")&amp;".","")&amp;IF(OR(B2=2,B2=3),TEXT(D2,"#")&amp;".","")&amp;IF(B2=3,TEXT(E2,"#")&amp;".","")</calculatedColumnFormula>
    </tableColumn>
    <tableColumn id="7" name="Russian" dataDxfId="102"/>
    <tableColumn id="8" name="English" dataDxfId="101"/>
    <tableColumn id="9" name="French" dataDxfId="100"/>
    <tableColumn id="10" name="German" dataDxfId="99"/>
    <tableColumn id="11" name="Spanish" dataDxfId="98"/>
    <tableColumn id="12" name="Chinese" dataDxfId="97"/>
    <tableColumn id="17" name="Pinyin" dataDxfId="96"/>
    <tableColumn id="13" name="Japanese" dataDxfId="95"/>
    <tableColumn id="18" name="Japan-Transcription" dataDxfId="94"/>
    <tableColumn id="14" name="Korean" dataDxfId="93"/>
    <tableColumn id="15" name="Vietnamese" dataDxfId="92"/>
    <tableColumn id="16" name="Separator" dataDxfId="91"/>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19" dataDxfId="18">
  <autoFilter ref="A1:R190"/>
  <tableColumns count="18">
    <tableColumn id="1" name="TxtStyle" dataDxfId="17"/>
    <tableColumn id="2" name="TxtStyleN" dataDxfId="16">
      <calculatedColumnFormula>IF(ISBLANK(A2),0,INDEX(txtstylestab[],MATCH(A2,txtstylestab[style_Name],0),1))</calculatedColumnFormula>
    </tableColumn>
    <tableColumn id="3" name="C1" dataDxfId="15">
      <calculatedColumnFormula>IF(B2=1,C1+1,C1)</calculatedColumnFormula>
    </tableColumn>
    <tableColumn id="4" name="C2" dataDxfId="14">
      <calculatedColumnFormula>IF(B2=1,0,IF(B2=2,D1+1,IF(AND(B2=3,D1=0),1,D1)))</calculatedColumnFormula>
    </tableColumn>
    <tableColumn id="5" name="C3" dataDxfId="13">
      <calculatedColumnFormula>IF(OR(B2=1,B2=2),0,IF(B2=3,E1+1,E1))</calculatedColumnFormula>
    </tableColumn>
    <tableColumn id="6" name="LstNum" dataDxfId="12">
      <calculatedColumnFormula>IF(OR(B2=1,B2=2,B2=3),TEXT(C2,"#")&amp;".","")&amp;IF(OR(B2=2,B2=3),TEXT(D2,"#")&amp;".","")&amp;IF(B2=3,TEXT(E2,"#")&amp;".","")</calculatedColumnFormula>
    </tableColumn>
    <tableColumn id="7" name="Russian" dataDxfId="11"/>
    <tableColumn id="8" name="English" dataDxfId="10"/>
    <tableColumn id="9" name="French" dataDxfId="9"/>
    <tableColumn id="10" name="German" dataDxfId="8"/>
    <tableColumn id="11" name="Spanish" dataDxfId="7"/>
    <tableColumn id="12" name="Chinese" dataDxfId="6"/>
    <tableColumn id="17" name="Pinyin" dataDxfId="5"/>
    <tableColumn id="13" name="Japanese" dataDxfId="4"/>
    <tableColumn id="18" name="Japan-Transcription" dataDxfId="3"/>
    <tableColumn id="14" name="Korean" dataDxfId="2"/>
    <tableColumn id="15" name="Vietnamese" dataDxfId="1"/>
    <tableColumn id="16" name="Separator" dataDxfId="0"/>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7"/>
  <sheetViews>
    <sheetView tabSelected="1" zoomScale="90" zoomScaleNormal="90" workbookViewId="0">
      <pane ySplit="1" topLeftCell="A457" activePane="bottomLeft" state="frozen"/>
      <selection pane="bottomLeft" activeCell="G468" sqref="G468"/>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3" width="33.7109375" style="17" hidden="1"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 t="shared" ref="F3" si="0">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1</v>
      </c>
      <c r="D4" s="28">
        <f t="shared" ref="D4:D67" si="2">IF(B4=1,0,IF(B4=2,D3+1,IF(AND(B4=3,D3=0),1,D3)))</f>
        <v>1</v>
      </c>
      <c r="E4" s="28">
        <f t="shared" ref="E4:E67" si="3">IF(OR(B4=1,B4=2),0,IF(B4=3,E3+1,E3))</f>
        <v>0</v>
      </c>
      <c r="F4" s="51" t="str">
        <f t="shared" ref="F4:F67" si="4">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1"/>
        <v>1</v>
      </c>
      <c r="D5" s="28">
        <f t="shared" si="2"/>
        <v>1</v>
      </c>
      <c r="E5" s="28">
        <f t="shared" si="3"/>
        <v>0</v>
      </c>
      <c r="F5" s="56" t="str">
        <f t="shared" si="4"/>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1"/>
        <v>1</v>
      </c>
      <c r="D6" s="28">
        <f t="shared" si="2"/>
        <v>1</v>
      </c>
      <c r="E6" s="28">
        <f t="shared" si="3"/>
        <v>0</v>
      </c>
      <c r="F6" s="59" t="str">
        <f t="shared" si="4"/>
        <v/>
      </c>
      <c r="G6" s="42" t="s">
        <v>82</v>
      </c>
      <c r="H6" s="43" t="s">
        <v>83</v>
      </c>
      <c r="I6" s="44" t="s">
        <v>84</v>
      </c>
      <c r="J6" s="45" t="s">
        <v>85</v>
      </c>
      <c r="K6" s="46" t="s">
        <v>86</v>
      </c>
      <c r="L6" s="47" t="s">
        <v>2332</v>
      </c>
      <c r="M6" s="48" t="s">
        <v>2333</v>
      </c>
      <c r="N6" s="49"/>
      <c r="O6" s="50" t="s">
        <v>3278</v>
      </c>
      <c r="P6" s="59"/>
      <c r="Q6" s="59"/>
      <c r="R6" s="13"/>
    </row>
    <row r="7" spans="1:18" ht="90" x14ac:dyDescent="0.25">
      <c r="A7" s="9" t="s">
        <v>21</v>
      </c>
      <c r="B7" s="28">
        <f>IF(ISBLANK(A7),0,INDEX(txtstylestab[],MATCH(A7,txtstylestab[style_Name],0),1))</f>
        <v>0</v>
      </c>
      <c r="C7" s="28">
        <f t="shared" si="1"/>
        <v>1</v>
      </c>
      <c r="D7" s="28">
        <f t="shared" si="2"/>
        <v>1</v>
      </c>
      <c r="E7" s="28">
        <f t="shared" si="3"/>
        <v>0</v>
      </c>
      <c r="F7" s="59" t="str">
        <f t="shared" si="4"/>
        <v/>
      </c>
      <c r="G7" s="42" t="s">
        <v>2153</v>
      </c>
      <c r="H7" s="43" t="s">
        <v>2216</v>
      </c>
      <c r="I7" s="44" t="s">
        <v>2235</v>
      </c>
      <c r="J7" s="45" t="s">
        <v>2154</v>
      </c>
      <c r="K7" s="46" t="s">
        <v>2155</v>
      </c>
      <c r="L7" s="47" t="s">
        <v>2334</v>
      </c>
      <c r="M7" s="48" t="s">
        <v>2335</v>
      </c>
      <c r="N7" s="49"/>
      <c r="O7" s="50" t="s">
        <v>3279</v>
      </c>
      <c r="P7" s="59"/>
      <c r="Q7" s="59"/>
      <c r="R7" s="13"/>
    </row>
    <row r="8" spans="1:18" ht="60" x14ac:dyDescent="0.25">
      <c r="A8" s="9" t="s">
        <v>21</v>
      </c>
      <c r="B8" s="28">
        <f>IF(ISBLANK(A8),0,INDEX(txtstylestab[],MATCH(A8,txtstylestab[style_Name],0),1))</f>
        <v>0</v>
      </c>
      <c r="C8" s="28">
        <f t="shared" si="1"/>
        <v>1</v>
      </c>
      <c r="D8" s="28">
        <f t="shared" si="2"/>
        <v>1</v>
      </c>
      <c r="E8" s="28">
        <f t="shared" si="3"/>
        <v>0</v>
      </c>
      <c r="F8" s="59" t="str">
        <f t="shared" si="4"/>
        <v/>
      </c>
      <c r="G8" s="42" t="s">
        <v>2166</v>
      </c>
      <c r="H8" s="43" t="s">
        <v>2167</v>
      </c>
      <c r="I8" s="44" t="s">
        <v>2168</v>
      </c>
      <c r="J8" s="45" t="s">
        <v>2169</v>
      </c>
      <c r="K8" s="46" t="s">
        <v>2170</v>
      </c>
      <c r="L8" s="47" t="s">
        <v>2336</v>
      </c>
      <c r="M8" s="48" t="s">
        <v>2337</v>
      </c>
      <c r="N8" s="49"/>
      <c r="O8" s="50" t="s">
        <v>3280</v>
      </c>
      <c r="P8" s="59"/>
      <c r="Q8" s="59"/>
      <c r="R8" s="13"/>
    </row>
    <row r="9" spans="1:18" ht="75" x14ac:dyDescent="0.25">
      <c r="A9" s="9" t="s">
        <v>21</v>
      </c>
      <c r="B9" s="28">
        <f>IF(ISBLANK(A9),0,INDEX(txtstylestab[],MATCH(A9,txtstylestab[style_Name],0),1))</f>
        <v>0</v>
      </c>
      <c r="C9" s="28">
        <f t="shared" si="1"/>
        <v>1</v>
      </c>
      <c r="D9" s="28">
        <f t="shared" si="2"/>
        <v>1</v>
      </c>
      <c r="E9" s="28">
        <f t="shared" si="3"/>
        <v>0</v>
      </c>
      <c r="F9" s="59" t="str">
        <f t="shared" si="4"/>
        <v/>
      </c>
      <c r="G9" s="42" t="s">
        <v>1768</v>
      </c>
      <c r="H9" s="43" t="s">
        <v>2217</v>
      </c>
      <c r="I9" s="44" t="s">
        <v>2236</v>
      </c>
      <c r="J9" s="45" t="s">
        <v>2130</v>
      </c>
      <c r="K9" s="46" t="s">
        <v>2131</v>
      </c>
      <c r="L9" s="47" t="s">
        <v>2390</v>
      </c>
      <c r="M9" s="48" t="s">
        <v>2392</v>
      </c>
      <c r="N9" s="49"/>
      <c r="O9" s="50" t="s">
        <v>3281</v>
      </c>
      <c r="P9" s="59"/>
      <c r="Q9" s="59"/>
      <c r="R9" s="13"/>
    </row>
    <row r="10" spans="1:18" ht="30" x14ac:dyDescent="0.25">
      <c r="A10" s="9" t="s">
        <v>14</v>
      </c>
      <c r="B10" s="28">
        <f>IF(ISBLANK(A10),0,INDEX(txtstylestab[],MATCH(A10,txtstylestab[style_Name],0),1))</f>
        <v>6</v>
      </c>
      <c r="C10" s="28">
        <f t="shared" si="1"/>
        <v>1</v>
      </c>
      <c r="D10" s="28">
        <f t="shared" si="2"/>
        <v>1</v>
      </c>
      <c r="E10" s="28">
        <f t="shared" si="3"/>
        <v>0</v>
      </c>
      <c r="F10" s="59" t="str">
        <f t="shared" si="4"/>
        <v/>
      </c>
      <c r="G10" s="42" t="s">
        <v>31</v>
      </c>
      <c r="H10" s="43" t="s">
        <v>34</v>
      </c>
      <c r="I10" s="44" t="s">
        <v>46</v>
      </c>
      <c r="J10" s="45" t="s">
        <v>46</v>
      </c>
      <c r="K10" s="46" t="s">
        <v>34</v>
      </c>
      <c r="L10" s="47" t="s">
        <v>2338</v>
      </c>
      <c r="M10" s="48" t="s">
        <v>2351</v>
      </c>
      <c r="N10" s="49"/>
      <c r="O10" s="50" t="s">
        <v>3282</v>
      </c>
      <c r="P10" s="59"/>
      <c r="Q10" s="59"/>
      <c r="R10" s="13"/>
    </row>
    <row r="11" spans="1:18" ht="30" x14ac:dyDescent="0.25">
      <c r="A11" s="9" t="s">
        <v>14</v>
      </c>
      <c r="B11" s="28">
        <f>IF(ISBLANK(A11),0,INDEX(txtstylestab[],MATCH(A11,txtstylestab[style_Name],0),1))</f>
        <v>6</v>
      </c>
      <c r="C11" s="28">
        <f t="shared" si="1"/>
        <v>1</v>
      </c>
      <c r="D11" s="28">
        <f t="shared" si="2"/>
        <v>1</v>
      </c>
      <c r="E11" s="28">
        <f t="shared" si="3"/>
        <v>0</v>
      </c>
      <c r="F11" s="59" t="str">
        <f t="shared" si="4"/>
        <v/>
      </c>
      <c r="G11" s="42" t="s">
        <v>32</v>
      </c>
      <c r="H11" s="43" t="s">
        <v>35</v>
      </c>
      <c r="I11" s="44" t="s">
        <v>35</v>
      </c>
      <c r="J11" s="45" t="s">
        <v>35</v>
      </c>
      <c r="K11" s="46" t="s">
        <v>35</v>
      </c>
      <c r="L11" s="47" t="s">
        <v>2339</v>
      </c>
      <c r="M11" s="48" t="s">
        <v>2340</v>
      </c>
      <c r="N11" s="49"/>
      <c r="O11" s="50" t="s">
        <v>3283</v>
      </c>
      <c r="P11" s="59"/>
      <c r="Q11" s="59"/>
      <c r="R11" s="13"/>
    </row>
    <row r="12" spans="1:18" x14ac:dyDescent="0.25">
      <c r="A12" s="9" t="s">
        <v>14</v>
      </c>
      <c r="B12" s="28">
        <f>IF(ISBLANK(A12),0,INDEX(txtstylestab[],MATCH(A12,txtstylestab[style_Name],0),1))</f>
        <v>6</v>
      </c>
      <c r="C12" s="28">
        <f t="shared" si="1"/>
        <v>1</v>
      </c>
      <c r="D12" s="28">
        <f t="shared" si="2"/>
        <v>1</v>
      </c>
      <c r="E12" s="28">
        <f t="shared" si="3"/>
        <v>0</v>
      </c>
      <c r="F12" s="59" t="str">
        <f t="shared" si="4"/>
        <v/>
      </c>
      <c r="G12" s="42" t="s">
        <v>33</v>
      </c>
      <c r="H12" s="43" t="s">
        <v>36</v>
      </c>
      <c r="I12" s="44" t="s">
        <v>36</v>
      </c>
      <c r="J12" s="45" t="s">
        <v>36</v>
      </c>
      <c r="K12" s="46" t="s">
        <v>36</v>
      </c>
      <c r="L12" s="47" t="s">
        <v>2341</v>
      </c>
      <c r="M12" s="48" t="s">
        <v>2342</v>
      </c>
      <c r="N12" s="49"/>
      <c r="O12" s="50" t="s">
        <v>3284</v>
      </c>
      <c r="P12" s="59"/>
      <c r="Q12" s="59"/>
      <c r="R12" s="13"/>
    </row>
    <row r="13" spans="1:18" ht="60" x14ac:dyDescent="0.25">
      <c r="A13" s="9" t="s">
        <v>21</v>
      </c>
      <c r="B13" s="28">
        <f>IF(ISBLANK(A13),0,INDEX(txtstylestab[],MATCH(A13,txtstylestab[style_Name],0),1))</f>
        <v>0</v>
      </c>
      <c r="C13" s="28">
        <f t="shared" si="1"/>
        <v>1</v>
      </c>
      <c r="D13" s="28">
        <f t="shared" si="2"/>
        <v>1</v>
      </c>
      <c r="E13" s="28">
        <f t="shared" si="3"/>
        <v>0</v>
      </c>
      <c r="F13" s="59" t="str">
        <f t="shared" si="4"/>
        <v/>
      </c>
      <c r="G13" s="42" t="s">
        <v>7</v>
      </c>
      <c r="H13" s="43"/>
      <c r="I13" s="44"/>
      <c r="J13" s="45" t="s">
        <v>51</v>
      </c>
      <c r="K13" s="46" t="s">
        <v>56</v>
      </c>
      <c r="L13" s="47" t="s">
        <v>2343</v>
      </c>
      <c r="M13" s="48" t="s">
        <v>2344</v>
      </c>
      <c r="N13" s="49"/>
      <c r="O13" s="50" t="s">
        <v>3285</v>
      </c>
      <c r="P13" s="59"/>
      <c r="Q13" s="59"/>
      <c r="R13" s="13"/>
    </row>
    <row r="14" spans="1:18" ht="120" x14ac:dyDescent="0.25">
      <c r="A14" s="9" t="s">
        <v>21</v>
      </c>
      <c r="B14" s="28">
        <f>IF(ISBLANK(A14),0,INDEX(txtstylestab[],MATCH(A14,txtstylestab[style_Name],0),1))</f>
        <v>0</v>
      </c>
      <c r="C14" s="28">
        <f t="shared" si="1"/>
        <v>1</v>
      </c>
      <c r="D14" s="28">
        <f t="shared" si="2"/>
        <v>1</v>
      </c>
      <c r="E14" s="28">
        <f t="shared" si="3"/>
        <v>0</v>
      </c>
      <c r="F14" s="59" t="str">
        <f t="shared" si="4"/>
        <v/>
      </c>
      <c r="G14" s="42" t="s">
        <v>2182</v>
      </c>
      <c r="H14" s="43" t="s">
        <v>2183</v>
      </c>
      <c r="I14" s="44" t="s">
        <v>2184</v>
      </c>
      <c r="J14" s="45" t="s">
        <v>2185</v>
      </c>
      <c r="K14" s="46" t="s">
        <v>2186</v>
      </c>
      <c r="L14" s="47" t="s">
        <v>2345</v>
      </c>
      <c r="M14" s="48" t="s">
        <v>2346</v>
      </c>
      <c r="N14" s="49"/>
      <c r="O14" s="50" t="s">
        <v>3293</v>
      </c>
      <c r="P14" s="59"/>
      <c r="Q14" s="59"/>
      <c r="R14" s="13"/>
    </row>
    <row r="15" spans="1:18" ht="60" x14ac:dyDescent="0.25">
      <c r="A15" s="9" t="s">
        <v>21</v>
      </c>
      <c r="B15" s="28">
        <f>IF(ISBLANK(A15),0,INDEX(txtstylestab[],MATCH(A15,txtstylestab[style_Name],0),1))</f>
        <v>0</v>
      </c>
      <c r="C15" s="28">
        <f t="shared" si="1"/>
        <v>1</v>
      </c>
      <c r="D15" s="28">
        <f t="shared" si="2"/>
        <v>1</v>
      </c>
      <c r="E15" s="28">
        <f t="shared" si="3"/>
        <v>0</v>
      </c>
      <c r="F15" s="59" t="str">
        <f t="shared" si="4"/>
        <v/>
      </c>
      <c r="G15" s="42" t="s">
        <v>4</v>
      </c>
      <c r="H15" s="43" t="s">
        <v>24</v>
      </c>
      <c r="I15" s="44" t="s">
        <v>1629</v>
      </c>
      <c r="J15" s="45" t="s">
        <v>52</v>
      </c>
      <c r="K15" s="46" t="s">
        <v>57</v>
      </c>
      <c r="L15" s="47" t="s">
        <v>2347</v>
      </c>
      <c r="M15" s="48" t="s">
        <v>2348</v>
      </c>
      <c r="N15" s="49"/>
      <c r="O15" s="50" t="s">
        <v>3286</v>
      </c>
      <c r="P15" s="59"/>
      <c r="Q15" s="59"/>
      <c r="R15" s="13"/>
    </row>
    <row r="16" spans="1:18" ht="45" x14ac:dyDescent="0.25">
      <c r="A16" s="9" t="s">
        <v>21</v>
      </c>
      <c r="B16" s="28">
        <f>IF(ISBLANK(A16),0,INDEX(txtstylestab[],MATCH(A16,txtstylestab[style_Name],0),1))</f>
        <v>0</v>
      </c>
      <c r="C16" s="28">
        <f t="shared" si="1"/>
        <v>1</v>
      </c>
      <c r="D16" s="28">
        <f t="shared" si="2"/>
        <v>1</v>
      </c>
      <c r="E16" s="28">
        <f t="shared" si="3"/>
        <v>0</v>
      </c>
      <c r="F16" s="59" t="str">
        <f t="shared" si="4"/>
        <v/>
      </c>
      <c r="G16" s="42" t="s">
        <v>5</v>
      </c>
      <c r="H16" s="43" t="s">
        <v>25</v>
      </c>
      <c r="I16" s="44" t="s">
        <v>47</v>
      </c>
      <c r="J16" s="45" t="s">
        <v>53</v>
      </c>
      <c r="K16" s="46" t="s">
        <v>58</v>
      </c>
      <c r="L16" s="47" t="s">
        <v>2349</v>
      </c>
      <c r="M16" s="48" t="s">
        <v>2350</v>
      </c>
      <c r="N16" s="49"/>
      <c r="O16" s="50" t="s">
        <v>3228</v>
      </c>
      <c r="P16" s="59"/>
      <c r="Q16" s="59"/>
      <c r="R16" s="13"/>
    </row>
    <row r="17" spans="1:18" x14ac:dyDescent="0.25">
      <c r="A17" s="9" t="s">
        <v>21</v>
      </c>
      <c r="B17" s="28">
        <f>IF(ISBLANK(A17),0,INDEX(txtstylestab[],MATCH(A17,txtstylestab[style_Name],0),1))</f>
        <v>0</v>
      </c>
      <c r="C17" s="28">
        <f t="shared" si="1"/>
        <v>1</v>
      </c>
      <c r="D17" s="28">
        <f t="shared" si="2"/>
        <v>1</v>
      </c>
      <c r="E17" s="28">
        <f t="shared" si="3"/>
        <v>0</v>
      </c>
      <c r="F17" s="59" t="str">
        <f t="shared" si="4"/>
        <v/>
      </c>
      <c r="G17" s="42" t="s">
        <v>6</v>
      </c>
      <c r="H17" s="43" t="s">
        <v>26</v>
      </c>
      <c r="I17" s="44" t="s">
        <v>48</v>
      </c>
      <c r="J17" s="45" t="s">
        <v>397</v>
      </c>
      <c r="K17" s="46" t="s">
        <v>59</v>
      </c>
      <c r="L17" s="47" t="s">
        <v>2384</v>
      </c>
      <c r="M17" s="48" t="s">
        <v>2385</v>
      </c>
      <c r="N17" s="49"/>
      <c r="O17" s="50" t="s">
        <v>3173</v>
      </c>
      <c r="P17" s="59"/>
      <c r="Q17" s="59"/>
      <c r="R17" s="13"/>
    </row>
    <row r="18" spans="1:18" ht="18" thickBot="1" x14ac:dyDescent="0.35">
      <c r="A18" s="9" t="s">
        <v>11</v>
      </c>
      <c r="B18" s="28">
        <f>IF(ISBLANK(A18),0,INDEX(txtstylestab[],MATCH(A18,txtstylestab[style_Name],0),1))</f>
        <v>2</v>
      </c>
      <c r="C18" s="28">
        <f t="shared" si="1"/>
        <v>1</v>
      </c>
      <c r="D18" s="28">
        <f t="shared" si="2"/>
        <v>2</v>
      </c>
      <c r="E18" s="28">
        <f t="shared" si="3"/>
        <v>0</v>
      </c>
      <c r="F18" s="51" t="str">
        <f t="shared" si="4"/>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1"/>
        <v>1</v>
      </c>
      <c r="D19" s="28">
        <f t="shared" si="2"/>
        <v>2</v>
      </c>
      <c r="E19" s="28">
        <f t="shared" si="3"/>
        <v>0</v>
      </c>
      <c r="F19" s="59" t="str">
        <f t="shared" si="4"/>
        <v/>
      </c>
      <c r="G19" s="42" t="s">
        <v>2000</v>
      </c>
      <c r="H19" s="43" t="s">
        <v>617</v>
      </c>
      <c r="I19" s="44" t="s">
        <v>619</v>
      </c>
      <c r="J19" s="45" t="s">
        <v>620</v>
      </c>
      <c r="K19" s="46" t="s">
        <v>60</v>
      </c>
      <c r="L19" s="47" t="s">
        <v>2352</v>
      </c>
      <c r="M19" s="48" t="s">
        <v>2394</v>
      </c>
      <c r="N19" s="49"/>
      <c r="O19" s="50" t="s">
        <v>3477</v>
      </c>
      <c r="P19" s="59"/>
      <c r="Q19" s="59"/>
      <c r="R19" s="13"/>
    </row>
    <row r="20" spans="1:18" ht="105" x14ac:dyDescent="0.25">
      <c r="A20" s="9" t="s">
        <v>21</v>
      </c>
      <c r="B20" s="28">
        <f>IF(ISBLANK(A20),0,INDEX(txtstylestab[],MATCH(A20,txtstylestab[style_Name],0),1))</f>
        <v>0</v>
      </c>
      <c r="C20" s="28">
        <f t="shared" si="1"/>
        <v>1</v>
      </c>
      <c r="D20" s="28">
        <f t="shared" si="2"/>
        <v>2</v>
      </c>
      <c r="E20" s="28">
        <f t="shared" si="3"/>
        <v>0</v>
      </c>
      <c r="F20" s="59" t="str">
        <f t="shared" si="4"/>
        <v/>
      </c>
      <c r="G20" s="42" t="s">
        <v>75</v>
      </c>
      <c r="H20" s="43" t="s">
        <v>2218</v>
      </c>
      <c r="I20" s="44" t="s">
        <v>2237</v>
      </c>
      <c r="J20" s="45" t="s">
        <v>398</v>
      </c>
      <c r="K20" s="46" t="s">
        <v>76</v>
      </c>
      <c r="L20" s="47" t="s">
        <v>2391</v>
      </c>
      <c r="M20" s="48" t="s">
        <v>2393</v>
      </c>
      <c r="N20" s="49"/>
      <c r="O20" s="50" t="s">
        <v>3287</v>
      </c>
      <c r="P20" s="59"/>
      <c r="Q20" s="59"/>
      <c r="R20" s="13"/>
    </row>
    <row r="21" spans="1:18" ht="90" x14ac:dyDescent="0.25">
      <c r="A21" s="9" t="s">
        <v>21</v>
      </c>
      <c r="B21" s="28">
        <f>IF(ISBLANK(A21),0,INDEX(txtstylestab[],MATCH(A21,txtstylestab[style_Name],0),1))</f>
        <v>0</v>
      </c>
      <c r="C21" s="28">
        <f t="shared" si="1"/>
        <v>1</v>
      </c>
      <c r="D21" s="28">
        <f t="shared" si="2"/>
        <v>2</v>
      </c>
      <c r="E21" s="28">
        <f t="shared" si="3"/>
        <v>0</v>
      </c>
      <c r="F21" s="59" t="str">
        <f t="shared" si="4"/>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1"/>
        <v>1</v>
      </c>
      <c r="D22" s="28">
        <f t="shared" si="2"/>
        <v>2</v>
      </c>
      <c r="E22" s="28">
        <f t="shared" si="3"/>
        <v>0</v>
      </c>
      <c r="F22" s="59" t="str">
        <f t="shared" si="4"/>
        <v/>
      </c>
      <c r="G22" s="42" t="s">
        <v>1905</v>
      </c>
      <c r="H22" s="43" t="s">
        <v>2132</v>
      </c>
      <c r="I22" s="44" t="s">
        <v>49</v>
      </c>
      <c r="J22" s="45" t="s">
        <v>399</v>
      </c>
      <c r="K22" s="46" t="s">
        <v>61</v>
      </c>
      <c r="L22" s="47" t="s">
        <v>2353</v>
      </c>
      <c r="M22" s="48" t="s">
        <v>2395</v>
      </c>
      <c r="N22" s="49"/>
      <c r="O22" s="50" t="s">
        <v>3288</v>
      </c>
      <c r="P22" s="59"/>
      <c r="Q22" s="59"/>
      <c r="R22" s="13"/>
    </row>
    <row r="23" spans="1:18" ht="45" x14ac:dyDescent="0.25">
      <c r="A23" s="9" t="s">
        <v>21</v>
      </c>
      <c r="B23" s="28">
        <f>IF(ISBLANK(A23),0,INDEX(txtstylestab[],MATCH(A23,txtstylestab[style_Name],0),1))</f>
        <v>0</v>
      </c>
      <c r="C23" s="28">
        <f t="shared" si="1"/>
        <v>1</v>
      </c>
      <c r="D23" s="28">
        <f t="shared" si="2"/>
        <v>2</v>
      </c>
      <c r="E23" s="28">
        <f t="shared" si="3"/>
        <v>0</v>
      </c>
      <c r="F23" s="59" t="str">
        <f t="shared" si="4"/>
        <v/>
      </c>
      <c r="G23" s="42" t="s">
        <v>42</v>
      </c>
      <c r="H23" s="43" t="s">
        <v>43</v>
      </c>
      <c r="I23" s="44" t="s">
        <v>50</v>
      </c>
      <c r="J23" s="45" t="s">
        <v>55</v>
      </c>
      <c r="K23" s="46" t="s">
        <v>62</v>
      </c>
      <c r="L23" s="47" t="s">
        <v>2354</v>
      </c>
      <c r="M23" s="48" t="s">
        <v>2396</v>
      </c>
      <c r="N23" s="49"/>
      <c r="O23" s="50" t="s">
        <v>3444</v>
      </c>
      <c r="P23" s="59"/>
      <c r="Q23" s="59"/>
      <c r="R23" s="13"/>
    </row>
    <row r="24" spans="1:18" x14ac:dyDescent="0.25">
      <c r="A24" s="9" t="s">
        <v>22</v>
      </c>
      <c r="B24" s="28">
        <f>IF(ISBLANK(A24),0,INDEX(txtstylestab[],MATCH(A24,txtstylestab[style_Name],0),1))</f>
        <v>4</v>
      </c>
      <c r="C24" s="28">
        <f t="shared" si="1"/>
        <v>1</v>
      </c>
      <c r="D24" s="28">
        <f t="shared" si="2"/>
        <v>2</v>
      </c>
      <c r="E24" s="28">
        <f t="shared" si="3"/>
        <v>0</v>
      </c>
      <c r="F24" s="56" t="str">
        <f t="shared" si="4"/>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1"/>
        <v>1</v>
      </c>
      <c r="D25" s="28">
        <f t="shared" si="2"/>
        <v>2</v>
      </c>
      <c r="E25" s="28">
        <f t="shared" si="3"/>
        <v>0</v>
      </c>
      <c r="F25" s="59" t="str">
        <f t="shared" si="4"/>
        <v/>
      </c>
      <c r="G25" s="42" t="s">
        <v>2133</v>
      </c>
      <c r="H25" s="43" t="s">
        <v>2134</v>
      </c>
      <c r="I25" s="44" t="s">
        <v>2135</v>
      </c>
      <c r="J25" s="45" t="s">
        <v>1769</v>
      </c>
      <c r="K25" s="46" t="s">
        <v>2136</v>
      </c>
      <c r="L25" s="47" t="s">
        <v>2355</v>
      </c>
      <c r="M25" s="48" t="s">
        <v>2397</v>
      </c>
      <c r="N25" s="49"/>
      <c r="O25" s="50" t="s">
        <v>3289</v>
      </c>
      <c r="P25" s="59"/>
      <c r="Q25" s="59"/>
      <c r="R25" s="13"/>
    </row>
    <row r="26" spans="1:18" ht="75" x14ac:dyDescent="0.25">
      <c r="A26" s="9" t="s">
        <v>14</v>
      </c>
      <c r="B26" s="28">
        <f>IF(ISBLANK(A26),0,INDEX(txtstylestab[],MATCH(A26,txtstylestab[style_Name],0),1))</f>
        <v>6</v>
      </c>
      <c r="C26" s="28">
        <f t="shared" si="1"/>
        <v>1</v>
      </c>
      <c r="D26" s="28">
        <f t="shared" si="2"/>
        <v>2</v>
      </c>
      <c r="E26" s="28">
        <f t="shared" si="3"/>
        <v>0</v>
      </c>
      <c r="F26" s="59" t="str">
        <f t="shared" si="4"/>
        <v/>
      </c>
      <c r="G26" s="42" t="s">
        <v>1770</v>
      </c>
      <c r="H26" s="43" t="s">
        <v>1771</v>
      </c>
      <c r="I26" s="44" t="s">
        <v>1791</v>
      </c>
      <c r="J26" s="45" t="s">
        <v>466</v>
      </c>
      <c r="K26" s="46" t="s">
        <v>1796</v>
      </c>
      <c r="L26" s="47" t="s">
        <v>2356</v>
      </c>
      <c r="M26" s="48" t="s">
        <v>2357</v>
      </c>
      <c r="N26" s="49"/>
      <c r="O26" s="50" t="s">
        <v>3481</v>
      </c>
      <c r="P26" s="59"/>
      <c r="Q26" s="59"/>
      <c r="R26" s="13"/>
    </row>
    <row r="27" spans="1:18" ht="60" x14ac:dyDescent="0.25">
      <c r="A27" s="9" t="s">
        <v>14</v>
      </c>
      <c r="B27" s="28">
        <f>IF(ISBLANK(A27),0,INDEX(txtstylestab[],MATCH(A27,txtstylestab[style_Name],0),1))</f>
        <v>6</v>
      </c>
      <c r="C27" s="28">
        <f t="shared" si="1"/>
        <v>1</v>
      </c>
      <c r="D27" s="28">
        <f t="shared" si="2"/>
        <v>2</v>
      </c>
      <c r="E27" s="28">
        <f t="shared" si="3"/>
        <v>0</v>
      </c>
      <c r="F27" s="59" t="str">
        <f t="shared" si="4"/>
        <v/>
      </c>
      <c r="G27" s="42" t="s">
        <v>1774</v>
      </c>
      <c r="H27" s="43" t="s">
        <v>1775</v>
      </c>
      <c r="I27" s="44" t="s">
        <v>2194</v>
      </c>
      <c r="J27" s="45" t="s">
        <v>2329</v>
      </c>
      <c r="K27" s="46" t="s">
        <v>2193</v>
      </c>
      <c r="L27" s="47" t="s">
        <v>2358</v>
      </c>
      <c r="M27" s="48" t="s">
        <v>2359</v>
      </c>
      <c r="N27" s="49"/>
      <c r="O27" s="50" t="s">
        <v>3482</v>
      </c>
      <c r="P27" s="59"/>
      <c r="Q27" s="59"/>
      <c r="R27" s="13"/>
    </row>
    <row r="28" spans="1:18" ht="30" x14ac:dyDescent="0.25">
      <c r="A28" s="9" t="s">
        <v>14</v>
      </c>
      <c r="B28" s="28">
        <f>IF(ISBLANK(A28),0,INDEX(txtstylestab[],MATCH(A28,txtstylestab[style_Name],0),1))</f>
        <v>6</v>
      </c>
      <c r="C28" s="28">
        <f t="shared" si="1"/>
        <v>1</v>
      </c>
      <c r="D28" s="28">
        <f t="shared" si="2"/>
        <v>2</v>
      </c>
      <c r="E28" s="28">
        <f t="shared" si="3"/>
        <v>0</v>
      </c>
      <c r="F28" s="59" t="str">
        <f t="shared" si="4"/>
        <v/>
      </c>
      <c r="G28" s="42" t="s">
        <v>37</v>
      </c>
      <c r="H28" s="43" t="s">
        <v>1772</v>
      </c>
      <c r="I28" s="44" t="s">
        <v>1792</v>
      </c>
      <c r="J28" s="45" t="s">
        <v>400</v>
      </c>
      <c r="K28" s="46" t="s">
        <v>1797</v>
      </c>
      <c r="L28" s="47" t="s">
        <v>2360</v>
      </c>
      <c r="M28" s="48" t="s">
        <v>2361</v>
      </c>
      <c r="N28" s="49"/>
      <c r="O28" s="50" t="s">
        <v>3483</v>
      </c>
      <c r="P28" s="59"/>
      <c r="Q28" s="59"/>
      <c r="R28" s="13"/>
    </row>
    <row r="29" spans="1:18" ht="30" x14ac:dyDescent="0.25">
      <c r="A29" s="9" t="s">
        <v>14</v>
      </c>
      <c r="B29" s="28">
        <f>IF(ISBLANK(A29),0,INDEX(txtstylestab[],MATCH(A29,txtstylestab[style_Name],0),1))</f>
        <v>6</v>
      </c>
      <c r="C29" s="28">
        <f t="shared" si="1"/>
        <v>1</v>
      </c>
      <c r="D29" s="28">
        <f t="shared" si="2"/>
        <v>2</v>
      </c>
      <c r="E29" s="28">
        <f t="shared" si="3"/>
        <v>0</v>
      </c>
      <c r="F29" s="59" t="str">
        <f t="shared" si="4"/>
        <v/>
      </c>
      <c r="G29" s="42" t="s">
        <v>38</v>
      </c>
      <c r="H29" s="43" t="s">
        <v>1773</v>
      </c>
      <c r="I29" s="44" t="s">
        <v>1793</v>
      </c>
      <c r="J29" s="45" t="s">
        <v>401</v>
      </c>
      <c r="K29" s="46" t="s">
        <v>1798</v>
      </c>
      <c r="L29" s="47" t="s">
        <v>2362</v>
      </c>
      <c r="M29" s="48" t="s">
        <v>2363</v>
      </c>
      <c r="N29" s="49"/>
      <c r="O29" s="50" t="s">
        <v>3484</v>
      </c>
      <c r="P29" s="59"/>
      <c r="Q29" s="59"/>
      <c r="R29" s="13"/>
    </row>
    <row r="30" spans="1:18" ht="30" x14ac:dyDescent="0.25">
      <c r="A30" s="9" t="s">
        <v>14</v>
      </c>
      <c r="B30" s="28">
        <f>IF(ISBLANK(A30),0,INDEX(txtstylestab[],MATCH(A30,txtstylestab[style_Name],0),1))</f>
        <v>6</v>
      </c>
      <c r="C30" s="28">
        <f t="shared" si="1"/>
        <v>1</v>
      </c>
      <c r="D30" s="28">
        <f t="shared" si="2"/>
        <v>2</v>
      </c>
      <c r="E30" s="28">
        <f t="shared" si="3"/>
        <v>0</v>
      </c>
      <c r="F30" s="59" t="str">
        <f t="shared" si="4"/>
        <v/>
      </c>
      <c r="G30" s="42" t="s">
        <v>39</v>
      </c>
      <c r="H30" s="43" t="s">
        <v>1776</v>
      </c>
      <c r="I30" s="44" t="s">
        <v>1794</v>
      </c>
      <c r="J30" s="45" t="s">
        <v>402</v>
      </c>
      <c r="K30" s="46" t="s">
        <v>1795</v>
      </c>
      <c r="L30" s="47" t="s">
        <v>2364</v>
      </c>
      <c r="M30" s="48" t="s">
        <v>2365</v>
      </c>
      <c r="N30" s="49"/>
      <c r="O30" s="50" t="s">
        <v>3269</v>
      </c>
      <c r="P30" s="59"/>
      <c r="Q30" s="59"/>
      <c r="R30" s="13"/>
    </row>
    <row r="31" spans="1:18" ht="45" x14ac:dyDescent="0.25">
      <c r="A31" s="9" t="s">
        <v>14</v>
      </c>
      <c r="B31" s="28">
        <f>IF(ISBLANK(A31),0,INDEX(txtstylestab[],MATCH(A31,txtstylestab[style_Name],0),1))</f>
        <v>6</v>
      </c>
      <c r="C31" s="28">
        <f t="shared" si="1"/>
        <v>1</v>
      </c>
      <c r="D31" s="28">
        <f t="shared" si="2"/>
        <v>2</v>
      </c>
      <c r="E31" s="28">
        <f t="shared" si="3"/>
        <v>0</v>
      </c>
      <c r="F31" s="59" t="str">
        <f t="shared" si="4"/>
        <v/>
      </c>
      <c r="G31" s="42" t="s">
        <v>1777</v>
      </c>
      <c r="H31" s="43" t="s">
        <v>1778</v>
      </c>
      <c r="I31" s="44" t="s">
        <v>2196</v>
      </c>
      <c r="J31" s="45" t="s">
        <v>2197</v>
      </c>
      <c r="K31" s="46" t="s">
        <v>2195</v>
      </c>
      <c r="L31" s="47" t="s">
        <v>2366</v>
      </c>
      <c r="M31" s="48" t="s">
        <v>2367</v>
      </c>
      <c r="N31" s="49"/>
      <c r="O31" s="50" t="s">
        <v>3272</v>
      </c>
      <c r="P31" s="59"/>
      <c r="Q31" s="59"/>
      <c r="R31" s="13"/>
    </row>
    <row r="32" spans="1:18" ht="45" x14ac:dyDescent="0.25">
      <c r="A32" s="9" t="s">
        <v>14</v>
      </c>
      <c r="B32" s="28">
        <f>IF(ISBLANK(A32),0,INDEX(txtstylestab[],MATCH(A32,txtstylestab[style_Name],0),1))</f>
        <v>6</v>
      </c>
      <c r="C32" s="28">
        <f t="shared" si="1"/>
        <v>1</v>
      </c>
      <c r="D32" s="28">
        <f t="shared" si="2"/>
        <v>2</v>
      </c>
      <c r="E32" s="28">
        <f t="shared" si="3"/>
        <v>0</v>
      </c>
      <c r="F32" s="59" t="str">
        <f t="shared" si="4"/>
        <v/>
      </c>
      <c r="G32" s="42" t="s">
        <v>1779</v>
      </c>
      <c r="H32" s="43" t="s">
        <v>1780</v>
      </c>
      <c r="I32" s="44" t="s">
        <v>2198</v>
      </c>
      <c r="J32" s="45" t="s">
        <v>2199</v>
      </c>
      <c r="K32" s="46" t="s">
        <v>2302</v>
      </c>
      <c r="L32" s="47" t="s">
        <v>2368</v>
      </c>
      <c r="M32" s="48" t="s">
        <v>2369</v>
      </c>
      <c r="N32" s="49"/>
      <c r="O32" s="50" t="s">
        <v>3485</v>
      </c>
      <c r="P32" s="59"/>
      <c r="Q32" s="59"/>
      <c r="R32" s="13"/>
    </row>
    <row r="33" spans="1:18" ht="30" x14ac:dyDescent="0.25">
      <c r="A33" s="9" t="s">
        <v>14</v>
      </c>
      <c r="B33" s="28">
        <f>IF(ISBLANK(A33),0,INDEX(txtstylestab[],MATCH(A33,txtstylestab[style_Name],0),1))</f>
        <v>6</v>
      </c>
      <c r="C33" s="28">
        <f t="shared" si="1"/>
        <v>1</v>
      </c>
      <c r="D33" s="28">
        <f t="shared" si="2"/>
        <v>2</v>
      </c>
      <c r="E33" s="28">
        <f t="shared" si="3"/>
        <v>0</v>
      </c>
      <c r="F33" s="59" t="str">
        <f t="shared" si="4"/>
        <v/>
      </c>
      <c r="G33" s="42" t="s">
        <v>40</v>
      </c>
      <c r="H33" s="43" t="s">
        <v>1781</v>
      </c>
      <c r="I33" s="44" t="s">
        <v>1782</v>
      </c>
      <c r="J33" s="45" t="s">
        <v>403</v>
      </c>
      <c r="K33" s="46" t="s">
        <v>1783</v>
      </c>
      <c r="L33" s="47"/>
      <c r="M33" s="48" t="s">
        <v>2370</v>
      </c>
      <c r="N33" s="49"/>
      <c r="O33" s="50" t="s">
        <v>3178</v>
      </c>
      <c r="P33" s="59"/>
      <c r="Q33" s="59"/>
      <c r="R33" s="13"/>
    </row>
    <row r="34" spans="1:18" ht="45" x14ac:dyDescent="0.25">
      <c r="A34" s="9" t="s">
        <v>21</v>
      </c>
      <c r="B34" s="28">
        <f>IF(ISBLANK(A34),0,INDEX(txtstylestab[],MATCH(A34,txtstylestab[style_Name],0),1))</f>
        <v>0</v>
      </c>
      <c r="C34" s="28">
        <f t="shared" si="1"/>
        <v>1</v>
      </c>
      <c r="D34" s="28">
        <f t="shared" si="2"/>
        <v>2</v>
      </c>
      <c r="E34" s="28">
        <f t="shared" si="3"/>
        <v>0</v>
      </c>
      <c r="F34" s="59" t="str">
        <f t="shared" si="4"/>
        <v/>
      </c>
      <c r="G34" s="42"/>
      <c r="H34" s="43"/>
      <c r="I34" s="44"/>
      <c r="J34" s="45"/>
      <c r="K34" s="46"/>
      <c r="L34" s="47"/>
      <c r="M34" s="48"/>
      <c r="N34" s="49"/>
      <c r="O34" s="50" t="s">
        <v>3476</v>
      </c>
      <c r="P34" s="59"/>
      <c r="Q34" s="59"/>
      <c r="R34" s="13"/>
    </row>
    <row r="35" spans="1:18" ht="30" x14ac:dyDescent="0.25">
      <c r="A35" s="9" t="s">
        <v>21</v>
      </c>
      <c r="B35" s="28">
        <f>IF(ISBLANK(A35),0,INDEX(txtstylestab[],MATCH(A35,txtstylestab[style_Name],0),1))</f>
        <v>0</v>
      </c>
      <c r="C35" s="28">
        <f t="shared" si="1"/>
        <v>1</v>
      </c>
      <c r="D35" s="28">
        <f t="shared" si="2"/>
        <v>2</v>
      </c>
      <c r="E35" s="28">
        <f t="shared" si="3"/>
        <v>0</v>
      </c>
      <c r="F35" s="59" t="str">
        <f t="shared" si="4"/>
        <v/>
      </c>
      <c r="G35" s="42" t="s">
        <v>20</v>
      </c>
      <c r="H35" s="43" t="s">
        <v>45</v>
      </c>
      <c r="I35" s="44" t="s">
        <v>2284</v>
      </c>
      <c r="J35" s="45" t="s">
        <v>529</v>
      </c>
      <c r="K35" s="46" t="s">
        <v>63</v>
      </c>
      <c r="L35" s="47" t="s">
        <v>2371</v>
      </c>
      <c r="M35" s="48" t="s">
        <v>2372</v>
      </c>
      <c r="N35" s="49"/>
      <c r="O35" s="50" t="s">
        <v>3236</v>
      </c>
      <c r="P35" s="59"/>
      <c r="Q35" s="59"/>
      <c r="R35" s="13"/>
    </row>
    <row r="36" spans="1:18" ht="30" x14ac:dyDescent="0.25">
      <c r="A36" s="9" t="s">
        <v>21</v>
      </c>
      <c r="B36" s="28">
        <f>IF(ISBLANK(A36),0,INDEX(txtstylestab[],MATCH(A36,txtstylestab[style_Name],0),1))</f>
        <v>0</v>
      </c>
      <c r="C36" s="28">
        <f t="shared" si="1"/>
        <v>1</v>
      </c>
      <c r="D36" s="28">
        <f t="shared" si="2"/>
        <v>2</v>
      </c>
      <c r="E36" s="28">
        <f t="shared" si="3"/>
        <v>0</v>
      </c>
      <c r="F36" s="59" t="str">
        <f t="shared" si="4"/>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1"/>
        <v>1</v>
      </c>
      <c r="D37" s="28">
        <f t="shared" si="2"/>
        <v>3</v>
      </c>
      <c r="E37" s="28">
        <f t="shared" si="3"/>
        <v>0</v>
      </c>
      <c r="F37" s="51" t="str">
        <f t="shared" si="4"/>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1"/>
        <v>1</v>
      </c>
      <c r="D38" s="28">
        <f t="shared" si="2"/>
        <v>3</v>
      </c>
      <c r="E38" s="28">
        <f t="shared" si="3"/>
        <v>0</v>
      </c>
      <c r="F38" s="56" t="str">
        <f t="shared" si="4"/>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1"/>
        <v>1</v>
      </c>
      <c r="D39" s="28">
        <f t="shared" si="2"/>
        <v>3</v>
      </c>
      <c r="E39" s="28">
        <f t="shared" si="3"/>
        <v>0</v>
      </c>
      <c r="F39" s="56" t="str">
        <f t="shared" si="4"/>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1"/>
        <v>1</v>
      </c>
      <c r="D40" s="28">
        <f t="shared" si="2"/>
        <v>3</v>
      </c>
      <c r="E40" s="28">
        <f t="shared" si="3"/>
        <v>0</v>
      </c>
      <c r="F40" s="59" t="str">
        <f t="shared" si="4"/>
        <v/>
      </c>
      <c r="G40" s="42" t="s">
        <v>82</v>
      </c>
      <c r="H40" s="43" t="s">
        <v>83</v>
      </c>
      <c r="I40" s="44" t="s">
        <v>84</v>
      </c>
      <c r="J40" s="45" t="s">
        <v>85</v>
      </c>
      <c r="K40" s="46" t="s">
        <v>86</v>
      </c>
      <c r="L40" s="47" t="s">
        <v>2373</v>
      </c>
      <c r="M40" s="48" t="s">
        <v>2333</v>
      </c>
      <c r="N40" s="49"/>
      <c r="O40" s="50" t="s">
        <v>3166</v>
      </c>
      <c r="P40" s="59"/>
      <c r="Q40" s="59"/>
      <c r="R40" s="13"/>
    </row>
    <row r="41" spans="1:18" ht="75" x14ac:dyDescent="0.25">
      <c r="A41" s="9" t="s">
        <v>21</v>
      </c>
      <c r="B41" s="28">
        <f>IF(ISBLANK(A41),0,INDEX(txtstylestab[],MATCH(A41,txtstylestab[style_Name],0),1))</f>
        <v>0</v>
      </c>
      <c r="C41" s="28">
        <f t="shared" si="1"/>
        <v>1</v>
      </c>
      <c r="D41" s="28">
        <f t="shared" si="2"/>
        <v>3</v>
      </c>
      <c r="E41" s="28">
        <f t="shared" si="3"/>
        <v>0</v>
      </c>
      <c r="F41" s="59" t="str">
        <f t="shared" si="4"/>
        <v/>
      </c>
      <c r="G41" s="42" t="s">
        <v>87</v>
      </c>
      <c r="H41" s="43" t="s">
        <v>88</v>
      </c>
      <c r="I41" s="44" t="s">
        <v>89</v>
      </c>
      <c r="J41" s="45" t="s">
        <v>90</v>
      </c>
      <c r="K41" s="46" t="s">
        <v>91</v>
      </c>
      <c r="L41" s="47" t="s">
        <v>2386</v>
      </c>
      <c r="M41" s="48" t="s">
        <v>2387</v>
      </c>
      <c r="N41" s="49"/>
      <c r="O41" s="50" t="s">
        <v>3290</v>
      </c>
      <c r="P41" s="59"/>
      <c r="Q41" s="59"/>
      <c r="R41" s="13"/>
    </row>
    <row r="42" spans="1:18" ht="120" x14ac:dyDescent="0.25">
      <c r="A42" s="9" t="s">
        <v>21</v>
      </c>
      <c r="B42" s="28">
        <f>IF(ISBLANK(A42),0,INDEX(txtstylestab[],MATCH(A42,txtstylestab[style_Name],0),1))</f>
        <v>0</v>
      </c>
      <c r="C42" s="28">
        <f t="shared" si="1"/>
        <v>1</v>
      </c>
      <c r="D42" s="28">
        <f t="shared" si="2"/>
        <v>3</v>
      </c>
      <c r="E42" s="28">
        <f t="shared" si="3"/>
        <v>0</v>
      </c>
      <c r="F42" s="59" t="str">
        <f t="shared" si="4"/>
        <v/>
      </c>
      <c r="G42" s="42" t="s">
        <v>92</v>
      </c>
      <c r="H42" s="43" t="s">
        <v>465</v>
      </c>
      <c r="I42" s="44" t="s">
        <v>2287</v>
      </c>
      <c r="J42" s="45" t="s">
        <v>530</v>
      </c>
      <c r="K42" s="46" t="s">
        <v>93</v>
      </c>
      <c r="L42" s="47" t="s">
        <v>2388</v>
      </c>
      <c r="M42" s="48" t="s">
        <v>2389</v>
      </c>
      <c r="N42" s="49"/>
      <c r="O42" s="50" t="s">
        <v>3291</v>
      </c>
      <c r="P42" s="59"/>
      <c r="Q42" s="59"/>
      <c r="R42" s="13"/>
    </row>
    <row r="43" spans="1:18" ht="75" x14ac:dyDescent="0.25">
      <c r="A43" s="9" t="s">
        <v>21</v>
      </c>
      <c r="B43" s="28">
        <f>IF(ISBLANK(A43),0,INDEX(txtstylestab[],MATCH(A43,txtstylestab[style_Name],0),1))</f>
        <v>0</v>
      </c>
      <c r="C43" s="28">
        <f t="shared" si="1"/>
        <v>1</v>
      </c>
      <c r="D43" s="28">
        <f t="shared" si="2"/>
        <v>3</v>
      </c>
      <c r="E43" s="28">
        <f t="shared" si="3"/>
        <v>0</v>
      </c>
      <c r="F43" s="59" t="str">
        <f t="shared" si="4"/>
        <v/>
      </c>
      <c r="G43" s="42" t="s">
        <v>1784</v>
      </c>
      <c r="H43" s="43" t="s">
        <v>1785</v>
      </c>
      <c r="I43" s="44" t="s">
        <v>1786</v>
      </c>
      <c r="J43" s="45" t="s">
        <v>1787</v>
      </c>
      <c r="K43" s="46" t="s">
        <v>1788</v>
      </c>
      <c r="L43" s="47" t="s">
        <v>2374</v>
      </c>
      <c r="M43" s="48" t="s">
        <v>2375</v>
      </c>
      <c r="N43" s="49"/>
      <c r="O43" s="50" t="s">
        <v>3226</v>
      </c>
      <c r="P43" s="59"/>
      <c r="Q43" s="59"/>
      <c r="R43" s="13"/>
    </row>
    <row r="44" spans="1:18" ht="60" x14ac:dyDescent="0.25">
      <c r="A44" s="9" t="s">
        <v>14</v>
      </c>
      <c r="B44" s="28">
        <f>IF(ISBLANK(A44),0,INDEX(txtstylestab[],MATCH(A44,txtstylestab[style_Name],0),1))</f>
        <v>6</v>
      </c>
      <c r="C44" s="28">
        <f t="shared" si="1"/>
        <v>1</v>
      </c>
      <c r="D44" s="28">
        <f t="shared" si="2"/>
        <v>3</v>
      </c>
      <c r="E44" s="28">
        <f t="shared" si="3"/>
        <v>0</v>
      </c>
      <c r="F44" s="59" t="str">
        <f t="shared" si="4"/>
        <v/>
      </c>
      <c r="G44" s="42" t="s">
        <v>976</v>
      </c>
      <c r="H44" s="43" t="s">
        <v>979</v>
      </c>
      <c r="I44" s="44" t="s">
        <v>981</v>
      </c>
      <c r="J44" s="45" t="s">
        <v>983</v>
      </c>
      <c r="K44" s="46" t="s">
        <v>1711</v>
      </c>
      <c r="L44" s="47" t="s">
        <v>2376</v>
      </c>
      <c r="M44" s="48" t="s">
        <v>2377</v>
      </c>
      <c r="N44" s="49"/>
      <c r="O44" s="50" t="s">
        <v>3227</v>
      </c>
      <c r="P44" s="59"/>
      <c r="Q44" s="59"/>
      <c r="R44" s="13"/>
    </row>
    <row r="45" spans="1:18" ht="60" x14ac:dyDescent="0.25">
      <c r="A45" s="9" t="s">
        <v>14</v>
      </c>
      <c r="B45" s="28">
        <f>IF(ISBLANK(A45),0,INDEX(txtstylestab[],MATCH(A45,txtstylestab[style_Name],0),1))</f>
        <v>6</v>
      </c>
      <c r="C45" s="28">
        <f t="shared" si="1"/>
        <v>1</v>
      </c>
      <c r="D45" s="28">
        <f t="shared" si="2"/>
        <v>3</v>
      </c>
      <c r="E45" s="28">
        <f t="shared" si="3"/>
        <v>0</v>
      </c>
      <c r="F45" s="59" t="str">
        <f t="shared" si="4"/>
        <v/>
      </c>
      <c r="G45" s="42" t="s">
        <v>977</v>
      </c>
      <c r="H45" s="43" t="s">
        <v>980</v>
      </c>
      <c r="I45" s="44" t="s">
        <v>982</v>
      </c>
      <c r="J45" s="45" t="s">
        <v>984</v>
      </c>
      <c r="K45" s="46" t="s">
        <v>987</v>
      </c>
      <c r="L45" s="47" t="s">
        <v>2378</v>
      </c>
      <c r="M45" s="48" t="s">
        <v>2379</v>
      </c>
      <c r="N45" s="49"/>
      <c r="O45" s="50" t="s">
        <v>3228</v>
      </c>
      <c r="P45" s="59"/>
      <c r="Q45" s="59"/>
      <c r="R45" s="13"/>
    </row>
    <row r="46" spans="1:18" ht="45" x14ac:dyDescent="0.25">
      <c r="A46" s="9" t="s">
        <v>14</v>
      </c>
      <c r="B46" s="28">
        <f>IF(ISBLANK(A46),0,INDEX(txtstylestab[],MATCH(A46,txtstylestab[style_Name],0),1))</f>
        <v>6</v>
      </c>
      <c r="C46" s="28">
        <f t="shared" si="1"/>
        <v>1</v>
      </c>
      <c r="D46" s="28">
        <f t="shared" si="2"/>
        <v>3</v>
      </c>
      <c r="E46" s="28">
        <f t="shared" si="3"/>
        <v>0</v>
      </c>
      <c r="F46" s="59" t="str">
        <f t="shared" si="4"/>
        <v/>
      </c>
      <c r="G46" s="42" t="s">
        <v>978</v>
      </c>
      <c r="H46" s="43" t="s">
        <v>979</v>
      </c>
      <c r="I46" s="44" t="s">
        <v>981</v>
      </c>
      <c r="J46" s="45" t="s">
        <v>985</v>
      </c>
      <c r="K46" s="46" t="s">
        <v>988</v>
      </c>
      <c r="L46" s="47" t="s">
        <v>2380</v>
      </c>
      <c r="M46" s="48" t="s">
        <v>2381</v>
      </c>
      <c r="N46" s="49"/>
      <c r="O46" s="50" t="s">
        <v>3229</v>
      </c>
      <c r="P46" s="59"/>
      <c r="Q46" s="59"/>
      <c r="R46" s="13"/>
    </row>
    <row r="47" spans="1:18" ht="135" x14ac:dyDescent="0.25">
      <c r="A47" s="9" t="s">
        <v>21</v>
      </c>
      <c r="B47" s="28">
        <f>IF(ISBLANK(A47),0,INDEX(txtstylestab[],MATCH(A47,txtstylestab[style_Name],0),1))</f>
        <v>0</v>
      </c>
      <c r="C47" s="28">
        <f t="shared" si="1"/>
        <v>1</v>
      </c>
      <c r="D47" s="28">
        <f t="shared" si="2"/>
        <v>3</v>
      </c>
      <c r="E47" s="28">
        <f t="shared" si="3"/>
        <v>0</v>
      </c>
      <c r="F47" s="59" t="str">
        <f t="shared" si="4"/>
        <v/>
      </c>
      <c r="G47" s="42" t="s">
        <v>2214</v>
      </c>
      <c r="H47" s="43" t="s">
        <v>2215</v>
      </c>
      <c r="I47" s="44" t="s">
        <v>2238</v>
      </c>
      <c r="J47" s="45" t="s">
        <v>94</v>
      </c>
      <c r="K47" s="46" t="s">
        <v>1712</v>
      </c>
      <c r="L47" s="47" t="s">
        <v>2382</v>
      </c>
      <c r="M47" s="48" t="s">
        <v>2383</v>
      </c>
      <c r="N47" s="49"/>
      <c r="O47" s="50" t="s">
        <v>3292</v>
      </c>
      <c r="P47" s="59"/>
      <c r="Q47" s="59"/>
      <c r="R47" s="13"/>
    </row>
    <row r="48" spans="1:18" ht="30" x14ac:dyDescent="0.25">
      <c r="A48" s="9" t="s">
        <v>21</v>
      </c>
      <c r="B48" s="28">
        <f>IF(ISBLANK(A48),0,INDEX(txtstylestab[],MATCH(A48,txtstylestab[style_Name],0),1))</f>
        <v>0</v>
      </c>
      <c r="C48" s="28">
        <f t="shared" si="1"/>
        <v>1</v>
      </c>
      <c r="D48" s="28">
        <f t="shared" si="2"/>
        <v>3</v>
      </c>
      <c r="E48" s="28">
        <f t="shared" si="3"/>
        <v>0</v>
      </c>
      <c r="F48" s="59" t="str">
        <f t="shared" si="4"/>
        <v/>
      </c>
      <c r="G48" s="42" t="s">
        <v>97</v>
      </c>
      <c r="H48" s="43" t="s">
        <v>96</v>
      </c>
      <c r="I48" s="44" t="s">
        <v>48</v>
      </c>
      <c r="J48" s="45" t="s">
        <v>397</v>
      </c>
      <c r="K48" s="46" t="s">
        <v>59</v>
      </c>
      <c r="L48" s="47" t="s">
        <v>2384</v>
      </c>
      <c r="M48" s="48" t="s">
        <v>2385</v>
      </c>
      <c r="N48" s="49"/>
      <c r="O48" s="50" t="s">
        <v>3231</v>
      </c>
      <c r="P48" s="59"/>
      <c r="Q48" s="59"/>
      <c r="R48" s="13"/>
    </row>
    <row r="49" spans="1:18" ht="15.75" thickBot="1" x14ac:dyDescent="0.3">
      <c r="A49" s="9" t="s">
        <v>12</v>
      </c>
      <c r="B49" s="28">
        <f>IF(ISBLANK(A49),0,INDEX(txtstylestab[],MATCH(A49,txtstylestab[style_Name],0),1))</f>
        <v>3</v>
      </c>
      <c r="C49" s="28">
        <f t="shared" si="1"/>
        <v>1</v>
      </c>
      <c r="D49" s="28">
        <f t="shared" si="2"/>
        <v>3</v>
      </c>
      <c r="E49" s="28">
        <f t="shared" si="3"/>
        <v>1</v>
      </c>
      <c r="F49" s="55" t="str">
        <f t="shared" si="4"/>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1"/>
        <v>1</v>
      </c>
      <c r="D50" s="28">
        <f t="shared" si="2"/>
        <v>3</v>
      </c>
      <c r="E50" s="28">
        <f t="shared" si="3"/>
        <v>1</v>
      </c>
      <c r="F50" s="56" t="str">
        <f t="shared" si="4"/>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1"/>
        <v>1</v>
      </c>
      <c r="D51" s="28">
        <f t="shared" si="2"/>
        <v>3</v>
      </c>
      <c r="E51" s="28">
        <f t="shared" si="3"/>
        <v>1</v>
      </c>
      <c r="F51" s="59" t="str">
        <f t="shared" si="4"/>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1"/>
        <v>1</v>
      </c>
      <c r="D52" s="28">
        <f t="shared" si="2"/>
        <v>3</v>
      </c>
      <c r="E52" s="28">
        <f t="shared" si="3"/>
        <v>1</v>
      </c>
      <c r="F52" s="59" t="str">
        <f t="shared" si="4"/>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1"/>
        <v>1</v>
      </c>
      <c r="D53" s="28">
        <f t="shared" si="2"/>
        <v>3</v>
      </c>
      <c r="E53" s="28">
        <f t="shared" si="3"/>
        <v>1</v>
      </c>
      <c r="F53" s="59" t="str">
        <f t="shared" si="4"/>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1"/>
        <v>1</v>
      </c>
      <c r="D54" s="28">
        <f t="shared" si="2"/>
        <v>4</v>
      </c>
      <c r="E54" s="28">
        <f t="shared" si="3"/>
        <v>0</v>
      </c>
      <c r="F54" s="54" t="str">
        <f t="shared" si="4"/>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1"/>
        <v>1</v>
      </c>
      <c r="D55" s="28">
        <f t="shared" si="2"/>
        <v>4</v>
      </c>
      <c r="E55" s="28">
        <f t="shared" si="3"/>
        <v>0</v>
      </c>
      <c r="F55" s="59" t="str">
        <f t="shared" si="4"/>
        <v/>
      </c>
      <c r="G55" s="42" t="s">
        <v>82</v>
      </c>
      <c r="H55" s="43" t="s">
        <v>83</v>
      </c>
      <c r="I55" s="44" t="s">
        <v>84</v>
      </c>
      <c r="J55" s="45" t="s">
        <v>85</v>
      </c>
      <c r="K55" s="46" t="s">
        <v>86</v>
      </c>
      <c r="L55" s="47" t="s">
        <v>2398</v>
      </c>
      <c r="M55" s="48" t="s">
        <v>2333</v>
      </c>
      <c r="N55" s="49"/>
      <c r="O55" s="50" t="s">
        <v>3166</v>
      </c>
      <c r="P55" s="59"/>
      <c r="Q55" s="59"/>
      <c r="R55" s="13"/>
    </row>
    <row r="56" spans="1:18" ht="60" x14ac:dyDescent="0.25">
      <c r="A56" s="9" t="s">
        <v>21</v>
      </c>
      <c r="B56" s="28">
        <f>IF(ISBLANK(A56),0,INDEX(txtstylestab[],MATCH(A56,txtstylestab[style_Name],0),1))</f>
        <v>0</v>
      </c>
      <c r="C56" s="28">
        <f t="shared" si="1"/>
        <v>1</v>
      </c>
      <c r="D56" s="28">
        <f t="shared" si="2"/>
        <v>4</v>
      </c>
      <c r="E56" s="28">
        <f t="shared" si="3"/>
        <v>0</v>
      </c>
      <c r="F56" s="59" t="str">
        <f t="shared" si="4"/>
        <v/>
      </c>
      <c r="G56" s="42" t="s">
        <v>102</v>
      </c>
      <c r="H56" s="43" t="s">
        <v>103</v>
      </c>
      <c r="I56" s="44" t="s">
        <v>104</v>
      </c>
      <c r="J56" s="45" t="s">
        <v>105</v>
      </c>
      <c r="K56" s="46" t="s">
        <v>106</v>
      </c>
      <c r="L56" s="47" t="s">
        <v>2399</v>
      </c>
      <c r="M56" s="48" t="s">
        <v>2400</v>
      </c>
      <c r="N56" s="49"/>
      <c r="O56" s="50" t="s">
        <v>3294</v>
      </c>
      <c r="P56" s="59"/>
      <c r="Q56" s="59"/>
      <c r="R56" s="13"/>
    </row>
    <row r="57" spans="1:18" ht="15.75" thickBot="1" x14ac:dyDescent="0.3">
      <c r="A57" s="9" t="s">
        <v>12</v>
      </c>
      <c r="B57" s="28">
        <f>IF(ISBLANK(A57),0,INDEX(txtstylestab[],MATCH(A57,txtstylestab[style_Name],0),1))</f>
        <v>3</v>
      </c>
      <c r="C57" s="28">
        <f t="shared" si="1"/>
        <v>1</v>
      </c>
      <c r="D57" s="28">
        <f t="shared" si="2"/>
        <v>4</v>
      </c>
      <c r="E57" s="28">
        <f t="shared" si="3"/>
        <v>1</v>
      </c>
      <c r="F57" s="55" t="str">
        <f t="shared" si="4"/>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1"/>
        <v>1</v>
      </c>
      <c r="D58" s="28">
        <f t="shared" si="2"/>
        <v>4</v>
      </c>
      <c r="E58" s="28">
        <f t="shared" si="3"/>
        <v>1</v>
      </c>
      <c r="F58" s="56" t="str">
        <f t="shared" si="4"/>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1"/>
        <v>1</v>
      </c>
      <c r="D59" s="28">
        <f t="shared" si="2"/>
        <v>4</v>
      </c>
      <c r="E59" s="28">
        <f t="shared" si="3"/>
        <v>1</v>
      </c>
      <c r="F59" s="59" t="str">
        <f t="shared" si="4"/>
        <v/>
      </c>
      <c r="G59" s="42" t="s">
        <v>109</v>
      </c>
      <c r="H59" s="43" t="s">
        <v>110</v>
      </c>
      <c r="I59" s="44" t="s">
        <v>111</v>
      </c>
      <c r="J59" s="45" t="s">
        <v>112</v>
      </c>
      <c r="K59" s="46" t="s">
        <v>113</v>
      </c>
      <c r="L59" s="47" t="s">
        <v>2401</v>
      </c>
      <c r="M59" s="48" t="s">
        <v>2402</v>
      </c>
      <c r="N59" s="49"/>
      <c r="O59" s="50" t="s">
        <v>3295</v>
      </c>
      <c r="P59" s="59"/>
      <c r="Q59" s="59"/>
      <c r="R59" s="13"/>
    </row>
    <row r="60" spans="1:18" ht="45" x14ac:dyDescent="0.25">
      <c r="A60" s="9" t="s">
        <v>21</v>
      </c>
      <c r="B60" s="28">
        <f>IF(ISBLANK(A60),0,INDEX(txtstylestab[],MATCH(A60,txtstylestab[style_Name],0),1))</f>
        <v>0</v>
      </c>
      <c r="C60" s="28">
        <f t="shared" si="1"/>
        <v>1</v>
      </c>
      <c r="D60" s="28">
        <f t="shared" si="2"/>
        <v>4</v>
      </c>
      <c r="E60" s="28">
        <f t="shared" si="3"/>
        <v>1</v>
      </c>
      <c r="F60" s="59" t="str">
        <f t="shared" si="4"/>
        <v/>
      </c>
      <c r="G60" s="42" t="s">
        <v>114</v>
      </c>
      <c r="H60" s="43" t="s">
        <v>115</v>
      </c>
      <c r="I60" s="44" t="s">
        <v>116</v>
      </c>
      <c r="J60" s="45" t="s">
        <v>117</v>
      </c>
      <c r="K60" s="46" t="s">
        <v>118</v>
      </c>
      <c r="L60" s="47" t="s">
        <v>2403</v>
      </c>
      <c r="M60" s="48" t="s">
        <v>2404</v>
      </c>
      <c r="N60" s="49"/>
      <c r="O60" s="50" t="s">
        <v>3299</v>
      </c>
      <c r="P60" s="59"/>
      <c r="Q60" s="59"/>
      <c r="R60" s="13"/>
    </row>
    <row r="61" spans="1:18" x14ac:dyDescent="0.25">
      <c r="A61" s="9" t="s">
        <v>21</v>
      </c>
      <c r="B61" s="28">
        <f>IF(ISBLANK(A61),0,INDEX(txtstylestab[],MATCH(A61,txtstylestab[style_Name],0),1))</f>
        <v>0</v>
      </c>
      <c r="C61" s="28">
        <f t="shared" si="1"/>
        <v>1</v>
      </c>
      <c r="D61" s="28">
        <f t="shared" si="2"/>
        <v>4</v>
      </c>
      <c r="E61" s="28">
        <f t="shared" si="3"/>
        <v>1</v>
      </c>
      <c r="F61" s="59" t="str">
        <f t="shared" si="4"/>
        <v/>
      </c>
      <c r="G61" s="42" t="s">
        <v>119</v>
      </c>
      <c r="H61" s="43" t="s">
        <v>120</v>
      </c>
      <c r="I61" s="44" t="s">
        <v>121</v>
      </c>
      <c r="J61" s="45" t="s">
        <v>122</v>
      </c>
      <c r="K61" s="46" t="s">
        <v>123</v>
      </c>
      <c r="L61" s="47" t="s">
        <v>2405</v>
      </c>
      <c r="M61" s="48" t="s">
        <v>2406</v>
      </c>
      <c r="N61" s="49"/>
      <c r="O61" s="50" t="s">
        <v>3303</v>
      </c>
      <c r="P61" s="59"/>
      <c r="Q61" s="59"/>
      <c r="R61" s="13"/>
    </row>
    <row r="62" spans="1:18" ht="30" x14ac:dyDescent="0.25">
      <c r="A62" s="9" t="s">
        <v>21</v>
      </c>
      <c r="B62" s="28">
        <f>IF(ISBLANK(A62),0,INDEX(txtstylestab[],MATCH(A62,txtstylestab[style_Name],0),1))</f>
        <v>0</v>
      </c>
      <c r="C62" s="28">
        <f t="shared" si="1"/>
        <v>1</v>
      </c>
      <c r="D62" s="28">
        <f t="shared" si="2"/>
        <v>4</v>
      </c>
      <c r="E62" s="28">
        <f t="shared" si="3"/>
        <v>1</v>
      </c>
      <c r="F62" s="59" t="str">
        <f t="shared" si="4"/>
        <v/>
      </c>
      <c r="G62" s="42" t="s">
        <v>124</v>
      </c>
      <c r="H62" s="43" t="s">
        <v>125</v>
      </c>
      <c r="I62" s="44" t="s">
        <v>126</v>
      </c>
      <c r="J62" s="45" t="s">
        <v>127</v>
      </c>
      <c r="K62" s="46" t="s">
        <v>128</v>
      </c>
      <c r="L62" s="47" t="s">
        <v>2407</v>
      </c>
      <c r="M62" s="48" t="s">
        <v>2408</v>
      </c>
      <c r="N62" s="49"/>
      <c r="O62" s="50" t="s">
        <v>3478</v>
      </c>
      <c r="P62" s="59"/>
      <c r="Q62" s="59"/>
      <c r="R62" s="13"/>
    </row>
    <row r="63" spans="1:18" ht="45" x14ac:dyDescent="0.25">
      <c r="A63" s="9" t="s">
        <v>21</v>
      </c>
      <c r="B63" s="28">
        <f>IF(ISBLANK(A63),0,INDEX(txtstylestab[],MATCH(A63,txtstylestab[style_Name],0),1))</f>
        <v>0</v>
      </c>
      <c r="C63" s="28">
        <f t="shared" si="1"/>
        <v>1</v>
      </c>
      <c r="D63" s="28">
        <f t="shared" si="2"/>
        <v>4</v>
      </c>
      <c r="E63" s="28">
        <f t="shared" si="3"/>
        <v>1</v>
      </c>
      <c r="F63" s="59" t="str">
        <f t="shared" si="4"/>
        <v/>
      </c>
      <c r="G63" s="42" t="s">
        <v>129</v>
      </c>
      <c r="H63" s="43" t="s">
        <v>130</v>
      </c>
      <c r="I63" s="44" t="s">
        <v>131</v>
      </c>
      <c r="J63" s="45" t="s">
        <v>132</v>
      </c>
      <c r="K63" s="46" t="s">
        <v>133</v>
      </c>
      <c r="L63" s="47" t="s">
        <v>2409</v>
      </c>
      <c r="M63" s="48" t="s">
        <v>2410</v>
      </c>
      <c r="N63" s="49"/>
      <c r="O63" s="50" t="s">
        <v>3305</v>
      </c>
      <c r="P63" s="59"/>
      <c r="Q63" s="59"/>
      <c r="R63" s="13"/>
    </row>
    <row r="64" spans="1:18" ht="45" x14ac:dyDescent="0.25">
      <c r="A64" s="9" t="s">
        <v>21</v>
      </c>
      <c r="B64" s="28">
        <f>IF(ISBLANK(A64),0,INDEX(txtstylestab[],MATCH(A64,txtstylestab[style_Name],0),1))</f>
        <v>0</v>
      </c>
      <c r="C64" s="28">
        <f t="shared" si="1"/>
        <v>1</v>
      </c>
      <c r="D64" s="28">
        <f t="shared" si="2"/>
        <v>4</v>
      </c>
      <c r="E64" s="28">
        <f t="shared" si="3"/>
        <v>1</v>
      </c>
      <c r="F64" s="59" t="str">
        <f t="shared" si="4"/>
        <v/>
      </c>
      <c r="G64" s="42" t="s">
        <v>134</v>
      </c>
      <c r="H64" s="43" t="s">
        <v>163</v>
      </c>
      <c r="I64" s="44" t="s">
        <v>135</v>
      </c>
      <c r="J64" s="45" t="s">
        <v>136</v>
      </c>
      <c r="K64" s="46" t="s">
        <v>137</v>
      </c>
      <c r="L64" s="47" t="s">
        <v>2411</v>
      </c>
      <c r="M64" s="48" t="s">
        <v>2412</v>
      </c>
      <c r="N64" s="49"/>
      <c r="O64" s="50" t="s">
        <v>3296</v>
      </c>
      <c r="P64" s="59"/>
      <c r="Q64" s="59"/>
      <c r="R64" s="13"/>
    </row>
    <row r="65" spans="1:18" ht="75" x14ac:dyDescent="0.25">
      <c r="A65" s="9" t="s">
        <v>21</v>
      </c>
      <c r="B65" s="28">
        <f>IF(ISBLANK(A65),0,INDEX(txtstylestab[],MATCH(A65,txtstylestab[style_Name],0),1))</f>
        <v>0</v>
      </c>
      <c r="C65" s="28">
        <f t="shared" si="1"/>
        <v>1</v>
      </c>
      <c r="D65" s="28">
        <f t="shared" si="2"/>
        <v>4</v>
      </c>
      <c r="E65" s="28">
        <f t="shared" si="3"/>
        <v>1</v>
      </c>
      <c r="F65" s="59" t="str">
        <f t="shared" si="4"/>
        <v/>
      </c>
      <c r="G65" s="42" t="s">
        <v>138</v>
      </c>
      <c r="H65" s="43" t="s">
        <v>139</v>
      </c>
      <c r="I65" s="44" t="s">
        <v>140</v>
      </c>
      <c r="J65" s="45" t="s">
        <v>141</v>
      </c>
      <c r="K65" s="46" t="s">
        <v>142</v>
      </c>
      <c r="L65" s="47" t="s">
        <v>2413</v>
      </c>
      <c r="M65" s="48" t="s">
        <v>2414</v>
      </c>
      <c r="N65" s="49"/>
      <c r="O65" s="50" t="s">
        <v>3297</v>
      </c>
      <c r="P65" s="59"/>
      <c r="Q65" s="59"/>
      <c r="R65" s="13"/>
    </row>
    <row r="66" spans="1:18" ht="30" x14ac:dyDescent="0.25">
      <c r="A66" s="9" t="s">
        <v>21</v>
      </c>
      <c r="B66" s="28">
        <f>IF(ISBLANK(A66),0,INDEX(txtstylestab[],MATCH(A66,txtstylestab[style_Name],0),1))</f>
        <v>0</v>
      </c>
      <c r="C66" s="28">
        <f t="shared" si="1"/>
        <v>1</v>
      </c>
      <c r="D66" s="28">
        <f t="shared" si="2"/>
        <v>4</v>
      </c>
      <c r="E66" s="28">
        <f t="shared" si="3"/>
        <v>1</v>
      </c>
      <c r="F66" s="59" t="str">
        <f t="shared" si="4"/>
        <v/>
      </c>
      <c r="G66" s="42" t="s">
        <v>143</v>
      </c>
      <c r="H66" s="43" t="s">
        <v>144</v>
      </c>
      <c r="I66" s="44" t="s">
        <v>145</v>
      </c>
      <c r="J66" s="45" t="s">
        <v>146</v>
      </c>
      <c r="K66" s="46" t="s">
        <v>147</v>
      </c>
      <c r="L66" s="47" t="s">
        <v>2415</v>
      </c>
      <c r="M66" s="48" t="s">
        <v>2416</v>
      </c>
      <c r="N66" s="49"/>
      <c r="O66" s="50" t="s">
        <v>3298</v>
      </c>
      <c r="P66" s="59"/>
      <c r="Q66" s="59"/>
      <c r="R66" s="13"/>
    </row>
    <row r="67" spans="1:18" x14ac:dyDescent="0.25">
      <c r="A67" s="9" t="s">
        <v>22</v>
      </c>
      <c r="B67" s="28">
        <f>IF(ISBLANK(A67),0,INDEX(txtstylestab[],MATCH(A67,txtstylestab[style_Name],0),1))</f>
        <v>4</v>
      </c>
      <c r="C67" s="28">
        <f t="shared" si="1"/>
        <v>1</v>
      </c>
      <c r="D67" s="28">
        <f t="shared" si="2"/>
        <v>4</v>
      </c>
      <c r="E67" s="28">
        <f t="shared" si="3"/>
        <v>1</v>
      </c>
      <c r="F67" s="56" t="str">
        <f t="shared" si="4"/>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5">IF(B68=1,C67+1,C67)</f>
        <v>1</v>
      </c>
      <c r="D68" s="28">
        <f t="shared" ref="D68:D131" si="6">IF(B68=1,0,IF(B68=2,D67+1,IF(AND(B68=3,D67=0),1,D67)))</f>
        <v>4</v>
      </c>
      <c r="E68" s="28">
        <f t="shared" ref="E68:E131" si="7">IF(OR(B68=1,B68=2),0,IF(B68=3,E67+1,E67))</f>
        <v>1</v>
      </c>
      <c r="F68" s="59" t="str">
        <f t="shared" ref="F68:F131" si="8">IF(OR(B68=1,B68=2,B68=3),TEXT(C68,"#")&amp;".","")&amp;IF(OR(B68=2,B68=3),TEXT(D68,"#")&amp;".","")&amp;IF(B68=3,TEXT(E68,"#")&amp;".","")</f>
        <v/>
      </c>
      <c r="G68" s="42" t="s">
        <v>149</v>
      </c>
      <c r="H68" s="43" t="s">
        <v>150</v>
      </c>
      <c r="I68" s="44" t="s">
        <v>151</v>
      </c>
      <c r="J68" s="45" t="s">
        <v>152</v>
      </c>
      <c r="K68" s="46" t="s">
        <v>153</v>
      </c>
      <c r="L68" s="47" t="s">
        <v>2417</v>
      </c>
      <c r="M68" s="48" t="s">
        <v>2418</v>
      </c>
      <c r="N68" s="49"/>
      <c r="O68" s="50" t="s">
        <v>3300</v>
      </c>
      <c r="P68" s="59"/>
      <c r="Q68" s="59"/>
      <c r="R68" s="13"/>
    </row>
    <row r="69" spans="1:18" ht="45" x14ac:dyDescent="0.25">
      <c r="A69" s="9" t="s">
        <v>21</v>
      </c>
      <c r="B69" s="28">
        <f>IF(ISBLANK(A69),0,INDEX(txtstylestab[],MATCH(A69,txtstylestab[style_Name],0),1))</f>
        <v>0</v>
      </c>
      <c r="C69" s="28">
        <f t="shared" si="5"/>
        <v>1</v>
      </c>
      <c r="D69" s="28">
        <f t="shared" si="6"/>
        <v>4</v>
      </c>
      <c r="E69" s="28">
        <f t="shared" si="7"/>
        <v>1</v>
      </c>
      <c r="F69" s="59" t="str">
        <f t="shared" si="8"/>
        <v/>
      </c>
      <c r="G69" s="42" t="s">
        <v>114</v>
      </c>
      <c r="H69" s="43" t="s">
        <v>115</v>
      </c>
      <c r="I69" s="44" t="s">
        <v>116</v>
      </c>
      <c r="J69" s="45" t="s">
        <v>154</v>
      </c>
      <c r="K69" s="46" t="s">
        <v>118</v>
      </c>
      <c r="L69" s="47" t="s">
        <v>2403</v>
      </c>
      <c r="M69" s="48" t="s">
        <v>2404</v>
      </c>
      <c r="N69" s="49"/>
      <c r="O69" s="50" t="s">
        <v>3299</v>
      </c>
      <c r="P69" s="59"/>
      <c r="Q69" s="59"/>
      <c r="R69" s="13"/>
    </row>
    <row r="70" spans="1:18" x14ac:dyDescent="0.25">
      <c r="A70" s="9" t="s">
        <v>21</v>
      </c>
      <c r="B70" s="28">
        <f>IF(ISBLANK(A70),0,INDEX(txtstylestab[],MATCH(A70,txtstylestab[style_Name],0),1))</f>
        <v>0</v>
      </c>
      <c r="C70" s="28">
        <f t="shared" si="5"/>
        <v>1</v>
      </c>
      <c r="D70" s="28">
        <f t="shared" si="6"/>
        <v>4</v>
      </c>
      <c r="E70" s="28">
        <f t="shared" si="7"/>
        <v>1</v>
      </c>
      <c r="F70" s="59" t="str">
        <f t="shared" si="8"/>
        <v/>
      </c>
      <c r="G70" s="42" t="s">
        <v>155</v>
      </c>
      <c r="H70" s="43" t="s">
        <v>156</v>
      </c>
      <c r="I70" s="44" t="s">
        <v>121</v>
      </c>
      <c r="J70" s="45" t="s">
        <v>122</v>
      </c>
      <c r="K70" s="46" t="s">
        <v>123</v>
      </c>
      <c r="L70" s="47" t="s">
        <v>2405</v>
      </c>
      <c r="M70" s="48" t="s">
        <v>2419</v>
      </c>
      <c r="N70" s="49"/>
      <c r="O70" s="50" t="s">
        <v>3303</v>
      </c>
      <c r="P70" s="59"/>
      <c r="Q70" s="59"/>
      <c r="R70" s="13"/>
    </row>
    <row r="71" spans="1:18" ht="30" x14ac:dyDescent="0.25">
      <c r="A71" s="9" t="s">
        <v>21</v>
      </c>
      <c r="B71" s="28">
        <f>IF(ISBLANK(A71),0,INDEX(txtstylestab[],MATCH(A71,txtstylestab[style_Name],0),1))</f>
        <v>0</v>
      </c>
      <c r="C71" s="28">
        <f t="shared" si="5"/>
        <v>1</v>
      </c>
      <c r="D71" s="28">
        <f t="shared" si="6"/>
        <v>4</v>
      </c>
      <c r="E71" s="28">
        <f t="shared" si="7"/>
        <v>1</v>
      </c>
      <c r="F71" s="59" t="str">
        <f t="shared" si="8"/>
        <v/>
      </c>
      <c r="G71" s="42" t="s">
        <v>157</v>
      </c>
      <c r="H71" s="43" t="s">
        <v>158</v>
      </c>
      <c r="I71" s="44" t="s">
        <v>159</v>
      </c>
      <c r="J71" s="45" t="s">
        <v>160</v>
      </c>
      <c r="K71" s="46" t="s">
        <v>161</v>
      </c>
      <c r="L71" s="47" t="s">
        <v>2420</v>
      </c>
      <c r="M71" s="48" t="s">
        <v>2421</v>
      </c>
      <c r="N71" s="49"/>
      <c r="O71" s="50" t="s">
        <v>3304</v>
      </c>
      <c r="P71" s="59"/>
      <c r="Q71" s="59"/>
      <c r="R71" s="13"/>
    </row>
    <row r="72" spans="1:18" ht="30" x14ac:dyDescent="0.25">
      <c r="A72" s="9" t="s">
        <v>21</v>
      </c>
      <c r="B72" s="28">
        <f>IF(ISBLANK(A72),0,INDEX(txtstylestab[],MATCH(A72,txtstylestab[style_Name],0),1))</f>
        <v>0</v>
      </c>
      <c r="C72" s="28">
        <f t="shared" si="5"/>
        <v>1</v>
      </c>
      <c r="D72" s="28">
        <f t="shared" si="6"/>
        <v>4</v>
      </c>
      <c r="E72" s="28">
        <f t="shared" si="7"/>
        <v>1</v>
      </c>
      <c r="F72" s="59" t="str">
        <f t="shared" si="8"/>
        <v/>
      </c>
      <c r="G72" s="42" t="s">
        <v>124</v>
      </c>
      <c r="H72" s="43" t="s">
        <v>125</v>
      </c>
      <c r="I72" s="44" t="s">
        <v>126</v>
      </c>
      <c r="J72" s="45" t="s">
        <v>127</v>
      </c>
      <c r="K72" s="46" t="s">
        <v>128</v>
      </c>
      <c r="L72" s="47" t="s">
        <v>2422</v>
      </c>
      <c r="M72" s="48" t="s">
        <v>2423</v>
      </c>
      <c r="N72" s="49"/>
      <c r="O72" s="50" t="s">
        <v>3478</v>
      </c>
      <c r="P72" s="59"/>
      <c r="Q72" s="59"/>
      <c r="R72" s="13"/>
    </row>
    <row r="73" spans="1:18" ht="45" x14ac:dyDescent="0.25">
      <c r="A73" s="9" t="s">
        <v>21</v>
      </c>
      <c r="B73" s="28">
        <f>IF(ISBLANK(A73),0,INDEX(txtstylestab[],MATCH(A73,txtstylestab[style_Name],0),1))</f>
        <v>0</v>
      </c>
      <c r="C73" s="28">
        <f t="shared" si="5"/>
        <v>1</v>
      </c>
      <c r="D73" s="28">
        <f t="shared" si="6"/>
        <v>4</v>
      </c>
      <c r="E73" s="28">
        <f t="shared" si="7"/>
        <v>1</v>
      </c>
      <c r="F73" s="59" t="str">
        <f t="shared" si="8"/>
        <v/>
      </c>
      <c r="G73" s="42" t="s">
        <v>129</v>
      </c>
      <c r="H73" s="43" t="s">
        <v>130</v>
      </c>
      <c r="I73" s="44" t="s">
        <v>131</v>
      </c>
      <c r="J73" s="45" t="s">
        <v>162</v>
      </c>
      <c r="K73" s="46" t="s">
        <v>133</v>
      </c>
      <c r="L73" s="47" t="s">
        <v>2409</v>
      </c>
      <c r="M73" s="48" t="s">
        <v>2424</v>
      </c>
      <c r="N73" s="49"/>
      <c r="O73" s="50" t="s">
        <v>3301</v>
      </c>
      <c r="P73" s="59"/>
      <c r="Q73" s="59"/>
      <c r="R73" s="13"/>
    </row>
    <row r="74" spans="1:18" ht="45" x14ac:dyDescent="0.25">
      <c r="A74" s="9" t="s">
        <v>21</v>
      </c>
      <c r="B74" s="28">
        <f>IF(ISBLANK(A74),0,INDEX(txtstylestab[],MATCH(A74,txtstylestab[style_Name],0),1))</f>
        <v>0</v>
      </c>
      <c r="C74" s="28">
        <f t="shared" si="5"/>
        <v>1</v>
      </c>
      <c r="D74" s="28">
        <f t="shared" si="6"/>
        <v>4</v>
      </c>
      <c r="E74" s="28">
        <f t="shared" si="7"/>
        <v>1</v>
      </c>
      <c r="F74" s="59" t="str">
        <f t="shared" si="8"/>
        <v/>
      </c>
      <c r="G74" s="42" t="s">
        <v>134</v>
      </c>
      <c r="H74" s="43" t="s">
        <v>163</v>
      </c>
      <c r="I74" s="44" t="s">
        <v>135</v>
      </c>
      <c r="J74" s="45" t="s">
        <v>136</v>
      </c>
      <c r="K74" s="46" t="s">
        <v>137</v>
      </c>
      <c r="L74" s="47" t="s">
        <v>2425</v>
      </c>
      <c r="M74" s="48" t="s">
        <v>2426</v>
      </c>
      <c r="N74" s="49"/>
      <c r="O74" s="50" t="s">
        <v>3296</v>
      </c>
      <c r="P74" s="59"/>
      <c r="Q74" s="59"/>
      <c r="R74" s="13"/>
    </row>
    <row r="75" spans="1:18" ht="75" x14ac:dyDescent="0.25">
      <c r="A75" s="9" t="s">
        <v>21</v>
      </c>
      <c r="B75" s="28">
        <f>IF(ISBLANK(A75),0,INDEX(txtstylestab[],MATCH(A75,txtstylestab[style_Name],0),1))</f>
        <v>0</v>
      </c>
      <c r="C75" s="28">
        <f t="shared" si="5"/>
        <v>1</v>
      </c>
      <c r="D75" s="28">
        <f t="shared" si="6"/>
        <v>4</v>
      </c>
      <c r="E75" s="28">
        <f t="shared" si="7"/>
        <v>1</v>
      </c>
      <c r="F75" s="59" t="str">
        <f t="shared" si="8"/>
        <v/>
      </c>
      <c r="G75" s="42" t="s">
        <v>138</v>
      </c>
      <c r="H75" s="43" t="s">
        <v>139</v>
      </c>
      <c r="I75" s="44" t="s">
        <v>140</v>
      </c>
      <c r="J75" s="45" t="s">
        <v>141</v>
      </c>
      <c r="K75" s="46" t="s">
        <v>142</v>
      </c>
      <c r="L75" s="47" t="s">
        <v>2427</v>
      </c>
      <c r="M75" s="48" t="s">
        <v>2414</v>
      </c>
      <c r="N75" s="49"/>
      <c r="O75" s="50" t="s">
        <v>3297</v>
      </c>
      <c r="P75" s="59"/>
      <c r="Q75" s="59"/>
      <c r="R75" s="13"/>
    </row>
    <row r="76" spans="1:18" ht="30" x14ac:dyDescent="0.25">
      <c r="A76" s="9" t="s">
        <v>21</v>
      </c>
      <c r="B76" s="28">
        <f>IF(ISBLANK(A76),0,INDEX(txtstylestab[],MATCH(A76,txtstylestab[style_Name],0),1))</f>
        <v>0</v>
      </c>
      <c r="C76" s="28">
        <f t="shared" si="5"/>
        <v>1</v>
      </c>
      <c r="D76" s="28">
        <f t="shared" si="6"/>
        <v>4</v>
      </c>
      <c r="E76" s="28">
        <f t="shared" si="7"/>
        <v>1</v>
      </c>
      <c r="F76" s="59" t="str">
        <f t="shared" si="8"/>
        <v/>
      </c>
      <c r="G76" s="42" t="s">
        <v>143</v>
      </c>
      <c r="H76" s="43" t="s">
        <v>144</v>
      </c>
      <c r="I76" s="44" t="s">
        <v>180</v>
      </c>
      <c r="J76" s="45" t="s">
        <v>146</v>
      </c>
      <c r="K76" s="46" t="s">
        <v>147</v>
      </c>
      <c r="L76" s="47" t="s">
        <v>2415</v>
      </c>
      <c r="M76" s="48" t="s">
        <v>2416</v>
      </c>
      <c r="N76" s="49"/>
      <c r="O76" s="50" t="s">
        <v>3298</v>
      </c>
      <c r="P76" s="59"/>
      <c r="Q76" s="59"/>
      <c r="R76" s="13"/>
    </row>
    <row r="77" spans="1:18" x14ac:dyDescent="0.25">
      <c r="A77" s="9" t="s">
        <v>22</v>
      </c>
      <c r="B77" s="28">
        <f>IF(ISBLANK(A77),0,INDEX(txtstylestab[],MATCH(A77,txtstylestab[style_Name],0),1))</f>
        <v>4</v>
      </c>
      <c r="C77" s="28">
        <f t="shared" si="5"/>
        <v>1</v>
      </c>
      <c r="D77" s="28">
        <f t="shared" si="6"/>
        <v>4</v>
      </c>
      <c r="E77" s="28">
        <f t="shared" si="7"/>
        <v>1</v>
      </c>
      <c r="F77" s="56" t="str">
        <f t="shared" si="8"/>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5"/>
        <v>1</v>
      </c>
      <c r="D78" s="28">
        <f t="shared" si="6"/>
        <v>4</v>
      </c>
      <c r="E78" s="28">
        <f t="shared" si="7"/>
        <v>1</v>
      </c>
      <c r="F78" s="59" t="str">
        <f t="shared" si="8"/>
        <v/>
      </c>
      <c r="G78" s="42" t="s">
        <v>165</v>
      </c>
      <c r="H78" s="43" t="s">
        <v>166</v>
      </c>
      <c r="I78" s="44" t="s">
        <v>167</v>
      </c>
      <c r="J78" s="45" t="s">
        <v>168</v>
      </c>
      <c r="K78" s="46" t="s">
        <v>169</v>
      </c>
      <c r="L78" s="47" t="s">
        <v>2428</v>
      </c>
      <c r="M78" s="48" t="s">
        <v>2429</v>
      </c>
      <c r="N78" s="49"/>
      <c r="O78" s="50" t="s">
        <v>3302</v>
      </c>
      <c r="P78" s="59"/>
      <c r="Q78" s="59"/>
      <c r="R78" s="13"/>
    </row>
    <row r="79" spans="1:18" ht="45" x14ac:dyDescent="0.25">
      <c r="A79" s="9" t="s">
        <v>21</v>
      </c>
      <c r="B79" s="28">
        <f>IF(ISBLANK(A79),0,INDEX(txtstylestab[],MATCH(A79,txtstylestab[style_Name],0),1))</f>
        <v>0</v>
      </c>
      <c r="C79" s="28">
        <f t="shared" si="5"/>
        <v>1</v>
      </c>
      <c r="D79" s="28">
        <f t="shared" si="6"/>
        <v>4</v>
      </c>
      <c r="E79" s="28">
        <f t="shared" si="7"/>
        <v>1</v>
      </c>
      <c r="F79" s="59" t="str">
        <f t="shared" si="8"/>
        <v/>
      </c>
      <c r="G79" s="42" t="s">
        <v>114</v>
      </c>
      <c r="H79" s="43" t="s">
        <v>115</v>
      </c>
      <c r="I79" s="44" t="s">
        <v>170</v>
      </c>
      <c r="J79" s="45" t="s">
        <v>154</v>
      </c>
      <c r="K79" s="46" t="s">
        <v>118</v>
      </c>
      <c r="L79" s="47" t="s">
        <v>2403</v>
      </c>
      <c r="M79" s="48" t="s">
        <v>2404</v>
      </c>
      <c r="N79" s="49"/>
      <c r="O79" s="50" t="s">
        <v>3299</v>
      </c>
      <c r="P79" s="59"/>
      <c r="Q79" s="59"/>
      <c r="R79" s="13"/>
    </row>
    <row r="80" spans="1:18" x14ac:dyDescent="0.25">
      <c r="A80" s="9" t="s">
        <v>21</v>
      </c>
      <c r="B80" s="28">
        <f>IF(ISBLANK(A80),0,INDEX(txtstylestab[],MATCH(A80,txtstylestab[style_Name],0),1))</f>
        <v>0</v>
      </c>
      <c r="C80" s="28">
        <f t="shared" si="5"/>
        <v>1</v>
      </c>
      <c r="D80" s="28">
        <f t="shared" si="6"/>
        <v>4</v>
      </c>
      <c r="E80" s="28">
        <f t="shared" si="7"/>
        <v>1</v>
      </c>
      <c r="F80" s="59" t="str">
        <f t="shared" si="8"/>
        <v/>
      </c>
      <c r="G80" s="42" t="s">
        <v>155</v>
      </c>
      <c r="H80" s="43" t="s">
        <v>171</v>
      </c>
      <c r="I80" s="44" t="s">
        <v>121</v>
      </c>
      <c r="J80" s="45" t="s">
        <v>122</v>
      </c>
      <c r="K80" s="46" t="s">
        <v>123</v>
      </c>
      <c r="L80" s="47" t="s">
        <v>2405</v>
      </c>
      <c r="M80" s="48" t="s">
        <v>2430</v>
      </c>
      <c r="N80" s="49"/>
      <c r="O80" s="50" t="s">
        <v>3303</v>
      </c>
      <c r="P80" s="59"/>
      <c r="Q80" s="59"/>
      <c r="R80" s="13"/>
    </row>
    <row r="81" spans="1:18" ht="30" x14ac:dyDescent="0.25">
      <c r="A81" s="9" t="s">
        <v>21</v>
      </c>
      <c r="B81" s="28">
        <f>IF(ISBLANK(A81),0,INDEX(txtstylestab[],MATCH(A81,txtstylestab[style_Name],0),1))</f>
        <v>0</v>
      </c>
      <c r="C81" s="28">
        <f t="shared" si="5"/>
        <v>1</v>
      </c>
      <c r="D81" s="28">
        <f t="shared" si="6"/>
        <v>4</v>
      </c>
      <c r="E81" s="28">
        <f t="shared" si="7"/>
        <v>1</v>
      </c>
      <c r="F81" s="59" t="str">
        <f t="shared" si="8"/>
        <v/>
      </c>
      <c r="G81" s="42" t="s">
        <v>172</v>
      </c>
      <c r="H81" s="43" t="s">
        <v>173</v>
      </c>
      <c r="I81" s="44" t="s">
        <v>174</v>
      </c>
      <c r="J81" s="45" t="s">
        <v>175</v>
      </c>
      <c r="K81" s="46" t="s">
        <v>176</v>
      </c>
      <c r="L81" s="47" t="s">
        <v>2431</v>
      </c>
      <c r="M81" s="48" t="s">
        <v>2432</v>
      </c>
      <c r="N81" s="49"/>
      <c r="O81" s="50" t="s">
        <v>3308</v>
      </c>
      <c r="P81" s="59"/>
      <c r="Q81" s="59"/>
      <c r="R81" s="13"/>
    </row>
    <row r="82" spans="1:18" ht="30" x14ac:dyDescent="0.25">
      <c r="A82" s="9" t="s">
        <v>21</v>
      </c>
      <c r="B82" s="28">
        <f>IF(ISBLANK(A82),0,INDEX(txtstylestab[],MATCH(A82,txtstylestab[style_Name],0),1))</f>
        <v>0</v>
      </c>
      <c r="C82" s="28">
        <f t="shared" si="5"/>
        <v>1</v>
      </c>
      <c r="D82" s="28">
        <f t="shared" si="6"/>
        <v>4</v>
      </c>
      <c r="E82" s="28">
        <f t="shared" si="7"/>
        <v>1</v>
      </c>
      <c r="F82" s="59" t="str">
        <f t="shared" si="8"/>
        <v/>
      </c>
      <c r="G82" s="42" t="s">
        <v>177</v>
      </c>
      <c r="H82" s="43" t="s">
        <v>125</v>
      </c>
      <c r="I82" s="44" t="s">
        <v>126</v>
      </c>
      <c r="J82" s="45" t="s">
        <v>127</v>
      </c>
      <c r="K82" s="46" t="s">
        <v>128</v>
      </c>
      <c r="L82" s="47" t="s">
        <v>2422</v>
      </c>
      <c r="M82" s="48" t="s">
        <v>2423</v>
      </c>
      <c r="N82" s="49"/>
      <c r="O82" s="50" t="s">
        <v>3478</v>
      </c>
      <c r="P82" s="59"/>
      <c r="Q82" s="59"/>
      <c r="R82" s="13"/>
    </row>
    <row r="83" spans="1:18" ht="45" x14ac:dyDescent="0.25">
      <c r="A83" s="9" t="s">
        <v>21</v>
      </c>
      <c r="B83" s="28">
        <f>IF(ISBLANK(A83),0,INDEX(txtstylestab[],MATCH(A83,txtstylestab[style_Name],0),1))</f>
        <v>0</v>
      </c>
      <c r="C83" s="28">
        <f t="shared" si="5"/>
        <v>1</v>
      </c>
      <c r="D83" s="28">
        <f t="shared" si="6"/>
        <v>4</v>
      </c>
      <c r="E83" s="28">
        <f t="shared" si="7"/>
        <v>1</v>
      </c>
      <c r="F83" s="59" t="str">
        <f t="shared" si="8"/>
        <v/>
      </c>
      <c r="G83" s="42" t="s">
        <v>129</v>
      </c>
      <c r="H83" s="43" t="s">
        <v>130</v>
      </c>
      <c r="I83" s="44" t="s">
        <v>178</v>
      </c>
      <c r="J83" s="45" t="s">
        <v>132</v>
      </c>
      <c r="K83" s="46" t="s">
        <v>133</v>
      </c>
      <c r="L83" s="47" t="s">
        <v>2409</v>
      </c>
      <c r="M83" s="48" t="s">
        <v>2433</v>
      </c>
      <c r="N83" s="49"/>
      <c r="O83" s="50" t="s">
        <v>3305</v>
      </c>
      <c r="P83" s="59"/>
      <c r="Q83" s="59"/>
      <c r="R83" s="13"/>
    </row>
    <row r="84" spans="1:18" ht="45" x14ac:dyDescent="0.25">
      <c r="A84" s="9" t="s">
        <v>21</v>
      </c>
      <c r="B84" s="28">
        <f>IF(ISBLANK(A84),0,INDEX(txtstylestab[],MATCH(A84,txtstylestab[style_Name],0),1))</f>
        <v>0</v>
      </c>
      <c r="C84" s="28">
        <f t="shared" si="5"/>
        <v>1</v>
      </c>
      <c r="D84" s="28">
        <f t="shared" si="6"/>
        <v>4</v>
      </c>
      <c r="E84" s="28">
        <f t="shared" si="7"/>
        <v>1</v>
      </c>
      <c r="F84" s="59" t="str">
        <f t="shared" si="8"/>
        <v/>
      </c>
      <c r="G84" s="42" t="s">
        <v>134</v>
      </c>
      <c r="H84" s="43" t="s">
        <v>163</v>
      </c>
      <c r="I84" s="44" t="s">
        <v>135</v>
      </c>
      <c r="J84" s="45" t="s">
        <v>136</v>
      </c>
      <c r="K84" s="46" t="s">
        <v>137</v>
      </c>
      <c r="L84" s="47" t="s">
        <v>2425</v>
      </c>
      <c r="M84" s="48" t="s">
        <v>2434</v>
      </c>
      <c r="N84" s="49"/>
      <c r="O84" s="50" t="s">
        <v>3296</v>
      </c>
      <c r="P84" s="59"/>
      <c r="Q84" s="59"/>
      <c r="R84" s="13"/>
    </row>
    <row r="85" spans="1:18" ht="75" x14ac:dyDescent="0.25">
      <c r="A85" s="9" t="s">
        <v>21</v>
      </c>
      <c r="B85" s="28">
        <f>IF(ISBLANK(A85),0,INDEX(txtstylestab[],MATCH(A85,txtstylestab[style_Name],0),1))</f>
        <v>0</v>
      </c>
      <c r="C85" s="28">
        <f t="shared" si="5"/>
        <v>1</v>
      </c>
      <c r="D85" s="28">
        <f t="shared" si="6"/>
        <v>4</v>
      </c>
      <c r="E85" s="28">
        <f t="shared" si="7"/>
        <v>1</v>
      </c>
      <c r="F85" s="59" t="str">
        <f t="shared" si="8"/>
        <v/>
      </c>
      <c r="G85" s="42" t="s">
        <v>179</v>
      </c>
      <c r="H85" s="43" t="s">
        <v>139</v>
      </c>
      <c r="I85" s="44" t="s">
        <v>140</v>
      </c>
      <c r="J85" s="45" t="s">
        <v>141</v>
      </c>
      <c r="K85" s="46" t="s">
        <v>142</v>
      </c>
      <c r="L85" s="47" t="s">
        <v>2427</v>
      </c>
      <c r="M85" s="48" t="s">
        <v>2414</v>
      </c>
      <c r="N85" s="49"/>
      <c r="O85" s="50" t="s">
        <v>3297</v>
      </c>
      <c r="P85" s="59"/>
      <c r="Q85" s="59"/>
      <c r="R85" s="13"/>
    </row>
    <row r="86" spans="1:18" ht="30" x14ac:dyDescent="0.25">
      <c r="A86" s="9" t="s">
        <v>21</v>
      </c>
      <c r="B86" s="28">
        <f>IF(ISBLANK(A86),0,INDEX(txtstylestab[],MATCH(A86,txtstylestab[style_Name],0),1))</f>
        <v>0</v>
      </c>
      <c r="C86" s="28">
        <f t="shared" si="5"/>
        <v>1</v>
      </c>
      <c r="D86" s="28">
        <f t="shared" si="6"/>
        <v>4</v>
      </c>
      <c r="E86" s="28">
        <f t="shared" si="7"/>
        <v>1</v>
      </c>
      <c r="F86" s="59" t="str">
        <f t="shared" si="8"/>
        <v/>
      </c>
      <c r="G86" s="42" t="s">
        <v>143</v>
      </c>
      <c r="H86" s="43" t="s">
        <v>144</v>
      </c>
      <c r="I86" s="44" t="s">
        <v>180</v>
      </c>
      <c r="J86" s="45" t="s">
        <v>146</v>
      </c>
      <c r="K86" s="46" t="s">
        <v>147</v>
      </c>
      <c r="L86" s="47" t="s">
        <v>2435</v>
      </c>
      <c r="M86" s="48" t="s">
        <v>2416</v>
      </c>
      <c r="N86" s="49"/>
      <c r="O86" s="50" t="s">
        <v>3298</v>
      </c>
      <c r="P86" s="59"/>
      <c r="Q86" s="59"/>
      <c r="R86" s="13"/>
    </row>
    <row r="87" spans="1:18" x14ac:dyDescent="0.25">
      <c r="A87" s="9" t="s">
        <v>22</v>
      </c>
      <c r="B87" s="28">
        <f>IF(ISBLANK(A87),0,INDEX(txtstylestab[],MATCH(A87,txtstylestab[style_Name],0),1))</f>
        <v>4</v>
      </c>
      <c r="C87" s="28">
        <f t="shared" si="5"/>
        <v>1</v>
      </c>
      <c r="D87" s="28">
        <f t="shared" si="6"/>
        <v>4</v>
      </c>
      <c r="E87" s="28">
        <f t="shared" si="7"/>
        <v>1</v>
      </c>
      <c r="F87" s="56" t="str">
        <f t="shared" si="8"/>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5"/>
        <v>1</v>
      </c>
      <c r="D88" s="28">
        <f t="shared" si="6"/>
        <v>4</v>
      </c>
      <c r="E88" s="28">
        <f t="shared" si="7"/>
        <v>1</v>
      </c>
      <c r="F88" s="59" t="str">
        <f t="shared" si="8"/>
        <v/>
      </c>
      <c r="G88" s="42" t="s">
        <v>165</v>
      </c>
      <c r="H88" s="43" t="s">
        <v>166</v>
      </c>
      <c r="I88" s="44" t="s">
        <v>167</v>
      </c>
      <c r="J88" s="45" t="s">
        <v>168</v>
      </c>
      <c r="K88" s="46" t="s">
        <v>169</v>
      </c>
      <c r="L88" s="47" t="s">
        <v>2428</v>
      </c>
      <c r="M88" s="48" t="s">
        <v>2436</v>
      </c>
      <c r="N88" s="49"/>
      <c r="O88" s="50" t="s">
        <v>3302</v>
      </c>
      <c r="P88" s="59"/>
      <c r="Q88" s="59"/>
      <c r="R88" s="13"/>
    </row>
    <row r="89" spans="1:18" ht="45" x14ac:dyDescent="0.25">
      <c r="A89" s="9" t="s">
        <v>21</v>
      </c>
      <c r="B89" s="28">
        <f>IF(ISBLANK(A89),0,INDEX(txtstylestab[],MATCH(A89,txtstylestab[style_Name],0),1))</f>
        <v>0</v>
      </c>
      <c r="C89" s="28">
        <f t="shared" si="5"/>
        <v>1</v>
      </c>
      <c r="D89" s="28">
        <f t="shared" si="6"/>
        <v>4</v>
      </c>
      <c r="E89" s="28">
        <f t="shared" si="7"/>
        <v>1</v>
      </c>
      <c r="F89" s="59" t="str">
        <f t="shared" si="8"/>
        <v/>
      </c>
      <c r="G89" s="42" t="s">
        <v>182</v>
      </c>
      <c r="H89" s="43" t="s">
        <v>115</v>
      </c>
      <c r="I89" s="44" t="s">
        <v>170</v>
      </c>
      <c r="J89" s="45" t="s">
        <v>154</v>
      </c>
      <c r="K89" s="46" t="s">
        <v>118</v>
      </c>
      <c r="L89" s="47" t="s">
        <v>2403</v>
      </c>
      <c r="M89" s="48" t="s">
        <v>2404</v>
      </c>
      <c r="N89" s="49"/>
      <c r="O89" s="50" t="s">
        <v>3299</v>
      </c>
      <c r="P89" s="59"/>
      <c r="Q89" s="59"/>
      <c r="R89" s="13"/>
    </row>
    <row r="90" spans="1:18" x14ac:dyDescent="0.25">
      <c r="A90" s="9" t="s">
        <v>21</v>
      </c>
      <c r="B90" s="28">
        <f>IF(ISBLANK(A90),0,INDEX(txtstylestab[],MATCH(A90,txtstylestab[style_Name],0),1))</f>
        <v>0</v>
      </c>
      <c r="C90" s="28">
        <f t="shared" si="5"/>
        <v>1</v>
      </c>
      <c r="D90" s="28">
        <f t="shared" si="6"/>
        <v>4</v>
      </c>
      <c r="E90" s="28">
        <f t="shared" si="7"/>
        <v>1</v>
      </c>
      <c r="F90" s="59" t="str">
        <f t="shared" si="8"/>
        <v/>
      </c>
      <c r="G90" s="42" t="s">
        <v>183</v>
      </c>
      <c r="H90" s="43" t="s">
        <v>184</v>
      </c>
      <c r="I90" s="44" t="s">
        <v>185</v>
      </c>
      <c r="J90" s="45" t="s">
        <v>122</v>
      </c>
      <c r="K90" s="46" t="s">
        <v>123</v>
      </c>
      <c r="L90" s="47" t="s">
        <v>2405</v>
      </c>
      <c r="M90" s="48" t="s">
        <v>2419</v>
      </c>
      <c r="N90" s="49"/>
      <c r="O90" s="50" t="s">
        <v>3303</v>
      </c>
      <c r="P90" s="59"/>
      <c r="Q90" s="59"/>
      <c r="R90" s="13"/>
    </row>
    <row r="91" spans="1:18" x14ac:dyDescent="0.25">
      <c r="A91" s="9" t="s">
        <v>21</v>
      </c>
      <c r="B91" s="28">
        <f>IF(ISBLANK(A91),0,INDEX(txtstylestab[],MATCH(A91,txtstylestab[style_Name],0),1))</f>
        <v>0</v>
      </c>
      <c r="C91" s="28">
        <f t="shared" si="5"/>
        <v>1</v>
      </c>
      <c r="D91" s="28">
        <f t="shared" si="6"/>
        <v>4</v>
      </c>
      <c r="E91" s="28">
        <f t="shared" si="7"/>
        <v>1</v>
      </c>
      <c r="F91" s="59" t="str">
        <f t="shared" si="8"/>
        <v/>
      </c>
      <c r="G91" s="42" t="s">
        <v>186</v>
      </c>
      <c r="H91" s="43" t="s">
        <v>187</v>
      </c>
      <c r="I91" s="44" t="s">
        <v>188</v>
      </c>
      <c r="J91" s="45" t="s">
        <v>189</v>
      </c>
      <c r="K91" s="46" t="s">
        <v>190</v>
      </c>
      <c r="L91" s="47" t="s">
        <v>2437</v>
      </c>
      <c r="M91" s="48" t="s">
        <v>2438</v>
      </c>
      <c r="N91" s="49"/>
      <c r="O91" s="50" t="s">
        <v>3306</v>
      </c>
      <c r="P91" s="59"/>
      <c r="Q91" s="59"/>
      <c r="R91" s="13"/>
    </row>
    <row r="92" spans="1:18" x14ac:dyDescent="0.25">
      <c r="A92" s="9" t="s">
        <v>21</v>
      </c>
      <c r="B92" s="28">
        <f>IF(ISBLANK(A92),0,INDEX(txtstylestab[],MATCH(A92,txtstylestab[style_Name],0),1))</f>
        <v>0</v>
      </c>
      <c r="C92" s="28">
        <f t="shared" si="5"/>
        <v>1</v>
      </c>
      <c r="D92" s="28">
        <f t="shared" si="6"/>
        <v>4</v>
      </c>
      <c r="E92" s="28">
        <f t="shared" si="7"/>
        <v>1</v>
      </c>
      <c r="F92" s="59" t="str">
        <f t="shared" si="8"/>
        <v/>
      </c>
      <c r="G92" s="42" t="s">
        <v>191</v>
      </c>
      <c r="H92" s="43" t="s">
        <v>192</v>
      </c>
      <c r="I92" s="44" t="s">
        <v>193</v>
      </c>
      <c r="J92" s="45" t="s">
        <v>194</v>
      </c>
      <c r="K92" s="46" t="s">
        <v>195</v>
      </c>
      <c r="L92" s="47" t="s">
        <v>2420</v>
      </c>
      <c r="M92" s="48" t="s">
        <v>2421</v>
      </c>
      <c r="N92" s="49"/>
      <c r="O92" s="50" t="s">
        <v>3307</v>
      </c>
      <c r="P92" s="59"/>
      <c r="Q92" s="59"/>
      <c r="R92" s="13"/>
    </row>
    <row r="93" spans="1:18" ht="30" x14ac:dyDescent="0.25">
      <c r="A93" s="9" t="s">
        <v>21</v>
      </c>
      <c r="B93" s="28">
        <f>IF(ISBLANK(A93),0,INDEX(txtstylestab[],MATCH(A93,txtstylestab[style_Name],0),1))</f>
        <v>0</v>
      </c>
      <c r="C93" s="28">
        <f t="shared" si="5"/>
        <v>1</v>
      </c>
      <c r="D93" s="28">
        <f t="shared" si="6"/>
        <v>4</v>
      </c>
      <c r="E93" s="28">
        <f t="shared" si="7"/>
        <v>1</v>
      </c>
      <c r="F93" s="59" t="str">
        <f t="shared" si="8"/>
        <v/>
      </c>
      <c r="G93" s="42" t="s">
        <v>124</v>
      </c>
      <c r="H93" s="43" t="s">
        <v>196</v>
      </c>
      <c r="I93" s="44" t="s">
        <v>197</v>
      </c>
      <c r="J93" s="45" t="s">
        <v>127</v>
      </c>
      <c r="K93" s="46" t="s">
        <v>198</v>
      </c>
      <c r="L93" s="47" t="s">
        <v>2422</v>
      </c>
      <c r="M93" s="48" t="s">
        <v>2439</v>
      </c>
      <c r="N93" s="49"/>
      <c r="O93" s="50" t="s">
        <v>3478</v>
      </c>
      <c r="P93" s="59"/>
      <c r="Q93" s="59"/>
      <c r="R93" s="13"/>
    </row>
    <row r="94" spans="1:18" ht="45" x14ac:dyDescent="0.25">
      <c r="A94" s="9" t="s">
        <v>21</v>
      </c>
      <c r="B94" s="28">
        <f>IF(ISBLANK(A94),0,INDEX(txtstylestab[],MATCH(A94,txtstylestab[style_Name],0),1))</f>
        <v>0</v>
      </c>
      <c r="C94" s="28">
        <f t="shared" si="5"/>
        <v>1</v>
      </c>
      <c r="D94" s="28">
        <f t="shared" si="6"/>
        <v>4</v>
      </c>
      <c r="E94" s="28">
        <f t="shared" si="7"/>
        <v>1</v>
      </c>
      <c r="F94" s="59" t="str">
        <f t="shared" si="8"/>
        <v/>
      </c>
      <c r="G94" s="42" t="s">
        <v>129</v>
      </c>
      <c r="H94" s="43" t="s">
        <v>130</v>
      </c>
      <c r="I94" s="44" t="s">
        <v>131</v>
      </c>
      <c r="J94" s="45" t="s">
        <v>132</v>
      </c>
      <c r="K94" s="46" t="s">
        <v>133</v>
      </c>
      <c r="L94" s="47" t="s">
        <v>2409</v>
      </c>
      <c r="M94" s="48" t="s">
        <v>2433</v>
      </c>
      <c r="N94" s="49"/>
      <c r="O94" s="50" t="s">
        <v>3305</v>
      </c>
      <c r="P94" s="59"/>
      <c r="Q94" s="59"/>
      <c r="R94" s="13"/>
    </row>
    <row r="95" spans="1:18" ht="45" x14ac:dyDescent="0.25">
      <c r="A95" s="9" t="s">
        <v>21</v>
      </c>
      <c r="B95" s="28">
        <f>IF(ISBLANK(A95),0,INDEX(txtstylestab[],MATCH(A95,txtstylestab[style_Name],0),1))</f>
        <v>0</v>
      </c>
      <c r="C95" s="28">
        <f t="shared" si="5"/>
        <v>1</v>
      </c>
      <c r="D95" s="28">
        <f t="shared" si="6"/>
        <v>4</v>
      </c>
      <c r="E95" s="28">
        <f t="shared" si="7"/>
        <v>1</v>
      </c>
      <c r="F95" s="59" t="str">
        <f t="shared" si="8"/>
        <v/>
      </c>
      <c r="G95" s="42" t="s">
        <v>134</v>
      </c>
      <c r="H95" s="43" t="s">
        <v>163</v>
      </c>
      <c r="I95" s="44" t="s">
        <v>135</v>
      </c>
      <c r="J95" s="45" t="s">
        <v>136</v>
      </c>
      <c r="K95" s="46" t="s">
        <v>137</v>
      </c>
      <c r="L95" s="47" t="s">
        <v>2425</v>
      </c>
      <c r="M95" s="48" t="s">
        <v>2426</v>
      </c>
      <c r="N95" s="49"/>
      <c r="O95" s="50" t="s">
        <v>3296</v>
      </c>
      <c r="P95" s="59"/>
      <c r="Q95" s="59"/>
      <c r="R95" s="13"/>
    </row>
    <row r="96" spans="1:18" ht="75" x14ac:dyDescent="0.25">
      <c r="A96" s="9" t="s">
        <v>21</v>
      </c>
      <c r="B96" s="28">
        <f>IF(ISBLANK(A96),0,INDEX(txtstylestab[],MATCH(A96,txtstylestab[style_Name],0),1))</f>
        <v>0</v>
      </c>
      <c r="C96" s="28">
        <f t="shared" si="5"/>
        <v>1</v>
      </c>
      <c r="D96" s="28">
        <f t="shared" si="6"/>
        <v>4</v>
      </c>
      <c r="E96" s="28">
        <f t="shared" si="7"/>
        <v>1</v>
      </c>
      <c r="F96" s="59" t="str">
        <f t="shared" si="8"/>
        <v/>
      </c>
      <c r="G96" s="42" t="s">
        <v>179</v>
      </c>
      <c r="H96" s="43" t="s">
        <v>139</v>
      </c>
      <c r="I96" s="44" t="s">
        <v>140</v>
      </c>
      <c r="J96" s="45" t="s">
        <v>141</v>
      </c>
      <c r="K96" s="46" t="s">
        <v>142</v>
      </c>
      <c r="L96" s="47" t="s">
        <v>2427</v>
      </c>
      <c r="M96" s="48" t="s">
        <v>2414</v>
      </c>
      <c r="N96" s="49"/>
      <c r="O96" s="50" t="s">
        <v>3297</v>
      </c>
      <c r="P96" s="59"/>
      <c r="Q96" s="59"/>
      <c r="R96" s="13"/>
    </row>
    <row r="97" spans="1:18" ht="30" x14ac:dyDescent="0.25">
      <c r="A97" s="9" t="s">
        <v>21</v>
      </c>
      <c r="B97" s="28">
        <f>IF(ISBLANK(A97),0,INDEX(txtstylestab[],MATCH(A97,txtstylestab[style_Name],0),1))</f>
        <v>0</v>
      </c>
      <c r="C97" s="28">
        <f t="shared" si="5"/>
        <v>1</v>
      </c>
      <c r="D97" s="28">
        <f t="shared" si="6"/>
        <v>4</v>
      </c>
      <c r="E97" s="28">
        <f t="shared" si="7"/>
        <v>1</v>
      </c>
      <c r="F97" s="59" t="str">
        <f t="shared" si="8"/>
        <v/>
      </c>
      <c r="G97" s="42" t="s">
        <v>143</v>
      </c>
      <c r="H97" s="43" t="s">
        <v>199</v>
      </c>
      <c r="I97" s="44" t="s">
        <v>180</v>
      </c>
      <c r="J97" s="45" t="s">
        <v>146</v>
      </c>
      <c r="K97" s="46" t="s">
        <v>147</v>
      </c>
      <c r="L97" s="47" t="s">
        <v>2415</v>
      </c>
      <c r="M97" s="48" t="s">
        <v>2416</v>
      </c>
      <c r="N97" s="49"/>
      <c r="O97" s="50" t="s">
        <v>3298</v>
      </c>
      <c r="P97" s="59"/>
      <c r="Q97" s="59"/>
      <c r="R97" s="13"/>
    </row>
    <row r="98" spans="1:18" x14ac:dyDescent="0.25">
      <c r="A98" s="9" t="s">
        <v>22</v>
      </c>
      <c r="B98" s="28">
        <f>IF(ISBLANK(A98),0,INDEX(txtstylestab[],MATCH(A98,txtstylestab[style_Name],0),1))</f>
        <v>4</v>
      </c>
      <c r="C98" s="28">
        <f t="shared" si="5"/>
        <v>1</v>
      </c>
      <c r="D98" s="28">
        <f t="shared" si="6"/>
        <v>4</v>
      </c>
      <c r="E98" s="28">
        <f t="shared" si="7"/>
        <v>1</v>
      </c>
      <c r="F98" s="56" t="str">
        <f t="shared" si="8"/>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5"/>
        <v>1</v>
      </c>
      <c r="D99" s="28">
        <f t="shared" si="6"/>
        <v>4</v>
      </c>
      <c r="E99" s="28">
        <f t="shared" si="7"/>
        <v>1</v>
      </c>
      <c r="F99" s="59" t="str">
        <f t="shared" si="8"/>
        <v/>
      </c>
      <c r="G99" s="42" t="s">
        <v>165</v>
      </c>
      <c r="H99" s="43" t="s">
        <v>166</v>
      </c>
      <c r="I99" s="44" t="s">
        <v>167</v>
      </c>
      <c r="J99" s="45" t="s">
        <v>168</v>
      </c>
      <c r="K99" s="46" t="s">
        <v>169</v>
      </c>
      <c r="L99" s="47" t="s">
        <v>2428</v>
      </c>
      <c r="M99" s="48" t="s">
        <v>2440</v>
      </c>
      <c r="N99" s="49"/>
      <c r="O99" s="50" t="s">
        <v>3302</v>
      </c>
      <c r="P99" s="59"/>
      <c r="Q99" s="59"/>
      <c r="R99" s="13"/>
    </row>
    <row r="100" spans="1:18" ht="45" x14ac:dyDescent="0.25">
      <c r="A100" s="9" t="s">
        <v>21</v>
      </c>
      <c r="B100" s="28">
        <f>IF(ISBLANK(A100),0,INDEX(txtstylestab[],MATCH(A100,txtstylestab[style_Name],0),1))</f>
        <v>0</v>
      </c>
      <c r="C100" s="28">
        <f t="shared" si="5"/>
        <v>1</v>
      </c>
      <c r="D100" s="28">
        <f t="shared" si="6"/>
        <v>4</v>
      </c>
      <c r="E100" s="28">
        <f t="shared" si="7"/>
        <v>1</v>
      </c>
      <c r="F100" s="59" t="str">
        <f t="shared" si="8"/>
        <v/>
      </c>
      <c r="G100" s="42" t="s">
        <v>182</v>
      </c>
      <c r="H100" s="43" t="s">
        <v>115</v>
      </c>
      <c r="I100" s="44" t="s">
        <v>170</v>
      </c>
      <c r="J100" s="45" t="s">
        <v>201</v>
      </c>
      <c r="K100" s="46" t="s">
        <v>118</v>
      </c>
      <c r="L100" s="47" t="s">
        <v>2403</v>
      </c>
      <c r="M100" s="48" t="s">
        <v>2404</v>
      </c>
      <c r="N100" s="49"/>
      <c r="O100" s="50" t="s">
        <v>3299</v>
      </c>
      <c r="P100" s="59"/>
      <c r="Q100" s="59"/>
      <c r="R100" s="13"/>
    </row>
    <row r="101" spans="1:18" x14ac:dyDescent="0.25">
      <c r="A101" s="9" t="s">
        <v>21</v>
      </c>
      <c r="B101" s="28">
        <f>IF(ISBLANK(A101),0,INDEX(txtstylestab[],MATCH(A101,txtstylestab[style_Name],0),1))</f>
        <v>0</v>
      </c>
      <c r="C101" s="28">
        <f t="shared" si="5"/>
        <v>1</v>
      </c>
      <c r="D101" s="28">
        <f t="shared" si="6"/>
        <v>4</v>
      </c>
      <c r="E101" s="28">
        <f t="shared" si="7"/>
        <v>1</v>
      </c>
      <c r="F101" s="59" t="str">
        <f t="shared" si="8"/>
        <v/>
      </c>
      <c r="G101" s="42" t="s">
        <v>183</v>
      </c>
      <c r="H101" s="43" t="s">
        <v>184</v>
      </c>
      <c r="I101" s="44" t="s">
        <v>121</v>
      </c>
      <c r="J101" s="45" t="s">
        <v>122</v>
      </c>
      <c r="K101" s="46" t="s">
        <v>123</v>
      </c>
      <c r="L101" s="47" t="s">
        <v>2405</v>
      </c>
      <c r="M101" s="48" t="s">
        <v>2419</v>
      </c>
      <c r="N101" s="49"/>
      <c r="O101" s="50" t="s">
        <v>3309</v>
      </c>
      <c r="P101" s="59"/>
      <c r="Q101" s="59"/>
      <c r="R101" s="13"/>
    </row>
    <row r="102" spans="1:18" x14ac:dyDescent="0.25">
      <c r="A102" s="9" t="s">
        <v>21</v>
      </c>
      <c r="B102" s="28">
        <f>IF(ISBLANK(A102),0,INDEX(txtstylestab[],MATCH(A102,txtstylestab[style_Name],0),1))</f>
        <v>0</v>
      </c>
      <c r="C102" s="28">
        <f t="shared" si="5"/>
        <v>1</v>
      </c>
      <c r="D102" s="28">
        <f t="shared" si="6"/>
        <v>4</v>
      </c>
      <c r="E102" s="28">
        <f t="shared" si="7"/>
        <v>1</v>
      </c>
      <c r="F102" s="59" t="str">
        <f t="shared" si="8"/>
        <v/>
      </c>
      <c r="G102" s="42" t="s">
        <v>186</v>
      </c>
      <c r="H102" s="43" t="s">
        <v>187</v>
      </c>
      <c r="I102" s="44" t="s">
        <v>202</v>
      </c>
      <c r="J102" s="45" t="s">
        <v>203</v>
      </c>
      <c r="K102" s="46" t="s">
        <v>190</v>
      </c>
      <c r="L102" s="47" t="s">
        <v>2437</v>
      </c>
      <c r="M102" s="48" t="s">
        <v>2438</v>
      </c>
      <c r="N102" s="49"/>
      <c r="O102" s="50" t="s">
        <v>3306</v>
      </c>
      <c r="P102" s="59"/>
      <c r="Q102" s="59"/>
      <c r="R102" s="13"/>
    </row>
    <row r="103" spans="1:18" x14ac:dyDescent="0.25">
      <c r="A103" s="9" t="s">
        <v>21</v>
      </c>
      <c r="B103" s="28">
        <f>IF(ISBLANK(A103),0,INDEX(txtstylestab[],MATCH(A103,txtstylestab[style_Name],0),1))</f>
        <v>0</v>
      </c>
      <c r="C103" s="28">
        <f t="shared" si="5"/>
        <v>1</v>
      </c>
      <c r="D103" s="28">
        <f t="shared" si="6"/>
        <v>4</v>
      </c>
      <c r="E103" s="28">
        <f t="shared" si="7"/>
        <v>1</v>
      </c>
      <c r="F103" s="59" t="str">
        <f t="shared" si="8"/>
        <v/>
      </c>
      <c r="G103" s="42" t="s">
        <v>191</v>
      </c>
      <c r="H103" s="43" t="s">
        <v>192</v>
      </c>
      <c r="I103" s="44" t="s">
        <v>193</v>
      </c>
      <c r="J103" s="45" t="s">
        <v>204</v>
      </c>
      <c r="K103" s="46" t="s">
        <v>195</v>
      </c>
      <c r="L103" s="47" t="s">
        <v>2441</v>
      </c>
      <c r="M103" s="48" t="s">
        <v>2421</v>
      </c>
      <c r="N103" s="49"/>
      <c r="O103" s="50" t="s">
        <v>3310</v>
      </c>
      <c r="P103" s="59"/>
      <c r="Q103" s="59"/>
      <c r="R103" s="13"/>
    </row>
    <row r="104" spans="1:18" ht="30" x14ac:dyDescent="0.25">
      <c r="A104" s="9" t="s">
        <v>21</v>
      </c>
      <c r="B104" s="28">
        <f>IF(ISBLANK(A104),0,INDEX(txtstylestab[],MATCH(A104,txtstylestab[style_Name],0),1))</f>
        <v>0</v>
      </c>
      <c r="C104" s="28">
        <f t="shared" si="5"/>
        <v>1</v>
      </c>
      <c r="D104" s="28">
        <f t="shared" si="6"/>
        <v>4</v>
      </c>
      <c r="E104" s="28">
        <f t="shared" si="7"/>
        <v>1</v>
      </c>
      <c r="F104" s="59" t="str">
        <f t="shared" si="8"/>
        <v/>
      </c>
      <c r="G104" s="42" t="s">
        <v>124</v>
      </c>
      <c r="H104" s="43" t="s">
        <v>196</v>
      </c>
      <c r="I104" s="44" t="s">
        <v>126</v>
      </c>
      <c r="J104" s="45" t="s">
        <v>127</v>
      </c>
      <c r="K104" s="46" t="s">
        <v>198</v>
      </c>
      <c r="L104" s="47" t="s">
        <v>2422</v>
      </c>
      <c r="M104" s="48" t="s">
        <v>2423</v>
      </c>
      <c r="N104" s="49"/>
      <c r="O104" s="50" t="s">
        <v>3478</v>
      </c>
      <c r="P104" s="59"/>
      <c r="Q104" s="59"/>
      <c r="R104" s="13"/>
    </row>
    <row r="105" spans="1:18" ht="45" x14ac:dyDescent="0.25">
      <c r="A105" s="9" t="s">
        <v>21</v>
      </c>
      <c r="B105" s="28">
        <f>IF(ISBLANK(A105),0,INDEX(txtstylestab[],MATCH(A105,txtstylestab[style_Name],0),1))</f>
        <v>0</v>
      </c>
      <c r="C105" s="28">
        <f t="shared" si="5"/>
        <v>1</v>
      </c>
      <c r="D105" s="28">
        <f t="shared" si="6"/>
        <v>4</v>
      </c>
      <c r="E105" s="28">
        <f t="shared" si="7"/>
        <v>1</v>
      </c>
      <c r="F105" s="59" t="str">
        <f t="shared" si="8"/>
        <v/>
      </c>
      <c r="G105" s="42" t="s">
        <v>205</v>
      </c>
      <c r="H105" s="43" t="s">
        <v>130</v>
      </c>
      <c r="I105" s="44" t="s">
        <v>131</v>
      </c>
      <c r="J105" s="45" t="s">
        <v>132</v>
      </c>
      <c r="K105" s="46" t="s">
        <v>133</v>
      </c>
      <c r="L105" s="47" t="s">
        <v>2409</v>
      </c>
      <c r="M105" s="48" t="s">
        <v>2433</v>
      </c>
      <c r="N105" s="49"/>
      <c r="O105" s="50" t="s">
        <v>3305</v>
      </c>
      <c r="P105" s="59"/>
      <c r="Q105" s="59"/>
      <c r="R105" s="13"/>
    </row>
    <row r="106" spans="1:18" ht="45" x14ac:dyDescent="0.25">
      <c r="A106" s="9" t="s">
        <v>21</v>
      </c>
      <c r="B106" s="28">
        <f>IF(ISBLANK(A106),0,INDEX(txtstylestab[],MATCH(A106,txtstylestab[style_Name],0),1))</f>
        <v>0</v>
      </c>
      <c r="C106" s="28">
        <f t="shared" si="5"/>
        <v>1</v>
      </c>
      <c r="D106" s="28">
        <f t="shared" si="6"/>
        <v>4</v>
      </c>
      <c r="E106" s="28">
        <f t="shared" si="7"/>
        <v>1</v>
      </c>
      <c r="F106" s="59" t="str">
        <f t="shared" si="8"/>
        <v/>
      </c>
      <c r="G106" s="42" t="s">
        <v>206</v>
      </c>
      <c r="H106" s="43" t="s">
        <v>163</v>
      </c>
      <c r="I106" s="44" t="s">
        <v>135</v>
      </c>
      <c r="J106" s="45" t="s">
        <v>136</v>
      </c>
      <c r="K106" s="46" t="s">
        <v>137</v>
      </c>
      <c r="L106" s="47" t="s">
        <v>2425</v>
      </c>
      <c r="M106" s="48" t="s">
        <v>2426</v>
      </c>
      <c r="N106" s="49"/>
      <c r="O106" s="50" t="s">
        <v>3296</v>
      </c>
      <c r="P106" s="59"/>
      <c r="Q106" s="59"/>
      <c r="R106" s="13"/>
    </row>
    <row r="107" spans="1:18" ht="75" x14ac:dyDescent="0.25">
      <c r="A107" s="9" t="s">
        <v>21</v>
      </c>
      <c r="B107" s="28">
        <f>IF(ISBLANK(A107),0,INDEX(txtstylestab[],MATCH(A107,txtstylestab[style_Name],0),1))</f>
        <v>0</v>
      </c>
      <c r="C107" s="28">
        <f t="shared" si="5"/>
        <v>1</v>
      </c>
      <c r="D107" s="28">
        <f t="shared" si="6"/>
        <v>4</v>
      </c>
      <c r="E107" s="28">
        <f t="shared" si="7"/>
        <v>1</v>
      </c>
      <c r="F107" s="59" t="str">
        <f t="shared" si="8"/>
        <v/>
      </c>
      <c r="G107" s="42" t="s">
        <v>207</v>
      </c>
      <c r="H107" s="43" t="s">
        <v>208</v>
      </c>
      <c r="I107" s="44" t="s">
        <v>209</v>
      </c>
      <c r="J107" s="45" t="s">
        <v>141</v>
      </c>
      <c r="K107" s="46" t="s">
        <v>142</v>
      </c>
      <c r="L107" s="47" t="s">
        <v>2427</v>
      </c>
      <c r="M107" s="48" t="s">
        <v>2414</v>
      </c>
      <c r="N107" s="49"/>
      <c r="O107" s="50" t="s">
        <v>3297</v>
      </c>
      <c r="P107" s="59"/>
      <c r="Q107" s="59"/>
      <c r="R107" s="13"/>
    </row>
    <row r="108" spans="1:18" ht="30" x14ac:dyDescent="0.25">
      <c r="A108" s="9" t="s">
        <v>21</v>
      </c>
      <c r="B108" s="28">
        <f>IF(ISBLANK(A108),0,INDEX(txtstylestab[],MATCH(A108,txtstylestab[style_Name],0),1))</f>
        <v>0</v>
      </c>
      <c r="C108" s="28">
        <f t="shared" si="5"/>
        <v>1</v>
      </c>
      <c r="D108" s="28">
        <f t="shared" si="6"/>
        <v>4</v>
      </c>
      <c r="E108" s="28">
        <f t="shared" si="7"/>
        <v>1</v>
      </c>
      <c r="F108" s="59" t="str">
        <f t="shared" si="8"/>
        <v/>
      </c>
      <c r="G108" s="42" t="s">
        <v>210</v>
      </c>
      <c r="H108" s="43" t="s">
        <v>199</v>
      </c>
      <c r="I108" s="44" t="s">
        <v>180</v>
      </c>
      <c r="J108" s="45" t="s">
        <v>146</v>
      </c>
      <c r="K108" s="46" t="s">
        <v>147</v>
      </c>
      <c r="L108" s="47" t="s">
        <v>2415</v>
      </c>
      <c r="M108" s="48" t="s">
        <v>2416</v>
      </c>
      <c r="N108" s="49"/>
      <c r="O108" s="50" t="s">
        <v>3298</v>
      </c>
      <c r="P108" s="59"/>
      <c r="Q108" s="59"/>
      <c r="R108" s="13"/>
    </row>
    <row r="109" spans="1:18" x14ac:dyDescent="0.25">
      <c r="A109" s="9" t="s">
        <v>23</v>
      </c>
      <c r="B109" s="28">
        <f>IF(ISBLANK(A109),0,INDEX(txtstylestab[],MATCH(A109,txtstylestab[style_Name],0),1))</f>
        <v>5</v>
      </c>
      <c r="C109" s="28">
        <f t="shared" si="5"/>
        <v>1</v>
      </c>
      <c r="D109" s="28">
        <f t="shared" si="6"/>
        <v>4</v>
      </c>
      <c r="E109" s="28">
        <f t="shared" si="7"/>
        <v>1</v>
      </c>
      <c r="F109" s="56" t="str">
        <f t="shared" si="8"/>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5"/>
        <v>1</v>
      </c>
      <c r="D110" s="28">
        <f t="shared" si="6"/>
        <v>4</v>
      </c>
      <c r="E110" s="28">
        <f t="shared" si="7"/>
        <v>1</v>
      </c>
      <c r="F110" s="59" t="str">
        <f t="shared" si="8"/>
        <v/>
      </c>
      <c r="G110" s="42" t="s">
        <v>212</v>
      </c>
      <c r="H110" s="43" t="s">
        <v>213</v>
      </c>
      <c r="I110" s="44" t="s">
        <v>1630</v>
      </c>
      <c r="J110" s="45" t="s">
        <v>214</v>
      </c>
      <c r="K110" s="46" t="s">
        <v>215</v>
      </c>
      <c r="L110" s="47" t="s">
        <v>2442</v>
      </c>
      <c r="M110" s="48" t="s">
        <v>2443</v>
      </c>
      <c r="N110" s="49"/>
      <c r="O110" s="50" t="s">
        <v>3311</v>
      </c>
      <c r="P110" s="59"/>
      <c r="Q110" s="59"/>
      <c r="R110" s="13"/>
    </row>
    <row r="111" spans="1:18" x14ac:dyDescent="0.25">
      <c r="A111" s="9" t="s">
        <v>23</v>
      </c>
      <c r="B111" s="28">
        <f>IF(ISBLANK(A111),0,INDEX(txtstylestab[],MATCH(A111,txtstylestab[style_Name],0),1))</f>
        <v>5</v>
      </c>
      <c r="C111" s="28">
        <f t="shared" si="5"/>
        <v>1</v>
      </c>
      <c r="D111" s="28">
        <f t="shared" si="6"/>
        <v>4</v>
      </c>
      <c r="E111" s="28">
        <f t="shared" si="7"/>
        <v>1</v>
      </c>
      <c r="F111" s="56" t="str">
        <f t="shared" si="8"/>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5"/>
        <v>1</v>
      </c>
      <c r="D112" s="28">
        <f t="shared" si="6"/>
        <v>4</v>
      </c>
      <c r="E112" s="28">
        <f t="shared" si="7"/>
        <v>1</v>
      </c>
      <c r="F112" s="59" t="str">
        <f t="shared" si="8"/>
        <v/>
      </c>
      <c r="G112" s="42" t="s">
        <v>217</v>
      </c>
      <c r="H112" s="43" t="s">
        <v>218</v>
      </c>
      <c r="I112" s="44" t="s">
        <v>219</v>
      </c>
      <c r="J112" s="45" t="s">
        <v>220</v>
      </c>
      <c r="K112" s="46" t="s">
        <v>221</v>
      </c>
      <c r="L112" s="47" t="s">
        <v>2444</v>
      </c>
      <c r="M112" s="48" t="s">
        <v>2445</v>
      </c>
      <c r="N112" s="49"/>
      <c r="O112" s="50" t="s">
        <v>3312</v>
      </c>
      <c r="P112" s="59"/>
      <c r="Q112" s="59"/>
      <c r="R112" s="13"/>
    </row>
    <row r="113" spans="1:18" x14ac:dyDescent="0.25">
      <c r="A113" s="9" t="s">
        <v>22</v>
      </c>
      <c r="B113" s="28">
        <f>IF(ISBLANK(A113),0,INDEX(txtstylestab[],MATCH(A113,txtstylestab[style_Name],0),1))</f>
        <v>4</v>
      </c>
      <c r="C113" s="28">
        <f t="shared" si="5"/>
        <v>1</v>
      </c>
      <c r="D113" s="28">
        <f t="shared" si="6"/>
        <v>4</v>
      </c>
      <c r="E113" s="28">
        <f t="shared" si="7"/>
        <v>1</v>
      </c>
      <c r="F113" s="56" t="str">
        <f t="shared" si="8"/>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5"/>
        <v>1</v>
      </c>
      <c r="D114" s="28">
        <f t="shared" si="6"/>
        <v>4</v>
      </c>
      <c r="E114" s="28">
        <f t="shared" si="7"/>
        <v>1</v>
      </c>
      <c r="F114" s="59" t="str">
        <f t="shared" si="8"/>
        <v/>
      </c>
      <c r="G114" s="42" t="s">
        <v>165</v>
      </c>
      <c r="H114" s="43" t="s">
        <v>166</v>
      </c>
      <c r="I114" s="44" t="s">
        <v>167</v>
      </c>
      <c r="J114" s="45" t="s">
        <v>168</v>
      </c>
      <c r="K114" s="46" t="s">
        <v>169</v>
      </c>
      <c r="L114" s="47" t="s">
        <v>2428</v>
      </c>
      <c r="M114" s="48" t="s">
        <v>2436</v>
      </c>
      <c r="N114" s="49"/>
      <c r="O114" s="50" t="s">
        <v>3302</v>
      </c>
      <c r="P114" s="59"/>
      <c r="Q114" s="59"/>
      <c r="R114" s="13"/>
    </row>
    <row r="115" spans="1:18" ht="45" x14ac:dyDescent="0.25">
      <c r="A115" s="9" t="s">
        <v>21</v>
      </c>
      <c r="B115" s="28">
        <f>IF(ISBLANK(A115),0,INDEX(txtstylestab[],MATCH(A115,txtstylestab[style_Name],0),1))</f>
        <v>0</v>
      </c>
      <c r="C115" s="28">
        <f t="shared" si="5"/>
        <v>1</v>
      </c>
      <c r="D115" s="28">
        <f t="shared" si="6"/>
        <v>4</v>
      </c>
      <c r="E115" s="28">
        <f t="shared" si="7"/>
        <v>1</v>
      </c>
      <c r="F115" s="59" t="str">
        <f t="shared" si="8"/>
        <v/>
      </c>
      <c r="G115" s="42" t="s">
        <v>114</v>
      </c>
      <c r="H115" s="43" t="s">
        <v>115</v>
      </c>
      <c r="I115" s="44" t="s">
        <v>170</v>
      </c>
      <c r="J115" s="45" t="s">
        <v>154</v>
      </c>
      <c r="K115" s="46" t="s">
        <v>118</v>
      </c>
      <c r="L115" s="47" t="s">
        <v>2403</v>
      </c>
      <c r="M115" s="48" t="s">
        <v>2404</v>
      </c>
      <c r="N115" s="49"/>
      <c r="O115" s="50" t="s">
        <v>3299</v>
      </c>
      <c r="P115" s="59"/>
      <c r="Q115" s="59"/>
      <c r="R115" s="13"/>
    </row>
    <row r="116" spans="1:18" x14ac:dyDescent="0.25">
      <c r="A116" s="9" t="s">
        <v>21</v>
      </c>
      <c r="B116" s="28">
        <f>IF(ISBLANK(A116),0,INDEX(txtstylestab[],MATCH(A116,txtstylestab[style_Name],0),1))</f>
        <v>0</v>
      </c>
      <c r="C116" s="28">
        <f t="shared" si="5"/>
        <v>1</v>
      </c>
      <c r="D116" s="28">
        <f t="shared" si="6"/>
        <v>4</v>
      </c>
      <c r="E116" s="28">
        <f t="shared" si="7"/>
        <v>1</v>
      </c>
      <c r="F116" s="59" t="str">
        <f t="shared" si="8"/>
        <v/>
      </c>
      <c r="G116" s="42" t="s">
        <v>155</v>
      </c>
      <c r="H116" s="43" t="s">
        <v>171</v>
      </c>
      <c r="I116" s="44" t="s">
        <v>121</v>
      </c>
      <c r="J116" s="45" t="s">
        <v>122</v>
      </c>
      <c r="K116" s="46" t="s">
        <v>123</v>
      </c>
      <c r="L116" s="47" t="s">
        <v>2405</v>
      </c>
      <c r="M116" s="48" t="s">
        <v>2419</v>
      </c>
      <c r="N116" s="49"/>
      <c r="O116" s="50" t="s">
        <v>3309</v>
      </c>
      <c r="P116" s="59"/>
      <c r="Q116" s="59"/>
      <c r="R116" s="13"/>
    </row>
    <row r="117" spans="1:18" ht="30" x14ac:dyDescent="0.25">
      <c r="A117" s="9" t="s">
        <v>21</v>
      </c>
      <c r="B117" s="28">
        <f>IF(ISBLANK(A117),0,INDEX(txtstylestab[],MATCH(A117,txtstylestab[style_Name],0),1))</f>
        <v>0</v>
      </c>
      <c r="C117" s="28">
        <f t="shared" si="5"/>
        <v>1</v>
      </c>
      <c r="D117" s="28">
        <f t="shared" si="6"/>
        <v>4</v>
      </c>
      <c r="E117" s="28">
        <f t="shared" si="7"/>
        <v>1</v>
      </c>
      <c r="F117" s="59" t="str">
        <f t="shared" si="8"/>
        <v/>
      </c>
      <c r="G117" s="42" t="s">
        <v>172</v>
      </c>
      <c r="H117" s="43" t="s">
        <v>173</v>
      </c>
      <c r="I117" s="44" t="s">
        <v>174</v>
      </c>
      <c r="J117" s="45" t="s">
        <v>175</v>
      </c>
      <c r="K117" s="46" t="s">
        <v>176</v>
      </c>
      <c r="L117" s="47" t="s">
        <v>2431</v>
      </c>
      <c r="M117" s="48" t="s">
        <v>2432</v>
      </c>
      <c r="N117" s="49"/>
      <c r="O117" s="50" t="s">
        <v>3308</v>
      </c>
      <c r="P117" s="59"/>
      <c r="Q117" s="59"/>
      <c r="R117" s="13"/>
    </row>
    <row r="118" spans="1:18" ht="30" x14ac:dyDescent="0.25">
      <c r="A118" s="9" t="s">
        <v>21</v>
      </c>
      <c r="B118" s="28">
        <f>IF(ISBLANK(A118),0,INDEX(txtstylestab[],MATCH(A118,txtstylestab[style_Name],0),1))</f>
        <v>0</v>
      </c>
      <c r="C118" s="28">
        <f t="shared" si="5"/>
        <v>1</v>
      </c>
      <c r="D118" s="28">
        <f t="shared" si="6"/>
        <v>4</v>
      </c>
      <c r="E118" s="28">
        <f t="shared" si="7"/>
        <v>1</v>
      </c>
      <c r="F118" s="59" t="str">
        <f t="shared" si="8"/>
        <v/>
      </c>
      <c r="G118" s="42" t="s">
        <v>177</v>
      </c>
      <c r="H118" s="43" t="s">
        <v>125</v>
      </c>
      <c r="I118" s="44" t="s">
        <v>126</v>
      </c>
      <c r="J118" s="45" t="s">
        <v>127</v>
      </c>
      <c r="K118" s="46" t="s">
        <v>128</v>
      </c>
      <c r="L118" s="47" t="s">
        <v>2422</v>
      </c>
      <c r="M118" s="48" t="s">
        <v>2423</v>
      </c>
      <c r="N118" s="49"/>
      <c r="O118" s="50" t="s">
        <v>3478</v>
      </c>
      <c r="P118" s="59"/>
      <c r="Q118" s="59"/>
      <c r="R118" s="13"/>
    </row>
    <row r="119" spans="1:18" ht="60" x14ac:dyDescent="0.25">
      <c r="A119" s="9" t="s">
        <v>21</v>
      </c>
      <c r="B119" s="28">
        <f>IF(ISBLANK(A119),0,INDEX(txtstylestab[],MATCH(A119,txtstylestab[style_Name],0),1))</f>
        <v>0</v>
      </c>
      <c r="C119" s="28">
        <f t="shared" si="5"/>
        <v>1</v>
      </c>
      <c r="D119" s="28">
        <f t="shared" si="6"/>
        <v>4</v>
      </c>
      <c r="E119" s="28">
        <f t="shared" si="7"/>
        <v>1</v>
      </c>
      <c r="F119" s="59" t="str">
        <f t="shared" si="8"/>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5"/>
        <v>1</v>
      </c>
      <c r="D120" s="28">
        <f t="shared" si="6"/>
        <v>4</v>
      </c>
      <c r="E120" s="28">
        <f t="shared" si="7"/>
        <v>1</v>
      </c>
      <c r="F120" s="59" t="str">
        <f t="shared" si="8"/>
        <v/>
      </c>
      <c r="G120" s="42" t="s">
        <v>134</v>
      </c>
      <c r="H120" s="43" t="s">
        <v>163</v>
      </c>
      <c r="I120" s="44" t="s">
        <v>135</v>
      </c>
      <c r="J120" s="45" t="s">
        <v>136</v>
      </c>
      <c r="K120" s="46" t="s">
        <v>137</v>
      </c>
      <c r="L120" s="47" t="s">
        <v>2425</v>
      </c>
      <c r="M120" s="48" t="s">
        <v>2434</v>
      </c>
      <c r="N120" s="49"/>
      <c r="O120" s="50" t="s">
        <v>3296</v>
      </c>
      <c r="P120" s="59"/>
      <c r="Q120" s="59"/>
      <c r="R120" s="13"/>
    </row>
    <row r="121" spans="1:18" ht="75" x14ac:dyDescent="0.25">
      <c r="A121" s="9" t="s">
        <v>21</v>
      </c>
      <c r="B121" s="28">
        <f>IF(ISBLANK(A121),0,INDEX(txtstylestab[],MATCH(A121,txtstylestab[style_Name],0),1))</f>
        <v>0</v>
      </c>
      <c r="C121" s="28">
        <f t="shared" si="5"/>
        <v>1</v>
      </c>
      <c r="D121" s="28">
        <f t="shared" si="6"/>
        <v>4</v>
      </c>
      <c r="E121" s="28">
        <f t="shared" si="7"/>
        <v>1</v>
      </c>
      <c r="F121" s="59" t="str">
        <f t="shared" si="8"/>
        <v/>
      </c>
      <c r="G121" s="42" t="s">
        <v>179</v>
      </c>
      <c r="H121" s="43" t="s">
        <v>139</v>
      </c>
      <c r="I121" s="44" t="s">
        <v>140</v>
      </c>
      <c r="J121" s="45" t="s">
        <v>141</v>
      </c>
      <c r="K121" s="46" t="s">
        <v>142</v>
      </c>
      <c r="L121" s="47" t="s">
        <v>2427</v>
      </c>
      <c r="M121" s="48" t="s">
        <v>2414</v>
      </c>
      <c r="N121" s="49"/>
      <c r="O121" s="50" t="s">
        <v>3297</v>
      </c>
      <c r="P121" s="59"/>
      <c r="Q121" s="59"/>
      <c r="R121" s="13"/>
    </row>
    <row r="122" spans="1:18" ht="30" x14ac:dyDescent="0.25">
      <c r="A122" s="9" t="s">
        <v>21</v>
      </c>
      <c r="B122" s="28">
        <f>IF(ISBLANK(A122),0,INDEX(txtstylestab[],MATCH(A122,txtstylestab[style_Name],0),1))</f>
        <v>0</v>
      </c>
      <c r="C122" s="28">
        <f t="shared" si="5"/>
        <v>1</v>
      </c>
      <c r="D122" s="28">
        <f t="shared" si="6"/>
        <v>4</v>
      </c>
      <c r="E122" s="28">
        <f t="shared" si="7"/>
        <v>1</v>
      </c>
      <c r="F122" s="59" t="str">
        <f t="shared" si="8"/>
        <v/>
      </c>
      <c r="G122" s="42" t="s">
        <v>143</v>
      </c>
      <c r="H122" s="43" t="s">
        <v>144</v>
      </c>
      <c r="I122" s="44" t="s">
        <v>180</v>
      </c>
      <c r="J122" s="45" t="s">
        <v>146</v>
      </c>
      <c r="K122" s="46" t="s">
        <v>147</v>
      </c>
      <c r="L122" s="47" t="s">
        <v>2435</v>
      </c>
      <c r="M122" s="48" t="s">
        <v>2416</v>
      </c>
      <c r="N122" s="49"/>
      <c r="O122" s="50" t="s">
        <v>3298</v>
      </c>
      <c r="P122" s="59"/>
      <c r="Q122" s="59"/>
      <c r="R122" s="13"/>
    </row>
    <row r="123" spans="1:18" x14ac:dyDescent="0.25">
      <c r="A123" s="9" t="s">
        <v>22</v>
      </c>
      <c r="B123" s="28">
        <f>IF(ISBLANK(A123),0,INDEX(txtstylestab[],MATCH(A123,txtstylestab[style_Name],0),1))</f>
        <v>4</v>
      </c>
      <c r="C123" s="28">
        <f t="shared" si="5"/>
        <v>1</v>
      </c>
      <c r="D123" s="28">
        <f t="shared" si="6"/>
        <v>4</v>
      </c>
      <c r="E123" s="28">
        <f t="shared" si="7"/>
        <v>1</v>
      </c>
      <c r="F123" s="56" t="str">
        <f t="shared" si="8"/>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5"/>
        <v>1</v>
      </c>
      <c r="D124" s="28">
        <f t="shared" si="6"/>
        <v>4</v>
      </c>
      <c r="E124" s="28">
        <f t="shared" si="7"/>
        <v>1</v>
      </c>
      <c r="F124" s="59" t="str">
        <f t="shared" si="8"/>
        <v/>
      </c>
      <c r="G124" s="42" t="s">
        <v>228</v>
      </c>
      <c r="H124" s="43" t="s">
        <v>229</v>
      </c>
      <c r="I124" s="44" t="s">
        <v>230</v>
      </c>
      <c r="J124" s="45" t="s">
        <v>231</v>
      </c>
      <c r="K124" s="46" t="s">
        <v>232</v>
      </c>
      <c r="L124" s="47" t="s">
        <v>2446</v>
      </c>
      <c r="M124" s="48" t="s">
        <v>2447</v>
      </c>
      <c r="N124" s="49"/>
      <c r="O124" s="50" t="s">
        <v>3313</v>
      </c>
      <c r="P124" s="50"/>
      <c r="Q124" s="59"/>
      <c r="R124" s="13"/>
    </row>
    <row r="125" spans="1:18" ht="45" x14ac:dyDescent="0.25">
      <c r="A125" s="9" t="s">
        <v>21</v>
      </c>
      <c r="B125" s="28">
        <f>IF(ISBLANK(A125),0,INDEX(txtstylestab[],MATCH(A125,txtstylestab[style_Name],0),1))</f>
        <v>0</v>
      </c>
      <c r="C125" s="28">
        <f t="shared" si="5"/>
        <v>1</v>
      </c>
      <c r="D125" s="28">
        <f t="shared" si="6"/>
        <v>4</v>
      </c>
      <c r="E125" s="28">
        <f t="shared" si="7"/>
        <v>1</v>
      </c>
      <c r="F125" s="59" t="str">
        <f t="shared" si="8"/>
        <v/>
      </c>
      <c r="G125" s="42" t="s">
        <v>182</v>
      </c>
      <c r="H125" s="43" t="s">
        <v>115</v>
      </c>
      <c r="I125" s="44" t="s">
        <v>170</v>
      </c>
      <c r="J125" s="45" t="s">
        <v>233</v>
      </c>
      <c r="K125" s="46" t="s">
        <v>118</v>
      </c>
      <c r="L125" s="47" t="s">
        <v>2403</v>
      </c>
      <c r="M125" s="48" t="s">
        <v>2448</v>
      </c>
      <c r="N125" s="49"/>
      <c r="O125" s="50" t="s">
        <v>3299</v>
      </c>
      <c r="P125" s="50"/>
      <c r="Q125" s="59"/>
      <c r="R125" s="13"/>
    </row>
    <row r="126" spans="1:18" ht="30" x14ac:dyDescent="0.25">
      <c r="A126" s="9" t="s">
        <v>21</v>
      </c>
      <c r="B126" s="28">
        <f>IF(ISBLANK(A126),0,INDEX(txtstylestab[],MATCH(A126,txtstylestab[style_Name],0),1))</f>
        <v>0</v>
      </c>
      <c r="C126" s="28">
        <f t="shared" si="5"/>
        <v>1</v>
      </c>
      <c r="D126" s="28">
        <f t="shared" si="6"/>
        <v>4</v>
      </c>
      <c r="E126" s="28">
        <f t="shared" si="7"/>
        <v>1</v>
      </c>
      <c r="F126" s="59" t="str">
        <f t="shared" si="8"/>
        <v/>
      </c>
      <c r="G126" s="42" t="s">
        <v>234</v>
      </c>
      <c r="H126" s="43" t="s">
        <v>235</v>
      </c>
      <c r="I126" s="44" t="s">
        <v>236</v>
      </c>
      <c r="J126" s="45" t="s">
        <v>237</v>
      </c>
      <c r="K126" s="46" t="s">
        <v>238</v>
      </c>
      <c r="L126" s="47" t="s">
        <v>2449</v>
      </c>
      <c r="M126" s="48" t="s">
        <v>2450</v>
      </c>
      <c r="N126" s="49"/>
      <c r="O126" s="50" t="s">
        <v>3314</v>
      </c>
      <c r="P126" s="50"/>
      <c r="Q126" s="59"/>
      <c r="R126" s="13"/>
    </row>
    <row r="127" spans="1:18" x14ac:dyDescent="0.25">
      <c r="A127" s="9" t="s">
        <v>21</v>
      </c>
      <c r="B127" s="28">
        <f>IF(ISBLANK(A127),0,INDEX(txtstylestab[],MATCH(A127,txtstylestab[style_Name],0),1))</f>
        <v>0</v>
      </c>
      <c r="C127" s="28">
        <f t="shared" si="5"/>
        <v>1</v>
      </c>
      <c r="D127" s="28">
        <f t="shared" si="6"/>
        <v>4</v>
      </c>
      <c r="E127" s="28">
        <f t="shared" si="7"/>
        <v>1</v>
      </c>
      <c r="F127" s="59" t="str">
        <f t="shared" si="8"/>
        <v/>
      </c>
      <c r="G127" s="42" t="s">
        <v>239</v>
      </c>
      <c r="H127" s="43" t="s">
        <v>240</v>
      </c>
      <c r="I127" s="44" t="s">
        <v>531</v>
      </c>
      <c r="J127" s="45" t="s">
        <v>241</v>
      </c>
      <c r="K127" s="46" t="s">
        <v>242</v>
      </c>
      <c r="L127" s="47" t="s">
        <v>2451</v>
      </c>
      <c r="M127" s="48" t="s">
        <v>2452</v>
      </c>
      <c r="N127" s="49"/>
      <c r="O127" s="50" t="s">
        <v>3304</v>
      </c>
      <c r="P127" s="50"/>
      <c r="Q127" s="59"/>
      <c r="R127" s="13"/>
    </row>
    <row r="128" spans="1:18" ht="30" x14ac:dyDescent="0.25">
      <c r="A128" s="9" t="s">
        <v>21</v>
      </c>
      <c r="B128" s="28">
        <f>IF(ISBLANK(A128),0,INDEX(txtstylestab[],MATCH(A128,txtstylestab[style_Name],0),1))</f>
        <v>0</v>
      </c>
      <c r="C128" s="28">
        <f t="shared" si="5"/>
        <v>1</v>
      </c>
      <c r="D128" s="28">
        <f t="shared" si="6"/>
        <v>4</v>
      </c>
      <c r="E128" s="28">
        <f t="shared" si="7"/>
        <v>1</v>
      </c>
      <c r="F128" s="59" t="str">
        <f t="shared" si="8"/>
        <v/>
      </c>
      <c r="G128" s="42" t="s">
        <v>243</v>
      </c>
      <c r="H128" s="43" t="s">
        <v>244</v>
      </c>
      <c r="I128" s="44" t="s">
        <v>245</v>
      </c>
      <c r="J128" s="45" t="s">
        <v>246</v>
      </c>
      <c r="K128" s="46" t="s">
        <v>247</v>
      </c>
      <c r="L128" s="47" t="s">
        <v>2453</v>
      </c>
      <c r="M128" s="48" t="s">
        <v>2454</v>
      </c>
      <c r="N128" s="49"/>
      <c r="O128" s="50" t="s">
        <v>3479</v>
      </c>
      <c r="P128" s="50"/>
      <c r="Q128" s="59"/>
      <c r="R128" s="13"/>
    </row>
    <row r="129" spans="1:18" ht="45" x14ac:dyDescent="0.25">
      <c r="A129" s="9" t="s">
        <v>21</v>
      </c>
      <c r="B129" s="28">
        <f>IF(ISBLANK(A129),0,INDEX(txtstylestab[],MATCH(A129,txtstylestab[style_Name],0),1))</f>
        <v>0</v>
      </c>
      <c r="C129" s="28">
        <f t="shared" si="5"/>
        <v>1</v>
      </c>
      <c r="D129" s="28">
        <f t="shared" si="6"/>
        <v>4</v>
      </c>
      <c r="E129" s="28">
        <f t="shared" si="7"/>
        <v>1</v>
      </c>
      <c r="F129" s="59" t="str">
        <f t="shared" si="8"/>
        <v/>
      </c>
      <c r="G129" s="42" t="s">
        <v>205</v>
      </c>
      <c r="H129" s="43" t="s">
        <v>130</v>
      </c>
      <c r="I129" s="44" t="s">
        <v>248</v>
      </c>
      <c r="J129" s="45" t="s">
        <v>132</v>
      </c>
      <c r="K129" s="46" t="s">
        <v>133</v>
      </c>
      <c r="L129" s="47" t="s">
        <v>2409</v>
      </c>
      <c r="M129" s="48" t="s">
        <v>2424</v>
      </c>
      <c r="N129" s="49"/>
      <c r="O129" s="50" t="s">
        <v>3305</v>
      </c>
      <c r="P129" s="59"/>
      <c r="Q129" s="59"/>
      <c r="R129" s="13"/>
    </row>
    <row r="130" spans="1:18" ht="45" x14ac:dyDescent="0.25">
      <c r="A130" s="9" t="s">
        <v>21</v>
      </c>
      <c r="B130" s="28">
        <f>IF(ISBLANK(A130),0,INDEX(txtstylestab[],MATCH(A130,txtstylestab[style_Name],0),1))</f>
        <v>0</v>
      </c>
      <c r="C130" s="28">
        <f t="shared" si="5"/>
        <v>1</v>
      </c>
      <c r="D130" s="28">
        <f t="shared" si="6"/>
        <v>4</v>
      </c>
      <c r="E130" s="28">
        <f t="shared" si="7"/>
        <v>1</v>
      </c>
      <c r="F130" s="59" t="str">
        <f t="shared" si="8"/>
        <v/>
      </c>
      <c r="G130" s="42" t="s">
        <v>206</v>
      </c>
      <c r="H130" s="43" t="s">
        <v>163</v>
      </c>
      <c r="I130" s="44" t="s">
        <v>135</v>
      </c>
      <c r="J130" s="45" t="s">
        <v>136</v>
      </c>
      <c r="K130" s="46" t="s">
        <v>249</v>
      </c>
      <c r="L130" s="47" t="s">
        <v>2425</v>
      </c>
      <c r="M130" s="48" t="s">
        <v>2426</v>
      </c>
      <c r="N130" s="49"/>
      <c r="O130" s="50" t="s">
        <v>3296</v>
      </c>
      <c r="P130" s="50"/>
      <c r="Q130" s="59"/>
      <c r="R130" s="13"/>
    </row>
    <row r="131" spans="1:18" ht="75" x14ac:dyDescent="0.25">
      <c r="A131" s="9" t="s">
        <v>21</v>
      </c>
      <c r="B131" s="28">
        <f>IF(ISBLANK(A131),0,INDEX(txtstylestab[],MATCH(A131,txtstylestab[style_Name],0),1))</f>
        <v>0</v>
      </c>
      <c r="C131" s="28">
        <f t="shared" si="5"/>
        <v>1</v>
      </c>
      <c r="D131" s="28">
        <f t="shared" si="6"/>
        <v>4</v>
      </c>
      <c r="E131" s="28">
        <f t="shared" si="7"/>
        <v>1</v>
      </c>
      <c r="F131" s="59" t="str">
        <f t="shared" si="8"/>
        <v/>
      </c>
      <c r="G131" s="42" t="s">
        <v>207</v>
      </c>
      <c r="H131" s="43" t="s">
        <v>208</v>
      </c>
      <c r="I131" s="44" t="s">
        <v>209</v>
      </c>
      <c r="J131" s="45" t="s">
        <v>141</v>
      </c>
      <c r="K131" s="46" t="s">
        <v>142</v>
      </c>
      <c r="L131" s="47" t="s">
        <v>2427</v>
      </c>
      <c r="M131" s="48" t="s">
        <v>2414</v>
      </c>
      <c r="N131" s="49"/>
      <c r="O131" s="50" t="s">
        <v>3297</v>
      </c>
      <c r="P131" s="50"/>
      <c r="Q131" s="59"/>
      <c r="R131" s="13"/>
    </row>
    <row r="132" spans="1:18" ht="30" x14ac:dyDescent="0.25">
      <c r="A132" s="9" t="s">
        <v>21</v>
      </c>
      <c r="B132" s="28">
        <f>IF(ISBLANK(A132),0,INDEX(txtstylestab[],MATCH(A132,txtstylestab[style_Name],0),1))</f>
        <v>0</v>
      </c>
      <c r="C132" s="28">
        <f t="shared" ref="C132:C195" si="9">IF(B132=1,C131+1,C131)</f>
        <v>1</v>
      </c>
      <c r="D132" s="28">
        <f t="shared" ref="D132:D195" si="10">IF(B132=1,0,IF(B132=2,D131+1,IF(AND(B132=3,D131=0),1,D131)))</f>
        <v>4</v>
      </c>
      <c r="E132" s="28">
        <f t="shared" ref="E132:E195" si="11">IF(OR(B132=1,B132=2),0,IF(B132=3,E131+1,E131))</f>
        <v>1</v>
      </c>
      <c r="F132" s="59" t="str">
        <f t="shared" ref="F132:F195" si="12">IF(OR(B132=1,B132=2,B132=3),TEXT(C132,"#")&amp;".","")&amp;IF(OR(B132=2,B132=3),TEXT(D132,"#")&amp;".","")&amp;IF(B132=3,TEXT(E132,"#")&amp;".","")</f>
        <v/>
      </c>
      <c r="G132" s="42" t="s">
        <v>210</v>
      </c>
      <c r="H132" s="43" t="s">
        <v>199</v>
      </c>
      <c r="I132" s="44" t="s">
        <v>180</v>
      </c>
      <c r="J132" s="45" t="s">
        <v>146</v>
      </c>
      <c r="K132" s="46" t="s">
        <v>147</v>
      </c>
      <c r="L132" s="47" t="s">
        <v>2415</v>
      </c>
      <c r="M132" s="48" t="s">
        <v>2416</v>
      </c>
      <c r="N132" s="49"/>
      <c r="O132" s="50" t="s">
        <v>3298</v>
      </c>
      <c r="P132" s="50"/>
      <c r="Q132" s="59"/>
      <c r="R132" s="13"/>
    </row>
    <row r="133" spans="1:18" x14ac:dyDescent="0.25">
      <c r="A133" s="9" t="s">
        <v>23</v>
      </c>
      <c r="B133" s="28">
        <f>IF(ISBLANK(A133),0,INDEX(txtstylestab[],MATCH(A133,txtstylestab[style_Name],0),1))</f>
        <v>5</v>
      </c>
      <c r="C133" s="28">
        <f t="shared" si="9"/>
        <v>1</v>
      </c>
      <c r="D133" s="28">
        <f t="shared" si="10"/>
        <v>4</v>
      </c>
      <c r="E133" s="28">
        <f t="shared" si="11"/>
        <v>1</v>
      </c>
      <c r="F133" s="56" t="str">
        <f t="shared" si="12"/>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9"/>
        <v>1</v>
      </c>
      <c r="D134" s="28">
        <f t="shared" si="10"/>
        <v>4</v>
      </c>
      <c r="E134" s="28">
        <f t="shared" si="11"/>
        <v>1</v>
      </c>
      <c r="F134" s="59" t="str">
        <f t="shared" si="12"/>
        <v/>
      </c>
      <c r="G134" s="42" t="s">
        <v>251</v>
      </c>
      <c r="H134" s="43" t="s">
        <v>252</v>
      </c>
      <c r="I134" s="44" t="s">
        <v>1631</v>
      </c>
      <c r="J134" s="45" t="s">
        <v>405</v>
      </c>
      <c r="K134" s="46" t="s">
        <v>253</v>
      </c>
      <c r="L134" s="47" t="s">
        <v>2455</v>
      </c>
      <c r="M134" s="48" t="s">
        <v>2456</v>
      </c>
      <c r="N134" s="49"/>
      <c r="O134" s="50" t="s">
        <v>3315</v>
      </c>
      <c r="P134" s="59"/>
      <c r="Q134" s="59"/>
      <c r="R134" s="13"/>
    </row>
    <row r="135" spans="1:18" ht="15.75" thickBot="1" x14ac:dyDescent="0.3">
      <c r="A135" s="9" t="s">
        <v>12</v>
      </c>
      <c r="B135" s="28">
        <f>IF(ISBLANK(A135),0,INDEX(txtstylestab[],MATCH(A135,txtstylestab[style_Name],0),1))</f>
        <v>3</v>
      </c>
      <c r="C135" s="28">
        <f t="shared" si="9"/>
        <v>1</v>
      </c>
      <c r="D135" s="28">
        <f t="shared" si="10"/>
        <v>4</v>
      </c>
      <c r="E135" s="28">
        <f t="shared" si="11"/>
        <v>2</v>
      </c>
      <c r="F135" s="55" t="str">
        <f t="shared" si="12"/>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9"/>
        <v>1</v>
      </c>
      <c r="D136" s="28">
        <f t="shared" si="10"/>
        <v>4</v>
      </c>
      <c r="E136" s="28">
        <f t="shared" si="11"/>
        <v>2</v>
      </c>
      <c r="F136" s="59" t="str">
        <f t="shared" si="12"/>
        <v/>
      </c>
      <c r="G136" s="42" t="s">
        <v>255</v>
      </c>
      <c r="H136" s="43" t="s">
        <v>256</v>
      </c>
      <c r="I136" s="44" t="s">
        <v>257</v>
      </c>
      <c r="J136" s="45" t="s">
        <v>258</v>
      </c>
      <c r="K136" s="46" t="s">
        <v>259</v>
      </c>
      <c r="L136" s="47" t="s">
        <v>2457</v>
      </c>
      <c r="M136" s="48" t="s">
        <v>2458</v>
      </c>
      <c r="N136" s="49"/>
      <c r="O136" s="50" t="s">
        <v>3316</v>
      </c>
      <c r="P136" s="59"/>
      <c r="Q136" s="59"/>
      <c r="R136" s="13"/>
    </row>
    <row r="137" spans="1:18" ht="30" x14ac:dyDescent="0.25">
      <c r="A137" s="9" t="s">
        <v>21</v>
      </c>
      <c r="B137" s="28">
        <f>IF(ISBLANK(A137),0,INDEX(txtstylestab[],MATCH(A137,txtstylestab[style_Name],0),1))</f>
        <v>0</v>
      </c>
      <c r="C137" s="28">
        <f t="shared" si="9"/>
        <v>1</v>
      </c>
      <c r="D137" s="28">
        <f t="shared" si="10"/>
        <v>4</v>
      </c>
      <c r="E137" s="28">
        <f t="shared" si="11"/>
        <v>2</v>
      </c>
      <c r="F137" s="59" t="str">
        <f t="shared" si="12"/>
        <v/>
      </c>
      <c r="G137" s="42" t="s">
        <v>260</v>
      </c>
      <c r="H137" s="43" t="s">
        <v>261</v>
      </c>
      <c r="I137" s="44" t="s">
        <v>262</v>
      </c>
      <c r="J137" s="45" t="s">
        <v>263</v>
      </c>
      <c r="K137" s="46" t="s">
        <v>264</v>
      </c>
      <c r="L137" s="47" t="s">
        <v>2459</v>
      </c>
      <c r="M137" s="48" t="s">
        <v>2460</v>
      </c>
      <c r="N137" s="49"/>
      <c r="O137" s="50" t="s">
        <v>3317</v>
      </c>
      <c r="P137" s="59"/>
      <c r="Q137" s="59"/>
      <c r="R137" s="13"/>
    </row>
    <row r="138" spans="1:18" ht="60" x14ac:dyDescent="0.25">
      <c r="A138" s="9" t="s">
        <v>21</v>
      </c>
      <c r="B138" s="28">
        <f>IF(ISBLANK(A138),0,INDEX(txtstylestab[],MATCH(A138,txtstylestab[style_Name],0),1))</f>
        <v>0</v>
      </c>
      <c r="C138" s="28">
        <f t="shared" si="9"/>
        <v>1</v>
      </c>
      <c r="D138" s="28">
        <f t="shared" si="10"/>
        <v>4</v>
      </c>
      <c r="E138" s="28">
        <f t="shared" si="11"/>
        <v>2</v>
      </c>
      <c r="F138" s="59" t="str">
        <f t="shared" si="12"/>
        <v/>
      </c>
      <c r="G138" s="42" t="s">
        <v>265</v>
      </c>
      <c r="H138" s="43" t="s">
        <v>266</v>
      </c>
      <c r="I138" s="44" t="s">
        <v>267</v>
      </c>
      <c r="J138" s="45" t="s">
        <v>268</v>
      </c>
      <c r="K138" s="46" t="s">
        <v>269</v>
      </c>
      <c r="L138" s="47" t="s">
        <v>2461</v>
      </c>
      <c r="M138" s="48" t="s">
        <v>2462</v>
      </c>
      <c r="N138" s="49"/>
      <c r="O138" s="50" t="s">
        <v>3318</v>
      </c>
      <c r="P138" s="59"/>
      <c r="Q138" s="59"/>
      <c r="R138" s="13"/>
    </row>
    <row r="139" spans="1:18" ht="60" x14ac:dyDescent="0.25">
      <c r="A139" s="9" t="s">
        <v>21</v>
      </c>
      <c r="B139" s="28">
        <f>IF(ISBLANK(A139),0,INDEX(txtstylestab[],MATCH(A139,txtstylestab[style_Name],0),1))</f>
        <v>0</v>
      </c>
      <c r="C139" s="28">
        <f t="shared" si="9"/>
        <v>1</v>
      </c>
      <c r="D139" s="28">
        <f t="shared" si="10"/>
        <v>4</v>
      </c>
      <c r="E139" s="28">
        <f t="shared" si="11"/>
        <v>2</v>
      </c>
      <c r="F139" s="59" t="str">
        <f t="shared" si="12"/>
        <v/>
      </c>
      <c r="G139" s="42" t="s">
        <v>270</v>
      </c>
      <c r="H139" s="43" t="s">
        <v>271</v>
      </c>
      <c r="I139" s="44" t="s">
        <v>272</v>
      </c>
      <c r="J139" s="45" t="s">
        <v>273</v>
      </c>
      <c r="K139" s="46" t="s">
        <v>274</v>
      </c>
      <c r="L139" s="47" t="s">
        <v>2463</v>
      </c>
      <c r="M139" s="48" t="s">
        <v>2464</v>
      </c>
      <c r="N139" s="49"/>
      <c r="O139" s="50" t="s">
        <v>3319</v>
      </c>
      <c r="P139" s="59"/>
      <c r="Q139" s="59"/>
      <c r="R139" s="13"/>
    </row>
    <row r="140" spans="1:18" ht="15.75" thickBot="1" x14ac:dyDescent="0.3">
      <c r="A140" s="9" t="s">
        <v>12</v>
      </c>
      <c r="B140" s="28">
        <f>IF(ISBLANK(A140),0,INDEX(txtstylestab[],MATCH(A140,txtstylestab[style_Name],0),1))</f>
        <v>3</v>
      </c>
      <c r="C140" s="28">
        <f t="shared" si="9"/>
        <v>1</v>
      </c>
      <c r="D140" s="28">
        <f t="shared" si="10"/>
        <v>4</v>
      </c>
      <c r="E140" s="28">
        <f t="shared" si="11"/>
        <v>3</v>
      </c>
      <c r="F140" s="55" t="str">
        <f t="shared" si="12"/>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9"/>
        <v>1</v>
      </c>
      <c r="D141" s="28">
        <f t="shared" si="10"/>
        <v>4</v>
      </c>
      <c r="E141" s="28">
        <f t="shared" si="11"/>
        <v>3</v>
      </c>
      <c r="F141" s="59" t="str">
        <f t="shared" si="12"/>
        <v/>
      </c>
      <c r="G141" s="42" t="s">
        <v>276</v>
      </c>
      <c r="H141" s="43" t="s">
        <v>277</v>
      </c>
      <c r="I141" s="44" t="s">
        <v>2239</v>
      </c>
      <c r="J141" s="45" t="s">
        <v>278</v>
      </c>
      <c r="K141" s="46" t="s">
        <v>279</v>
      </c>
      <c r="L141" s="47" t="s">
        <v>2465</v>
      </c>
      <c r="M141" s="48" t="s">
        <v>2466</v>
      </c>
      <c r="N141" s="49"/>
      <c r="O141" s="50" t="s">
        <v>3320</v>
      </c>
      <c r="P141" s="59"/>
      <c r="Q141" s="59"/>
      <c r="R141" s="13"/>
    </row>
    <row r="142" spans="1:18" ht="45" x14ac:dyDescent="0.25">
      <c r="A142" s="9" t="s">
        <v>21</v>
      </c>
      <c r="B142" s="28">
        <f>IF(ISBLANK(A142),0,INDEX(txtstylestab[],MATCH(A142,txtstylestab[style_Name],0),1))</f>
        <v>0</v>
      </c>
      <c r="C142" s="28">
        <f t="shared" si="9"/>
        <v>1</v>
      </c>
      <c r="D142" s="28">
        <f t="shared" si="10"/>
        <v>4</v>
      </c>
      <c r="E142" s="28">
        <f t="shared" si="11"/>
        <v>3</v>
      </c>
      <c r="F142" s="59" t="str">
        <f t="shared" si="12"/>
        <v/>
      </c>
      <c r="G142" s="42" t="s">
        <v>280</v>
      </c>
      <c r="H142" s="43" t="s">
        <v>281</v>
      </c>
      <c r="I142" s="44" t="s">
        <v>282</v>
      </c>
      <c r="J142" s="45" t="s">
        <v>283</v>
      </c>
      <c r="K142" s="46" t="s">
        <v>284</v>
      </c>
      <c r="L142" s="47" t="s">
        <v>2467</v>
      </c>
      <c r="M142" s="48" t="s">
        <v>2468</v>
      </c>
      <c r="N142" s="49"/>
      <c r="O142" s="50" t="s">
        <v>3321</v>
      </c>
      <c r="P142" s="59"/>
      <c r="Q142" s="59"/>
      <c r="R142" s="13"/>
    </row>
    <row r="143" spans="1:18" ht="30" x14ac:dyDescent="0.25">
      <c r="A143" s="9" t="s">
        <v>21</v>
      </c>
      <c r="B143" s="28">
        <f>IF(ISBLANK(A143),0,INDEX(txtstylestab[],MATCH(A143,txtstylestab[style_Name],0),1))</f>
        <v>0</v>
      </c>
      <c r="C143" s="28">
        <f t="shared" si="9"/>
        <v>1</v>
      </c>
      <c r="D143" s="28">
        <f t="shared" si="10"/>
        <v>4</v>
      </c>
      <c r="E143" s="28">
        <f t="shared" si="11"/>
        <v>3</v>
      </c>
      <c r="F143" s="59" t="str">
        <f t="shared" si="12"/>
        <v/>
      </c>
      <c r="G143" s="42" t="s">
        <v>285</v>
      </c>
      <c r="H143" s="43" t="s">
        <v>286</v>
      </c>
      <c r="I143" s="44" t="s">
        <v>287</v>
      </c>
      <c r="J143" s="45" t="s">
        <v>288</v>
      </c>
      <c r="K143" s="46" t="s">
        <v>289</v>
      </c>
      <c r="L143" s="47" t="s">
        <v>2469</v>
      </c>
      <c r="M143" s="48" t="s">
        <v>2470</v>
      </c>
      <c r="N143" s="49"/>
      <c r="O143" s="50" t="s">
        <v>3322</v>
      </c>
      <c r="P143" s="59"/>
      <c r="Q143" s="59"/>
      <c r="R143" s="13"/>
    </row>
    <row r="144" spans="1:18" ht="45" x14ac:dyDescent="0.25">
      <c r="A144" s="9" t="s">
        <v>21</v>
      </c>
      <c r="B144" s="28">
        <f>IF(ISBLANK(A144),0,INDEX(txtstylestab[],MATCH(A144,txtstylestab[style_Name],0),1))</f>
        <v>0</v>
      </c>
      <c r="C144" s="28">
        <f t="shared" si="9"/>
        <v>1</v>
      </c>
      <c r="D144" s="28">
        <f t="shared" si="10"/>
        <v>4</v>
      </c>
      <c r="E144" s="28">
        <f t="shared" si="11"/>
        <v>3</v>
      </c>
      <c r="F144" s="59" t="str">
        <f t="shared" si="12"/>
        <v/>
      </c>
      <c r="G144" s="42" t="s">
        <v>290</v>
      </c>
      <c r="H144" s="43" t="s">
        <v>291</v>
      </c>
      <c r="I144" s="44" t="s">
        <v>292</v>
      </c>
      <c r="J144" s="45" t="s">
        <v>293</v>
      </c>
      <c r="K144" s="46" t="s">
        <v>294</v>
      </c>
      <c r="L144" s="47" t="s">
        <v>2471</v>
      </c>
      <c r="M144" s="48" t="s">
        <v>2472</v>
      </c>
      <c r="N144" s="49"/>
      <c r="O144" s="50" t="s">
        <v>3323</v>
      </c>
      <c r="P144" s="59"/>
      <c r="Q144" s="59"/>
      <c r="R144" s="13"/>
    </row>
    <row r="145" spans="1:18" ht="15.75" thickBot="1" x14ac:dyDescent="0.3">
      <c r="A145" s="9" t="s">
        <v>12</v>
      </c>
      <c r="B145" s="28">
        <f>IF(ISBLANK(A145),0,INDEX(txtstylestab[],MATCH(A145,txtstylestab[style_Name],0),1))</f>
        <v>3</v>
      </c>
      <c r="C145" s="28">
        <f t="shared" si="9"/>
        <v>1</v>
      </c>
      <c r="D145" s="28">
        <f t="shared" si="10"/>
        <v>4</v>
      </c>
      <c r="E145" s="28">
        <f t="shared" si="11"/>
        <v>4</v>
      </c>
      <c r="F145" s="55" t="str">
        <f t="shared" si="12"/>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9"/>
        <v>1</v>
      </c>
      <c r="D146" s="28">
        <f t="shared" si="10"/>
        <v>4</v>
      </c>
      <c r="E146" s="28">
        <f t="shared" si="11"/>
        <v>4</v>
      </c>
      <c r="F146" s="56" t="str">
        <f t="shared" si="12"/>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9"/>
        <v>1</v>
      </c>
      <c r="D147" s="28">
        <f t="shared" si="10"/>
        <v>4</v>
      </c>
      <c r="E147" s="28">
        <f t="shared" si="11"/>
        <v>4</v>
      </c>
      <c r="F147" s="59" t="str">
        <f t="shared" si="12"/>
        <v/>
      </c>
      <c r="G147" s="42" t="s">
        <v>297</v>
      </c>
      <c r="H147" s="43" t="s">
        <v>298</v>
      </c>
      <c r="I147" s="44" t="s">
        <v>299</v>
      </c>
      <c r="J147" s="45" t="s">
        <v>300</v>
      </c>
      <c r="K147" s="46" t="s">
        <v>301</v>
      </c>
      <c r="L147" s="47" t="s">
        <v>2473</v>
      </c>
      <c r="M147" s="48" t="s">
        <v>2474</v>
      </c>
      <c r="N147" s="49"/>
      <c r="O147" s="50" t="s">
        <v>3324</v>
      </c>
      <c r="P147" s="59"/>
      <c r="Q147" s="59"/>
      <c r="R147" s="13"/>
    </row>
    <row r="148" spans="1:18" x14ac:dyDescent="0.25">
      <c r="A148" s="9" t="s">
        <v>22</v>
      </c>
      <c r="B148" s="28">
        <f>IF(ISBLANK(A148),0,INDEX(txtstylestab[],MATCH(A148,txtstylestab[style_Name],0),1))</f>
        <v>4</v>
      </c>
      <c r="C148" s="28">
        <f t="shared" si="9"/>
        <v>1</v>
      </c>
      <c r="D148" s="28">
        <f t="shared" si="10"/>
        <v>4</v>
      </c>
      <c r="E148" s="28">
        <f t="shared" si="11"/>
        <v>4</v>
      </c>
      <c r="F148" s="56" t="str">
        <f t="shared" si="12"/>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9"/>
        <v>1</v>
      </c>
      <c r="D149" s="28">
        <f t="shared" si="10"/>
        <v>4</v>
      </c>
      <c r="E149" s="28">
        <f t="shared" si="11"/>
        <v>4</v>
      </c>
      <c r="F149" s="59" t="str">
        <f t="shared" si="12"/>
        <v/>
      </c>
      <c r="G149" s="42" t="s">
        <v>303</v>
      </c>
      <c r="H149" s="43" t="s">
        <v>304</v>
      </c>
      <c r="I149" s="44" t="s">
        <v>305</v>
      </c>
      <c r="J149" s="45" t="s">
        <v>306</v>
      </c>
      <c r="K149" s="46" t="s">
        <v>307</v>
      </c>
      <c r="L149" s="47" t="s">
        <v>2475</v>
      </c>
      <c r="M149" s="48" t="s">
        <v>2476</v>
      </c>
      <c r="N149" s="49"/>
      <c r="O149" s="50" t="s">
        <v>3325</v>
      </c>
      <c r="P149" s="59"/>
      <c r="Q149" s="59"/>
      <c r="R149" s="13"/>
    </row>
    <row r="150" spans="1:18" ht="45" x14ac:dyDescent="0.25">
      <c r="A150" s="9" t="s">
        <v>21</v>
      </c>
      <c r="B150" s="28">
        <f>IF(ISBLANK(A150),0,INDEX(txtstylestab[],MATCH(A150,txtstylestab[style_Name],0),1))</f>
        <v>0</v>
      </c>
      <c r="C150" s="28">
        <f t="shared" si="9"/>
        <v>1</v>
      </c>
      <c r="D150" s="28">
        <f t="shared" si="10"/>
        <v>4</v>
      </c>
      <c r="E150" s="28">
        <f t="shared" si="11"/>
        <v>4</v>
      </c>
      <c r="F150" s="59" t="str">
        <f t="shared" si="12"/>
        <v/>
      </c>
      <c r="G150" s="42" t="s">
        <v>308</v>
      </c>
      <c r="H150" s="43" t="s">
        <v>309</v>
      </c>
      <c r="I150" s="44" t="s">
        <v>310</v>
      </c>
      <c r="J150" s="45" t="s">
        <v>311</v>
      </c>
      <c r="K150" s="46" t="s">
        <v>312</v>
      </c>
      <c r="L150" s="47" t="s">
        <v>2477</v>
      </c>
      <c r="M150" s="48" t="s">
        <v>2478</v>
      </c>
      <c r="N150" s="49"/>
      <c r="O150" s="50" t="s">
        <v>3326</v>
      </c>
      <c r="P150" s="59"/>
      <c r="Q150" s="59"/>
      <c r="R150" s="13"/>
    </row>
    <row r="151" spans="1:18" ht="60" x14ac:dyDescent="0.25">
      <c r="A151" s="9" t="s">
        <v>21</v>
      </c>
      <c r="B151" s="28">
        <f>IF(ISBLANK(A151),0,INDEX(txtstylestab[],MATCH(A151,txtstylestab[style_Name],0),1))</f>
        <v>0</v>
      </c>
      <c r="C151" s="28">
        <f t="shared" si="9"/>
        <v>1</v>
      </c>
      <c r="D151" s="28">
        <f t="shared" si="10"/>
        <v>4</v>
      </c>
      <c r="E151" s="28">
        <f t="shared" si="11"/>
        <v>4</v>
      </c>
      <c r="F151" s="59" t="str">
        <f t="shared" si="12"/>
        <v/>
      </c>
      <c r="G151" s="42" t="s">
        <v>313</v>
      </c>
      <c r="H151" s="43" t="s">
        <v>314</v>
      </c>
      <c r="I151" s="44" t="s">
        <v>315</v>
      </c>
      <c r="J151" s="45" t="s">
        <v>316</v>
      </c>
      <c r="K151" s="46" t="s">
        <v>317</v>
      </c>
      <c r="L151" s="47" t="s">
        <v>2479</v>
      </c>
      <c r="M151" s="48" t="s">
        <v>2480</v>
      </c>
      <c r="N151" s="49"/>
      <c r="O151" s="50" t="s">
        <v>3327</v>
      </c>
      <c r="P151" s="59"/>
      <c r="Q151" s="59"/>
      <c r="R151" s="13"/>
    </row>
    <row r="152" spans="1:18" ht="60" x14ac:dyDescent="0.25">
      <c r="A152" s="9" t="s">
        <v>21</v>
      </c>
      <c r="B152" s="28">
        <f>IF(ISBLANK(A152),0,INDEX(txtstylestab[],MATCH(A152,txtstylestab[style_Name],0),1))</f>
        <v>0</v>
      </c>
      <c r="C152" s="28">
        <f t="shared" si="9"/>
        <v>1</v>
      </c>
      <c r="D152" s="28">
        <f t="shared" si="10"/>
        <v>4</v>
      </c>
      <c r="E152" s="28">
        <f t="shared" si="11"/>
        <v>4</v>
      </c>
      <c r="F152" s="59" t="str">
        <f t="shared" si="12"/>
        <v/>
      </c>
      <c r="G152" s="42" t="s">
        <v>318</v>
      </c>
      <c r="H152" s="43" t="s">
        <v>319</v>
      </c>
      <c r="I152" s="44" t="s">
        <v>320</v>
      </c>
      <c r="J152" s="45" t="s">
        <v>321</v>
      </c>
      <c r="K152" s="46" t="s">
        <v>322</v>
      </c>
      <c r="L152" s="47" t="s">
        <v>2481</v>
      </c>
      <c r="M152" s="48" t="s">
        <v>2482</v>
      </c>
      <c r="N152" s="49"/>
      <c r="O152" s="50" t="s">
        <v>3328</v>
      </c>
      <c r="P152" s="59"/>
      <c r="Q152" s="59"/>
      <c r="R152" s="13"/>
    </row>
    <row r="153" spans="1:18" ht="45" x14ac:dyDescent="0.25">
      <c r="A153" s="9" t="s">
        <v>21</v>
      </c>
      <c r="B153" s="28">
        <f>IF(ISBLANK(A153),0,INDEX(txtstylestab[],MATCH(A153,txtstylestab[style_Name],0),1))</f>
        <v>0</v>
      </c>
      <c r="C153" s="28">
        <f t="shared" si="9"/>
        <v>1</v>
      </c>
      <c r="D153" s="28">
        <f t="shared" si="10"/>
        <v>4</v>
      </c>
      <c r="E153" s="28">
        <f t="shared" si="11"/>
        <v>4</v>
      </c>
      <c r="F153" s="59" t="str">
        <f t="shared" si="12"/>
        <v/>
      </c>
      <c r="G153" s="42" t="s">
        <v>323</v>
      </c>
      <c r="H153" s="43" t="s">
        <v>324</v>
      </c>
      <c r="I153" s="44" t="s">
        <v>1632</v>
      </c>
      <c r="J153" s="45" t="s">
        <v>325</v>
      </c>
      <c r="K153" s="46" t="s">
        <v>326</v>
      </c>
      <c r="L153" s="47" t="s">
        <v>2483</v>
      </c>
      <c r="M153" s="48" t="s">
        <v>2484</v>
      </c>
      <c r="N153" s="49"/>
      <c r="O153" s="50" t="s">
        <v>3329</v>
      </c>
      <c r="P153" s="59"/>
      <c r="Q153" s="59"/>
      <c r="R153" s="13"/>
    </row>
    <row r="154" spans="1:18" ht="45" x14ac:dyDescent="0.25">
      <c r="A154" s="9" t="s">
        <v>21</v>
      </c>
      <c r="B154" s="28">
        <f>IF(ISBLANK(A154),0,INDEX(txtstylestab[],MATCH(A154,txtstylestab[style_Name],0),1))</f>
        <v>0</v>
      </c>
      <c r="C154" s="28">
        <f t="shared" si="9"/>
        <v>1</v>
      </c>
      <c r="D154" s="28">
        <f t="shared" si="10"/>
        <v>4</v>
      </c>
      <c r="E154" s="28">
        <f t="shared" si="11"/>
        <v>4</v>
      </c>
      <c r="F154" s="59" t="str">
        <f t="shared" si="12"/>
        <v/>
      </c>
      <c r="G154" s="42" t="s">
        <v>327</v>
      </c>
      <c r="H154" s="43" t="s">
        <v>328</v>
      </c>
      <c r="I154" s="44" t="s">
        <v>329</v>
      </c>
      <c r="J154" s="45" t="s">
        <v>330</v>
      </c>
      <c r="K154" s="46" t="s">
        <v>331</v>
      </c>
      <c r="L154" s="47" t="s">
        <v>2485</v>
      </c>
      <c r="M154" s="48" t="s">
        <v>2486</v>
      </c>
      <c r="N154" s="49"/>
      <c r="O154" s="50" t="s">
        <v>3330</v>
      </c>
      <c r="P154" s="59"/>
      <c r="Q154" s="59"/>
      <c r="R154" s="13"/>
    </row>
    <row r="155" spans="1:18" ht="30" x14ac:dyDescent="0.25">
      <c r="A155" s="9" t="s">
        <v>21</v>
      </c>
      <c r="B155" s="28">
        <f>IF(ISBLANK(A155),0,INDEX(txtstylestab[],MATCH(A155,txtstylestab[style_Name],0),1))</f>
        <v>0</v>
      </c>
      <c r="C155" s="28">
        <f t="shared" si="9"/>
        <v>1</v>
      </c>
      <c r="D155" s="28">
        <f t="shared" si="10"/>
        <v>4</v>
      </c>
      <c r="E155" s="28">
        <f t="shared" si="11"/>
        <v>4</v>
      </c>
      <c r="F155" s="59" t="str">
        <f t="shared" si="12"/>
        <v/>
      </c>
      <c r="G155" s="42" t="s">
        <v>332</v>
      </c>
      <c r="H155" s="43" t="s">
        <v>333</v>
      </c>
      <c r="I155" s="44" t="s">
        <v>334</v>
      </c>
      <c r="J155" s="45" t="s">
        <v>335</v>
      </c>
      <c r="K155" s="46" t="s">
        <v>336</v>
      </c>
      <c r="L155" s="47" t="s">
        <v>2487</v>
      </c>
      <c r="M155" s="48" t="s">
        <v>2488</v>
      </c>
      <c r="N155" s="49"/>
      <c r="O155" s="50" t="s">
        <v>3331</v>
      </c>
      <c r="P155" s="59"/>
      <c r="Q155" s="59"/>
      <c r="R155" s="13"/>
    </row>
    <row r="156" spans="1:18" ht="15.75" thickBot="1" x14ac:dyDescent="0.3">
      <c r="A156" s="9" t="s">
        <v>12</v>
      </c>
      <c r="B156" s="28">
        <f>IF(ISBLANK(A156),0,INDEX(txtstylestab[],MATCH(A156,txtstylestab[style_Name],0),1))</f>
        <v>3</v>
      </c>
      <c r="C156" s="28">
        <f t="shared" si="9"/>
        <v>1</v>
      </c>
      <c r="D156" s="28">
        <f t="shared" si="10"/>
        <v>4</v>
      </c>
      <c r="E156" s="28">
        <f t="shared" si="11"/>
        <v>5</v>
      </c>
      <c r="F156" s="55" t="str">
        <f t="shared" si="12"/>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9"/>
        <v>1</v>
      </c>
      <c r="D157" s="28">
        <f t="shared" si="10"/>
        <v>4</v>
      </c>
      <c r="E157" s="28">
        <f t="shared" si="11"/>
        <v>5</v>
      </c>
      <c r="F157" s="59" t="str">
        <f t="shared" si="12"/>
        <v/>
      </c>
      <c r="G157" s="42" t="s">
        <v>338</v>
      </c>
      <c r="H157" s="43" t="s">
        <v>339</v>
      </c>
      <c r="I157" s="44" t="s">
        <v>340</v>
      </c>
      <c r="J157" s="45" t="s">
        <v>341</v>
      </c>
      <c r="K157" s="46" t="s">
        <v>342</v>
      </c>
      <c r="L157" s="47" t="s">
        <v>2489</v>
      </c>
      <c r="M157" s="48" t="s">
        <v>2490</v>
      </c>
      <c r="N157" s="49"/>
      <c r="O157" s="50" t="s">
        <v>3332</v>
      </c>
      <c r="P157" s="59"/>
      <c r="Q157" s="59"/>
      <c r="R157" s="13"/>
    </row>
    <row r="158" spans="1:18" x14ac:dyDescent="0.25">
      <c r="A158" s="9" t="s">
        <v>21</v>
      </c>
      <c r="B158" s="28">
        <f>IF(ISBLANK(A158),0,INDEX(txtstylestab[],MATCH(A158,txtstylestab[style_Name],0),1))</f>
        <v>0</v>
      </c>
      <c r="C158" s="28">
        <f t="shared" si="9"/>
        <v>1</v>
      </c>
      <c r="D158" s="28">
        <f t="shared" si="10"/>
        <v>4</v>
      </c>
      <c r="E158" s="28">
        <f t="shared" si="11"/>
        <v>5</v>
      </c>
      <c r="F158" s="59" t="str">
        <f t="shared" si="12"/>
        <v/>
      </c>
      <c r="G158" s="42" t="s">
        <v>6</v>
      </c>
      <c r="H158" s="43" t="s">
        <v>26</v>
      </c>
      <c r="I158" s="44" t="s">
        <v>48</v>
      </c>
      <c r="J158" s="45" t="s">
        <v>397</v>
      </c>
      <c r="K158" s="46" t="s">
        <v>59</v>
      </c>
      <c r="L158" s="47" t="s">
        <v>2491</v>
      </c>
      <c r="M158" s="48" t="s">
        <v>2492</v>
      </c>
      <c r="N158" s="49"/>
      <c r="O158" s="50" t="s">
        <v>3173</v>
      </c>
      <c r="P158" s="59"/>
      <c r="Q158" s="59"/>
      <c r="R158" s="13"/>
    </row>
    <row r="159" spans="1:18" ht="18" thickBot="1" x14ac:dyDescent="0.35">
      <c r="A159" s="9" t="s">
        <v>11</v>
      </c>
      <c r="B159" s="28">
        <f>IF(ISBLANK(A159),0,INDEX(txtstylestab[],MATCH(A159,txtstylestab[style_Name],0),1))</f>
        <v>2</v>
      </c>
      <c r="C159" s="28">
        <f t="shared" si="9"/>
        <v>1</v>
      </c>
      <c r="D159" s="28">
        <f t="shared" si="10"/>
        <v>5</v>
      </c>
      <c r="E159" s="28">
        <f t="shared" si="11"/>
        <v>0</v>
      </c>
      <c r="F159" s="54" t="str">
        <f t="shared" si="12"/>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9"/>
        <v>1</v>
      </c>
      <c r="D160" s="28">
        <f t="shared" si="10"/>
        <v>5</v>
      </c>
      <c r="E160" s="28">
        <f t="shared" si="11"/>
        <v>0</v>
      </c>
      <c r="F160" s="59" t="str">
        <f t="shared" si="12"/>
        <v/>
      </c>
      <c r="G160" s="42" t="s">
        <v>344</v>
      </c>
      <c r="H160" s="43" t="s">
        <v>83</v>
      </c>
      <c r="I160" s="44" t="s">
        <v>84</v>
      </c>
      <c r="J160" s="45" t="s">
        <v>85</v>
      </c>
      <c r="K160" s="46" t="s">
        <v>86</v>
      </c>
      <c r="L160" s="47" t="s">
        <v>2398</v>
      </c>
      <c r="M160" s="48" t="s">
        <v>2333</v>
      </c>
      <c r="N160" s="49"/>
      <c r="O160" s="50" t="s">
        <v>3166</v>
      </c>
      <c r="P160" s="59"/>
      <c r="Q160" s="59"/>
      <c r="R160" s="13"/>
    </row>
    <row r="161" spans="1:18" ht="45" x14ac:dyDescent="0.25">
      <c r="A161" s="9" t="s">
        <v>21</v>
      </c>
      <c r="B161" s="28">
        <f>IF(ISBLANK(A161),0,INDEX(txtstylestab[],MATCH(A161,txtstylestab[style_Name],0),1))</f>
        <v>0</v>
      </c>
      <c r="C161" s="28">
        <f t="shared" si="9"/>
        <v>1</v>
      </c>
      <c r="D161" s="28">
        <f t="shared" si="10"/>
        <v>5</v>
      </c>
      <c r="E161" s="28">
        <f t="shared" si="11"/>
        <v>0</v>
      </c>
      <c r="F161" s="59" t="str">
        <f t="shared" si="12"/>
        <v/>
      </c>
      <c r="G161" s="42" t="s">
        <v>345</v>
      </c>
      <c r="H161" s="43" t="s">
        <v>346</v>
      </c>
      <c r="I161" s="44" t="s">
        <v>347</v>
      </c>
      <c r="J161" s="45" t="s">
        <v>348</v>
      </c>
      <c r="K161" s="46" t="s">
        <v>349</v>
      </c>
      <c r="L161" s="47" t="s">
        <v>2493</v>
      </c>
      <c r="M161" s="48" t="s">
        <v>2494</v>
      </c>
      <c r="N161" s="49"/>
      <c r="O161" s="50" t="s">
        <v>3333</v>
      </c>
      <c r="P161" s="59"/>
      <c r="Q161" s="59"/>
      <c r="R161" s="13"/>
    </row>
    <row r="162" spans="1:18" ht="60" x14ac:dyDescent="0.25">
      <c r="A162" s="9" t="s">
        <v>21</v>
      </c>
      <c r="B162" s="28">
        <f>IF(ISBLANK(A162),0,INDEX(txtstylestab[],MATCH(A162,txtstylestab[style_Name],0),1))</f>
        <v>0</v>
      </c>
      <c r="C162" s="28">
        <f t="shared" si="9"/>
        <v>1</v>
      </c>
      <c r="D162" s="28">
        <f t="shared" si="10"/>
        <v>5</v>
      </c>
      <c r="E162" s="28">
        <f t="shared" si="11"/>
        <v>0</v>
      </c>
      <c r="F162" s="59" t="str">
        <f t="shared" si="12"/>
        <v/>
      </c>
      <c r="G162" s="42" t="s">
        <v>350</v>
      </c>
      <c r="H162" s="43" t="s">
        <v>351</v>
      </c>
      <c r="I162" s="44" t="s">
        <v>352</v>
      </c>
      <c r="J162" s="45" t="s">
        <v>353</v>
      </c>
      <c r="K162" s="46" t="s">
        <v>1713</v>
      </c>
      <c r="L162" s="47" t="s">
        <v>2495</v>
      </c>
      <c r="M162" s="48" t="s">
        <v>2496</v>
      </c>
      <c r="N162" s="49"/>
      <c r="O162" s="50" t="s">
        <v>3334</v>
      </c>
      <c r="P162" s="59"/>
      <c r="Q162" s="59"/>
      <c r="R162" s="13"/>
    </row>
    <row r="163" spans="1:18" ht="30" x14ac:dyDescent="0.25">
      <c r="A163" s="9" t="s">
        <v>21</v>
      </c>
      <c r="B163" s="28">
        <f>IF(ISBLANK(A163),0,INDEX(txtstylestab[],MATCH(A163,txtstylestab[style_Name],0),1))</f>
        <v>0</v>
      </c>
      <c r="C163" s="28">
        <f t="shared" si="9"/>
        <v>1</v>
      </c>
      <c r="D163" s="28">
        <f t="shared" si="10"/>
        <v>5</v>
      </c>
      <c r="E163" s="28">
        <f t="shared" si="11"/>
        <v>0</v>
      </c>
      <c r="F163" s="59" t="str">
        <f t="shared" si="12"/>
        <v/>
      </c>
      <c r="G163" s="42" t="s">
        <v>354</v>
      </c>
      <c r="H163" s="43" t="s">
        <v>355</v>
      </c>
      <c r="I163" s="44" t="s">
        <v>356</v>
      </c>
      <c r="J163" s="45" t="s">
        <v>357</v>
      </c>
      <c r="K163" s="46" t="s">
        <v>358</v>
      </c>
      <c r="L163" s="47" t="s">
        <v>2497</v>
      </c>
      <c r="M163" s="48" t="s">
        <v>2498</v>
      </c>
      <c r="N163" s="49"/>
      <c r="O163" s="50" t="s">
        <v>3335</v>
      </c>
      <c r="P163" s="59"/>
      <c r="Q163" s="59"/>
      <c r="R163" s="13"/>
    </row>
    <row r="164" spans="1:18" ht="30" x14ac:dyDescent="0.25">
      <c r="A164" s="9" t="s">
        <v>21</v>
      </c>
      <c r="B164" s="28">
        <f>IF(ISBLANK(A164),0,INDEX(txtstylestab[],MATCH(A164,txtstylestab[style_Name],0),1))</f>
        <v>0</v>
      </c>
      <c r="C164" s="28">
        <f t="shared" si="9"/>
        <v>1</v>
      </c>
      <c r="D164" s="28">
        <f t="shared" si="10"/>
        <v>5</v>
      </c>
      <c r="E164" s="28">
        <f t="shared" si="11"/>
        <v>0</v>
      </c>
      <c r="F164" s="59" t="str">
        <f t="shared" si="12"/>
        <v/>
      </c>
      <c r="G164" s="42" t="s">
        <v>359</v>
      </c>
      <c r="H164" s="43" t="s">
        <v>360</v>
      </c>
      <c r="I164" s="44" t="s">
        <v>361</v>
      </c>
      <c r="J164" s="45" t="s">
        <v>362</v>
      </c>
      <c r="K164" s="46" t="s">
        <v>363</v>
      </c>
      <c r="L164" s="47" t="s">
        <v>2499</v>
      </c>
      <c r="M164" s="48" t="s">
        <v>2500</v>
      </c>
      <c r="N164" s="49"/>
      <c r="O164" s="50" t="s">
        <v>3336</v>
      </c>
      <c r="P164" s="59"/>
      <c r="Q164" s="59"/>
      <c r="R164" s="13"/>
    </row>
    <row r="165" spans="1:18" ht="30" x14ac:dyDescent="0.25">
      <c r="A165" s="9" t="s">
        <v>21</v>
      </c>
      <c r="B165" s="28">
        <f>IF(ISBLANK(A165),0,INDEX(txtstylestab[],MATCH(A165,txtstylestab[style_Name],0),1))</f>
        <v>0</v>
      </c>
      <c r="C165" s="28">
        <f t="shared" si="9"/>
        <v>1</v>
      </c>
      <c r="D165" s="28">
        <f t="shared" si="10"/>
        <v>5</v>
      </c>
      <c r="E165" s="28">
        <f t="shared" si="11"/>
        <v>0</v>
      </c>
      <c r="F165" s="59" t="str">
        <f t="shared" si="12"/>
        <v/>
      </c>
      <c r="G165" s="42" t="s">
        <v>364</v>
      </c>
      <c r="H165" s="43" t="s">
        <v>365</v>
      </c>
      <c r="I165" s="44" t="s">
        <v>366</v>
      </c>
      <c r="J165" s="45" t="s">
        <v>367</v>
      </c>
      <c r="K165" s="46" t="s">
        <v>368</v>
      </c>
      <c r="L165" s="47" t="s">
        <v>2501</v>
      </c>
      <c r="M165" s="48" t="s">
        <v>2502</v>
      </c>
      <c r="N165" s="49"/>
      <c r="O165" s="50" t="s">
        <v>3337</v>
      </c>
      <c r="P165" s="59"/>
      <c r="Q165" s="59"/>
      <c r="R165" s="13"/>
    </row>
    <row r="166" spans="1:18" ht="30" x14ac:dyDescent="0.25">
      <c r="A166" s="9" t="s">
        <v>21</v>
      </c>
      <c r="B166" s="28">
        <f>IF(ISBLANK(A166),0,INDEX(txtstylestab[],MATCH(A166,txtstylestab[style_Name],0),1))</f>
        <v>0</v>
      </c>
      <c r="C166" s="28">
        <f t="shared" si="9"/>
        <v>1</v>
      </c>
      <c r="D166" s="28">
        <f t="shared" si="10"/>
        <v>5</v>
      </c>
      <c r="E166" s="28">
        <f t="shared" si="11"/>
        <v>0</v>
      </c>
      <c r="F166" s="59" t="str">
        <f t="shared" si="12"/>
        <v/>
      </c>
      <c r="G166" s="42" t="s">
        <v>369</v>
      </c>
      <c r="H166" s="43" t="s">
        <v>370</v>
      </c>
      <c r="I166" s="44" t="s">
        <v>371</v>
      </c>
      <c r="J166" s="45" t="s">
        <v>372</v>
      </c>
      <c r="K166" s="46" t="s">
        <v>373</v>
      </c>
      <c r="L166" s="47" t="s">
        <v>2503</v>
      </c>
      <c r="M166" s="48" t="s">
        <v>2504</v>
      </c>
      <c r="N166" s="49"/>
      <c r="O166" s="50" t="s">
        <v>3338</v>
      </c>
      <c r="P166" s="59"/>
      <c r="Q166" s="59"/>
      <c r="R166" s="13"/>
    </row>
    <row r="167" spans="1:18" ht="75" x14ac:dyDescent="0.25">
      <c r="A167" s="9" t="s">
        <v>21</v>
      </c>
      <c r="B167" s="28">
        <f>IF(ISBLANK(A167),0,INDEX(txtstylestab[],MATCH(A167,txtstylestab[style_Name],0),1))</f>
        <v>0</v>
      </c>
      <c r="C167" s="28">
        <f t="shared" si="9"/>
        <v>1</v>
      </c>
      <c r="D167" s="28">
        <f t="shared" si="10"/>
        <v>5</v>
      </c>
      <c r="E167" s="28">
        <f t="shared" si="11"/>
        <v>0</v>
      </c>
      <c r="F167" s="59" t="str">
        <f t="shared" si="12"/>
        <v/>
      </c>
      <c r="G167" s="42" t="s">
        <v>374</v>
      </c>
      <c r="H167" s="43" t="s">
        <v>375</v>
      </c>
      <c r="I167" s="75" t="s">
        <v>376</v>
      </c>
      <c r="J167" s="45" t="s">
        <v>377</v>
      </c>
      <c r="K167" s="46" t="s">
        <v>378</v>
      </c>
      <c r="L167" s="47" t="s">
        <v>2505</v>
      </c>
      <c r="M167" s="48" t="s">
        <v>2506</v>
      </c>
      <c r="N167" s="49"/>
      <c r="O167" s="50" t="s">
        <v>3339</v>
      </c>
      <c r="P167" s="59"/>
      <c r="Q167" s="59"/>
      <c r="R167" s="13"/>
    </row>
    <row r="168" spans="1:18" ht="120" x14ac:dyDescent="0.25">
      <c r="A168" s="9" t="s">
        <v>21</v>
      </c>
      <c r="B168" s="28">
        <f>IF(ISBLANK(A168),0,INDEX(txtstylestab[],MATCH(A168,txtstylestab[style_Name],0),1))</f>
        <v>0</v>
      </c>
      <c r="C168" s="28">
        <f t="shared" si="9"/>
        <v>1</v>
      </c>
      <c r="D168" s="28">
        <f t="shared" si="10"/>
        <v>5</v>
      </c>
      <c r="E168" s="28">
        <f t="shared" si="11"/>
        <v>0</v>
      </c>
      <c r="F168" s="59" t="str">
        <f t="shared" si="12"/>
        <v/>
      </c>
      <c r="G168" s="42" t="s">
        <v>2156</v>
      </c>
      <c r="H168" s="43" t="s">
        <v>2157</v>
      </c>
      <c r="I168" s="44" t="s">
        <v>2158</v>
      </c>
      <c r="J168" s="45" t="s">
        <v>2159</v>
      </c>
      <c r="K168" s="46" t="s">
        <v>2160</v>
      </c>
      <c r="L168" s="47" t="s">
        <v>2508</v>
      </c>
      <c r="M168" s="48" t="s">
        <v>2510</v>
      </c>
      <c r="N168" s="49"/>
      <c r="O168" s="50" t="s">
        <v>3340</v>
      </c>
      <c r="P168" s="59"/>
      <c r="Q168" s="59"/>
      <c r="R168" s="13"/>
    </row>
    <row r="169" spans="1:18" ht="105" x14ac:dyDescent="0.25">
      <c r="A169" s="9" t="s">
        <v>21</v>
      </c>
      <c r="B169" s="28">
        <f>IF(ISBLANK(A169),0,INDEX(txtstylestab[],MATCH(A169,txtstylestab[style_Name],0),1))</f>
        <v>0</v>
      </c>
      <c r="C169" s="28">
        <f t="shared" si="9"/>
        <v>1</v>
      </c>
      <c r="D169" s="28">
        <f t="shared" si="10"/>
        <v>5</v>
      </c>
      <c r="E169" s="28">
        <f t="shared" si="11"/>
        <v>0</v>
      </c>
      <c r="F169" s="59" t="str">
        <f t="shared" si="12"/>
        <v/>
      </c>
      <c r="G169" s="42" t="s">
        <v>2172</v>
      </c>
      <c r="H169" s="43" t="s">
        <v>2173</v>
      </c>
      <c r="I169" s="44" t="s">
        <v>2174</v>
      </c>
      <c r="J169" s="45" t="s">
        <v>2175</v>
      </c>
      <c r="K169" s="46" t="s">
        <v>2176</v>
      </c>
      <c r="L169" s="47" t="s">
        <v>2509</v>
      </c>
      <c r="M169" s="48" t="s">
        <v>2511</v>
      </c>
      <c r="N169" s="49"/>
      <c r="O169" s="50" t="s">
        <v>3480</v>
      </c>
      <c r="P169" s="59"/>
      <c r="Q169" s="59"/>
      <c r="R169" s="13"/>
    </row>
    <row r="170" spans="1:18" ht="60" x14ac:dyDescent="0.25">
      <c r="A170" s="9" t="s">
        <v>21</v>
      </c>
      <c r="B170" s="28">
        <f>IF(ISBLANK(A170),0,INDEX(txtstylestab[],MATCH(A170,txtstylestab[style_Name],0),1))</f>
        <v>0</v>
      </c>
      <c r="C170" s="28">
        <f t="shared" si="9"/>
        <v>1</v>
      </c>
      <c r="D170" s="28">
        <f t="shared" si="10"/>
        <v>5</v>
      </c>
      <c r="E170" s="28">
        <f t="shared" si="11"/>
        <v>0</v>
      </c>
      <c r="F170" s="59" t="str">
        <f t="shared" si="12"/>
        <v/>
      </c>
      <c r="G170" s="42" t="s">
        <v>2187</v>
      </c>
      <c r="H170" s="43" t="s">
        <v>2188</v>
      </c>
      <c r="I170" s="44" t="s">
        <v>2189</v>
      </c>
      <c r="J170" s="45" t="s">
        <v>2190</v>
      </c>
      <c r="K170" s="46" t="s">
        <v>2191</v>
      </c>
      <c r="L170" s="47" t="s">
        <v>2512</v>
      </c>
      <c r="M170" s="48" t="s">
        <v>2513</v>
      </c>
      <c r="N170" s="49"/>
      <c r="O170" s="50" t="s">
        <v>3341</v>
      </c>
      <c r="P170" s="59"/>
      <c r="Q170" s="59"/>
      <c r="R170" s="13"/>
    </row>
    <row r="171" spans="1:18" x14ac:dyDescent="0.25">
      <c r="A171" s="9" t="s">
        <v>22</v>
      </c>
      <c r="B171" s="28">
        <f>IF(ISBLANK(A171),0,INDEX(txtstylestab[],MATCH(A171,txtstylestab[style_Name],0),1))</f>
        <v>4</v>
      </c>
      <c r="C171" s="28">
        <f t="shared" si="9"/>
        <v>1</v>
      </c>
      <c r="D171" s="28">
        <f t="shared" si="10"/>
        <v>5</v>
      </c>
      <c r="E171" s="28">
        <f t="shared" si="11"/>
        <v>0</v>
      </c>
      <c r="F171" s="56" t="str">
        <f t="shared" si="12"/>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9"/>
        <v>1</v>
      </c>
      <c r="D172" s="28">
        <f t="shared" si="10"/>
        <v>5</v>
      </c>
      <c r="E172" s="28">
        <f t="shared" si="11"/>
        <v>0</v>
      </c>
      <c r="F172" s="59" t="str">
        <f t="shared" si="12"/>
        <v/>
      </c>
      <c r="G172" s="42" t="s">
        <v>380</v>
      </c>
      <c r="H172" s="43" t="s">
        <v>406</v>
      </c>
      <c r="I172" s="44" t="s">
        <v>381</v>
      </c>
      <c r="J172" s="45" t="s">
        <v>382</v>
      </c>
      <c r="K172" s="46" t="s">
        <v>383</v>
      </c>
      <c r="L172" s="47" t="s">
        <v>2514</v>
      </c>
      <c r="M172" s="48" t="s">
        <v>2507</v>
      </c>
      <c r="N172" s="49"/>
      <c r="O172" s="50" t="s">
        <v>3342</v>
      </c>
      <c r="P172" s="59"/>
      <c r="Q172" s="59"/>
      <c r="R172" s="13"/>
    </row>
    <row r="173" spans="1:18" x14ac:dyDescent="0.25">
      <c r="A173" s="9" t="s">
        <v>21</v>
      </c>
      <c r="B173" s="28">
        <f>IF(ISBLANK(A173),0,INDEX(txtstylestab[],MATCH(A173,txtstylestab[style_Name],0),1))</f>
        <v>0</v>
      </c>
      <c r="C173" s="28">
        <f t="shared" si="9"/>
        <v>1</v>
      </c>
      <c r="D173" s="28">
        <f t="shared" si="10"/>
        <v>5</v>
      </c>
      <c r="E173" s="28">
        <f t="shared" si="11"/>
        <v>0</v>
      </c>
      <c r="F173" s="59" t="str">
        <f t="shared" si="12"/>
        <v/>
      </c>
      <c r="G173" s="42" t="s">
        <v>6</v>
      </c>
      <c r="H173" s="43" t="s">
        <v>96</v>
      </c>
      <c r="I173" s="44" t="s">
        <v>48</v>
      </c>
      <c r="J173" s="45" t="s">
        <v>397</v>
      </c>
      <c r="K173" s="46" t="s">
        <v>59</v>
      </c>
      <c r="L173" s="47"/>
      <c r="M173" s="48"/>
      <c r="N173" s="49"/>
      <c r="O173" s="50" t="s">
        <v>3173</v>
      </c>
      <c r="P173" s="59"/>
      <c r="Q173" s="59"/>
      <c r="R173" s="13"/>
    </row>
    <row r="174" spans="1:18" ht="18" thickBot="1" x14ac:dyDescent="0.35">
      <c r="A174" s="9" t="s">
        <v>11</v>
      </c>
      <c r="B174" s="28">
        <f>IF(ISBLANK(A174),0,INDEX(txtstylestab[],MATCH(A174,txtstylestab[style_Name],0),1))</f>
        <v>2</v>
      </c>
      <c r="C174" s="28">
        <f t="shared" si="9"/>
        <v>1</v>
      </c>
      <c r="D174" s="28">
        <f t="shared" si="10"/>
        <v>6</v>
      </c>
      <c r="E174" s="28">
        <f t="shared" si="11"/>
        <v>0</v>
      </c>
      <c r="F174" s="54" t="str">
        <f t="shared" si="12"/>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9"/>
        <v>1</v>
      </c>
      <c r="D175" s="28">
        <f t="shared" si="10"/>
        <v>6</v>
      </c>
      <c r="E175" s="28">
        <f t="shared" si="11"/>
        <v>0</v>
      </c>
      <c r="F175" s="59" t="str">
        <f t="shared" si="12"/>
        <v/>
      </c>
      <c r="G175" s="42" t="s">
        <v>344</v>
      </c>
      <c r="H175" s="43" t="s">
        <v>83</v>
      </c>
      <c r="I175" s="44" t="s">
        <v>386</v>
      </c>
      <c r="J175" s="45" t="s">
        <v>85</v>
      </c>
      <c r="K175" s="46" t="s">
        <v>86</v>
      </c>
      <c r="L175" s="47" t="s">
        <v>2398</v>
      </c>
      <c r="M175" s="48" t="s">
        <v>2333</v>
      </c>
      <c r="N175" s="49"/>
      <c r="O175" s="50" t="s">
        <v>3166</v>
      </c>
      <c r="P175" s="59"/>
      <c r="Q175" s="59"/>
      <c r="R175" s="13"/>
    </row>
    <row r="176" spans="1:18" ht="45" x14ac:dyDescent="0.25">
      <c r="A176" s="9" t="s">
        <v>21</v>
      </c>
      <c r="B176" s="28">
        <f>IF(ISBLANK(A176),0,INDEX(txtstylestab[],MATCH(A176,txtstylestab[style_Name],0),1))</f>
        <v>0</v>
      </c>
      <c r="C176" s="28">
        <f t="shared" si="9"/>
        <v>1</v>
      </c>
      <c r="D176" s="28">
        <f t="shared" si="10"/>
        <v>6</v>
      </c>
      <c r="E176" s="28">
        <f t="shared" si="11"/>
        <v>0</v>
      </c>
      <c r="F176" s="59" t="str">
        <f t="shared" si="12"/>
        <v/>
      </c>
      <c r="G176" s="42" t="s">
        <v>387</v>
      </c>
      <c r="H176" s="43" t="s">
        <v>388</v>
      </c>
      <c r="I176" s="44" t="s">
        <v>389</v>
      </c>
      <c r="J176" s="45" t="s">
        <v>390</v>
      </c>
      <c r="K176" s="46" t="s">
        <v>391</v>
      </c>
      <c r="L176" s="47" t="s">
        <v>2515</v>
      </c>
      <c r="M176" s="48" t="s">
        <v>2516</v>
      </c>
      <c r="N176" s="49"/>
      <c r="O176" s="50" t="s">
        <v>3343</v>
      </c>
      <c r="P176" s="59"/>
      <c r="Q176" s="59"/>
      <c r="R176" s="13"/>
    </row>
    <row r="177" spans="1:18" ht="45" x14ac:dyDescent="0.25">
      <c r="A177" s="9" t="s">
        <v>21</v>
      </c>
      <c r="B177" s="28">
        <f>IF(ISBLANK(A177),0,INDEX(txtstylestab[],MATCH(A177,txtstylestab[style_Name],0),1))</f>
        <v>0</v>
      </c>
      <c r="C177" s="28">
        <f t="shared" si="9"/>
        <v>1</v>
      </c>
      <c r="D177" s="28">
        <f t="shared" si="10"/>
        <v>6</v>
      </c>
      <c r="E177" s="28">
        <f t="shared" si="11"/>
        <v>0</v>
      </c>
      <c r="F177" s="59" t="str">
        <f t="shared" si="12"/>
        <v/>
      </c>
      <c r="G177" s="42" t="s">
        <v>392</v>
      </c>
      <c r="H177" s="43" t="s">
        <v>393</v>
      </c>
      <c r="I177" s="44" t="s">
        <v>394</v>
      </c>
      <c r="J177" s="45" t="s">
        <v>395</v>
      </c>
      <c r="K177" s="46" t="s">
        <v>396</v>
      </c>
      <c r="L177" s="47" t="s">
        <v>2517</v>
      </c>
      <c r="M177" s="48" t="s">
        <v>2518</v>
      </c>
      <c r="N177" s="49"/>
      <c r="O177" s="50" t="s">
        <v>3344</v>
      </c>
      <c r="P177" s="59"/>
      <c r="Q177" s="59"/>
      <c r="R177" s="13"/>
    </row>
    <row r="178" spans="1:18" x14ac:dyDescent="0.25">
      <c r="A178" s="9" t="s">
        <v>21</v>
      </c>
      <c r="B178" s="28">
        <f>IF(ISBLANK(A178),0,INDEX(txtstylestab[],MATCH(A178,txtstylestab[style_Name],0),1))</f>
        <v>0</v>
      </c>
      <c r="C178" s="28">
        <f t="shared" si="9"/>
        <v>1</v>
      </c>
      <c r="D178" s="28">
        <f t="shared" si="10"/>
        <v>6</v>
      </c>
      <c r="E178" s="28">
        <f t="shared" si="11"/>
        <v>0</v>
      </c>
      <c r="F178" s="59" t="str">
        <f t="shared" si="12"/>
        <v/>
      </c>
      <c r="G178" s="42" t="s">
        <v>6</v>
      </c>
      <c r="H178" s="43" t="s">
        <v>26</v>
      </c>
      <c r="I178" s="44" t="s">
        <v>48</v>
      </c>
      <c r="J178" s="45" t="s">
        <v>54</v>
      </c>
      <c r="K178" s="46" t="s">
        <v>59</v>
      </c>
      <c r="L178" s="47" t="s">
        <v>2491</v>
      </c>
      <c r="M178" s="48" t="s">
        <v>2492</v>
      </c>
      <c r="N178" s="49"/>
      <c r="O178" s="50" t="s">
        <v>3173</v>
      </c>
      <c r="P178" s="59"/>
      <c r="Q178" s="59"/>
      <c r="R178" s="13"/>
    </row>
    <row r="179" spans="1:18" ht="18" thickBot="1" x14ac:dyDescent="0.35">
      <c r="A179" s="9" t="s">
        <v>11</v>
      </c>
      <c r="B179" s="28">
        <f>IF(ISBLANK(A179),0,INDEX(txtstylestab[],MATCH(A179,txtstylestab[style_Name],0),1))</f>
        <v>2</v>
      </c>
      <c r="C179" s="28">
        <f t="shared" si="9"/>
        <v>1</v>
      </c>
      <c r="D179" s="28">
        <f t="shared" si="10"/>
        <v>7</v>
      </c>
      <c r="E179" s="28">
        <f t="shared" si="11"/>
        <v>0</v>
      </c>
      <c r="F179" s="54" t="str">
        <f t="shared" si="12"/>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9"/>
        <v>1</v>
      </c>
      <c r="D180" s="28">
        <f t="shared" si="10"/>
        <v>7</v>
      </c>
      <c r="E180" s="28">
        <f t="shared" si="11"/>
        <v>0</v>
      </c>
      <c r="F180" s="59" t="str">
        <f t="shared" si="12"/>
        <v/>
      </c>
      <c r="G180" s="42" t="s">
        <v>82</v>
      </c>
      <c r="H180" s="43" t="s">
        <v>83</v>
      </c>
      <c r="I180" s="44" t="s">
        <v>84</v>
      </c>
      <c r="J180" s="45" t="s">
        <v>85</v>
      </c>
      <c r="K180" s="46" t="s">
        <v>86</v>
      </c>
      <c r="L180" s="47" t="s">
        <v>2398</v>
      </c>
      <c r="M180" s="48" t="s">
        <v>2333</v>
      </c>
      <c r="N180" s="49"/>
      <c r="O180" s="50" t="s">
        <v>3166</v>
      </c>
      <c r="P180" s="50"/>
      <c r="Q180" s="59"/>
      <c r="R180" s="13"/>
    </row>
    <row r="181" spans="1:18" x14ac:dyDescent="0.25">
      <c r="A181" s="9" t="s">
        <v>21</v>
      </c>
      <c r="B181" s="28">
        <f>IF(ISBLANK(A181),0,INDEX(txtstylestab[],MATCH(A181,txtstylestab[style_Name],0),1))</f>
        <v>0</v>
      </c>
      <c r="C181" s="28">
        <f t="shared" si="9"/>
        <v>1</v>
      </c>
      <c r="D181" s="28">
        <f t="shared" si="10"/>
        <v>7</v>
      </c>
      <c r="E181" s="28">
        <f t="shared" si="11"/>
        <v>0</v>
      </c>
      <c r="F181" s="59" t="str">
        <f t="shared" si="12"/>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9"/>
        <v>1</v>
      </c>
      <c r="D182" s="28">
        <f t="shared" si="10"/>
        <v>7</v>
      </c>
      <c r="E182" s="28">
        <f t="shared" si="11"/>
        <v>0</v>
      </c>
      <c r="F182" s="59" t="str">
        <f t="shared" si="12"/>
        <v/>
      </c>
      <c r="G182" s="42"/>
      <c r="H182" s="43"/>
      <c r="I182" s="44" t="s">
        <v>413</v>
      </c>
      <c r="J182" s="45" t="s">
        <v>414</v>
      </c>
      <c r="K182" s="46" t="s">
        <v>415</v>
      </c>
      <c r="L182" s="47"/>
      <c r="M182" s="48"/>
      <c r="N182" s="49"/>
      <c r="O182" s="50" t="s">
        <v>3346</v>
      </c>
      <c r="P182" s="59"/>
      <c r="Q182" s="59"/>
      <c r="R182" s="13"/>
    </row>
    <row r="183" spans="1:18" ht="60" x14ac:dyDescent="0.25">
      <c r="A183" s="9" t="s">
        <v>21</v>
      </c>
      <c r="B183" s="28">
        <f>IF(ISBLANK(A183),0,INDEX(txtstylestab[],MATCH(A183,txtstylestab[style_Name],0),1))</f>
        <v>0</v>
      </c>
      <c r="C183" s="28">
        <f t="shared" si="9"/>
        <v>1</v>
      </c>
      <c r="D183" s="28">
        <f t="shared" si="10"/>
        <v>7</v>
      </c>
      <c r="E183" s="28">
        <f t="shared" si="11"/>
        <v>0</v>
      </c>
      <c r="F183" s="59" t="str">
        <f t="shared" si="12"/>
        <v/>
      </c>
      <c r="G183" s="42" t="s">
        <v>1799</v>
      </c>
      <c r="H183" s="43" t="s">
        <v>419</v>
      </c>
      <c r="I183" s="44" t="s">
        <v>1633</v>
      </c>
      <c r="J183" s="45" t="s">
        <v>420</v>
      </c>
      <c r="K183" s="46" t="s">
        <v>421</v>
      </c>
      <c r="L183" s="47" t="s">
        <v>2521</v>
      </c>
      <c r="M183" s="48" t="s">
        <v>2527</v>
      </c>
      <c r="N183" s="49"/>
      <c r="O183" s="50" t="s">
        <v>3345</v>
      </c>
      <c r="P183" s="59"/>
      <c r="Q183" s="59"/>
      <c r="R183" s="13"/>
    </row>
    <row r="184" spans="1:18" ht="45" x14ac:dyDescent="0.25">
      <c r="A184" s="9" t="s">
        <v>21</v>
      </c>
      <c r="B184" s="28">
        <f>IF(ISBLANK(A184),0,INDEX(txtstylestab[],MATCH(A184,txtstylestab[style_Name],0),1))</f>
        <v>0</v>
      </c>
      <c r="C184" s="28">
        <f t="shared" si="9"/>
        <v>1</v>
      </c>
      <c r="D184" s="28">
        <f t="shared" si="10"/>
        <v>7</v>
      </c>
      <c r="E184" s="28">
        <f t="shared" si="11"/>
        <v>0</v>
      </c>
      <c r="F184" s="59" t="str">
        <f t="shared" si="12"/>
        <v/>
      </c>
      <c r="G184" s="42" t="s">
        <v>416</v>
      </c>
      <c r="H184" s="43" t="s">
        <v>393</v>
      </c>
      <c r="I184" s="44" t="s">
        <v>417</v>
      </c>
      <c r="J184" s="45" t="s">
        <v>395</v>
      </c>
      <c r="K184" s="46" t="s">
        <v>418</v>
      </c>
      <c r="L184" s="47" t="s">
        <v>2522</v>
      </c>
      <c r="M184" s="48" t="s">
        <v>2518</v>
      </c>
      <c r="N184" s="49"/>
      <c r="O184" s="50" t="s">
        <v>3344</v>
      </c>
      <c r="P184" s="59"/>
      <c r="Q184" s="59"/>
      <c r="R184" s="13"/>
    </row>
    <row r="185" spans="1:18" ht="45" x14ac:dyDescent="0.25">
      <c r="A185" s="9" t="s">
        <v>21</v>
      </c>
      <c r="B185" s="28">
        <f>IF(ISBLANK(A185),0,INDEX(txtstylestab[],MATCH(A185,txtstylestab[style_Name],0),1))</f>
        <v>0</v>
      </c>
      <c r="C185" s="28">
        <f t="shared" si="9"/>
        <v>1</v>
      </c>
      <c r="D185" s="28">
        <f t="shared" si="10"/>
        <v>7</v>
      </c>
      <c r="E185" s="28">
        <f t="shared" si="11"/>
        <v>0</v>
      </c>
      <c r="F185" s="59" t="str">
        <f t="shared" si="12"/>
        <v/>
      </c>
      <c r="G185" s="42" t="s">
        <v>536</v>
      </c>
      <c r="H185" s="43" t="s">
        <v>537</v>
      </c>
      <c r="I185" s="44" t="s">
        <v>2200</v>
      </c>
      <c r="J185" s="45" t="s">
        <v>504</v>
      </c>
      <c r="K185" s="46" t="s">
        <v>538</v>
      </c>
      <c r="L185" s="47" t="s">
        <v>2523</v>
      </c>
      <c r="M185" s="48" t="s">
        <v>2524</v>
      </c>
      <c r="N185" s="49"/>
      <c r="O185" s="50" t="s">
        <v>3244</v>
      </c>
      <c r="P185" s="59"/>
      <c r="Q185" s="59"/>
      <c r="R185" s="13"/>
    </row>
    <row r="186" spans="1:18" x14ac:dyDescent="0.25">
      <c r="A186" s="9" t="s">
        <v>21</v>
      </c>
      <c r="B186" s="28">
        <f>IF(ISBLANK(A186),0,INDEX(txtstylestab[],MATCH(A186,txtstylestab[style_Name],0),1))</f>
        <v>0</v>
      </c>
      <c r="C186" s="28">
        <f t="shared" si="9"/>
        <v>1</v>
      </c>
      <c r="D186" s="28">
        <f t="shared" si="10"/>
        <v>7</v>
      </c>
      <c r="E186" s="28">
        <f t="shared" si="11"/>
        <v>0</v>
      </c>
      <c r="F186" s="59" t="str">
        <f t="shared" si="12"/>
        <v/>
      </c>
      <c r="G186" s="42" t="s">
        <v>532</v>
      </c>
      <c r="H186" s="43" t="s">
        <v>26</v>
      </c>
      <c r="I186" s="44" t="s">
        <v>48</v>
      </c>
      <c r="J186" s="45" t="s">
        <v>384</v>
      </c>
      <c r="K186" s="46" t="s">
        <v>59</v>
      </c>
      <c r="L186" s="47" t="s">
        <v>2525</v>
      </c>
      <c r="M186" s="48" t="s">
        <v>2526</v>
      </c>
      <c r="N186" s="49"/>
      <c r="O186" s="50" t="s">
        <v>3173</v>
      </c>
      <c r="P186" s="59"/>
      <c r="Q186" s="59"/>
      <c r="R186" s="13"/>
    </row>
    <row r="187" spans="1:18" ht="18" thickBot="1" x14ac:dyDescent="0.35">
      <c r="A187" s="9" t="s">
        <v>11</v>
      </c>
      <c r="B187" s="28">
        <f>IF(ISBLANK(A187),0,INDEX(txtstylestab[],MATCH(A187,txtstylestab[style_Name],0),1))</f>
        <v>2</v>
      </c>
      <c r="C187" s="28">
        <f t="shared" si="9"/>
        <v>1</v>
      </c>
      <c r="D187" s="28">
        <f t="shared" si="10"/>
        <v>8</v>
      </c>
      <c r="E187" s="28">
        <f t="shared" si="11"/>
        <v>0</v>
      </c>
      <c r="F187" s="54" t="str">
        <f t="shared" si="12"/>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9"/>
        <v>1</v>
      </c>
      <c r="D188" s="28">
        <f t="shared" si="10"/>
        <v>8</v>
      </c>
      <c r="E188" s="28">
        <f t="shared" si="11"/>
        <v>0</v>
      </c>
      <c r="F188" s="59" t="str">
        <f t="shared" si="12"/>
        <v/>
      </c>
      <c r="G188" s="42" t="s">
        <v>344</v>
      </c>
      <c r="H188" s="43" t="s">
        <v>83</v>
      </c>
      <c r="I188" s="44" t="s">
        <v>84</v>
      </c>
      <c r="J188" s="45" t="s">
        <v>85</v>
      </c>
      <c r="K188" s="46" t="s">
        <v>86</v>
      </c>
      <c r="L188" s="47" t="s">
        <v>2398</v>
      </c>
      <c r="M188" s="48" t="s">
        <v>2333</v>
      </c>
      <c r="N188" s="49"/>
      <c r="O188" s="50" t="s">
        <v>3166</v>
      </c>
      <c r="P188" s="50"/>
      <c r="Q188" s="59"/>
      <c r="R188" s="13"/>
    </row>
    <row r="189" spans="1:18" ht="30" x14ac:dyDescent="0.25">
      <c r="A189" s="9" t="s">
        <v>21</v>
      </c>
      <c r="B189" s="28">
        <f>IF(ISBLANK(A189),0,INDEX(txtstylestab[],MATCH(A189,txtstylestab[style_Name],0),1))</f>
        <v>0</v>
      </c>
      <c r="C189" s="28">
        <f t="shared" si="9"/>
        <v>1</v>
      </c>
      <c r="D189" s="28">
        <f t="shared" si="10"/>
        <v>8</v>
      </c>
      <c r="E189" s="28">
        <f t="shared" si="11"/>
        <v>0</v>
      </c>
      <c r="F189" s="59" t="str">
        <f t="shared" si="12"/>
        <v/>
      </c>
      <c r="G189" s="42" t="s">
        <v>423</v>
      </c>
      <c r="H189" s="43" t="s">
        <v>424</v>
      </c>
      <c r="I189" s="44" t="s">
        <v>425</v>
      </c>
      <c r="J189" s="45" t="s">
        <v>426</v>
      </c>
      <c r="K189" s="46" t="s">
        <v>427</v>
      </c>
      <c r="L189" s="47" t="s">
        <v>2528</v>
      </c>
      <c r="M189" s="48" t="s">
        <v>2529</v>
      </c>
      <c r="N189" s="49"/>
      <c r="O189" s="50" t="s">
        <v>3333</v>
      </c>
      <c r="P189" s="59"/>
      <c r="Q189" s="59"/>
      <c r="R189" s="13"/>
    </row>
    <row r="190" spans="1:18" x14ac:dyDescent="0.25">
      <c r="A190" s="9" t="s">
        <v>21</v>
      </c>
      <c r="B190" s="28">
        <f>IF(ISBLANK(A190),0,INDEX(txtstylestab[],MATCH(A190,txtstylestab[style_Name],0),1))</f>
        <v>0</v>
      </c>
      <c r="C190" s="28">
        <f t="shared" si="9"/>
        <v>1</v>
      </c>
      <c r="D190" s="28">
        <f t="shared" si="10"/>
        <v>8</v>
      </c>
      <c r="E190" s="28">
        <f t="shared" si="11"/>
        <v>0</v>
      </c>
      <c r="F190" s="59" t="str">
        <f t="shared" si="12"/>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9"/>
        <v>1</v>
      </c>
      <c r="D191" s="28">
        <f t="shared" si="10"/>
        <v>8</v>
      </c>
      <c r="E191" s="28">
        <f t="shared" si="11"/>
        <v>0</v>
      </c>
      <c r="F191" s="59" t="str">
        <f t="shared" si="12"/>
        <v/>
      </c>
      <c r="G191" s="42" t="s">
        <v>437</v>
      </c>
      <c r="H191" s="43" t="s">
        <v>441</v>
      </c>
      <c r="I191" s="44" t="s">
        <v>445</v>
      </c>
      <c r="J191" s="45" t="s">
        <v>449</v>
      </c>
      <c r="K191" s="46" t="s">
        <v>453</v>
      </c>
      <c r="L191" s="47" t="s">
        <v>2537</v>
      </c>
      <c r="M191" s="48" t="s">
        <v>2534</v>
      </c>
      <c r="N191" s="49"/>
      <c r="O191" s="50" t="s">
        <v>3347</v>
      </c>
      <c r="P191" s="59"/>
      <c r="Q191" s="59"/>
      <c r="R191" s="13"/>
    </row>
    <row r="192" spans="1:18" ht="30" x14ac:dyDescent="0.25">
      <c r="A192" s="9" t="s">
        <v>21</v>
      </c>
      <c r="B192" s="28">
        <f>IF(ISBLANK(A192),0,INDEX(txtstylestab[],MATCH(A192,txtstylestab[style_Name],0),1))</f>
        <v>0</v>
      </c>
      <c r="C192" s="28">
        <f t="shared" si="9"/>
        <v>1</v>
      </c>
      <c r="D192" s="28">
        <f t="shared" si="10"/>
        <v>8</v>
      </c>
      <c r="E192" s="28">
        <f t="shared" si="11"/>
        <v>0</v>
      </c>
      <c r="F192" s="59" t="str">
        <f t="shared" si="12"/>
        <v/>
      </c>
      <c r="G192" s="42" t="s">
        <v>438</v>
      </c>
      <c r="H192" s="43" t="s">
        <v>442</v>
      </c>
      <c r="I192" s="44" t="s">
        <v>446</v>
      </c>
      <c r="J192" s="45" t="s">
        <v>450</v>
      </c>
      <c r="K192" s="46" t="s">
        <v>454</v>
      </c>
      <c r="L192" s="47" t="s">
        <v>2538</v>
      </c>
      <c r="M192" s="48" t="s">
        <v>2535</v>
      </c>
      <c r="N192" s="49"/>
      <c r="O192" s="50" t="s">
        <v>3335</v>
      </c>
      <c r="P192" s="59"/>
      <c r="Q192" s="59"/>
      <c r="R192" s="13"/>
    </row>
    <row r="193" spans="1:18" ht="30" x14ac:dyDescent="0.25">
      <c r="A193" s="9" t="s">
        <v>21</v>
      </c>
      <c r="B193" s="28">
        <f>IF(ISBLANK(A193),0,INDEX(txtstylestab[],MATCH(A193,txtstylestab[style_Name],0),1))</f>
        <v>0</v>
      </c>
      <c r="C193" s="28">
        <f t="shared" si="9"/>
        <v>1</v>
      </c>
      <c r="D193" s="28">
        <f t="shared" si="10"/>
        <v>8</v>
      </c>
      <c r="E193" s="28">
        <f t="shared" si="11"/>
        <v>0</v>
      </c>
      <c r="F193" s="59" t="str">
        <f t="shared" si="12"/>
        <v/>
      </c>
      <c r="G193" s="42" t="s">
        <v>439</v>
      </c>
      <c r="H193" s="43" t="s">
        <v>443</v>
      </c>
      <c r="I193" s="44" t="s">
        <v>447</v>
      </c>
      <c r="J193" s="45" t="s">
        <v>451</v>
      </c>
      <c r="K193" s="46" t="s">
        <v>455</v>
      </c>
      <c r="L193" s="47" t="s">
        <v>2539</v>
      </c>
      <c r="M193" s="48" t="s">
        <v>2536</v>
      </c>
      <c r="N193" s="49"/>
      <c r="O193" s="50" t="s">
        <v>3348</v>
      </c>
      <c r="P193" s="59"/>
      <c r="Q193" s="59"/>
      <c r="R193" s="13"/>
    </row>
    <row r="194" spans="1:18" x14ac:dyDescent="0.25">
      <c r="A194" s="9" t="s">
        <v>21</v>
      </c>
      <c r="B194" s="28">
        <f>IF(ISBLANK(A194),0,INDEX(txtstylestab[],MATCH(A194,txtstylestab[style_Name],0),1))</f>
        <v>0</v>
      </c>
      <c r="C194" s="28">
        <f t="shared" si="9"/>
        <v>1</v>
      </c>
      <c r="D194" s="28">
        <f t="shared" si="10"/>
        <v>8</v>
      </c>
      <c r="E194" s="28">
        <f t="shared" si="11"/>
        <v>0</v>
      </c>
      <c r="F194" s="59" t="str">
        <f t="shared" si="12"/>
        <v/>
      </c>
      <c r="G194" s="42" t="s">
        <v>440</v>
      </c>
      <c r="H194" s="43" t="s">
        <v>444</v>
      </c>
      <c r="I194" s="44" t="s">
        <v>448</v>
      </c>
      <c r="J194" s="45" t="s">
        <v>452</v>
      </c>
      <c r="K194" s="46" t="s">
        <v>456</v>
      </c>
      <c r="L194" s="47" t="s">
        <v>2532</v>
      </c>
      <c r="M194" s="48" t="s">
        <v>2533</v>
      </c>
      <c r="N194" s="49"/>
      <c r="O194" s="50" t="s">
        <v>3349</v>
      </c>
      <c r="P194" s="59"/>
      <c r="Q194" s="59"/>
      <c r="R194" s="13"/>
    </row>
    <row r="195" spans="1:18" ht="30" x14ac:dyDescent="0.25">
      <c r="A195" s="9" t="s">
        <v>21</v>
      </c>
      <c r="B195" s="28">
        <f>IF(ISBLANK(A195),0,INDEX(txtstylestab[],MATCH(A195,txtstylestab[style_Name],0),1))</f>
        <v>0</v>
      </c>
      <c r="C195" s="28">
        <f t="shared" si="9"/>
        <v>1</v>
      </c>
      <c r="D195" s="28">
        <f t="shared" si="10"/>
        <v>8</v>
      </c>
      <c r="E195" s="28">
        <f t="shared" si="11"/>
        <v>0</v>
      </c>
      <c r="F195" s="59" t="str">
        <f t="shared" si="12"/>
        <v/>
      </c>
      <c r="G195" s="42" t="s">
        <v>432</v>
      </c>
      <c r="H195" s="43" t="s">
        <v>433</v>
      </c>
      <c r="I195" s="44" t="s">
        <v>434</v>
      </c>
      <c r="J195" s="45" t="s">
        <v>435</v>
      </c>
      <c r="K195" s="46" t="s">
        <v>436</v>
      </c>
      <c r="L195" s="47" t="s">
        <v>2371</v>
      </c>
      <c r="M195" s="48" t="s">
        <v>2372</v>
      </c>
      <c r="N195" s="49"/>
      <c r="O195" s="50" t="s">
        <v>3231</v>
      </c>
      <c r="P195" s="59"/>
      <c r="Q195" s="59"/>
      <c r="R195" s="13"/>
    </row>
    <row r="196" spans="1:18" x14ac:dyDescent="0.25">
      <c r="A196" s="9" t="s">
        <v>13</v>
      </c>
      <c r="B196" s="28">
        <f>IF(ISBLANK(A196),0,INDEX(txtstylestab[],MATCH(A196,txtstylestab[style_Name],0),1))</f>
        <v>7</v>
      </c>
      <c r="C196" s="28">
        <f t="shared" ref="C196:C259" si="13">IF(B196=1,C195+1,C195)</f>
        <v>1</v>
      </c>
      <c r="D196" s="28">
        <f t="shared" ref="D196:D259" si="14">IF(B196=1,0,IF(B196=2,D195+1,IF(AND(B196=3,D195=0),1,D195)))</f>
        <v>8</v>
      </c>
      <c r="E196" s="28">
        <f t="shared" ref="E196:E259" si="15">IF(OR(B196=1,B196=2),0,IF(B196=3,E195+1,E195))</f>
        <v>0</v>
      </c>
      <c r="F196" s="78" t="str">
        <f t="shared" ref="F196:F259" si="16">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3"/>
        <v>1</v>
      </c>
      <c r="D197" s="28">
        <f t="shared" si="14"/>
        <v>9</v>
      </c>
      <c r="E197" s="28">
        <f t="shared" si="15"/>
        <v>0</v>
      </c>
      <c r="F197" s="54" t="str">
        <f t="shared" si="16"/>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3"/>
        <v>1</v>
      </c>
      <c r="D198" s="28">
        <f t="shared" si="14"/>
        <v>9</v>
      </c>
      <c r="E198" s="28">
        <f t="shared" si="15"/>
        <v>0</v>
      </c>
      <c r="F198" s="56" t="str">
        <f t="shared" si="16"/>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3"/>
        <v>1</v>
      </c>
      <c r="D199" s="28">
        <f t="shared" si="14"/>
        <v>9</v>
      </c>
      <c r="E199" s="28">
        <f t="shared" si="15"/>
        <v>0</v>
      </c>
      <c r="F199" s="59" t="str">
        <f t="shared" si="16"/>
        <v/>
      </c>
      <c r="G199" s="42" t="s">
        <v>82</v>
      </c>
      <c r="H199" s="43" t="s">
        <v>83</v>
      </c>
      <c r="I199" s="44" t="s">
        <v>84</v>
      </c>
      <c r="J199" s="45" t="s">
        <v>85</v>
      </c>
      <c r="K199" s="46" t="s">
        <v>86</v>
      </c>
      <c r="L199" s="47" t="s">
        <v>2398</v>
      </c>
      <c r="M199" s="48" t="s">
        <v>2540</v>
      </c>
      <c r="N199" s="49"/>
      <c r="O199" s="50" t="s">
        <v>3166</v>
      </c>
      <c r="P199" s="59"/>
      <c r="Q199" s="59"/>
      <c r="R199" s="13"/>
    </row>
    <row r="200" spans="1:18" ht="45" x14ac:dyDescent="0.25">
      <c r="A200" s="9" t="s">
        <v>21</v>
      </c>
      <c r="B200" s="28">
        <f>IF(ISBLANK(A200),0,INDEX(txtstylestab[],MATCH(A200,txtstylestab[style_Name],0),1))</f>
        <v>0</v>
      </c>
      <c r="C200" s="28">
        <f t="shared" si="13"/>
        <v>1</v>
      </c>
      <c r="D200" s="28">
        <f t="shared" si="14"/>
        <v>9</v>
      </c>
      <c r="E200" s="28">
        <f t="shared" si="15"/>
        <v>0</v>
      </c>
      <c r="F200" s="59" t="str">
        <f t="shared" si="16"/>
        <v/>
      </c>
      <c r="G200" s="42" t="s">
        <v>460</v>
      </c>
      <c r="H200" s="43" t="s">
        <v>461</v>
      </c>
      <c r="I200" s="44" t="s">
        <v>462</v>
      </c>
      <c r="J200" s="45" t="s">
        <v>463</v>
      </c>
      <c r="K200" s="46" t="s">
        <v>464</v>
      </c>
      <c r="L200" s="47" t="s">
        <v>2541</v>
      </c>
      <c r="M200" s="48" t="s">
        <v>2542</v>
      </c>
      <c r="N200" s="49"/>
      <c r="O200" s="50" t="s">
        <v>3445</v>
      </c>
      <c r="P200" s="59"/>
      <c r="Q200" s="59"/>
      <c r="R200" s="13"/>
    </row>
    <row r="201" spans="1:18" x14ac:dyDescent="0.25">
      <c r="A201" s="9" t="s">
        <v>22</v>
      </c>
      <c r="B201" s="28">
        <f>IF(ISBLANK(A201),0,INDEX(txtstylestab[],MATCH(A201,txtstylestab[style_Name],0),1))</f>
        <v>4</v>
      </c>
      <c r="C201" s="28">
        <f t="shared" si="13"/>
        <v>1</v>
      </c>
      <c r="D201" s="28">
        <f t="shared" si="14"/>
        <v>9</v>
      </c>
      <c r="E201" s="28">
        <f t="shared" si="15"/>
        <v>0</v>
      </c>
      <c r="F201" s="56" t="str">
        <f t="shared" si="16"/>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3"/>
        <v>1</v>
      </c>
      <c r="D202" s="28">
        <f t="shared" si="14"/>
        <v>9</v>
      </c>
      <c r="E202" s="28">
        <f t="shared" si="15"/>
        <v>0</v>
      </c>
      <c r="F202" s="59" t="str">
        <f t="shared" si="16"/>
        <v/>
      </c>
      <c r="G202" s="42" t="s">
        <v>1800</v>
      </c>
      <c r="H202" s="43" t="s">
        <v>1801</v>
      </c>
      <c r="I202" s="44" t="s">
        <v>1802</v>
      </c>
      <c r="J202" s="45" t="s">
        <v>468</v>
      </c>
      <c r="K202" s="46" t="s">
        <v>1803</v>
      </c>
      <c r="L202" s="47" t="s">
        <v>2551</v>
      </c>
      <c r="M202" s="48" t="s">
        <v>2552</v>
      </c>
      <c r="N202" s="49"/>
      <c r="O202" s="50" t="s">
        <v>3491</v>
      </c>
      <c r="P202" s="59"/>
      <c r="Q202" s="59"/>
      <c r="R202" s="13"/>
    </row>
    <row r="203" spans="1:18" ht="45" x14ac:dyDescent="0.25">
      <c r="A203" s="9" t="s">
        <v>14</v>
      </c>
      <c r="B203" s="28">
        <f>IF(ISBLANK(A203),0,INDEX(txtstylestab[],MATCH(A203,txtstylestab[style_Name],0),1))</f>
        <v>6</v>
      </c>
      <c r="C203" s="28">
        <f t="shared" si="13"/>
        <v>1</v>
      </c>
      <c r="D203" s="28">
        <f t="shared" si="14"/>
        <v>9</v>
      </c>
      <c r="E203" s="28">
        <f t="shared" si="15"/>
        <v>0</v>
      </c>
      <c r="F203" s="59" t="str">
        <f t="shared" si="16"/>
        <v/>
      </c>
      <c r="G203" s="42" t="s">
        <v>1804</v>
      </c>
      <c r="H203" s="43" t="s">
        <v>1805</v>
      </c>
      <c r="I203" s="44" t="s">
        <v>1806</v>
      </c>
      <c r="J203" s="45" t="s">
        <v>1807</v>
      </c>
      <c r="K203" s="46" t="s">
        <v>1808</v>
      </c>
      <c r="L203" s="47" t="s">
        <v>2553</v>
      </c>
      <c r="M203" s="48" t="s">
        <v>2554</v>
      </c>
      <c r="N203" s="49"/>
      <c r="O203" s="50" t="s">
        <v>3486</v>
      </c>
      <c r="P203" s="59"/>
      <c r="Q203" s="59"/>
      <c r="R203" s="13"/>
    </row>
    <row r="204" spans="1:18" x14ac:dyDescent="0.25">
      <c r="A204" s="9" t="s">
        <v>14</v>
      </c>
      <c r="B204" s="28">
        <f>IF(ISBLANK(A204),0,INDEX(txtstylestab[],MATCH(A204,txtstylestab[style_Name],0),1))</f>
        <v>6</v>
      </c>
      <c r="C204" s="28">
        <f t="shared" si="13"/>
        <v>1</v>
      </c>
      <c r="D204" s="28">
        <f t="shared" si="14"/>
        <v>9</v>
      </c>
      <c r="E204" s="28">
        <f t="shared" si="15"/>
        <v>0</v>
      </c>
      <c r="F204" s="59" t="str">
        <f t="shared" si="16"/>
        <v/>
      </c>
      <c r="G204" s="42" t="s">
        <v>1809</v>
      </c>
      <c r="H204" s="43" t="s">
        <v>1811</v>
      </c>
      <c r="I204" s="44" t="s">
        <v>1813</v>
      </c>
      <c r="J204" s="45" t="s">
        <v>1815</v>
      </c>
      <c r="K204" s="46" t="s">
        <v>1817</v>
      </c>
      <c r="L204" s="47" t="s">
        <v>2543</v>
      </c>
      <c r="M204" s="48" t="s">
        <v>2544</v>
      </c>
      <c r="N204" s="49"/>
      <c r="O204" s="50" t="s">
        <v>3487</v>
      </c>
      <c r="P204" s="59"/>
      <c r="Q204" s="59"/>
      <c r="R204" s="13"/>
    </row>
    <row r="205" spans="1:18" ht="16.5" x14ac:dyDescent="0.25">
      <c r="A205" s="9" t="s">
        <v>14</v>
      </c>
      <c r="B205" s="28">
        <f>IF(ISBLANK(A205),0,INDEX(txtstylestab[],MATCH(A205,txtstylestab[style_Name],0),1))</f>
        <v>6</v>
      </c>
      <c r="C205" s="28">
        <f t="shared" si="13"/>
        <v>1</v>
      </c>
      <c r="D205" s="28">
        <f t="shared" si="14"/>
        <v>9</v>
      </c>
      <c r="E205" s="28">
        <f t="shared" si="15"/>
        <v>0</v>
      </c>
      <c r="F205" s="59" t="str">
        <f t="shared" si="16"/>
        <v/>
      </c>
      <c r="G205" s="42" t="s">
        <v>1810</v>
      </c>
      <c r="H205" s="43" t="s">
        <v>1812</v>
      </c>
      <c r="I205" s="44" t="s">
        <v>1814</v>
      </c>
      <c r="J205" s="45" t="s">
        <v>1816</v>
      </c>
      <c r="K205" s="46" t="s">
        <v>1818</v>
      </c>
      <c r="L205" s="47" t="s">
        <v>2545</v>
      </c>
      <c r="M205" s="48" t="s">
        <v>2548</v>
      </c>
      <c r="N205" s="49"/>
      <c r="O205" s="50" t="s">
        <v>3488</v>
      </c>
      <c r="P205" s="59"/>
      <c r="Q205" s="59"/>
      <c r="R205" s="13"/>
    </row>
    <row r="206" spans="1:18" x14ac:dyDescent="0.25">
      <c r="A206" s="9" t="s">
        <v>14</v>
      </c>
      <c r="B206" s="28">
        <f>IF(ISBLANK(A206),0,INDEX(txtstylestab[],MATCH(A206,txtstylestab[style_Name],0),1))</f>
        <v>6</v>
      </c>
      <c r="C206" s="28">
        <f t="shared" si="13"/>
        <v>1</v>
      </c>
      <c r="D206" s="28">
        <f t="shared" si="14"/>
        <v>9</v>
      </c>
      <c r="E206" s="28">
        <f t="shared" si="15"/>
        <v>0</v>
      </c>
      <c r="F206" s="59" t="str">
        <f t="shared" si="16"/>
        <v/>
      </c>
      <c r="G206" s="42" t="s">
        <v>1819</v>
      </c>
      <c r="H206" s="43" t="s">
        <v>1820</v>
      </c>
      <c r="I206" s="44" t="s">
        <v>1821</v>
      </c>
      <c r="J206" s="45" t="s">
        <v>1822</v>
      </c>
      <c r="K206" s="46" t="s">
        <v>1823</v>
      </c>
      <c r="L206" s="47" t="s">
        <v>2546</v>
      </c>
      <c r="M206" s="48" t="s">
        <v>2547</v>
      </c>
      <c r="N206" s="49"/>
      <c r="O206" s="50" t="s">
        <v>3489</v>
      </c>
      <c r="P206" s="59"/>
      <c r="Q206" s="59"/>
      <c r="R206" s="13"/>
    </row>
    <row r="207" spans="1:18" ht="30" x14ac:dyDescent="0.25">
      <c r="A207" s="9" t="s">
        <v>21</v>
      </c>
      <c r="B207" s="28">
        <f>IF(ISBLANK(A207),0,INDEX(txtstylestab[],MATCH(A207,txtstylestab[style_Name],0),1))</f>
        <v>0</v>
      </c>
      <c r="C207" s="28">
        <f t="shared" si="13"/>
        <v>1</v>
      </c>
      <c r="D207" s="28">
        <f t="shared" si="14"/>
        <v>9</v>
      </c>
      <c r="E207" s="28">
        <f t="shared" si="15"/>
        <v>0</v>
      </c>
      <c r="F207" s="59" t="str">
        <f t="shared" si="16"/>
        <v/>
      </c>
      <c r="G207" s="42"/>
      <c r="H207" s="43"/>
      <c r="I207" s="44"/>
      <c r="J207" s="45"/>
      <c r="K207" s="46"/>
      <c r="L207" s="47"/>
      <c r="M207" s="48"/>
      <c r="N207" s="49"/>
      <c r="O207" s="50" t="s">
        <v>3490</v>
      </c>
      <c r="P207" s="59"/>
      <c r="Q207" s="59"/>
      <c r="R207" s="13"/>
    </row>
    <row r="208" spans="1:18" x14ac:dyDescent="0.25">
      <c r="A208" s="9" t="s">
        <v>23</v>
      </c>
      <c r="B208" s="28">
        <f>IF(ISBLANK(A208),0,INDEX(txtstylestab[],MATCH(A208,txtstylestab[style_Name],0),1))</f>
        <v>5</v>
      </c>
      <c r="C208" s="28">
        <f t="shared" si="13"/>
        <v>1</v>
      </c>
      <c r="D208" s="28">
        <f t="shared" si="14"/>
        <v>9</v>
      </c>
      <c r="E208" s="28">
        <f t="shared" si="15"/>
        <v>0</v>
      </c>
      <c r="F208" s="56" t="str">
        <f t="shared" si="16"/>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3"/>
        <v>1</v>
      </c>
      <c r="D209" s="28">
        <f t="shared" si="14"/>
        <v>9</v>
      </c>
      <c r="E209" s="28">
        <f t="shared" si="15"/>
        <v>0</v>
      </c>
      <c r="F209" s="59" t="str">
        <f t="shared" si="16"/>
        <v/>
      </c>
      <c r="G209" s="42" t="s">
        <v>1824</v>
      </c>
      <c r="H209" s="43" t="s">
        <v>1825</v>
      </c>
      <c r="I209" s="44" t="s">
        <v>1826</v>
      </c>
      <c r="J209" s="45" t="s">
        <v>1827</v>
      </c>
      <c r="K209" s="46" t="s">
        <v>1828</v>
      </c>
      <c r="L209" s="47" t="s">
        <v>2555</v>
      </c>
      <c r="M209" s="48" t="s">
        <v>2556</v>
      </c>
      <c r="N209" s="49"/>
      <c r="O209" s="50" t="s">
        <v>3494</v>
      </c>
      <c r="P209" s="59"/>
      <c r="Q209" s="59"/>
      <c r="R209" s="13"/>
    </row>
    <row r="210" spans="1:18" x14ac:dyDescent="0.25">
      <c r="A210" s="9" t="s">
        <v>14</v>
      </c>
      <c r="B210" s="28">
        <f>IF(ISBLANK(A210),0,INDEX(txtstylestab[],MATCH(A210,txtstylestab[style_Name],0),1))</f>
        <v>6</v>
      </c>
      <c r="C210" s="28">
        <f t="shared" si="13"/>
        <v>1</v>
      </c>
      <c r="D210" s="28">
        <f t="shared" si="14"/>
        <v>9</v>
      </c>
      <c r="E210" s="28">
        <f t="shared" si="15"/>
        <v>0</v>
      </c>
      <c r="F210" s="59" t="str">
        <f t="shared" si="16"/>
        <v/>
      </c>
      <c r="G210" s="42" t="s">
        <v>1809</v>
      </c>
      <c r="H210" s="43" t="s">
        <v>1811</v>
      </c>
      <c r="I210" s="44" t="s">
        <v>1813</v>
      </c>
      <c r="J210" s="45" t="s">
        <v>1815</v>
      </c>
      <c r="K210" s="46" t="s">
        <v>1817</v>
      </c>
      <c r="L210" s="47" t="s">
        <v>2543</v>
      </c>
      <c r="M210" s="48" t="s">
        <v>2544</v>
      </c>
      <c r="N210" s="49"/>
      <c r="O210" s="50" t="s">
        <v>3487</v>
      </c>
      <c r="P210" s="50"/>
      <c r="Q210" s="59"/>
      <c r="R210" s="13"/>
    </row>
    <row r="211" spans="1:18" ht="16.5" x14ac:dyDescent="0.25">
      <c r="A211" s="9" t="s">
        <v>14</v>
      </c>
      <c r="B211" s="28">
        <f>IF(ISBLANK(A211),0,INDEX(txtstylestab[],MATCH(A211,txtstylestab[style_Name],0),1))</f>
        <v>6</v>
      </c>
      <c r="C211" s="28">
        <f t="shared" si="13"/>
        <v>1</v>
      </c>
      <c r="D211" s="28">
        <f t="shared" si="14"/>
        <v>9</v>
      </c>
      <c r="E211" s="28">
        <f t="shared" si="15"/>
        <v>0</v>
      </c>
      <c r="F211" s="59" t="str">
        <f t="shared" si="16"/>
        <v/>
      </c>
      <c r="G211" s="42" t="s">
        <v>1810</v>
      </c>
      <c r="H211" s="43" t="s">
        <v>1812</v>
      </c>
      <c r="I211" s="44" t="s">
        <v>1814</v>
      </c>
      <c r="J211" s="45" t="s">
        <v>1816</v>
      </c>
      <c r="K211" s="46" t="s">
        <v>1818</v>
      </c>
      <c r="L211" s="47" t="s">
        <v>2545</v>
      </c>
      <c r="M211" s="48" t="s">
        <v>2548</v>
      </c>
      <c r="N211" s="49"/>
      <c r="O211" s="50" t="s">
        <v>3488</v>
      </c>
      <c r="P211" s="50"/>
      <c r="Q211" s="59"/>
      <c r="R211" s="13"/>
    </row>
    <row r="212" spans="1:18" x14ac:dyDescent="0.25">
      <c r="A212" s="9" t="s">
        <v>14</v>
      </c>
      <c r="B212" s="28">
        <f>IF(ISBLANK(A212),0,INDEX(txtstylestab[],MATCH(A212,txtstylestab[style_Name],0),1))</f>
        <v>6</v>
      </c>
      <c r="C212" s="28">
        <f t="shared" si="13"/>
        <v>1</v>
      </c>
      <c r="D212" s="28">
        <f t="shared" si="14"/>
        <v>9</v>
      </c>
      <c r="E212" s="28">
        <f t="shared" si="15"/>
        <v>0</v>
      </c>
      <c r="F212" s="59" t="str">
        <f t="shared" si="16"/>
        <v/>
      </c>
      <c r="G212" s="42" t="s">
        <v>469</v>
      </c>
      <c r="H212" s="43" t="s">
        <v>470</v>
      </c>
      <c r="I212" s="44" t="s">
        <v>471</v>
      </c>
      <c r="J212" s="45" t="s">
        <v>472</v>
      </c>
      <c r="K212" s="46" t="s">
        <v>473</v>
      </c>
      <c r="L212" s="47" t="s">
        <v>2546</v>
      </c>
      <c r="M212" s="48" t="s">
        <v>2547</v>
      </c>
      <c r="N212" s="49"/>
      <c r="O212" s="50" t="s">
        <v>3489</v>
      </c>
      <c r="P212" s="50"/>
      <c r="Q212" s="59"/>
      <c r="R212" s="13"/>
    </row>
    <row r="213" spans="1:18" ht="30" x14ac:dyDescent="0.25">
      <c r="A213" s="9" t="s">
        <v>21</v>
      </c>
      <c r="B213" s="28">
        <f>IF(ISBLANK(A213),0,INDEX(txtstylestab[],MATCH(A213,txtstylestab[style_Name],0),1))</f>
        <v>0</v>
      </c>
      <c r="C213" s="28">
        <f t="shared" si="13"/>
        <v>1</v>
      </c>
      <c r="D213" s="28">
        <f t="shared" si="14"/>
        <v>9</v>
      </c>
      <c r="E213" s="28">
        <f t="shared" si="15"/>
        <v>0</v>
      </c>
      <c r="F213" s="59" t="str">
        <f t="shared" si="16"/>
        <v/>
      </c>
      <c r="G213" s="42" t="s">
        <v>1829</v>
      </c>
      <c r="H213" s="43" t="s">
        <v>1830</v>
      </c>
      <c r="I213" s="44" t="s">
        <v>1831</v>
      </c>
      <c r="J213" s="45" t="s">
        <v>475</v>
      </c>
      <c r="K213" s="46" t="s">
        <v>1832</v>
      </c>
      <c r="L213" s="47" t="s">
        <v>2557</v>
      </c>
      <c r="M213" s="48" t="s">
        <v>2558</v>
      </c>
      <c r="N213" s="49"/>
      <c r="O213" s="50" t="s">
        <v>3492</v>
      </c>
      <c r="P213" s="59"/>
      <c r="Q213" s="59"/>
      <c r="R213" s="13"/>
    </row>
    <row r="214" spans="1:18" x14ac:dyDescent="0.25">
      <c r="A214" s="9" t="s">
        <v>14</v>
      </c>
      <c r="B214" s="28">
        <f>IF(ISBLANK(A214),0,INDEX(txtstylestab[],MATCH(A214,txtstylestab[style_Name],0),1))</f>
        <v>6</v>
      </c>
      <c r="C214" s="28">
        <f t="shared" si="13"/>
        <v>1</v>
      </c>
      <c r="D214" s="28">
        <f t="shared" si="14"/>
        <v>9</v>
      </c>
      <c r="E214" s="28">
        <f t="shared" si="15"/>
        <v>0</v>
      </c>
      <c r="F214" s="59" t="str">
        <f t="shared" si="16"/>
        <v/>
      </c>
      <c r="G214" s="42" t="s">
        <v>1833</v>
      </c>
      <c r="H214" s="43" t="s">
        <v>1834</v>
      </c>
      <c r="I214" s="44" t="s">
        <v>1835</v>
      </c>
      <c r="J214" s="45" t="s">
        <v>2201</v>
      </c>
      <c r="K214" s="46" t="s">
        <v>1836</v>
      </c>
      <c r="L214" s="47" t="s">
        <v>2549</v>
      </c>
      <c r="M214" s="48" t="s">
        <v>2550</v>
      </c>
      <c r="N214" s="49"/>
      <c r="O214" s="50" t="s">
        <v>3486</v>
      </c>
      <c r="P214" s="50"/>
      <c r="Q214" s="59"/>
      <c r="R214" s="13"/>
    </row>
    <row r="215" spans="1:18" x14ac:dyDescent="0.25">
      <c r="A215" s="9" t="s">
        <v>14</v>
      </c>
      <c r="B215" s="28">
        <f>IF(ISBLANK(A215),0,INDEX(txtstylestab[],MATCH(A215,txtstylestab[style_Name],0),1))</f>
        <v>6</v>
      </c>
      <c r="C215" s="28">
        <f t="shared" si="13"/>
        <v>1</v>
      </c>
      <c r="D215" s="28">
        <f t="shared" si="14"/>
        <v>9</v>
      </c>
      <c r="E215" s="28">
        <f t="shared" si="15"/>
        <v>0</v>
      </c>
      <c r="F215" s="59" t="str">
        <f t="shared" si="16"/>
        <v/>
      </c>
      <c r="G215" s="42" t="s">
        <v>1809</v>
      </c>
      <c r="H215" s="43" t="s">
        <v>1811</v>
      </c>
      <c r="I215" s="44" t="s">
        <v>1813</v>
      </c>
      <c r="J215" s="45" t="s">
        <v>1815</v>
      </c>
      <c r="K215" s="46" t="s">
        <v>1817</v>
      </c>
      <c r="L215" s="47" t="s">
        <v>2543</v>
      </c>
      <c r="M215" s="48" t="s">
        <v>2544</v>
      </c>
      <c r="N215" s="49"/>
      <c r="O215" s="50" t="s">
        <v>3487</v>
      </c>
      <c r="P215" s="50"/>
      <c r="Q215" s="59"/>
      <c r="R215" s="13"/>
    </row>
    <row r="216" spans="1:18" ht="16.5" x14ac:dyDescent="0.25">
      <c r="A216" s="9" t="s">
        <v>14</v>
      </c>
      <c r="B216" s="28">
        <f>IF(ISBLANK(A216),0,INDEX(txtstylestab[],MATCH(A216,txtstylestab[style_Name],0),1))</f>
        <v>6</v>
      </c>
      <c r="C216" s="28">
        <f t="shared" si="13"/>
        <v>1</v>
      </c>
      <c r="D216" s="28">
        <f t="shared" si="14"/>
        <v>9</v>
      </c>
      <c r="E216" s="28">
        <f t="shared" si="15"/>
        <v>0</v>
      </c>
      <c r="F216" s="59" t="str">
        <f t="shared" si="16"/>
        <v/>
      </c>
      <c r="G216" s="42" t="s">
        <v>1810</v>
      </c>
      <c r="H216" s="43" t="s">
        <v>1812</v>
      </c>
      <c r="I216" s="44" t="s">
        <v>1814</v>
      </c>
      <c r="J216" s="45" t="s">
        <v>1816</v>
      </c>
      <c r="K216" s="46" t="s">
        <v>1818</v>
      </c>
      <c r="L216" s="47" t="s">
        <v>2545</v>
      </c>
      <c r="M216" s="48" t="s">
        <v>2548</v>
      </c>
      <c r="N216" s="49"/>
      <c r="O216" s="50" t="s">
        <v>3488</v>
      </c>
      <c r="P216" s="50"/>
      <c r="Q216" s="59"/>
      <c r="R216" s="13"/>
    </row>
    <row r="217" spans="1:18" x14ac:dyDescent="0.25">
      <c r="A217" s="9" t="s">
        <v>14</v>
      </c>
      <c r="B217" s="28">
        <f>IF(ISBLANK(A217),0,INDEX(txtstylestab[],MATCH(A217,txtstylestab[style_Name],0),1))</f>
        <v>6</v>
      </c>
      <c r="C217" s="28">
        <f t="shared" si="13"/>
        <v>1</v>
      </c>
      <c r="D217" s="28">
        <f t="shared" si="14"/>
        <v>9</v>
      </c>
      <c r="E217" s="28">
        <f t="shared" si="15"/>
        <v>0</v>
      </c>
      <c r="F217" s="59" t="str">
        <f t="shared" si="16"/>
        <v/>
      </c>
      <c r="G217" s="42" t="s">
        <v>1819</v>
      </c>
      <c r="H217" s="43" t="s">
        <v>1820</v>
      </c>
      <c r="I217" s="44" t="s">
        <v>1821</v>
      </c>
      <c r="J217" s="45" t="s">
        <v>1822</v>
      </c>
      <c r="K217" s="46" t="s">
        <v>1823</v>
      </c>
      <c r="L217" s="47" t="s">
        <v>2546</v>
      </c>
      <c r="M217" s="48" t="s">
        <v>2547</v>
      </c>
      <c r="N217" s="49"/>
      <c r="O217" s="50" t="s">
        <v>3489</v>
      </c>
      <c r="P217" s="50"/>
      <c r="Q217" s="59"/>
      <c r="R217" s="13"/>
    </row>
    <row r="218" spans="1:18" x14ac:dyDescent="0.25">
      <c r="A218" s="9" t="s">
        <v>21</v>
      </c>
      <c r="B218" s="28">
        <f>IF(ISBLANK(A218),0,INDEX(txtstylestab[],MATCH(A218,txtstylestab[style_Name],0),1))</f>
        <v>0</v>
      </c>
      <c r="C218" s="28">
        <f t="shared" si="13"/>
        <v>1</v>
      </c>
      <c r="D218" s="28">
        <f t="shared" si="14"/>
        <v>9</v>
      </c>
      <c r="E218" s="28">
        <f t="shared" si="15"/>
        <v>0</v>
      </c>
      <c r="F218" s="59" t="str">
        <f t="shared" si="16"/>
        <v/>
      </c>
      <c r="G218" s="42"/>
      <c r="H218" s="43"/>
      <c r="I218" s="44"/>
      <c r="J218" s="45"/>
      <c r="K218" s="46"/>
      <c r="L218" s="47"/>
      <c r="M218" s="48"/>
      <c r="N218" s="49"/>
      <c r="O218" s="50" t="s">
        <v>3493</v>
      </c>
      <c r="P218" s="59"/>
      <c r="Q218" s="59"/>
      <c r="R218" s="13"/>
    </row>
    <row r="219" spans="1:18" x14ac:dyDescent="0.25">
      <c r="A219" s="9" t="s">
        <v>22</v>
      </c>
      <c r="B219" s="28">
        <f>IF(ISBLANK(A219),0,INDEX(txtstylestab[],MATCH(A219,txtstylestab[style_Name],0),1))</f>
        <v>4</v>
      </c>
      <c r="C219" s="28">
        <f t="shared" si="13"/>
        <v>1</v>
      </c>
      <c r="D219" s="28">
        <f t="shared" si="14"/>
        <v>9</v>
      </c>
      <c r="E219" s="28">
        <f t="shared" si="15"/>
        <v>0</v>
      </c>
      <c r="F219" s="56" t="str">
        <f t="shared" si="16"/>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3"/>
        <v>1</v>
      </c>
      <c r="D220" s="28">
        <f t="shared" si="14"/>
        <v>9</v>
      </c>
      <c r="E220" s="28">
        <f t="shared" si="15"/>
        <v>0</v>
      </c>
      <c r="F220" s="56" t="str">
        <f t="shared" si="16"/>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3"/>
        <v>1</v>
      </c>
      <c r="D221" s="28">
        <f t="shared" si="14"/>
        <v>9</v>
      </c>
      <c r="E221" s="28">
        <f t="shared" si="15"/>
        <v>0</v>
      </c>
      <c r="F221" s="56" t="str">
        <f t="shared" si="16"/>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3"/>
        <v>1</v>
      </c>
      <c r="D222" s="28">
        <f t="shared" si="14"/>
        <v>9</v>
      </c>
      <c r="E222" s="28">
        <f t="shared" si="15"/>
        <v>0</v>
      </c>
      <c r="F222" s="59" t="str">
        <f t="shared" si="16"/>
        <v/>
      </c>
      <c r="G222" s="42" t="s">
        <v>479</v>
      </c>
      <c r="H222" s="43" t="s">
        <v>2219</v>
      </c>
      <c r="I222" s="44" t="s">
        <v>2240</v>
      </c>
      <c r="J222" s="45" t="s">
        <v>480</v>
      </c>
      <c r="K222" s="46" t="s">
        <v>2275</v>
      </c>
      <c r="L222" s="47" t="s">
        <v>2559</v>
      </c>
      <c r="M222" s="48" t="s">
        <v>2560</v>
      </c>
      <c r="N222" s="49"/>
      <c r="O222" s="50" t="s">
        <v>3354</v>
      </c>
      <c r="P222" s="59"/>
      <c r="Q222" s="59"/>
      <c r="R222" s="13"/>
    </row>
    <row r="223" spans="1:18" ht="60" x14ac:dyDescent="0.25">
      <c r="A223" s="9" t="s">
        <v>21</v>
      </c>
      <c r="B223" s="28">
        <f>IF(ISBLANK(A223),0,INDEX(txtstylestab[],MATCH(A223,txtstylestab[style_Name],0),1))</f>
        <v>0</v>
      </c>
      <c r="C223" s="28">
        <f t="shared" si="13"/>
        <v>1</v>
      </c>
      <c r="D223" s="28">
        <f t="shared" si="14"/>
        <v>9</v>
      </c>
      <c r="E223" s="28">
        <f t="shared" si="15"/>
        <v>0</v>
      </c>
      <c r="F223" s="59" t="str">
        <f t="shared" si="16"/>
        <v/>
      </c>
      <c r="G223" s="42" t="s">
        <v>481</v>
      </c>
      <c r="H223" s="43" t="s">
        <v>482</v>
      </c>
      <c r="I223" s="44" t="s">
        <v>1634</v>
      </c>
      <c r="J223" s="45" t="s">
        <v>483</v>
      </c>
      <c r="K223" s="46" t="s">
        <v>484</v>
      </c>
      <c r="L223" s="47" t="s">
        <v>2561</v>
      </c>
      <c r="M223" s="48" t="s">
        <v>2562</v>
      </c>
      <c r="N223" s="49"/>
      <c r="O223" s="50" t="s">
        <v>3352</v>
      </c>
      <c r="P223" s="59"/>
      <c r="Q223" s="59"/>
      <c r="R223" s="13"/>
    </row>
    <row r="224" spans="1:18" x14ac:dyDescent="0.25">
      <c r="A224" s="9" t="s">
        <v>23</v>
      </c>
      <c r="B224" s="28">
        <f>IF(ISBLANK(A224),0,INDEX(txtstylestab[],MATCH(A224,txtstylestab[style_Name],0),1))</f>
        <v>5</v>
      </c>
      <c r="C224" s="28">
        <f t="shared" si="13"/>
        <v>1</v>
      </c>
      <c r="D224" s="28">
        <f t="shared" si="14"/>
        <v>9</v>
      </c>
      <c r="E224" s="28">
        <f t="shared" si="15"/>
        <v>0</v>
      </c>
      <c r="F224" s="56" t="str">
        <f t="shared" si="16"/>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3"/>
        <v>1</v>
      </c>
      <c r="D225" s="28">
        <f t="shared" si="14"/>
        <v>9</v>
      </c>
      <c r="E225" s="28">
        <f t="shared" si="15"/>
        <v>0</v>
      </c>
      <c r="F225" s="59" t="str">
        <f t="shared" si="16"/>
        <v/>
      </c>
      <c r="G225" s="42" t="s">
        <v>486</v>
      </c>
      <c r="H225" s="43" t="s">
        <v>2220</v>
      </c>
      <c r="I225" s="44" t="s">
        <v>2222</v>
      </c>
      <c r="J225" s="45" t="s">
        <v>533</v>
      </c>
      <c r="K225" s="46" t="s">
        <v>1714</v>
      </c>
      <c r="L225" s="47" t="s">
        <v>2563</v>
      </c>
      <c r="M225" s="48" t="s">
        <v>2564</v>
      </c>
      <c r="N225" s="49"/>
      <c r="O225" s="50" t="s">
        <v>3353</v>
      </c>
      <c r="P225" s="59"/>
      <c r="Q225" s="59"/>
      <c r="R225" s="13"/>
    </row>
    <row r="226" spans="1:18" ht="105" x14ac:dyDescent="0.25">
      <c r="A226" s="9" t="s">
        <v>21</v>
      </c>
      <c r="B226" s="28">
        <f>IF(ISBLANK(A226),0,INDEX(txtstylestab[],MATCH(A226,txtstylestab[style_Name],0),1))</f>
        <v>0</v>
      </c>
      <c r="C226" s="28">
        <f t="shared" si="13"/>
        <v>1</v>
      </c>
      <c r="D226" s="28">
        <f t="shared" si="14"/>
        <v>9</v>
      </c>
      <c r="E226" s="28">
        <f t="shared" si="15"/>
        <v>0</v>
      </c>
      <c r="F226" s="59" t="str">
        <f t="shared" si="16"/>
        <v/>
      </c>
      <c r="G226" s="42" t="s">
        <v>487</v>
      </c>
      <c r="H226" s="43" t="s">
        <v>2221</v>
      </c>
      <c r="I226" s="44" t="s">
        <v>2241</v>
      </c>
      <c r="J226" s="45" t="s">
        <v>488</v>
      </c>
      <c r="K226" s="46" t="s">
        <v>489</v>
      </c>
      <c r="L226" s="47" t="s">
        <v>2565</v>
      </c>
      <c r="M226" s="48" t="s">
        <v>2566</v>
      </c>
      <c r="N226" s="49"/>
      <c r="O226" s="50" t="s">
        <v>3355</v>
      </c>
      <c r="P226" s="59"/>
      <c r="Q226" s="59"/>
      <c r="R226" s="13"/>
    </row>
    <row r="227" spans="1:18" x14ac:dyDescent="0.25">
      <c r="A227" s="9" t="s">
        <v>23</v>
      </c>
      <c r="B227" s="28">
        <f>IF(ISBLANK(A227),0,INDEX(txtstylestab[],MATCH(A227,txtstylestab[style_Name],0),1))</f>
        <v>5</v>
      </c>
      <c r="C227" s="28">
        <f t="shared" si="13"/>
        <v>1</v>
      </c>
      <c r="D227" s="28">
        <f t="shared" si="14"/>
        <v>9</v>
      </c>
      <c r="E227" s="28">
        <f t="shared" si="15"/>
        <v>0</v>
      </c>
      <c r="F227" s="56" t="str">
        <f t="shared" si="16"/>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3"/>
        <v>1</v>
      </c>
      <c r="D228" s="28">
        <f t="shared" si="14"/>
        <v>9</v>
      </c>
      <c r="E228" s="28">
        <f t="shared" si="15"/>
        <v>0</v>
      </c>
      <c r="F228" s="56" t="str">
        <f t="shared" si="16"/>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3"/>
        <v>1</v>
      </c>
      <c r="D229" s="28">
        <f t="shared" si="14"/>
        <v>9</v>
      </c>
      <c r="E229" s="28">
        <f t="shared" si="15"/>
        <v>0</v>
      </c>
      <c r="F229" s="56" t="str">
        <f t="shared" si="16"/>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3"/>
        <v>1</v>
      </c>
      <c r="D230" s="28">
        <f t="shared" si="14"/>
        <v>9</v>
      </c>
      <c r="E230" s="28">
        <f t="shared" si="15"/>
        <v>0</v>
      </c>
      <c r="F230" s="59" t="str">
        <f t="shared" si="16"/>
        <v/>
      </c>
      <c r="G230" s="42" t="s">
        <v>492</v>
      </c>
      <c r="H230" s="43" t="s">
        <v>2223</v>
      </c>
      <c r="I230" s="44" t="s">
        <v>2242</v>
      </c>
      <c r="J230" s="45" t="s">
        <v>493</v>
      </c>
      <c r="K230" s="46" t="s">
        <v>494</v>
      </c>
      <c r="L230" s="47" t="s">
        <v>2567</v>
      </c>
      <c r="M230" s="48" t="s">
        <v>2568</v>
      </c>
      <c r="N230" s="49"/>
      <c r="O230" s="50" t="s">
        <v>3356</v>
      </c>
      <c r="P230" s="59"/>
      <c r="Q230" s="59"/>
      <c r="R230" s="13"/>
    </row>
    <row r="231" spans="1:18" x14ac:dyDescent="0.25">
      <c r="A231" s="9" t="s">
        <v>23</v>
      </c>
      <c r="B231" s="28">
        <f>IF(ISBLANK(A231),0,INDEX(txtstylestab[],MATCH(A231,txtstylestab[style_Name],0),1))</f>
        <v>5</v>
      </c>
      <c r="C231" s="28">
        <f t="shared" si="13"/>
        <v>1</v>
      </c>
      <c r="D231" s="28">
        <f t="shared" si="14"/>
        <v>9</v>
      </c>
      <c r="E231" s="28">
        <f t="shared" si="15"/>
        <v>0</v>
      </c>
      <c r="F231" s="56" t="str">
        <f t="shared" si="16"/>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3"/>
        <v>1</v>
      </c>
      <c r="D232" s="28">
        <f t="shared" si="14"/>
        <v>9</v>
      </c>
      <c r="E232" s="28">
        <f t="shared" si="15"/>
        <v>0</v>
      </c>
      <c r="F232" s="59" t="str">
        <f t="shared" si="16"/>
        <v/>
      </c>
      <c r="G232" s="42" t="s">
        <v>496</v>
      </c>
      <c r="H232" s="43" t="s">
        <v>497</v>
      </c>
      <c r="I232" s="44" t="s">
        <v>498</v>
      </c>
      <c r="J232" s="45" t="s">
        <v>499</v>
      </c>
      <c r="K232" s="46" t="s">
        <v>500</v>
      </c>
      <c r="L232" s="47" t="s">
        <v>2569</v>
      </c>
      <c r="M232" s="48" t="s">
        <v>2570</v>
      </c>
      <c r="N232" s="49"/>
      <c r="O232" s="50" t="s">
        <v>3357</v>
      </c>
      <c r="P232" s="59"/>
      <c r="Q232" s="59"/>
      <c r="R232" s="13"/>
    </row>
    <row r="233" spans="1:18" ht="45" x14ac:dyDescent="0.25">
      <c r="A233" s="9" t="s">
        <v>21</v>
      </c>
      <c r="B233" s="28">
        <f>IF(ISBLANK(A233),0,INDEX(txtstylestab[],MATCH(A233,txtstylestab[style_Name],0),1))</f>
        <v>0</v>
      </c>
      <c r="C233" s="28">
        <f t="shared" si="13"/>
        <v>1</v>
      </c>
      <c r="D233" s="28">
        <f t="shared" si="14"/>
        <v>9</v>
      </c>
      <c r="E233" s="28">
        <f t="shared" si="15"/>
        <v>0</v>
      </c>
      <c r="F233" s="59" t="str">
        <f t="shared" si="16"/>
        <v/>
      </c>
      <c r="G233" s="42" t="s">
        <v>501</v>
      </c>
      <c r="H233" s="43" t="s">
        <v>502</v>
      </c>
      <c r="I233" s="44" t="s">
        <v>503</v>
      </c>
      <c r="J233" s="45" t="s">
        <v>504</v>
      </c>
      <c r="K233" s="46" t="s">
        <v>505</v>
      </c>
      <c r="L233" s="47" t="s">
        <v>2523</v>
      </c>
      <c r="M233" s="48" t="s">
        <v>2524</v>
      </c>
      <c r="N233" s="49"/>
      <c r="O233" s="50" t="s">
        <v>3358</v>
      </c>
      <c r="P233" s="59"/>
      <c r="Q233" s="59"/>
      <c r="R233" s="13"/>
    </row>
    <row r="234" spans="1:18" x14ac:dyDescent="0.25">
      <c r="A234" s="9" t="s">
        <v>22</v>
      </c>
      <c r="B234" s="28">
        <f>IF(ISBLANK(A234),0,INDEX(txtstylestab[],MATCH(A234,txtstylestab[style_Name],0),1))</f>
        <v>4</v>
      </c>
      <c r="C234" s="28">
        <f t="shared" si="13"/>
        <v>1</v>
      </c>
      <c r="D234" s="28">
        <f t="shared" si="14"/>
        <v>9</v>
      </c>
      <c r="E234" s="28">
        <f t="shared" si="15"/>
        <v>0</v>
      </c>
      <c r="F234" s="56" t="str">
        <f t="shared" si="16"/>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3"/>
        <v>1</v>
      </c>
      <c r="D235" s="28">
        <f t="shared" si="14"/>
        <v>9</v>
      </c>
      <c r="E235" s="28">
        <f t="shared" si="15"/>
        <v>0</v>
      </c>
      <c r="F235" s="59" t="str">
        <f t="shared" si="16"/>
        <v/>
      </c>
      <c r="G235" s="42" t="s">
        <v>507</v>
      </c>
      <c r="H235" s="43" t="s">
        <v>508</v>
      </c>
      <c r="I235" s="44" t="s">
        <v>509</v>
      </c>
      <c r="J235" s="45" t="s">
        <v>510</v>
      </c>
      <c r="K235" s="46" t="s">
        <v>511</v>
      </c>
      <c r="L235" s="47" t="s">
        <v>2571</v>
      </c>
      <c r="M235" s="48" t="s">
        <v>2572</v>
      </c>
      <c r="N235" s="49"/>
      <c r="O235" s="50" t="s">
        <v>3359</v>
      </c>
      <c r="P235" s="59"/>
      <c r="Q235" s="59"/>
      <c r="R235" s="13"/>
    </row>
    <row r="236" spans="1:18" x14ac:dyDescent="0.25">
      <c r="A236" s="9" t="s">
        <v>21</v>
      </c>
      <c r="B236" s="28">
        <f>IF(ISBLANK(A236),0,INDEX(txtstylestab[],MATCH(A236,txtstylestab[style_Name],0),1))</f>
        <v>0</v>
      </c>
      <c r="C236" s="28">
        <f t="shared" si="13"/>
        <v>1</v>
      </c>
      <c r="D236" s="28">
        <f t="shared" si="14"/>
        <v>9</v>
      </c>
      <c r="E236" s="28">
        <f t="shared" si="15"/>
        <v>0</v>
      </c>
      <c r="F236" s="59" t="str">
        <f t="shared" si="16"/>
        <v/>
      </c>
      <c r="G236" s="42" t="s">
        <v>6</v>
      </c>
      <c r="H236" s="43" t="s">
        <v>96</v>
      </c>
      <c r="I236" s="44" t="s">
        <v>48</v>
      </c>
      <c r="J236" s="45" t="s">
        <v>384</v>
      </c>
      <c r="K236" s="46" t="s">
        <v>59</v>
      </c>
      <c r="L236" s="47" t="s">
        <v>2491</v>
      </c>
      <c r="M236" s="48" t="s">
        <v>2492</v>
      </c>
      <c r="N236" s="49"/>
      <c r="O236" s="50" t="s">
        <v>3173</v>
      </c>
      <c r="P236" s="59"/>
      <c r="Q236" s="59"/>
      <c r="R236" s="13"/>
    </row>
    <row r="237" spans="1:18" ht="18" thickBot="1" x14ac:dyDescent="0.35">
      <c r="A237" s="9" t="s">
        <v>11</v>
      </c>
      <c r="B237" s="28">
        <f>IF(ISBLANK(A237),0,INDEX(txtstylestab[],MATCH(A237,txtstylestab[style_Name],0),1))</f>
        <v>2</v>
      </c>
      <c r="C237" s="28">
        <f t="shared" si="13"/>
        <v>1</v>
      </c>
      <c r="D237" s="28">
        <f t="shared" si="14"/>
        <v>10</v>
      </c>
      <c r="E237" s="28">
        <f t="shared" si="15"/>
        <v>0</v>
      </c>
      <c r="F237" s="54" t="str">
        <f t="shared" si="16"/>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3"/>
        <v>1</v>
      </c>
      <c r="D238" s="28">
        <f t="shared" si="14"/>
        <v>10</v>
      </c>
      <c r="E238" s="28">
        <f t="shared" si="15"/>
        <v>0</v>
      </c>
      <c r="F238" s="59" t="str">
        <f t="shared" si="16"/>
        <v/>
      </c>
      <c r="G238" s="42" t="s">
        <v>82</v>
      </c>
      <c r="H238" s="43" t="s">
        <v>83</v>
      </c>
      <c r="I238" s="44" t="s">
        <v>84</v>
      </c>
      <c r="J238" s="45" t="s">
        <v>85</v>
      </c>
      <c r="K238" s="46" t="s">
        <v>86</v>
      </c>
      <c r="L238" s="47" t="s">
        <v>2398</v>
      </c>
      <c r="M238" s="48" t="s">
        <v>2540</v>
      </c>
      <c r="N238" s="49"/>
      <c r="O238" s="50" t="s">
        <v>3166</v>
      </c>
      <c r="P238" s="59"/>
      <c r="Q238" s="59"/>
      <c r="R238" s="13"/>
    </row>
    <row r="239" spans="1:18" ht="60" x14ac:dyDescent="0.25">
      <c r="A239" s="9" t="s">
        <v>21</v>
      </c>
      <c r="B239" s="28">
        <f>IF(ISBLANK(A239),0,INDEX(txtstylestab[],MATCH(A239,txtstylestab[style_Name],0),1))</f>
        <v>0</v>
      </c>
      <c r="C239" s="28">
        <f t="shared" si="13"/>
        <v>1</v>
      </c>
      <c r="D239" s="28">
        <f t="shared" si="14"/>
        <v>10</v>
      </c>
      <c r="E239" s="28">
        <f t="shared" si="15"/>
        <v>0</v>
      </c>
      <c r="F239" s="59" t="str">
        <f t="shared" si="16"/>
        <v/>
      </c>
      <c r="G239" s="42" t="s">
        <v>513</v>
      </c>
      <c r="H239" s="43" t="s">
        <v>2143</v>
      </c>
      <c r="I239" s="44" t="s">
        <v>2243</v>
      </c>
      <c r="J239" s="45" t="s">
        <v>514</v>
      </c>
      <c r="K239" s="46" t="s">
        <v>515</v>
      </c>
      <c r="L239" s="47" t="s">
        <v>2573</v>
      </c>
      <c r="M239" s="48" t="s">
        <v>2574</v>
      </c>
      <c r="N239" s="49"/>
      <c r="O239" s="50" t="s">
        <v>3362</v>
      </c>
      <c r="P239" s="59"/>
      <c r="Q239" s="59"/>
      <c r="R239" s="13"/>
    </row>
    <row r="240" spans="1:18" ht="60" x14ac:dyDescent="0.25">
      <c r="A240" s="9" t="s">
        <v>21</v>
      </c>
      <c r="B240" s="28">
        <f>IF(ISBLANK(A240),0,INDEX(txtstylestab[],MATCH(A240,txtstylestab[style_Name],0),1))</f>
        <v>0</v>
      </c>
      <c r="C240" s="28">
        <f t="shared" si="13"/>
        <v>1</v>
      </c>
      <c r="D240" s="28">
        <f t="shared" si="14"/>
        <v>10</v>
      </c>
      <c r="E240" s="28">
        <f t="shared" si="15"/>
        <v>0</v>
      </c>
      <c r="F240" s="59" t="str">
        <f t="shared" si="16"/>
        <v/>
      </c>
      <c r="G240" s="42" t="s">
        <v>516</v>
      </c>
      <c r="H240" s="43" t="s">
        <v>517</v>
      </c>
      <c r="I240" s="44" t="s">
        <v>518</v>
      </c>
      <c r="J240" s="45" t="s">
        <v>519</v>
      </c>
      <c r="K240" s="46" t="s">
        <v>520</v>
      </c>
      <c r="L240" s="47" t="s">
        <v>2575</v>
      </c>
      <c r="M240" s="48" t="s">
        <v>2576</v>
      </c>
      <c r="N240" s="49"/>
      <c r="O240" s="50" t="s">
        <v>3360</v>
      </c>
      <c r="P240" s="59"/>
      <c r="Q240" s="59"/>
      <c r="R240" s="13"/>
    </row>
    <row r="241" spans="1:18" ht="60" x14ac:dyDescent="0.25">
      <c r="A241" s="9" t="s">
        <v>21</v>
      </c>
      <c r="B241" s="28">
        <f>IF(ISBLANK(A241),0,INDEX(txtstylestab[],MATCH(A241,txtstylestab[style_Name],0),1))</f>
        <v>0</v>
      </c>
      <c r="C241" s="28">
        <f t="shared" si="13"/>
        <v>1</v>
      </c>
      <c r="D241" s="28">
        <f t="shared" si="14"/>
        <v>10</v>
      </c>
      <c r="E241" s="28">
        <f t="shared" si="15"/>
        <v>0</v>
      </c>
      <c r="F241" s="59" t="str">
        <f t="shared" si="16"/>
        <v/>
      </c>
      <c r="G241" s="42" t="s">
        <v>521</v>
      </c>
      <c r="H241" s="43" t="s">
        <v>2233</v>
      </c>
      <c r="I241" s="44" t="s">
        <v>2244</v>
      </c>
      <c r="J241" s="45" t="s">
        <v>522</v>
      </c>
      <c r="K241" s="46" t="s">
        <v>523</v>
      </c>
      <c r="L241" s="47" t="s">
        <v>2577</v>
      </c>
      <c r="M241" s="48" t="s">
        <v>2578</v>
      </c>
      <c r="N241" s="49"/>
      <c r="O241" s="50" t="s">
        <v>3363</v>
      </c>
      <c r="P241" s="59"/>
      <c r="Q241" s="59"/>
      <c r="R241" s="13"/>
    </row>
    <row r="242" spans="1:18" ht="90" x14ac:dyDescent="0.25">
      <c r="A242" s="9" t="s">
        <v>21</v>
      </c>
      <c r="B242" s="28">
        <f>IF(ISBLANK(A242),0,INDEX(txtstylestab[],MATCH(A242,txtstylestab[style_Name],0),1))</f>
        <v>0</v>
      </c>
      <c r="C242" s="28">
        <f t="shared" si="13"/>
        <v>1</v>
      </c>
      <c r="D242" s="28">
        <f t="shared" si="14"/>
        <v>10</v>
      </c>
      <c r="E242" s="28">
        <f t="shared" si="15"/>
        <v>0</v>
      </c>
      <c r="F242" s="59" t="str">
        <f t="shared" si="16"/>
        <v/>
      </c>
      <c r="G242" s="42" t="s">
        <v>2161</v>
      </c>
      <c r="H242" s="43" t="s">
        <v>2162</v>
      </c>
      <c r="I242" s="44" t="s">
        <v>2163</v>
      </c>
      <c r="J242" s="45" t="s">
        <v>2164</v>
      </c>
      <c r="K242" s="46" t="s">
        <v>2165</v>
      </c>
      <c r="L242" s="47" t="s">
        <v>2582</v>
      </c>
      <c r="M242" s="48" t="s">
        <v>2579</v>
      </c>
      <c r="N242" s="49"/>
      <c r="O242" s="50" t="s">
        <v>3361</v>
      </c>
      <c r="P242" s="59"/>
      <c r="Q242" s="59"/>
      <c r="R242" s="13"/>
    </row>
    <row r="243" spans="1:18" ht="105" x14ac:dyDescent="0.25">
      <c r="A243" s="9" t="s">
        <v>21</v>
      </c>
      <c r="B243" s="28">
        <f>IF(ISBLANK(A243),0,INDEX(txtstylestab[],MATCH(A243,txtstylestab[style_Name],0),1))</f>
        <v>0</v>
      </c>
      <c r="C243" s="28">
        <f t="shared" si="13"/>
        <v>1</v>
      </c>
      <c r="D243" s="28">
        <f t="shared" si="14"/>
        <v>10</v>
      </c>
      <c r="E243" s="28">
        <f t="shared" si="15"/>
        <v>0</v>
      </c>
      <c r="F243" s="59" t="str">
        <f t="shared" si="16"/>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3"/>
        <v>1</v>
      </c>
      <c r="D244" s="28">
        <f t="shared" si="14"/>
        <v>10</v>
      </c>
      <c r="E244" s="28">
        <f t="shared" si="15"/>
        <v>0</v>
      </c>
      <c r="F244" s="59" t="str">
        <f t="shared" si="16"/>
        <v/>
      </c>
      <c r="G244" s="42" t="s">
        <v>6</v>
      </c>
      <c r="H244" s="43" t="s">
        <v>96</v>
      </c>
      <c r="I244" s="44" t="s">
        <v>48</v>
      </c>
      <c r="J244" s="45" t="s">
        <v>54</v>
      </c>
      <c r="K244" s="46" t="s">
        <v>59</v>
      </c>
      <c r="L244" s="47" t="s">
        <v>2525</v>
      </c>
      <c r="M244" s="48" t="s">
        <v>2492</v>
      </c>
      <c r="N244" s="49"/>
      <c r="O244" s="50" t="s">
        <v>3173</v>
      </c>
      <c r="P244" s="59"/>
      <c r="Q244" s="59"/>
      <c r="R244" s="13"/>
    </row>
    <row r="245" spans="1:18" ht="18" thickBot="1" x14ac:dyDescent="0.35">
      <c r="A245" s="9" t="s">
        <v>11</v>
      </c>
      <c r="B245" s="28">
        <f>IF(ISBLANK(A245),0,INDEX(txtstylestab[],MATCH(A245,txtstylestab[style_Name],0),1))</f>
        <v>2</v>
      </c>
      <c r="C245" s="28">
        <f t="shared" si="13"/>
        <v>1</v>
      </c>
      <c r="D245" s="28">
        <f t="shared" si="14"/>
        <v>11</v>
      </c>
      <c r="E245" s="28">
        <f t="shared" si="15"/>
        <v>0</v>
      </c>
      <c r="F245" s="54" t="str">
        <f t="shared" si="16"/>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3"/>
        <v>1</v>
      </c>
      <c r="D246" s="28">
        <f t="shared" si="14"/>
        <v>11</v>
      </c>
      <c r="E246" s="28">
        <f t="shared" si="15"/>
        <v>0</v>
      </c>
      <c r="F246" s="59" t="str">
        <f t="shared" si="16"/>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3"/>
        <v>1</v>
      </c>
      <c r="D247" s="28">
        <f t="shared" si="14"/>
        <v>11</v>
      </c>
      <c r="E247" s="28">
        <f t="shared" si="15"/>
        <v>0</v>
      </c>
      <c r="F247" s="59" t="str">
        <f t="shared" si="16"/>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3"/>
        <v>1</v>
      </c>
      <c r="D248" s="28">
        <f t="shared" si="14"/>
        <v>11</v>
      </c>
      <c r="E248" s="28">
        <f t="shared" si="15"/>
        <v>0</v>
      </c>
      <c r="F248" s="59" t="str">
        <f t="shared" si="16"/>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3"/>
        <v>1</v>
      </c>
      <c r="D249" s="28">
        <f t="shared" si="14"/>
        <v>11</v>
      </c>
      <c r="E249" s="28">
        <f t="shared" si="15"/>
        <v>1</v>
      </c>
      <c r="F249" s="55" t="str">
        <f t="shared" si="16"/>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3"/>
        <v>1</v>
      </c>
      <c r="D250" s="28">
        <f t="shared" si="14"/>
        <v>11</v>
      </c>
      <c r="E250" s="28">
        <f t="shared" si="15"/>
        <v>1</v>
      </c>
      <c r="F250" s="59" t="str">
        <f t="shared" si="16"/>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3"/>
        <v>1</v>
      </c>
      <c r="D251" s="28">
        <f t="shared" si="14"/>
        <v>11</v>
      </c>
      <c r="E251" s="28">
        <f t="shared" si="15"/>
        <v>1</v>
      </c>
      <c r="F251" s="59" t="str">
        <f t="shared" si="16"/>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3"/>
        <v>1</v>
      </c>
      <c r="D252" s="28">
        <f t="shared" si="14"/>
        <v>11</v>
      </c>
      <c r="E252" s="28">
        <f t="shared" si="15"/>
        <v>1</v>
      </c>
      <c r="F252" s="59" t="str">
        <f t="shared" si="16"/>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3"/>
        <v>1</v>
      </c>
      <c r="D253" s="28">
        <f t="shared" si="14"/>
        <v>11</v>
      </c>
      <c r="E253" s="28">
        <f t="shared" si="15"/>
        <v>1</v>
      </c>
      <c r="F253" s="59" t="str">
        <f t="shared" si="16"/>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3"/>
        <v>1</v>
      </c>
      <c r="D254" s="28">
        <f t="shared" si="14"/>
        <v>12</v>
      </c>
      <c r="E254" s="28">
        <f t="shared" si="15"/>
        <v>0</v>
      </c>
      <c r="F254" s="54" t="str">
        <f t="shared" si="16"/>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3"/>
        <v>1</v>
      </c>
      <c r="D255" s="28">
        <f t="shared" si="14"/>
        <v>12</v>
      </c>
      <c r="E255" s="28">
        <f t="shared" si="15"/>
        <v>1</v>
      </c>
      <c r="F255" s="55" t="str">
        <f t="shared" si="16"/>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3"/>
        <v>1</v>
      </c>
      <c r="D256" s="28">
        <f t="shared" si="14"/>
        <v>12</v>
      </c>
      <c r="E256" s="28">
        <f t="shared" si="15"/>
        <v>1</v>
      </c>
      <c r="F256" s="59" t="str">
        <f t="shared" si="16"/>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3"/>
        <v>1</v>
      </c>
      <c r="D257" s="28">
        <f t="shared" si="14"/>
        <v>12</v>
      </c>
      <c r="E257" s="28">
        <f t="shared" si="15"/>
        <v>1</v>
      </c>
      <c r="F257" s="59" t="str">
        <f t="shared" si="16"/>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3"/>
        <v>1</v>
      </c>
      <c r="D258" s="28">
        <f t="shared" si="14"/>
        <v>12</v>
      </c>
      <c r="E258" s="28">
        <f t="shared" si="15"/>
        <v>1</v>
      </c>
      <c r="F258" s="59" t="str">
        <f t="shared" si="16"/>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3"/>
        <v>1</v>
      </c>
      <c r="D259" s="28">
        <f t="shared" si="14"/>
        <v>12</v>
      </c>
      <c r="E259" s="28">
        <f t="shared" si="15"/>
        <v>2</v>
      </c>
      <c r="F259" s="55" t="str">
        <f t="shared" si="16"/>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7">IF(B260=1,C259+1,C259)</f>
        <v>1</v>
      </c>
      <c r="D260" s="28">
        <f t="shared" ref="D260:D323" si="18">IF(B260=1,0,IF(B260=2,D259+1,IF(AND(B260=3,D259=0),1,D259)))</f>
        <v>12</v>
      </c>
      <c r="E260" s="28">
        <f t="shared" ref="E260:E323" si="19">IF(OR(B260=1,B260=2),0,IF(B260=3,E259+1,E259))</f>
        <v>2</v>
      </c>
      <c r="F260" s="59" t="str">
        <f t="shared" ref="F260:F323" si="20">IF(OR(B260=1,B260=2,B260=3),TEXT(C260,"#")&amp;".","")&amp;IF(OR(B260=2,B260=3),TEXT(D260,"#")&amp;".","")&amp;IF(B260=3,TEXT(E260,"#")&amp;".","")</f>
        <v/>
      </c>
      <c r="G260" s="42" t="s">
        <v>82</v>
      </c>
      <c r="H260" s="43" t="s">
        <v>83</v>
      </c>
      <c r="I260" s="44" t="s">
        <v>84</v>
      </c>
      <c r="J260" s="45" t="s">
        <v>85</v>
      </c>
      <c r="K260" s="46" t="s">
        <v>86</v>
      </c>
      <c r="L260" s="47" t="s">
        <v>2398</v>
      </c>
      <c r="M260" s="48" t="s">
        <v>2526</v>
      </c>
      <c r="N260" s="49"/>
      <c r="O260" s="50" t="s">
        <v>3364</v>
      </c>
      <c r="P260" s="59"/>
      <c r="Q260" s="59"/>
      <c r="R260" s="13"/>
    </row>
    <row r="261" spans="1:18" ht="105" x14ac:dyDescent="0.25">
      <c r="A261" s="9" t="s">
        <v>21</v>
      </c>
      <c r="B261" s="28">
        <f>IF(ISBLANK(A261),0,INDEX(txtstylestab[],MATCH(A261,txtstylestab[style_Name],0),1))</f>
        <v>0</v>
      </c>
      <c r="C261" s="28">
        <f t="shared" si="17"/>
        <v>1</v>
      </c>
      <c r="D261" s="28">
        <f t="shared" si="18"/>
        <v>12</v>
      </c>
      <c r="E261" s="28">
        <f t="shared" si="19"/>
        <v>2</v>
      </c>
      <c r="F261" s="59" t="str">
        <f t="shared" si="20"/>
        <v/>
      </c>
      <c r="G261" s="42" t="s">
        <v>544</v>
      </c>
      <c r="H261" s="43" t="s">
        <v>2145</v>
      </c>
      <c r="I261" s="44" t="s">
        <v>2247</v>
      </c>
      <c r="J261" s="45" t="s">
        <v>545</v>
      </c>
      <c r="K261" s="46" t="s">
        <v>1716</v>
      </c>
      <c r="L261" s="47" t="s">
        <v>2585</v>
      </c>
      <c r="M261" s="48" t="s">
        <v>2586</v>
      </c>
      <c r="N261" s="49"/>
      <c r="O261" s="50" t="s">
        <v>3365</v>
      </c>
      <c r="P261" s="59"/>
      <c r="Q261" s="59"/>
      <c r="R261" s="13"/>
    </row>
    <row r="262" spans="1:18" ht="60" x14ac:dyDescent="0.25">
      <c r="A262" s="9" t="s">
        <v>21</v>
      </c>
      <c r="B262" s="28">
        <f>IF(ISBLANK(A262),0,INDEX(txtstylestab[],MATCH(A262,txtstylestab[style_Name],0),1))</f>
        <v>0</v>
      </c>
      <c r="C262" s="28">
        <f t="shared" si="17"/>
        <v>1</v>
      </c>
      <c r="D262" s="28">
        <f t="shared" si="18"/>
        <v>12</v>
      </c>
      <c r="E262" s="28">
        <f t="shared" si="19"/>
        <v>2</v>
      </c>
      <c r="F262" s="59" t="str">
        <f t="shared" si="20"/>
        <v/>
      </c>
      <c r="G262" s="42" t="s">
        <v>546</v>
      </c>
      <c r="H262" s="43" t="s">
        <v>2225</v>
      </c>
      <c r="I262" s="44" t="s">
        <v>2248</v>
      </c>
      <c r="J262" s="45" t="s">
        <v>547</v>
      </c>
      <c r="K262" s="46" t="s">
        <v>1740</v>
      </c>
      <c r="L262" s="47" t="s">
        <v>2587</v>
      </c>
      <c r="M262" s="48" t="s">
        <v>2588</v>
      </c>
      <c r="N262" s="49"/>
      <c r="O262" s="50" t="s">
        <v>3366</v>
      </c>
      <c r="P262" s="59"/>
      <c r="Q262" s="59"/>
      <c r="R262" s="13"/>
    </row>
    <row r="263" spans="1:18" ht="60" x14ac:dyDescent="0.25">
      <c r="A263" s="9" t="s">
        <v>21</v>
      </c>
      <c r="B263" s="28">
        <f>IF(ISBLANK(A263),0,INDEX(txtstylestab[],MATCH(A263,txtstylestab[style_Name],0),1))</f>
        <v>0</v>
      </c>
      <c r="C263" s="28">
        <f t="shared" si="17"/>
        <v>1</v>
      </c>
      <c r="D263" s="28">
        <f t="shared" si="18"/>
        <v>12</v>
      </c>
      <c r="E263" s="28">
        <f t="shared" si="19"/>
        <v>2</v>
      </c>
      <c r="F263" s="59" t="str">
        <f t="shared" si="20"/>
        <v/>
      </c>
      <c r="G263" s="42" t="s">
        <v>548</v>
      </c>
      <c r="H263" s="43" t="s">
        <v>549</v>
      </c>
      <c r="I263" s="44" t="s">
        <v>550</v>
      </c>
      <c r="J263" s="45" t="s">
        <v>551</v>
      </c>
      <c r="K263" s="46" t="s">
        <v>1602</v>
      </c>
      <c r="L263" s="47" t="s">
        <v>2589</v>
      </c>
      <c r="M263" s="48" t="s">
        <v>2590</v>
      </c>
      <c r="N263" s="49"/>
      <c r="O263" s="50" t="s">
        <v>3367</v>
      </c>
      <c r="P263" s="59"/>
      <c r="Q263" s="59"/>
      <c r="R263" s="13"/>
    </row>
    <row r="264" spans="1:18" x14ac:dyDescent="0.25">
      <c r="A264" s="9" t="s">
        <v>21</v>
      </c>
      <c r="B264" s="28">
        <f>IF(ISBLANK(A264),0,INDEX(txtstylestab[],MATCH(A264,txtstylestab[style_Name],0),1))</f>
        <v>0</v>
      </c>
      <c r="C264" s="28">
        <f t="shared" si="17"/>
        <v>1</v>
      </c>
      <c r="D264" s="28">
        <f t="shared" si="18"/>
        <v>12</v>
      </c>
      <c r="E264" s="28">
        <f t="shared" si="19"/>
        <v>2</v>
      </c>
      <c r="F264" s="59" t="str">
        <f t="shared" si="20"/>
        <v/>
      </c>
      <c r="G264" s="42" t="s">
        <v>6</v>
      </c>
      <c r="H264" s="43" t="s">
        <v>96</v>
      </c>
      <c r="I264" s="44" t="s">
        <v>48</v>
      </c>
      <c r="J264" s="45" t="s">
        <v>54</v>
      </c>
      <c r="K264" s="46" t="s">
        <v>59</v>
      </c>
      <c r="L264" s="47" t="s">
        <v>2491</v>
      </c>
      <c r="M264" s="48" t="s">
        <v>2492</v>
      </c>
      <c r="N264" s="49"/>
      <c r="O264" s="50" t="s">
        <v>3173</v>
      </c>
      <c r="P264" s="59"/>
      <c r="Q264" s="59"/>
      <c r="R264" s="13"/>
    </row>
    <row r="265" spans="1:18" ht="15.75" thickBot="1" x14ac:dyDescent="0.3">
      <c r="A265" s="9" t="s">
        <v>12</v>
      </c>
      <c r="B265" s="28">
        <f>IF(ISBLANK(A265),0,INDEX(txtstylestab[],MATCH(A265,txtstylestab[style_Name],0),1))</f>
        <v>3</v>
      </c>
      <c r="C265" s="28">
        <f t="shared" si="17"/>
        <v>1</v>
      </c>
      <c r="D265" s="28">
        <f t="shared" si="18"/>
        <v>12</v>
      </c>
      <c r="E265" s="28">
        <f t="shared" si="19"/>
        <v>3</v>
      </c>
      <c r="F265" s="55" t="str">
        <f t="shared" si="20"/>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7"/>
        <v>1</v>
      </c>
      <c r="D266" s="28">
        <f t="shared" si="18"/>
        <v>12</v>
      </c>
      <c r="E266" s="28">
        <f t="shared" si="19"/>
        <v>3</v>
      </c>
      <c r="F266" s="59" t="str">
        <f t="shared" si="20"/>
        <v/>
      </c>
      <c r="G266" s="42" t="s">
        <v>82</v>
      </c>
      <c r="H266" s="43" t="s">
        <v>83</v>
      </c>
      <c r="I266" s="44" t="s">
        <v>84</v>
      </c>
      <c r="J266" s="45" t="s">
        <v>85</v>
      </c>
      <c r="K266" s="46" t="s">
        <v>86</v>
      </c>
      <c r="L266" s="47" t="s">
        <v>2398</v>
      </c>
      <c r="M266" s="48" t="s">
        <v>2540</v>
      </c>
      <c r="N266" s="49"/>
      <c r="O266" s="50" t="s">
        <v>3364</v>
      </c>
      <c r="P266" s="50"/>
      <c r="Q266" s="59"/>
      <c r="R266" s="13"/>
    </row>
    <row r="267" spans="1:18" ht="75" x14ac:dyDescent="0.25">
      <c r="A267" s="9" t="s">
        <v>21</v>
      </c>
      <c r="B267" s="28">
        <f>IF(ISBLANK(A267),0,INDEX(txtstylestab[],MATCH(A267,txtstylestab[style_Name],0),1))</f>
        <v>0</v>
      </c>
      <c r="C267" s="28">
        <f t="shared" si="17"/>
        <v>1</v>
      </c>
      <c r="D267" s="28">
        <f t="shared" si="18"/>
        <v>12</v>
      </c>
      <c r="E267" s="28">
        <f t="shared" si="19"/>
        <v>3</v>
      </c>
      <c r="F267" s="59" t="str">
        <f t="shared" si="20"/>
        <v/>
      </c>
      <c r="G267" s="42" t="s">
        <v>553</v>
      </c>
      <c r="H267" s="43" t="s">
        <v>554</v>
      </c>
      <c r="I267" s="44" t="s">
        <v>1635</v>
      </c>
      <c r="J267" s="45" t="s">
        <v>1621</v>
      </c>
      <c r="K267" s="46" t="s">
        <v>1603</v>
      </c>
      <c r="L267" s="47" t="s">
        <v>2591</v>
      </c>
      <c r="M267" s="48" t="s">
        <v>2592</v>
      </c>
      <c r="N267" s="49"/>
      <c r="O267" s="50" t="s">
        <v>3368</v>
      </c>
      <c r="P267" s="59"/>
      <c r="Q267" s="59"/>
      <c r="R267" s="13"/>
    </row>
    <row r="268" spans="1:18" ht="45" x14ac:dyDescent="0.25">
      <c r="A268" s="9" t="s">
        <v>21</v>
      </c>
      <c r="B268" s="28">
        <f>IF(ISBLANK(A268),0,INDEX(txtstylestab[],MATCH(A268,txtstylestab[style_Name],0),1))</f>
        <v>0</v>
      </c>
      <c r="C268" s="28">
        <f t="shared" si="17"/>
        <v>1</v>
      </c>
      <c r="D268" s="28">
        <f t="shared" si="18"/>
        <v>12</v>
      </c>
      <c r="E268" s="28">
        <f t="shared" si="19"/>
        <v>3</v>
      </c>
      <c r="F268" s="59" t="str">
        <f t="shared" si="20"/>
        <v/>
      </c>
      <c r="G268" s="42" t="s">
        <v>536</v>
      </c>
      <c r="H268" s="43" t="s">
        <v>537</v>
      </c>
      <c r="I268" s="44" t="s">
        <v>503</v>
      </c>
      <c r="J268" s="45" t="s">
        <v>504</v>
      </c>
      <c r="K268" s="46" t="s">
        <v>538</v>
      </c>
      <c r="L268" s="47" t="s">
        <v>2523</v>
      </c>
      <c r="M268" s="48" t="s">
        <v>2524</v>
      </c>
      <c r="N268" s="49"/>
      <c r="O268" s="50" t="s">
        <v>3358</v>
      </c>
      <c r="P268" s="59"/>
      <c r="Q268" s="59"/>
      <c r="R268" s="13"/>
    </row>
    <row r="269" spans="1:18" x14ac:dyDescent="0.25">
      <c r="A269" s="9" t="s">
        <v>21</v>
      </c>
      <c r="B269" s="28">
        <f>IF(ISBLANK(A269),0,INDEX(txtstylestab[],MATCH(A269,txtstylestab[style_Name],0),1))</f>
        <v>0</v>
      </c>
      <c r="C269" s="28">
        <f t="shared" si="17"/>
        <v>1</v>
      </c>
      <c r="D269" s="28">
        <f t="shared" si="18"/>
        <v>12</v>
      </c>
      <c r="E269" s="28">
        <f t="shared" si="19"/>
        <v>3</v>
      </c>
      <c r="F269" s="59" t="str">
        <f t="shared" si="20"/>
        <v/>
      </c>
      <c r="G269" s="42" t="s">
        <v>6</v>
      </c>
      <c r="H269" s="43" t="s">
        <v>26</v>
      </c>
      <c r="I269" s="44" t="s">
        <v>48</v>
      </c>
      <c r="J269" s="45" t="s">
        <v>54</v>
      </c>
      <c r="K269" s="46" t="s">
        <v>59</v>
      </c>
      <c r="L269" s="47" t="s">
        <v>2491</v>
      </c>
      <c r="M269" s="48" t="s">
        <v>2492</v>
      </c>
      <c r="N269" s="49"/>
      <c r="O269" s="50" t="s">
        <v>3173</v>
      </c>
      <c r="P269" s="59"/>
      <c r="Q269" s="59"/>
      <c r="R269" s="13"/>
    </row>
    <row r="270" spans="1:18" ht="18" thickBot="1" x14ac:dyDescent="0.35">
      <c r="A270" s="9" t="s">
        <v>11</v>
      </c>
      <c r="B270" s="28">
        <f>IF(ISBLANK(A270),0,INDEX(txtstylestab[],MATCH(A270,txtstylestab[style_Name],0),1))</f>
        <v>2</v>
      </c>
      <c r="C270" s="28">
        <f t="shared" si="17"/>
        <v>1</v>
      </c>
      <c r="D270" s="28">
        <f t="shared" si="18"/>
        <v>13</v>
      </c>
      <c r="E270" s="28">
        <f t="shared" si="19"/>
        <v>0</v>
      </c>
      <c r="F270" s="54" t="str">
        <f t="shared" si="20"/>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7"/>
        <v>1</v>
      </c>
      <c r="D271" s="28">
        <f t="shared" si="18"/>
        <v>13</v>
      </c>
      <c r="E271" s="28">
        <f t="shared" si="19"/>
        <v>0</v>
      </c>
      <c r="F271" s="59" t="str">
        <f t="shared" si="20"/>
        <v/>
      </c>
      <c r="G271" s="42" t="s">
        <v>82</v>
      </c>
      <c r="H271" s="43" t="s">
        <v>83</v>
      </c>
      <c r="I271" s="44" t="s">
        <v>84</v>
      </c>
      <c r="J271" s="45" t="s">
        <v>85</v>
      </c>
      <c r="K271" s="46" t="s">
        <v>86</v>
      </c>
      <c r="L271" s="47" t="s">
        <v>2398</v>
      </c>
      <c r="M271" s="48" t="s">
        <v>2540</v>
      </c>
      <c r="N271" s="49"/>
      <c r="O271" s="50" t="s">
        <v>3364</v>
      </c>
      <c r="P271" s="50"/>
      <c r="Q271" s="59"/>
      <c r="R271" s="13"/>
    </row>
    <row r="272" spans="1:18" ht="45" x14ac:dyDescent="0.25">
      <c r="A272" s="9" t="s">
        <v>21</v>
      </c>
      <c r="B272" s="28">
        <f>IF(ISBLANK(A272),0,INDEX(txtstylestab[],MATCH(A272,txtstylestab[style_Name],0),1))</f>
        <v>0</v>
      </c>
      <c r="C272" s="28">
        <f t="shared" si="17"/>
        <v>1</v>
      </c>
      <c r="D272" s="28">
        <f t="shared" si="18"/>
        <v>13</v>
      </c>
      <c r="E272" s="28">
        <f t="shared" si="19"/>
        <v>0</v>
      </c>
      <c r="F272" s="59" t="str">
        <f t="shared" si="20"/>
        <v/>
      </c>
      <c r="G272" s="42" t="s">
        <v>556</v>
      </c>
      <c r="H272" s="43" t="s">
        <v>2226</v>
      </c>
      <c r="I272" s="44" t="s">
        <v>2249</v>
      </c>
      <c r="J272" s="45" t="s">
        <v>557</v>
      </c>
      <c r="K272" s="46" t="s">
        <v>1717</v>
      </c>
      <c r="L272" s="47" t="s">
        <v>2593</v>
      </c>
      <c r="M272" s="48" t="s">
        <v>2594</v>
      </c>
      <c r="N272" s="49"/>
      <c r="O272" s="50" t="s">
        <v>3369</v>
      </c>
      <c r="P272" s="59"/>
      <c r="Q272" s="59"/>
      <c r="R272" s="13"/>
    </row>
    <row r="273" spans="1:18" x14ac:dyDescent="0.25">
      <c r="A273" s="9" t="s">
        <v>21</v>
      </c>
      <c r="B273" s="28">
        <f>IF(ISBLANK(A273),0,INDEX(txtstylestab[],MATCH(A273,txtstylestab[style_Name],0),1))</f>
        <v>0</v>
      </c>
      <c r="C273" s="28">
        <f t="shared" si="17"/>
        <v>1</v>
      </c>
      <c r="D273" s="28">
        <f t="shared" si="18"/>
        <v>13</v>
      </c>
      <c r="E273" s="28">
        <f t="shared" si="19"/>
        <v>0</v>
      </c>
      <c r="F273" s="59" t="str">
        <f t="shared" si="20"/>
        <v/>
      </c>
      <c r="G273" s="42" t="s">
        <v>6</v>
      </c>
      <c r="H273" s="43" t="s">
        <v>26</v>
      </c>
      <c r="I273" s="44" t="s">
        <v>48</v>
      </c>
      <c r="J273" s="45" t="s">
        <v>54</v>
      </c>
      <c r="K273" s="46" t="s">
        <v>59</v>
      </c>
      <c r="L273" s="47" t="s">
        <v>2491</v>
      </c>
      <c r="M273" s="48" t="s">
        <v>2492</v>
      </c>
      <c r="N273" s="49"/>
      <c r="O273" s="50" t="s">
        <v>3173</v>
      </c>
      <c r="P273" s="50"/>
      <c r="Q273" s="59"/>
      <c r="R273" s="13"/>
    </row>
    <row r="274" spans="1:18" ht="18" thickBot="1" x14ac:dyDescent="0.35">
      <c r="A274" s="9" t="s">
        <v>11</v>
      </c>
      <c r="B274" s="28">
        <f>IF(ISBLANK(A274),0,INDEX(txtstylestab[],MATCH(A274,txtstylestab[style_Name],0),1))</f>
        <v>2</v>
      </c>
      <c r="C274" s="28">
        <f t="shared" si="17"/>
        <v>1</v>
      </c>
      <c r="D274" s="28">
        <f t="shared" si="18"/>
        <v>14</v>
      </c>
      <c r="E274" s="28">
        <f t="shared" si="19"/>
        <v>0</v>
      </c>
      <c r="F274" s="54" t="str">
        <f t="shared" si="20"/>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7"/>
        <v>1</v>
      </c>
      <c r="D275" s="28">
        <f t="shared" si="18"/>
        <v>14</v>
      </c>
      <c r="E275" s="28">
        <f t="shared" si="19"/>
        <v>0</v>
      </c>
      <c r="F275" s="59" t="str">
        <f t="shared" si="20"/>
        <v/>
      </c>
      <c r="G275" s="42" t="s">
        <v>82</v>
      </c>
      <c r="H275" s="43" t="s">
        <v>83</v>
      </c>
      <c r="I275" s="44" t="s">
        <v>84</v>
      </c>
      <c r="J275" s="45" t="s">
        <v>85</v>
      </c>
      <c r="K275" s="46" t="s">
        <v>86</v>
      </c>
      <c r="L275" s="47" t="s">
        <v>2398</v>
      </c>
      <c r="M275" s="47" t="s">
        <v>2540</v>
      </c>
      <c r="N275" s="48"/>
      <c r="O275" s="50" t="s">
        <v>3364</v>
      </c>
      <c r="P275" s="49"/>
      <c r="Q275" s="50"/>
      <c r="R275" s="13"/>
    </row>
    <row r="276" spans="1:18" ht="30" x14ac:dyDescent="0.25">
      <c r="A276" s="9" t="s">
        <v>21</v>
      </c>
      <c r="B276" s="28">
        <f>IF(ISBLANK(A276),0,INDEX(txtstylestab[],MATCH(A276,txtstylestab[style_Name],0),1))</f>
        <v>0</v>
      </c>
      <c r="C276" s="28">
        <f t="shared" si="17"/>
        <v>1</v>
      </c>
      <c r="D276" s="28">
        <f t="shared" si="18"/>
        <v>14</v>
      </c>
      <c r="E276" s="28">
        <f t="shared" si="19"/>
        <v>0</v>
      </c>
      <c r="F276" s="59" t="str">
        <f t="shared" si="20"/>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7"/>
        <v>1</v>
      </c>
      <c r="D277" s="28">
        <f t="shared" si="18"/>
        <v>14</v>
      </c>
      <c r="E277" s="28">
        <f t="shared" si="19"/>
        <v>0</v>
      </c>
      <c r="F277" s="59" t="str">
        <f t="shared" si="20"/>
        <v/>
      </c>
      <c r="G277" s="42"/>
      <c r="H277" s="43"/>
      <c r="I277" s="44" t="s">
        <v>413</v>
      </c>
      <c r="J277" s="45" t="s">
        <v>414</v>
      </c>
      <c r="K277" s="46" t="s">
        <v>415</v>
      </c>
      <c r="L277" s="47"/>
      <c r="M277" s="48"/>
      <c r="N277" s="49"/>
      <c r="O277" s="50" t="s">
        <v>3370</v>
      </c>
      <c r="P277" s="59"/>
      <c r="Q277" s="59"/>
      <c r="R277" s="13"/>
    </row>
    <row r="278" spans="1:18" ht="30" x14ac:dyDescent="0.25">
      <c r="A278" s="9" t="s">
        <v>21</v>
      </c>
      <c r="B278" s="28">
        <f>IF(ISBLANK(A278),0,INDEX(txtstylestab[],MATCH(A278,txtstylestab[style_Name],0),1))</f>
        <v>0</v>
      </c>
      <c r="C278" s="28">
        <f t="shared" si="17"/>
        <v>1</v>
      </c>
      <c r="D278" s="28">
        <f t="shared" si="18"/>
        <v>14</v>
      </c>
      <c r="E278" s="28">
        <f t="shared" si="19"/>
        <v>0</v>
      </c>
      <c r="F278" s="59" t="str">
        <f t="shared" si="20"/>
        <v/>
      </c>
      <c r="G278" s="42" t="s">
        <v>2288</v>
      </c>
      <c r="H278" s="43" t="s">
        <v>2291</v>
      </c>
      <c r="I278" s="44" t="s">
        <v>563</v>
      </c>
      <c r="J278" s="45" t="s">
        <v>564</v>
      </c>
      <c r="K278" s="46" t="s">
        <v>565</v>
      </c>
      <c r="L278" s="47" t="s">
        <v>2597</v>
      </c>
      <c r="M278" s="48" t="s">
        <v>2601</v>
      </c>
      <c r="N278" s="49"/>
      <c r="O278" s="50" t="s">
        <v>3371</v>
      </c>
      <c r="P278" s="59"/>
      <c r="Q278" s="59"/>
      <c r="R278" s="13"/>
    </row>
    <row r="279" spans="1:18" ht="30" x14ac:dyDescent="0.25">
      <c r="A279" s="9" t="s">
        <v>21</v>
      </c>
      <c r="B279" s="28">
        <f>IF(ISBLANK(A279),0,INDEX(txtstylestab[],MATCH(A279,txtstylestab[style_Name],0),1))</f>
        <v>0</v>
      </c>
      <c r="C279" s="28">
        <f t="shared" si="17"/>
        <v>1</v>
      </c>
      <c r="D279" s="28">
        <f t="shared" si="18"/>
        <v>14</v>
      </c>
      <c r="E279" s="28">
        <f t="shared" si="19"/>
        <v>0</v>
      </c>
      <c r="F279" s="59" t="str">
        <f t="shared" si="20"/>
        <v/>
      </c>
      <c r="G279" s="42" t="s">
        <v>2289</v>
      </c>
      <c r="H279" s="43" t="s">
        <v>2292</v>
      </c>
      <c r="I279" s="44" t="s">
        <v>2125</v>
      </c>
      <c r="J279" s="45" t="s">
        <v>566</v>
      </c>
      <c r="K279" s="46" t="s">
        <v>567</v>
      </c>
      <c r="L279" s="47" t="s">
        <v>2598</v>
      </c>
      <c r="M279" s="48" t="s">
        <v>2602</v>
      </c>
      <c r="N279" s="49"/>
      <c r="O279" s="50" t="s">
        <v>3372</v>
      </c>
      <c r="P279" s="59"/>
      <c r="Q279" s="59"/>
      <c r="R279" s="13"/>
    </row>
    <row r="280" spans="1:18" ht="60" x14ac:dyDescent="0.25">
      <c r="A280" s="9" t="s">
        <v>21</v>
      </c>
      <c r="B280" s="28">
        <f>IF(ISBLANK(A280),0,INDEX(txtstylestab[],MATCH(A280,txtstylestab[style_Name],0),1))</f>
        <v>0</v>
      </c>
      <c r="C280" s="28">
        <f t="shared" si="17"/>
        <v>1</v>
      </c>
      <c r="D280" s="28">
        <f t="shared" si="18"/>
        <v>14</v>
      </c>
      <c r="E280" s="28">
        <f t="shared" si="19"/>
        <v>0</v>
      </c>
      <c r="F280" s="59" t="str">
        <f t="shared" si="20"/>
        <v/>
      </c>
      <c r="G280" s="42" t="s">
        <v>2290</v>
      </c>
      <c r="H280" s="43" t="s">
        <v>2293</v>
      </c>
      <c r="I280" s="44" t="s">
        <v>2126</v>
      </c>
      <c r="J280" s="45" t="s">
        <v>568</v>
      </c>
      <c r="K280" s="46" t="s">
        <v>569</v>
      </c>
      <c r="L280" s="47" t="s">
        <v>2603</v>
      </c>
      <c r="M280" s="48" t="s">
        <v>2604</v>
      </c>
      <c r="N280" s="49"/>
      <c r="O280" s="50" t="s">
        <v>3373</v>
      </c>
      <c r="P280" s="59"/>
      <c r="Q280" s="59"/>
      <c r="R280" s="13"/>
    </row>
    <row r="281" spans="1:18" ht="45" x14ac:dyDescent="0.25">
      <c r="A281" s="9" t="s">
        <v>21</v>
      </c>
      <c r="B281" s="28">
        <f>IF(ISBLANK(A281),0,INDEX(txtstylestab[],MATCH(A281,txtstylestab[style_Name],0),1))</f>
        <v>0</v>
      </c>
      <c r="C281" s="28">
        <f t="shared" si="17"/>
        <v>1</v>
      </c>
      <c r="D281" s="28">
        <f t="shared" si="18"/>
        <v>14</v>
      </c>
      <c r="E281" s="28">
        <f t="shared" si="19"/>
        <v>0</v>
      </c>
      <c r="F281" s="59" t="str">
        <f t="shared" si="20"/>
        <v/>
      </c>
      <c r="G281" s="42" t="s">
        <v>570</v>
      </c>
      <c r="H281" s="43" t="s">
        <v>571</v>
      </c>
      <c r="I281" s="44" t="s">
        <v>572</v>
      </c>
      <c r="J281" s="45" t="s">
        <v>573</v>
      </c>
      <c r="K281" s="46" t="s">
        <v>574</v>
      </c>
      <c r="L281" s="47" t="s">
        <v>2599</v>
      </c>
      <c r="M281" s="48" t="s">
        <v>2605</v>
      </c>
      <c r="N281" s="49"/>
      <c r="O281" s="50" t="s">
        <v>3374</v>
      </c>
      <c r="P281" s="59"/>
      <c r="Q281" s="59"/>
      <c r="R281" s="13"/>
    </row>
    <row r="282" spans="1:18" ht="60" x14ac:dyDescent="0.25">
      <c r="A282" s="9" t="s">
        <v>21</v>
      </c>
      <c r="B282" s="28">
        <f>IF(ISBLANK(A282),0,INDEX(txtstylestab[],MATCH(A282,txtstylestab[style_Name],0),1))</f>
        <v>0</v>
      </c>
      <c r="C282" s="28">
        <f t="shared" si="17"/>
        <v>1</v>
      </c>
      <c r="D282" s="28">
        <f t="shared" si="18"/>
        <v>14</v>
      </c>
      <c r="E282" s="28">
        <f t="shared" si="19"/>
        <v>0</v>
      </c>
      <c r="F282" s="59" t="str">
        <f t="shared" si="20"/>
        <v/>
      </c>
      <c r="G282" s="42" t="s">
        <v>575</v>
      </c>
      <c r="H282" s="43" t="s">
        <v>576</v>
      </c>
      <c r="I282" s="44" t="s">
        <v>577</v>
      </c>
      <c r="J282" s="45" t="s">
        <v>578</v>
      </c>
      <c r="K282" s="46" t="s">
        <v>579</v>
      </c>
      <c r="L282" s="47" t="s">
        <v>2600</v>
      </c>
      <c r="M282" s="48" t="s">
        <v>2606</v>
      </c>
      <c r="N282" s="49"/>
      <c r="O282" s="50" t="s">
        <v>3446</v>
      </c>
      <c r="P282" s="59"/>
      <c r="Q282" s="59"/>
      <c r="R282" s="13"/>
    </row>
    <row r="283" spans="1:18" ht="120" x14ac:dyDescent="0.25">
      <c r="A283" s="9" t="s">
        <v>21</v>
      </c>
      <c r="B283" s="28">
        <f>IF(ISBLANK(A283),0,INDEX(txtstylestab[],MATCH(A283,txtstylestab[style_Name],0),1))</f>
        <v>0</v>
      </c>
      <c r="C283" s="28">
        <f t="shared" si="17"/>
        <v>1</v>
      </c>
      <c r="D283" s="28">
        <f t="shared" si="18"/>
        <v>14</v>
      </c>
      <c r="E283" s="28">
        <f t="shared" si="19"/>
        <v>0</v>
      </c>
      <c r="F283" s="59" t="str">
        <f t="shared" si="20"/>
        <v/>
      </c>
      <c r="G283" s="42" t="s">
        <v>580</v>
      </c>
      <c r="H283" s="43" t="s">
        <v>1604</v>
      </c>
      <c r="I283" s="44" t="s">
        <v>581</v>
      </c>
      <c r="J283" s="45" t="s">
        <v>582</v>
      </c>
      <c r="K283" s="46" t="s">
        <v>583</v>
      </c>
      <c r="L283" s="47" t="s">
        <v>2607</v>
      </c>
      <c r="M283" s="48" t="s">
        <v>2608</v>
      </c>
      <c r="N283" s="49"/>
      <c r="O283" s="50" t="s">
        <v>3375</v>
      </c>
      <c r="P283" s="59"/>
      <c r="Q283" s="59"/>
      <c r="R283" s="13"/>
    </row>
    <row r="284" spans="1:18" ht="30" x14ac:dyDescent="0.25">
      <c r="A284" s="9" t="s">
        <v>21</v>
      </c>
      <c r="B284" s="28">
        <f>IF(ISBLANK(A284),0,INDEX(txtstylestab[],MATCH(A284,txtstylestab[style_Name],0),1))</f>
        <v>0</v>
      </c>
      <c r="C284" s="28">
        <f t="shared" si="17"/>
        <v>1</v>
      </c>
      <c r="D284" s="28">
        <f t="shared" si="18"/>
        <v>14</v>
      </c>
      <c r="E284" s="28">
        <f t="shared" si="19"/>
        <v>0</v>
      </c>
      <c r="F284" s="59" t="str">
        <f t="shared" si="20"/>
        <v/>
      </c>
      <c r="G284" s="42" t="s">
        <v>562</v>
      </c>
      <c r="H284" s="43" t="s">
        <v>26</v>
      </c>
      <c r="I284" s="44" t="s">
        <v>48</v>
      </c>
      <c r="J284" s="45" t="s">
        <v>54</v>
      </c>
      <c r="K284" s="46" t="s">
        <v>59</v>
      </c>
      <c r="L284" s="47" t="s">
        <v>2525</v>
      </c>
      <c r="M284" s="48" t="s">
        <v>2526</v>
      </c>
      <c r="N284" s="49"/>
      <c r="O284" s="50" t="s">
        <v>3173</v>
      </c>
      <c r="P284" s="59"/>
      <c r="Q284" s="59"/>
      <c r="R284" s="13"/>
    </row>
    <row r="285" spans="1:18" ht="18" thickBot="1" x14ac:dyDescent="0.35">
      <c r="A285" s="9" t="s">
        <v>11</v>
      </c>
      <c r="B285" s="28">
        <f>IF(ISBLANK(A285),0,INDEX(txtstylestab[],MATCH(A285,txtstylestab[style_Name],0),1))</f>
        <v>2</v>
      </c>
      <c r="C285" s="28">
        <f t="shared" si="17"/>
        <v>1</v>
      </c>
      <c r="D285" s="28">
        <f t="shared" si="18"/>
        <v>15</v>
      </c>
      <c r="E285" s="28">
        <f t="shared" si="19"/>
        <v>0</v>
      </c>
      <c r="F285" s="54" t="str">
        <f t="shared" si="20"/>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7"/>
        <v>1</v>
      </c>
      <c r="D286" s="28">
        <f t="shared" si="18"/>
        <v>15</v>
      </c>
      <c r="E286" s="28">
        <f t="shared" si="19"/>
        <v>0</v>
      </c>
      <c r="F286" s="56" t="str">
        <f t="shared" si="20"/>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7"/>
        <v>1</v>
      </c>
      <c r="D287" s="28">
        <f t="shared" si="18"/>
        <v>15</v>
      </c>
      <c r="E287" s="28">
        <f t="shared" si="19"/>
        <v>0</v>
      </c>
      <c r="F287" s="59" t="str">
        <f t="shared" si="20"/>
        <v/>
      </c>
      <c r="G287" s="42" t="s">
        <v>82</v>
      </c>
      <c r="H287" s="43" t="s">
        <v>83</v>
      </c>
      <c r="I287" s="44" t="s">
        <v>84</v>
      </c>
      <c r="J287" s="45" t="s">
        <v>85</v>
      </c>
      <c r="K287" s="46" t="s">
        <v>86</v>
      </c>
      <c r="L287" s="47" t="s">
        <v>2398</v>
      </c>
      <c r="M287" s="48" t="s">
        <v>2540</v>
      </c>
      <c r="N287" s="49"/>
      <c r="O287" s="50" t="s">
        <v>3364</v>
      </c>
      <c r="P287" s="50"/>
      <c r="Q287" s="59"/>
      <c r="R287" s="13"/>
    </row>
    <row r="288" spans="1:18" ht="150" x14ac:dyDescent="0.25">
      <c r="A288" s="9" t="s">
        <v>21</v>
      </c>
      <c r="B288" s="28">
        <f>IF(ISBLANK(A288),0,INDEX(txtstylestab[],MATCH(A288,txtstylestab[style_Name],0),1))</f>
        <v>0</v>
      </c>
      <c r="C288" s="28">
        <f t="shared" si="17"/>
        <v>1</v>
      </c>
      <c r="D288" s="28">
        <f t="shared" si="18"/>
        <v>15</v>
      </c>
      <c r="E288" s="28">
        <f t="shared" si="19"/>
        <v>0</v>
      </c>
      <c r="F288" s="59" t="str">
        <f t="shared" si="20"/>
        <v/>
      </c>
      <c r="G288" s="42" t="s">
        <v>585</v>
      </c>
      <c r="H288" s="43" t="s">
        <v>2227</v>
      </c>
      <c r="I288" s="44" t="s">
        <v>2250</v>
      </c>
      <c r="J288" s="45" t="s">
        <v>586</v>
      </c>
      <c r="K288" s="46" t="s">
        <v>1718</v>
      </c>
      <c r="L288" s="47" t="s">
        <v>2609</v>
      </c>
      <c r="M288" s="48" t="s">
        <v>2610</v>
      </c>
      <c r="N288" s="49"/>
      <c r="O288" s="50" t="s">
        <v>3376</v>
      </c>
      <c r="P288" s="59"/>
      <c r="Q288" s="59"/>
      <c r="R288" s="13"/>
    </row>
    <row r="289" spans="1:18" ht="90" x14ac:dyDescent="0.25">
      <c r="A289" s="9" t="s">
        <v>21</v>
      </c>
      <c r="B289" s="28">
        <f>IF(ISBLANK(A289),0,INDEX(txtstylestab[],MATCH(A289,txtstylestab[style_Name],0),1))</f>
        <v>0</v>
      </c>
      <c r="C289" s="28">
        <f t="shared" si="17"/>
        <v>1</v>
      </c>
      <c r="D289" s="28">
        <f t="shared" si="18"/>
        <v>15</v>
      </c>
      <c r="E289" s="28">
        <f t="shared" si="19"/>
        <v>0</v>
      </c>
      <c r="F289" s="59" t="str">
        <f t="shared" si="20"/>
        <v/>
      </c>
      <c r="G289" s="42" t="s">
        <v>587</v>
      </c>
      <c r="H289" s="43" t="s">
        <v>588</v>
      </c>
      <c r="I289" s="44" t="s">
        <v>2251</v>
      </c>
      <c r="J289" s="45" t="s">
        <v>589</v>
      </c>
      <c r="K289" s="46" t="s">
        <v>590</v>
      </c>
      <c r="L289" s="47" t="s">
        <v>2611</v>
      </c>
      <c r="M289" s="48" t="s">
        <v>2612</v>
      </c>
      <c r="N289" s="49"/>
      <c r="O289" s="50" t="s">
        <v>3377</v>
      </c>
      <c r="P289" s="59"/>
      <c r="Q289" s="59"/>
      <c r="R289" s="13"/>
    </row>
    <row r="290" spans="1:18" ht="75" x14ac:dyDescent="0.25">
      <c r="A290" s="9" t="s">
        <v>21</v>
      </c>
      <c r="B290" s="28">
        <f>IF(ISBLANK(A290),0,INDEX(txtstylestab[],MATCH(A290,txtstylestab[style_Name],0),1))</f>
        <v>0</v>
      </c>
      <c r="C290" s="28">
        <f t="shared" si="17"/>
        <v>1</v>
      </c>
      <c r="D290" s="28">
        <f t="shared" si="18"/>
        <v>15</v>
      </c>
      <c r="E290" s="28">
        <f t="shared" si="19"/>
        <v>0</v>
      </c>
      <c r="F290" s="59" t="str">
        <f t="shared" si="20"/>
        <v/>
      </c>
      <c r="G290" s="42" t="s">
        <v>591</v>
      </c>
      <c r="H290" s="43" t="s">
        <v>592</v>
      </c>
      <c r="I290" s="44" t="s">
        <v>593</v>
      </c>
      <c r="J290" s="45" t="s">
        <v>594</v>
      </c>
      <c r="K290" s="46" t="s">
        <v>595</v>
      </c>
      <c r="L290" s="47" t="s">
        <v>2613</v>
      </c>
      <c r="M290" s="48" t="s">
        <v>2614</v>
      </c>
      <c r="N290" s="49"/>
      <c r="O290" s="50" t="s">
        <v>3378</v>
      </c>
      <c r="P290" s="59"/>
      <c r="Q290" s="59"/>
      <c r="R290" s="13"/>
    </row>
    <row r="291" spans="1:18" x14ac:dyDescent="0.25">
      <c r="A291" s="9" t="s">
        <v>21</v>
      </c>
      <c r="B291" s="28">
        <f>IF(ISBLANK(A291),0,INDEX(txtstylestab[],MATCH(A291,txtstylestab[style_Name],0),1))</f>
        <v>0</v>
      </c>
      <c r="C291" s="28">
        <f t="shared" si="17"/>
        <v>1</v>
      </c>
      <c r="D291" s="28">
        <f t="shared" si="18"/>
        <v>15</v>
      </c>
      <c r="E291" s="28">
        <f t="shared" si="19"/>
        <v>0</v>
      </c>
      <c r="F291" s="59" t="str">
        <f t="shared" si="20"/>
        <v/>
      </c>
      <c r="G291" s="42" t="s">
        <v>6</v>
      </c>
      <c r="H291" s="43" t="s">
        <v>96</v>
      </c>
      <c r="I291" s="44" t="s">
        <v>48</v>
      </c>
      <c r="J291" s="45" t="s">
        <v>54</v>
      </c>
      <c r="K291" s="46" t="s">
        <v>59</v>
      </c>
      <c r="L291" s="47" t="s">
        <v>2525</v>
      </c>
      <c r="M291" s="48" t="s">
        <v>2526</v>
      </c>
      <c r="N291" s="49"/>
      <c r="O291" s="50" t="s">
        <v>3173</v>
      </c>
      <c r="P291" s="50"/>
      <c r="Q291" s="59"/>
      <c r="R291" s="13"/>
    </row>
    <row r="292" spans="1:18" ht="18" thickBot="1" x14ac:dyDescent="0.35">
      <c r="A292" s="9" t="s">
        <v>11</v>
      </c>
      <c r="B292" s="28">
        <f>IF(ISBLANK(A292),0,INDEX(txtstylestab[],MATCH(A292,txtstylestab[style_Name],0),1))</f>
        <v>2</v>
      </c>
      <c r="C292" s="28">
        <f t="shared" si="17"/>
        <v>1</v>
      </c>
      <c r="D292" s="28">
        <f t="shared" si="18"/>
        <v>16</v>
      </c>
      <c r="E292" s="28">
        <f t="shared" si="19"/>
        <v>0</v>
      </c>
      <c r="F292" s="54" t="str">
        <f t="shared" si="20"/>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7"/>
        <v>1</v>
      </c>
      <c r="D293" s="28">
        <f t="shared" si="18"/>
        <v>16</v>
      </c>
      <c r="E293" s="28">
        <f t="shared" si="19"/>
        <v>0</v>
      </c>
      <c r="F293" s="56" t="str">
        <f t="shared" si="20"/>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7"/>
        <v>1</v>
      </c>
      <c r="D294" s="28">
        <f t="shared" si="18"/>
        <v>16</v>
      </c>
      <c r="E294" s="28">
        <f t="shared" si="19"/>
        <v>0</v>
      </c>
      <c r="F294" s="59" t="str">
        <f t="shared" si="20"/>
        <v/>
      </c>
      <c r="G294" s="42" t="s">
        <v>82</v>
      </c>
      <c r="H294" s="43" t="s">
        <v>83</v>
      </c>
      <c r="I294" s="44" t="s">
        <v>84</v>
      </c>
      <c r="J294" s="45" t="s">
        <v>85</v>
      </c>
      <c r="K294" s="46" t="s">
        <v>86</v>
      </c>
      <c r="L294" s="47" t="s">
        <v>2398</v>
      </c>
      <c r="M294" s="48" t="s">
        <v>2540</v>
      </c>
      <c r="N294" s="49"/>
      <c r="O294" s="50" t="s">
        <v>3364</v>
      </c>
      <c r="P294" s="50"/>
      <c r="Q294" s="59"/>
      <c r="R294" s="13"/>
    </row>
    <row r="295" spans="1:18" ht="60" x14ac:dyDescent="0.25">
      <c r="A295" s="9" t="s">
        <v>21</v>
      </c>
      <c r="B295" s="28">
        <f>IF(ISBLANK(A295),0,INDEX(txtstylestab[],MATCH(A295,txtstylestab[style_Name],0),1))</f>
        <v>0</v>
      </c>
      <c r="C295" s="28">
        <f t="shared" si="17"/>
        <v>1</v>
      </c>
      <c r="D295" s="28">
        <f t="shared" si="18"/>
        <v>16</v>
      </c>
      <c r="E295" s="28">
        <f t="shared" si="19"/>
        <v>0</v>
      </c>
      <c r="F295" s="59" t="str">
        <f t="shared" si="20"/>
        <v/>
      </c>
      <c r="G295" s="42" t="s">
        <v>2294</v>
      </c>
      <c r="H295" s="43" t="s">
        <v>2295</v>
      </c>
      <c r="I295" s="44" t="s">
        <v>2296</v>
      </c>
      <c r="J295" s="45" t="s">
        <v>2297</v>
      </c>
      <c r="K295" s="46" t="s">
        <v>2298</v>
      </c>
      <c r="L295" s="47" t="s">
        <v>2615</v>
      </c>
      <c r="M295" s="48" t="s">
        <v>2616</v>
      </c>
      <c r="N295" s="49"/>
      <c r="O295" s="50" t="s">
        <v>3379</v>
      </c>
      <c r="P295" s="59"/>
      <c r="Q295" s="59"/>
      <c r="R295" s="13"/>
    </row>
    <row r="296" spans="1:18" ht="75" x14ac:dyDescent="0.25">
      <c r="A296" s="9" t="s">
        <v>21</v>
      </c>
      <c r="B296" s="28">
        <f>IF(ISBLANK(A296),0,INDEX(txtstylestab[],MATCH(A296,txtstylestab[style_Name],0),1))</f>
        <v>0</v>
      </c>
      <c r="C296" s="28">
        <f t="shared" si="17"/>
        <v>1</v>
      </c>
      <c r="D296" s="28">
        <f t="shared" si="18"/>
        <v>16</v>
      </c>
      <c r="E296" s="28">
        <f t="shared" si="19"/>
        <v>0</v>
      </c>
      <c r="F296" s="59" t="str">
        <f t="shared" si="20"/>
        <v/>
      </c>
      <c r="G296" s="42" t="s">
        <v>598</v>
      </c>
      <c r="H296" s="43" t="s">
        <v>2146</v>
      </c>
      <c r="I296" s="44" t="s">
        <v>2252</v>
      </c>
      <c r="J296" s="45" t="s">
        <v>599</v>
      </c>
      <c r="K296" s="46" t="s">
        <v>600</v>
      </c>
      <c r="L296" s="47" t="s">
        <v>2617</v>
      </c>
      <c r="M296" s="48" t="s">
        <v>2618</v>
      </c>
      <c r="N296" s="49"/>
      <c r="O296" s="50" t="s">
        <v>3380</v>
      </c>
      <c r="P296" s="59"/>
      <c r="Q296" s="59"/>
      <c r="R296" s="13"/>
    </row>
    <row r="297" spans="1:18" x14ac:dyDescent="0.25">
      <c r="A297" s="9" t="s">
        <v>21</v>
      </c>
      <c r="B297" s="28">
        <f>IF(ISBLANK(A297),0,INDEX(txtstylestab[],MATCH(A297,txtstylestab[style_Name],0),1))</f>
        <v>0</v>
      </c>
      <c r="C297" s="28">
        <f t="shared" si="17"/>
        <v>1</v>
      </c>
      <c r="D297" s="28">
        <f t="shared" si="18"/>
        <v>16</v>
      </c>
      <c r="E297" s="28">
        <f t="shared" si="19"/>
        <v>0</v>
      </c>
      <c r="F297" s="59" t="str">
        <f t="shared" si="20"/>
        <v/>
      </c>
      <c r="G297" s="42" t="s">
        <v>6</v>
      </c>
      <c r="H297" s="43" t="s">
        <v>26</v>
      </c>
      <c r="I297" s="44" t="s">
        <v>48</v>
      </c>
      <c r="J297" s="45" t="s">
        <v>54</v>
      </c>
      <c r="K297" s="46" t="s">
        <v>59</v>
      </c>
      <c r="L297" s="47" t="s">
        <v>2525</v>
      </c>
      <c r="M297" s="48" t="s">
        <v>2526</v>
      </c>
      <c r="N297" s="49"/>
      <c r="O297" s="50" t="s">
        <v>3173</v>
      </c>
      <c r="P297" s="50"/>
      <c r="Q297" s="59"/>
      <c r="R297" s="13"/>
    </row>
    <row r="298" spans="1:18" ht="15.75" thickBot="1" x14ac:dyDescent="0.3">
      <c r="A298" s="9" t="s">
        <v>12</v>
      </c>
      <c r="B298" s="28">
        <f>IF(ISBLANK(A298),0,INDEX(txtstylestab[],MATCH(A298,txtstylestab[style_Name],0),1))</f>
        <v>3</v>
      </c>
      <c r="C298" s="28">
        <f t="shared" si="17"/>
        <v>1</v>
      </c>
      <c r="D298" s="28">
        <f t="shared" si="18"/>
        <v>16</v>
      </c>
      <c r="E298" s="28">
        <f t="shared" si="19"/>
        <v>1</v>
      </c>
      <c r="F298" s="55" t="str">
        <f t="shared" si="20"/>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7"/>
        <v>1</v>
      </c>
      <c r="D299" s="28">
        <f t="shared" si="18"/>
        <v>16</v>
      </c>
      <c r="E299" s="28">
        <f t="shared" si="19"/>
        <v>1</v>
      </c>
      <c r="F299" s="59" t="str">
        <f t="shared" si="20"/>
        <v/>
      </c>
      <c r="G299" s="42" t="s">
        <v>82</v>
      </c>
      <c r="H299" s="43" t="s">
        <v>83</v>
      </c>
      <c r="I299" s="44" t="s">
        <v>84</v>
      </c>
      <c r="J299" s="45" t="s">
        <v>85</v>
      </c>
      <c r="K299" s="46" t="s">
        <v>86</v>
      </c>
      <c r="L299" s="47" t="s">
        <v>2398</v>
      </c>
      <c r="M299" s="48" t="s">
        <v>2540</v>
      </c>
      <c r="N299" s="49"/>
      <c r="O299" s="50" t="s">
        <v>3364</v>
      </c>
      <c r="P299" s="50"/>
      <c r="Q299" s="59"/>
      <c r="R299" s="13"/>
    </row>
    <row r="300" spans="1:18" ht="90" x14ac:dyDescent="0.25">
      <c r="A300" s="9" t="s">
        <v>21</v>
      </c>
      <c r="B300" s="28">
        <f>IF(ISBLANK(A300),0,INDEX(txtstylestab[],MATCH(A300,txtstylestab[style_Name],0),1))</f>
        <v>0</v>
      </c>
      <c r="C300" s="28">
        <f t="shared" si="17"/>
        <v>1</v>
      </c>
      <c r="D300" s="28">
        <f t="shared" si="18"/>
        <v>16</v>
      </c>
      <c r="E300" s="28">
        <f t="shared" si="19"/>
        <v>1</v>
      </c>
      <c r="F300" s="59" t="str">
        <f t="shared" si="20"/>
        <v/>
      </c>
      <c r="G300" s="42" t="s">
        <v>602</v>
      </c>
      <c r="H300" s="43" t="s">
        <v>603</v>
      </c>
      <c r="I300" s="44" t="s">
        <v>604</v>
      </c>
      <c r="J300" s="45" t="s">
        <v>605</v>
      </c>
      <c r="K300" s="46" t="s">
        <v>606</v>
      </c>
      <c r="L300" s="47" t="s">
        <v>2619</v>
      </c>
      <c r="M300" s="48" t="s">
        <v>2620</v>
      </c>
      <c r="N300" s="49"/>
      <c r="O300" s="50" t="s">
        <v>3381</v>
      </c>
      <c r="P300" s="59"/>
      <c r="Q300" s="59"/>
      <c r="R300" s="13"/>
    </row>
    <row r="301" spans="1:18" x14ac:dyDescent="0.25">
      <c r="A301" s="9" t="s">
        <v>21</v>
      </c>
      <c r="B301" s="28">
        <f>IF(ISBLANK(A301),0,INDEX(txtstylestab[],MATCH(A301,txtstylestab[style_Name],0),1))</f>
        <v>0</v>
      </c>
      <c r="C301" s="28">
        <f t="shared" si="17"/>
        <v>1</v>
      </c>
      <c r="D301" s="28">
        <f t="shared" si="18"/>
        <v>16</v>
      </c>
      <c r="E301" s="28">
        <f t="shared" si="19"/>
        <v>1</v>
      </c>
      <c r="F301" s="59" t="str">
        <f t="shared" si="20"/>
        <v/>
      </c>
      <c r="G301" s="42" t="s">
        <v>6</v>
      </c>
      <c r="H301" s="43" t="s">
        <v>26</v>
      </c>
      <c r="I301" s="44" t="s">
        <v>48</v>
      </c>
      <c r="J301" s="45" t="s">
        <v>54</v>
      </c>
      <c r="K301" s="46" t="s">
        <v>59</v>
      </c>
      <c r="L301" s="47" t="s">
        <v>2525</v>
      </c>
      <c r="M301" s="48" t="s">
        <v>2526</v>
      </c>
      <c r="N301" s="49"/>
      <c r="O301" s="50" t="s">
        <v>3173</v>
      </c>
      <c r="P301" s="50"/>
      <c r="Q301" s="59"/>
      <c r="R301" s="13"/>
    </row>
    <row r="302" spans="1:18" ht="15.75" thickBot="1" x14ac:dyDescent="0.3">
      <c r="A302" s="9" t="s">
        <v>12</v>
      </c>
      <c r="B302" s="28">
        <f>IF(ISBLANK(A302),0,INDEX(txtstylestab[],MATCH(A302,txtstylestab[style_Name],0),1))</f>
        <v>3</v>
      </c>
      <c r="C302" s="28">
        <f t="shared" si="17"/>
        <v>1</v>
      </c>
      <c r="D302" s="28">
        <f t="shared" si="18"/>
        <v>16</v>
      </c>
      <c r="E302" s="28">
        <f t="shared" si="19"/>
        <v>2</v>
      </c>
      <c r="F302" s="55" t="str">
        <f t="shared" si="20"/>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7"/>
        <v>1</v>
      </c>
      <c r="D303" s="28">
        <f t="shared" si="18"/>
        <v>16</v>
      </c>
      <c r="E303" s="28">
        <f t="shared" si="19"/>
        <v>2</v>
      </c>
      <c r="F303" s="59" t="str">
        <f t="shared" si="20"/>
        <v/>
      </c>
      <c r="G303" s="42" t="s">
        <v>82</v>
      </c>
      <c r="H303" s="43" t="s">
        <v>83</v>
      </c>
      <c r="I303" s="44" t="s">
        <v>84</v>
      </c>
      <c r="J303" s="45" t="s">
        <v>85</v>
      </c>
      <c r="K303" s="46" t="s">
        <v>86</v>
      </c>
      <c r="L303" s="47" t="s">
        <v>2398</v>
      </c>
      <c r="M303" s="48" t="s">
        <v>2540</v>
      </c>
      <c r="N303" s="49"/>
      <c r="O303" s="50" t="s">
        <v>3364</v>
      </c>
      <c r="P303" s="50"/>
      <c r="Q303" s="59"/>
      <c r="R303" s="13"/>
    </row>
    <row r="304" spans="1:18" ht="60" x14ac:dyDescent="0.25">
      <c r="A304" s="9" t="s">
        <v>21</v>
      </c>
      <c r="B304" s="28">
        <f>IF(ISBLANK(A304),0,INDEX(txtstylestab[],MATCH(A304,txtstylestab[style_Name],0),1))</f>
        <v>0</v>
      </c>
      <c r="C304" s="28">
        <f t="shared" si="17"/>
        <v>1</v>
      </c>
      <c r="D304" s="28">
        <f t="shared" si="18"/>
        <v>16</v>
      </c>
      <c r="E304" s="28">
        <f t="shared" si="19"/>
        <v>2</v>
      </c>
      <c r="F304" s="59" t="str">
        <f t="shared" si="20"/>
        <v/>
      </c>
      <c r="G304" s="42" t="s">
        <v>608</v>
      </c>
      <c r="H304" s="43" t="s">
        <v>609</v>
      </c>
      <c r="I304" s="44" t="s">
        <v>610</v>
      </c>
      <c r="J304" s="45" t="s">
        <v>1622</v>
      </c>
      <c r="K304" s="46" t="s">
        <v>611</v>
      </c>
      <c r="L304" s="47" t="s">
        <v>2621</v>
      </c>
      <c r="M304" s="48" t="s">
        <v>2622</v>
      </c>
      <c r="N304" s="49"/>
      <c r="O304" s="50" t="s">
        <v>3382</v>
      </c>
      <c r="P304" s="59"/>
      <c r="Q304" s="59"/>
      <c r="R304" s="13"/>
    </row>
    <row r="305" spans="1:18" ht="90" x14ac:dyDescent="0.25">
      <c r="A305" s="9" t="s">
        <v>21</v>
      </c>
      <c r="B305" s="28">
        <f>IF(ISBLANK(A305),0,INDEX(txtstylestab[],MATCH(A305,txtstylestab[style_Name],0),1))</f>
        <v>0</v>
      </c>
      <c r="C305" s="28">
        <f t="shared" si="17"/>
        <v>1</v>
      </c>
      <c r="D305" s="28">
        <f t="shared" si="18"/>
        <v>16</v>
      </c>
      <c r="E305" s="28">
        <f t="shared" si="19"/>
        <v>2</v>
      </c>
      <c r="F305" s="59" t="str">
        <f t="shared" si="20"/>
        <v/>
      </c>
      <c r="G305" s="42" t="s">
        <v>612</v>
      </c>
      <c r="H305" s="43" t="s">
        <v>613</v>
      </c>
      <c r="I305" s="44" t="s">
        <v>614</v>
      </c>
      <c r="J305" s="45" t="s">
        <v>615</v>
      </c>
      <c r="K305" s="46" t="s">
        <v>2303</v>
      </c>
      <c r="L305" s="47" t="s">
        <v>2623</v>
      </c>
      <c r="M305" s="48" t="s">
        <v>2624</v>
      </c>
      <c r="N305" s="49"/>
      <c r="O305" s="50" t="s">
        <v>3383</v>
      </c>
      <c r="P305" s="59"/>
      <c r="Q305" s="59"/>
      <c r="R305" s="13"/>
    </row>
    <row r="306" spans="1:18" x14ac:dyDescent="0.25">
      <c r="A306" s="9" t="s">
        <v>21</v>
      </c>
      <c r="B306" s="28">
        <f>IF(ISBLANK(A306),0,INDEX(txtstylestab[],MATCH(A306,txtstylestab[style_Name],0),1))</f>
        <v>0</v>
      </c>
      <c r="C306" s="28">
        <f t="shared" si="17"/>
        <v>1</v>
      </c>
      <c r="D306" s="28">
        <f t="shared" si="18"/>
        <v>16</v>
      </c>
      <c r="E306" s="28">
        <f t="shared" si="19"/>
        <v>2</v>
      </c>
      <c r="F306" s="59" t="str">
        <f t="shared" si="20"/>
        <v/>
      </c>
      <c r="G306" s="42" t="s">
        <v>6</v>
      </c>
      <c r="H306" s="43" t="s">
        <v>26</v>
      </c>
      <c r="I306" s="44" t="s">
        <v>48</v>
      </c>
      <c r="J306" s="45" t="s">
        <v>54</v>
      </c>
      <c r="K306" s="46" t="s">
        <v>59</v>
      </c>
      <c r="L306" s="47" t="s">
        <v>2525</v>
      </c>
      <c r="M306" s="48" t="s">
        <v>2526</v>
      </c>
      <c r="N306" s="49"/>
      <c r="O306" s="50" t="s">
        <v>3173</v>
      </c>
      <c r="P306" s="50"/>
      <c r="Q306" s="59"/>
      <c r="R306" s="13"/>
    </row>
    <row r="307" spans="1:18" ht="18" thickBot="1" x14ac:dyDescent="0.35">
      <c r="A307" s="9" t="s">
        <v>11</v>
      </c>
      <c r="B307" s="28">
        <f>IF(ISBLANK(A307),0,INDEX(txtstylestab[],MATCH(A307,txtstylestab[style_Name],0),1))</f>
        <v>2</v>
      </c>
      <c r="C307" s="28">
        <f t="shared" si="17"/>
        <v>1</v>
      </c>
      <c r="D307" s="28">
        <f t="shared" si="18"/>
        <v>17</v>
      </c>
      <c r="E307" s="28">
        <f t="shared" si="19"/>
        <v>0</v>
      </c>
      <c r="F307" s="54" t="str">
        <f t="shared" si="20"/>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7"/>
        <v>1</v>
      </c>
      <c r="D308" s="28">
        <f t="shared" si="18"/>
        <v>17</v>
      </c>
      <c r="E308" s="28">
        <f t="shared" si="19"/>
        <v>0</v>
      </c>
      <c r="F308" s="59" t="str">
        <f t="shared" si="20"/>
        <v/>
      </c>
      <c r="G308" s="42" t="s">
        <v>618</v>
      </c>
      <c r="H308" s="43" t="s">
        <v>617</v>
      </c>
      <c r="I308" s="44" t="s">
        <v>619</v>
      </c>
      <c r="J308" s="45" t="s">
        <v>620</v>
      </c>
      <c r="K308" s="46" t="s">
        <v>60</v>
      </c>
      <c r="L308" s="47" t="s">
        <v>2625</v>
      </c>
      <c r="M308" s="48" t="s">
        <v>2626</v>
      </c>
      <c r="N308" s="49"/>
      <c r="O308" s="50" t="s">
        <v>3384</v>
      </c>
      <c r="P308" s="59"/>
      <c r="Q308" s="59"/>
      <c r="R308" s="13"/>
    </row>
    <row r="309" spans="1:18" ht="45" x14ac:dyDescent="0.25">
      <c r="A309" s="9" t="s">
        <v>21</v>
      </c>
      <c r="B309" s="28">
        <f>IF(ISBLANK(A309),0,INDEX(txtstylestab[],MATCH(A309,txtstylestab[style_Name],0),1))</f>
        <v>0</v>
      </c>
      <c r="C309" s="28">
        <f t="shared" si="17"/>
        <v>1</v>
      </c>
      <c r="D309" s="28">
        <f t="shared" si="18"/>
        <v>17</v>
      </c>
      <c r="E309" s="28">
        <f t="shared" si="19"/>
        <v>0</v>
      </c>
      <c r="F309" s="59" t="str">
        <f t="shared" si="20"/>
        <v/>
      </c>
      <c r="G309" s="42" t="s">
        <v>1839</v>
      </c>
      <c r="H309" s="43" t="s">
        <v>1840</v>
      </c>
      <c r="I309" s="44" t="s">
        <v>1841</v>
      </c>
      <c r="J309" s="45" t="s">
        <v>621</v>
      </c>
      <c r="K309" s="46" t="s">
        <v>1842</v>
      </c>
      <c r="L309" s="47" t="s">
        <v>2627</v>
      </c>
      <c r="M309" s="48" t="s">
        <v>2628</v>
      </c>
      <c r="N309" s="49"/>
      <c r="O309" s="50" t="s">
        <v>3496</v>
      </c>
      <c r="P309" s="59"/>
      <c r="Q309" s="59"/>
      <c r="R309" s="13"/>
    </row>
    <row r="310" spans="1:18" x14ac:dyDescent="0.25">
      <c r="A310" s="9" t="s">
        <v>14</v>
      </c>
      <c r="B310" s="28">
        <f>IF(ISBLANK(A310),0,INDEX(txtstylestab[],MATCH(A310,txtstylestab[style_Name],0),1))</f>
        <v>6</v>
      </c>
      <c r="C310" s="28">
        <f t="shared" si="17"/>
        <v>1</v>
      </c>
      <c r="D310" s="28">
        <f t="shared" si="18"/>
        <v>17</v>
      </c>
      <c r="E310" s="28">
        <f t="shared" si="19"/>
        <v>0</v>
      </c>
      <c r="F310" s="59" t="str">
        <f t="shared" si="20"/>
        <v/>
      </c>
      <c r="G310" s="42" t="s">
        <v>1833</v>
      </c>
      <c r="H310" s="43" t="s">
        <v>1834</v>
      </c>
      <c r="I310" s="44" t="s">
        <v>1835</v>
      </c>
      <c r="J310" s="45" t="s">
        <v>2201</v>
      </c>
      <c r="K310" s="46" t="s">
        <v>1836</v>
      </c>
      <c r="L310" s="47" t="s">
        <v>2549</v>
      </c>
      <c r="M310" s="48" t="s">
        <v>2550</v>
      </c>
      <c r="N310" s="49"/>
      <c r="O310" s="50" t="s">
        <v>3487</v>
      </c>
      <c r="P310" s="59"/>
      <c r="Q310" s="59"/>
      <c r="R310" s="13"/>
    </row>
    <row r="311" spans="1:18" x14ac:dyDescent="0.25">
      <c r="A311" s="9" t="s">
        <v>14</v>
      </c>
      <c r="B311" s="28">
        <f>IF(ISBLANK(A311),0,INDEX(txtstylestab[],MATCH(A311,txtstylestab[style_Name],0),1))</f>
        <v>6</v>
      </c>
      <c r="C311" s="28">
        <f t="shared" si="17"/>
        <v>1</v>
      </c>
      <c r="D311" s="28">
        <f t="shared" si="18"/>
        <v>17</v>
      </c>
      <c r="E311" s="28">
        <f t="shared" si="19"/>
        <v>0</v>
      </c>
      <c r="F311" s="59" t="str">
        <f t="shared" si="20"/>
        <v/>
      </c>
      <c r="G311" s="42" t="s">
        <v>1809</v>
      </c>
      <c r="H311" s="43" t="s">
        <v>1811</v>
      </c>
      <c r="I311" s="44" t="s">
        <v>1813</v>
      </c>
      <c r="J311" s="45" t="s">
        <v>1815</v>
      </c>
      <c r="K311" s="46" t="s">
        <v>1817</v>
      </c>
      <c r="L311" s="47" t="s">
        <v>2543</v>
      </c>
      <c r="M311" s="48" t="s">
        <v>2544</v>
      </c>
      <c r="N311" s="49"/>
      <c r="O311" s="50" t="s">
        <v>3488</v>
      </c>
      <c r="P311" s="59"/>
      <c r="Q311" s="59"/>
      <c r="R311" s="13"/>
    </row>
    <row r="312" spans="1:18" ht="16.5" x14ac:dyDescent="0.25">
      <c r="A312" s="9" t="s">
        <v>14</v>
      </c>
      <c r="B312" s="28">
        <f>IF(ISBLANK(A312),0,INDEX(txtstylestab[],MATCH(A312,txtstylestab[style_Name],0),1))</f>
        <v>6</v>
      </c>
      <c r="C312" s="28">
        <f t="shared" si="17"/>
        <v>1</v>
      </c>
      <c r="D312" s="28">
        <f t="shared" si="18"/>
        <v>17</v>
      </c>
      <c r="E312" s="28">
        <f t="shared" si="19"/>
        <v>0</v>
      </c>
      <c r="F312" s="59" t="str">
        <f t="shared" si="20"/>
        <v/>
      </c>
      <c r="G312" s="42" t="s">
        <v>1810</v>
      </c>
      <c r="H312" s="43" t="s">
        <v>1812</v>
      </c>
      <c r="I312" s="44" t="s">
        <v>1814</v>
      </c>
      <c r="J312" s="45" t="s">
        <v>1816</v>
      </c>
      <c r="K312" s="46" t="s">
        <v>1818</v>
      </c>
      <c r="L312" s="47" t="s">
        <v>2545</v>
      </c>
      <c r="M312" s="48" t="s">
        <v>2548</v>
      </c>
      <c r="N312" s="49"/>
      <c r="O312" s="50" t="s">
        <v>3489</v>
      </c>
      <c r="P312" s="59"/>
      <c r="Q312" s="59"/>
      <c r="R312" s="13"/>
    </row>
    <row r="313" spans="1:18" x14ac:dyDescent="0.25">
      <c r="A313" s="9" t="s">
        <v>14</v>
      </c>
      <c r="B313" s="28">
        <f>IF(ISBLANK(A313),0,INDEX(txtstylestab[],MATCH(A313,txtstylestab[style_Name],0),1))</f>
        <v>6</v>
      </c>
      <c r="C313" s="28">
        <f t="shared" si="17"/>
        <v>1</v>
      </c>
      <c r="D313" s="28">
        <f t="shared" si="18"/>
        <v>17</v>
      </c>
      <c r="E313" s="28">
        <f t="shared" si="19"/>
        <v>0</v>
      </c>
      <c r="F313" s="59" t="str">
        <f t="shared" si="20"/>
        <v/>
      </c>
      <c r="G313" s="42" t="s">
        <v>1819</v>
      </c>
      <c r="H313" s="43" t="s">
        <v>1820</v>
      </c>
      <c r="I313" s="44" t="s">
        <v>1821</v>
      </c>
      <c r="J313" s="45" t="s">
        <v>1822</v>
      </c>
      <c r="K313" s="46" t="s">
        <v>1823</v>
      </c>
      <c r="L313" s="47" t="s">
        <v>2546</v>
      </c>
      <c r="M313" s="48" t="s">
        <v>2547</v>
      </c>
      <c r="N313" s="49"/>
      <c r="O313" s="50" t="s">
        <v>3486</v>
      </c>
      <c r="P313" s="59"/>
      <c r="Q313" s="59"/>
      <c r="R313" s="13"/>
    </row>
    <row r="314" spans="1:18" x14ac:dyDescent="0.25">
      <c r="A314" s="9" t="s">
        <v>21</v>
      </c>
      <c r="B314" s="28">
        <f>IF(ISBLANK(A314),0,INDEX(txtstylestab[],MATCH(A314,txtstylestab[style_Name],0),1))</f>
        <v>0</v>
      </c>
      <c r="C314" s="28">
        <f t="shared" si="17"/>
        <v>1</v>
      </c>
      <c r="D314" s="28">
        <f t="shared" si="18"/>
        <v>17</v>
      </c>
      <c r="E314" s="28">
        <f t="shared" si="19"/>
        <v>0</v>
      </c>
      <c r="F314" s="59" t="str">
        <f t="shared" si="20"/>
        <v/>
      </c>
      <c r="G314" s="42"/>
      <c r="H314" s="43"/>
      <c r="I314" s="44"/>
      <c r="J314" s="45"/>
      <c r="K314" s="46"/>
      <c r="L314" s="47"/>
      <c r="M314" s="48"/>
      <c r="N314" s="49"/>
      <c r="O314" s="50" t="s">
        <v>3495</v>
      </c>
      <c r="P314" s="59"/>
      <c r="Q314" s="59"/>
      <c r="R314" s="13"/>
    </row>
    <row r="315" spans="1:18" x14ac:dyDescent="0.25">
      <c r="A315" s="9" t="s">
        <v>22</v>
      </c>
      <c r="B315" s="28">
        <f>IF(ISBLANK(A315),0,INDEX(txtstylestab[],MATCH(A315,txtstylestab[style_Name],0),1))</f>
        <v>4</v>
      </c>
      <c r="C315" s="28">
        <f t="shared" si="17"/>
        <v>1</v>
      </c>
      <c r="D315" s="28">
        <f t="shared" si="18"/>
        <v>17</v>
      </c>
      <c r="E315" s="28">
        <f t="shared" si="19"/>
        <v>0</v>
      </c>
      <c r="F315" s="56" t="str">
        <f t="shared" si="20"/>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7"/>
        <v>1</v>
      </c>
      <c r="D316" s="28">
        <f t="shared" si="18"/>
        <v>17</v>
      </c>
      <c r="E316" s="28">
        <f t="shared" si="19"/>
        <v>0</v>
      </c>
      <c r="F316" s="59" t="str">
        <f t="shared" si="20"/>
        <v/>
      </c>
      <c r="G316" s="42" t="s">
        <v>460</v>
      </c>
      <c r="H316" s="43" t="s">
        <v>622</v>
      </c>
      <c r="I316" s="44" t="s">
        <v>623</v>
      </c>
      <c r="J316" s="45" t="s">
        <v>624</v>
      </c>
      <c r="K316" s="46" t="s">
        <v>625</v>
      </c>
      <c r="L316" s="47" t="s">
        <v>2629</v>
      </c>
      <c r="M316" s="48" t="s">
        <v>2630</v>
      </c>
      <c r="N316" s="49"/>
      <c r="O316" s="50" t="s">
        <v>3385</v>
      </c>
      <c r="P316" s="59"/>
      <c r="Q316" s="59"/>
      <c r="R316" s="13"/>
    </row>
    <row r="317" spans="1:18" x14ac:dyDescent="0.25">
      <c r="A317" s="9" t="s">
        <v>21</v>
      </c>
      <c r="B317" s="28">
        <f>IF(ISBLANK(A317),0,INDEX(txtstylestab[],MATCH(A317,txtstylestab[style_Name],0),1))</f>
        <v>0</v>
      </c>
      <c r="C317" s="28">
        <f t="shared" si="17"/>
        <v>1</v>
      </c>
      <c r="D317" s="28">
        <f t="shared" si="18"/>
        <v>17</v>
      </c>
      <c r="E317" s="28">
        <f t="shared" si="19"/>
        <v>0</v>
      </c>
      <c r="F317" s="59" t="str">
        <f t="shared" si="20"/>
        <v/>
      </c>
      <c r="G317" s="42" t="s">
        <v>6</v>
      </c>
      <c r="H317" s="43" t="s">
        <v>26</v>
      </c>
      <c r="I317" s="44" t="s">
        <v>48</v>
      </c>
      <c r="J317" s="45" t="s">
        <v>384</v>
      </c>
      <c r="K317" s="46" t="s">
        <v>59</v>
      </c>
      <c r="L317" s="47" t="s">
        <v>2525</v>
      </c>
      <c r="M317" s="48" t="s">
        <v>2526</v>
      </c>
      <c r="N317" s="49"/>
      <c r="O317" s="50" t="s">
        <v>3173</v>
      </c>
      <c r="P317" s="50"/>
      <c r="Q317" s="59"/>
      <c r="R317" s="13"/>
    </row>
    <row r="318" spans="1:18" ht="18" thickBot="1" x14ac:dyDescent="0.35">
      <c r="A318" s="9" t="s">
        <v>11</v>
      </c>
      <c r="B318" s="28">
        <f>IF(ISBLANK(A318),0,INDEX(txtstylestab[],MATCH(A318,txtstylestab[style_Name],0),1))</f>
        <v>2</v>
      </c>
      <c r="C318" s="28">
        <f t="shared" si="17"/>
        <v>1</v>
      </c>
      <c r="D318" s="28">
        <f t="shared" si="18"/>
        <v>18</v>
      </c>
      <c r="E318" s="28">
        <f t="shared" si="19"/>
        <v>0</v>
      </c>
      <c r="F318" s="54" t="str">
        <f t="shared" si="20"/>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7"/>
        <v>1</v>
      </c>
      <c r="D319" s="28">
        <f t="shared" si="18"/>
        <v>18</v>
      </c>
      <c r="E319" s="28">
        <f t="shared" si="19"/>
        <v>1</v>
      </c>
      <c r="F319" s="55" t="str">
        <f t="shared" si="20"/>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7"/>
        <v>1</v>
      </c>
      <c r="D320" s="28">
        <f t="shared" si="18"/>
        <v>18</v>
      </c>
      <c r="E320" s="28">
        <f t="shared" si="19"/>
        <v>1</v>
      </c>
      <c r="F320" s="59" t="str">
        <f t="shared" si="20"/>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7"/>
        <v>1</v>
      </c>
      <c r="D321" s="28">
        <f t="shared" si="18"/>
        <v>18</v>
      </c>
      <c r="E321" s="28">
        <f t="shared" si="19"/>
        <v>1</v>
      </c>
      <c r="F321" s="59" t="str">
        <f t="shared" si="20"/>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7"/>
        <v>1</v>
      </c>
      <c r="D322" s="28">
        <f t="shared" si="18"/>
        <v>18</v>
      </c>
      <c r="E322" s="28">
        <f t="shared" si="19"/>
        <v>1</v>
      </c>
      <c r="F322" s="59" t="str">
        <f t="shared" si="20"/>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7"/>
        <v>1</v>
      </c>
      <c r="D323" s="28">
        <f t="shared" si="18"/>
        <v>18</v>
      </c>
      <c r="E323" s="28">
        <f t="shared" si="19"/>
        <v>1</v>
      </c>
      <c r="F323" s="59" t="str">
        <f t="shared" si="20"/>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1">IF(B324=1,C323+1,C323)</f>
        <v>1</v>
      </c>
      <c r="D324" s="28">
        <f t="shared" ref="D324:D387" si="22">IF(B324=1,0,IF(B324=2,D323+1,IF(AND(B324=3,D323=0),1,D323)))</f>
        <v>18</v>
      </c>
      <c r="E324" s="28">
        <f t="shared" ref="E324:E387" si="23">IF(OR(B324=1,B324=2),0,IF(B324=3,E323+1,E323))</f>
        <v>1</v>
      </c>
      <c r="F324" s="59" t="str">
        <f t="shared" ref="F324:F387" si="24">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1"/>
        <v>1</v>
      </c>
      <c r="D325" s="28">
        <f t="shared" si="22"/>
        <v>18</v>
      </c>
      <c r="E325" s="28">
        <f t="shared" si="23"/>
        <v>1</v>
      </c>
      <c r="F325" s="59" t="str">
        <f t="shared" si="24"/>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1"/>
        <v>1</v>
      </c>
      <c r="D326" s="28">
        <f t="shared" si="22"/>
        <v>18</v>
      </c>
      <c r="E326" s="28">
        <f t="shared" si="23"/>
        <v>1</v>
      </c>
      <c r="F326" s="59" t="str">
        <f t="shared" si="24"/>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1"/>
        <v>1</v>
      </c>
      <c r="D327" s="28">
        <f t="shared" si="22"/>
        <v>18</v>
      </c>
      <c r="E327" s="28">
        <f t="shared" si="23"/>
        <v>2</v>
      </c>
      <c r="F327" s="55" t="str">
        <f t="shared" si="24"/>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1"/>
        <v>1</v>
      </c>
      <c r="D328" s="28">
        <f t="shared" si="22"/>
        <v>18</v>
      </c>
      <c r="E328" s="28">
        <f t="shared" si="23"/>
        <v>2</v>
      </c>
      <c r="F328" s="59" t="str">
        <f t="shared" si="24"/>
        <v/>
      </c>
      <c r="G328" s="42" t="s">
        <v>82</v>
      </c>
      <c r="H328" s="43" t="s">
        <v>83</v>
      </c>
      <c r="I328" s="44" t="s">
        <v>84</v>
      </c>
      <c r="J328" s="45" t="s">
        <v>85</v>
      </c>
      <c r="K328" s="46" t="s">
        <v>86</v>
      </c>
      <c r="L328" s="47" t="s">
        <v>2398</v>
      </c>
      <c r="M328" s="48" t="s">
        <v>2540</v>
      </c>
      <c r="N328" s="49"/>
      <c r="O328" s="50" t="s">
        <v>3364</v>
      </c>
      <c r="P328" s="50"/>
      <c r="Q328" s="59"/>
      <c r="R328" s="13"/>
    </row>
    <row r="329" spans="1:18" ht="105" x14ac:dyDescent="0.25">
      <c r="A329" s="9" t="s">
        <v>21</v>
      </c>
      <c r="B329" s="28">
        <f>IF(ISBLANK(A329),0,INDEX(txtstylestab[],MATCH(A329,txtstylestab[style_Name],0),1))</f>
        <v>0</v>
      </c>
      <c r="C329" s="28">
        <f t="shared" si="21"/>
        <v>1</v>
      </c>
      <c r="D329" s="28">
        <f t="shared" si="22"/>
        <v>18</v>
      </c>
      <c r="E329" s="28">
        <f t="shared" si="23"/>
        <v>2</v>
      </c>
      <c r="F329" s="59" t="str">
        <f t="shared" si="24"/>
        <v/>
      </c>
      <c r="G329" s="42" t="s">
        <v>1845</v>
      </c>
      <c r="H329" s="43" t="s">
        <v>1846</v>
      </c>
      <c r="I329" s="44" t="s">
        <v>1848</v>
      </c>
      <c r="J329" s="45" t="s">
        <v>648</v>
      </c>
      <c r="K329" s="46" t="s">
        <v>1847</v>
      </c>
      <c r="L329" s="47" t="s">
        <v>2652</v>
      </c>
      <c r="M329" s="48" t="s">
        <v>2641</v>
      </c>
      <c r="N329" s="49"/>
      <c r="O329" s="50" t="s">
        <v>3386</v>
      </c>
      <c r="P329" s="59"/>
      <c r="Q329" s="59"/>
      <c r="R329" s="13"/>
    </row>
    <row r="330" spans="1:18" x14ac:dyDescent="0.25">
      <c r="A330" s="9" t="s">
        <v>14</v>
      </c>
      <c r="B330" s="28">
        <f>IF(ISBLANK(A330),0,INDEX(txtstylestab[],MATCH(A330,txtstylestab[style_Name],0),1))</f>
        <v>6</v>
      </c>
      <c r="C330" s="28">
        <f t="shared" si="21"/>
        <v>1</v>
      </c>
      <c r="D330" s="28">
        <f t="shared" si="22"/>
        <v>18</v>
      </c>
      <c r="E330" s="28">
        <f t="shared" si="23"/>
        <v>2</v>
      </c>
      <c r="F330" s="59" t="str">
        <f t="shared" si="24"/>
        <v/>
      </c>
      <c r="G330" s="42" t="s">
        <v>1849</v>
      </c>
      <c r="H330" s="43" t="s">
        <v>1853</v>
      </c>
      <c r="I330" s="44" t="s">
        <v>1857</v>
      </c>
      <c r="J330" s="45" t="s">
        <v>1860</v>
      </c>
      <c r="K330" s="46" t="s">
        <v>1864</v>
      </c>
      <c r="L330" s="47" t="s">
        <v>2642</v>
      </c>
      <c r="M330" s="48" t="s">
        <v>2643</v>
      </c>
      <c r="N330" s="49"/>
      <c r="O330" s="50" t="s">
        <v>3387</v>
      </c>
      <c r="P330" s="59"/>
      <c r="Q330" s="59"/>
      <c r="R330" s="13"/>
    </row>
    <row r="331" spans="1:18" x14ac:dyDescent="0.25">
      <c r="A331" s="9" t="s">
        <v>14</v>
      </c>
      <c r="B331" s="28">
        <f>IF(ISBLANK(A331),0,INDEX(txtstylestab[],MATCH(A331,txtstylestab[style_Name],0),1))</f>
        <v>6</v>
      </c>
      <c r="C331" s="28">
        <f t="shared" si="21"/>
        <v>1</v>
      </c>
      <c r="D331" s="28">
        <f t="shared" si="22"/>
        <v>18</v>
      </c>
      <c r="E331" s="28">
        <f t="shared" si="23"/>
        <v>2</v>
      </c>
      <c r="F331" s="59" t="str">
        <f t="shared" si="24"/>
        <v/>
      </c>
      <c r="G331" s="42" t="s">
        <v>1850</v>
      </c>
      <c r="H331" s="43" t="s">
        <v>1854</v>
      </c>
      <c r="I331" s="44" t="s">
        <v>649</v>
      </c>
      <c r="J331" s="45" t="s">
        <v>1861</v>
      </c>
      <c r="K331" s="46" t="s">
        <v>1865</v>
      </c>
      <c r="L331" s="47" t="s">
        <v>2644</v>
      </c>
      <c r="M331" s="48" t="s">
        <v>2645</v>
      </c>
      <c r="N331" s="49"/>
      <c r="O331" s="50" t="s">
        <v>3388</v>
      </c>
      <c r="P331" s="59"/>
      <c r="Q331" s="59"/>
      <c r="R331" s="13"/>
    </row>
    <row r="332" spans="1:18" x14ac:dyDescent="0.25">
      <c r="A332" s="9" t="s">
        <v>14</v>
      </c>
      <c r="B332" s="28">
        <f>IF(ISBLANK(A332),0,INDEX(txtstylestab[],MATCH(A332,txtstylestab[style_Name],0),1))</f>
        <v>6</v>
      </c>
      <c r="C332" s="28">
        <f t="shared" si="21"/>
        <v>1</v>
      </c>
      <c r="D332" s="28">
        <f t="shared" si="22"/>
        <v>18</v>
      </c>
      <c r="E332" s="28">
        <f t="shared" si="23"/>
        <v>2</v>
      </c>
      <c r="F332" s="59" t="str">
        <f t="shared" si="24"/>
        <v/>
      </c>
      <c r="G332" s="42" t="s">
        <v>1851</v>
      </c>
      <c r="H332" s="43" t="s">
        <v>1855</v>
      </c>
      <c r="I332" s="44" t="s">
        <v>1858</v>
      </c>
      <c r="J332" s="45" t="s">
        <v>1862</v>
      </c>
      <c r="K332" s="46" t="s">
        <v>1866</v>
      </c>
      <c r="L332" s="47" t="s">
        <v>2646</v>
      </c>
      <c r="M332" s="48" t="s">
        <v>2647</v>
      </c>
      <c r="N332" s="49"/>
      <c r="O332" s="50" t="s">
        <v>3389</v>
      </c>
      <c r="P332" s="59"/>
      <c r="Q332" s="59"/>
      <c r="R332" s="13"/>
    </row>
    <row r="333" spans="1:18" x14ac:dyDescent="0.25">
      <c r="A333" s="9" t="s">
        <v>14</v>
      </c>
      <c r="B333" s="28">
        <f>IF(ISBLANK(A333),0,INDEX(txtstylestab[],MATCH(A333,txtstylestab[style_Name],0),1))</f>
        <v>6</v>
      </c>
      <c r="C333" s="28">
        <f t="shared" si="21"/>
        <v>1</v>
      </c>
      <c r="D333" s="28">
        <f t="shared" si="22"/>
        <v>18</v>
      </c>
      <c r="E333" s="28">
        <f t="shared" si="23"/>
        <v>2</v>
      </c>
      <c r="F333" s="59" t="str">
        <f t="shared" si="24"/>
        <v/>
      </c>
      <c r="G333" s="42" t="s">
        <v>1852</v>
      </c>
      <c r="H333" s="43" t="s">
        <v>1856</v>
      </c>
      <c r="I333" s="44" t="s">
        <v>1859</v>
      </c>
      <c r="J333" s="45" t="s">
        <v>1863</v>
      </c>
      <c r="K333" s="46" t="s">
        <v>1867</v>
      </c>
      <c r="L333" s="47" t="s">
        <v>2648</v>
      </c>
      <c r="M333" s="48" t="s">
        <v>2649</v>
      </c>
      <c r="N333" s="49"/>
      <c r="O333" s="50" t="s">
        <v>3390</v>
      </c>
      <c r="P333" s="59"/>
      <c r="Q333" s="59"/>
      <c r="R333" s="13"/>
    </row>
    <row r="334" spans="1:18" x14ac:dyDescent="0.25">
      <c r="A334" s="9" t="s">
        <v>14</v>
      </c>
      <c r="B334" s="28">
        <f>IF(ISBLANK(A334),0,INDEX(txtstylestab[],MATCH(A334,txtstylestab[style_Name],0),1))</f>
        <v>6</v>
      </c>
      <c r="C334" s="28">
        <f t="shared" si="21"/>
        <v>1</v>
      </c>
      <c r="D334" s="28">
        <f t="shared" si="22"/>
        <v>18</v>
      </c>
      <c r="E334" s="28">
        <f t="shared" si="23"/>
        <v>2</v>
      </c>
      <c r="F334" s="59" t="str">
        <f t="shared" si="24"/>
        <v/>
      </c>
      <c r="G334" s="42" t="s">
        <v>1868</v>
      </c>
      <c r="H334" s="43" t="s">
        <v>1869</v>
      </c>
      <c r="I334" s="44" t="s">
        <v>1870</v>
      </c>
      <c r="J334" s="45" t="s">
        <v>1871</v>
      </c>
      <c r="K334" s="46" t="s">
        <v>1872</v>
      </c>
      <c r="L334" s="47" t="s">
        <v>2650</v>
      </c>
      <c r="M334" s="48" t="s">
        <v>2651</v>
      </c>
      <c r="N334" s="49"/>
      <c r="O334" s="50" t="s">
        <v>3391</v>
      </c>
      <c r="P334" s="59"/>
      <c r="Q334" s="59"/>
      <c r="R334" s="13"/>
    </row>
    <row r="335" spans="1:18" x14ac:dyDescent="0.25">
      <c r="A335" s="9" t="s">
        <v>21</v>
      </c>
      <c r="B335" s="28">
        <f>IF(ISBLANK(A335),0,INDEX(txtstylestab[],MATCH(A335,txtstylestab[style_Name],0),1))</f>
        <v>0</v>
      </c>
      <c r="C335" s="28">
        <f t="shared" si="21"/>
        <v>1</v>
      </c>
      <c r="D335" s="28">
        <f t="shared" si="22"/>
        <v>18</v>
      </c>
      <c r="E335" s="28">
        <f t="shared" si="23"/>
        <v>2</v>
      </c>
      <c r="F335" s="59" t="str">
        <f t="shared" si="24"/>
        <v/>
      </c>
      <c r="G335" s="42"/>
      <c r="H335" s="43"/>
      <c r="I335" s="44"/>
      <c r="J335" s="45"/>
      <c r="K335" s="46"/>
      <c r="L335" s="47"/>
      <c r="M335" s="48"/>
      <c r="N335" s="49"/>
      <c r="O335" s="50" t="s">
        <v>3392</v>
      </c>
      <c r="P335" s="59"/>
      <c r="Q335" s="59"/>
      <c r="R335" s="13"/>
    </row>
    <row r="336" spans="1:18" x14ac:dyDescent="0.25">
      <c r="A336" s="9" t="s">
        <v>22</v>
      </c>
      <c r="B336" s="28">
        <f>IF(ISBLANK(A336),0,INDEX(txtstylestab[],MATCH(A336,txtstylestab[style_Name],0),1))</f>
        <v>4</v>
      </c>
      <c r="C336" s="28">
        <f t="shared" si="21"/>
        <v>1</v>
      </c>
      <c r="D336" s="28">
        <f t="shared" si="22"/>
        <v>18</v>
      </c>
      <c r="E336" s="28">
        <f t="shared" si="23"/>
        <v>2</v>
      </c>
      <c r="F336" s="56" t="str">
        <f t="shared" si="24"/>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1"/>
        <v>1</v>
      </c>
      <c r="D337" s="28">
        <f t="shared" si="22"/>
        <v>18</v>
      </c>
      <c r="E337" s="28">
        <f t="shared" si="23"/>
        <v>2</v>
      </c>
      <c r="F337" s="59" t="str">
        <f t="shared" si="24"/>
        <v/>
      </c>
      <c r="G337" s="42" t="s">
        <v>656</v>
      </c>
      <c r="H337" s="43" t="s">
        <v>657</v>
      </c>
      <c r="I337" s="44" t="s">
        <v>1605</v>
      </c>
      <c r="J337" s="45" t="s">
        <v>1606</v>
      </c>
      <c r="K337" s="46" t="s">
        <v>1722</v>
      </c>
      <c r="L337" s="47" t="s">
        <v>2655</v>
      </c>
      <c r="M337" s="48" t="s">
        <v>2656</v>
      </c>
      <c r="N337" s="49"/>
      <c r="O337" s="50" t="s">
        <v>3393</v>
      </c>
      <c r="P337" s="59"/>
      <c r="Q337" s="59"/>
      <c r="R337" s="13"/>
    </row>
    <row r="338" spans="1:18" x14ac:dyDescent="0.25">
      <c r="A338" s="9" t="s">
        <v>22</v>
      </c>
      <c r="B338" s="28">
        <f>IF(ISBLANK(A338),0,INDEX(txtstylestab[],MATCH(A338,txtstylestab[style_Name],0),1))</f>
        <v>4</v>
      </c>
      <c r="C338" s="28">
        <f t="shared" si="21"/>
        <v>1</v>
      </c>
      <c r="D338" s="28">
        <f t="shared" si="22"/>
        <v>18</v>
      </c>
      <c r="E338" s="28">
        <f t="shared" si="23"/>
        <v>2</v>
      </c>
      <c r="F338" s="56" t="str">
        <f t="shared" si="24"/>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1"/>
        <v>1</v>
      </c>
      <c r="D339" s="28">
        <f t="shared" si="22"/>
        <v>18</v>
      </c>
      <c r="E339" s="28">
        <f t="shared" si="23"/>
        <v>2</v>
      </c>
      <c r="F339" s="59" t="str">
        <f t="shared" si="24"/>
        <v/>
      </c>
      <c r="G339" s="42" t="s">
        <v>651</v>
      </c>
      <c r="H339" s="43" t="s">
        <v>652</v>
      </c>
      <c r="I339" s="44" t="s">
        <v>653</v>
      </c>
      <c r="J339" s="45" t="s">
        <v>654</v>
      </c>
      <c r="K339" s="46" t="s">
        <v>1721</v>
      </c>
      <c r="L339" s="47" t="s">
        <v>2653</v>
      </c>
      <c r="M339" s="48" t="s">
        <v>2654</v>
      </c>
      <c r="N339" s="49"/>
      <c r="O339" s="50" t="s">
        <v>3394</v>
      </c>
      <c r="P339" s="59"/>
      <c r="Q339" s="59"/>
      <c r="R339" s="13"/>
    </row>
    <row r="340" spans="1:18" ht="45" x14ac:dyDescent="0.25">
      <c r="A340" s="9" t="s">
        <v>21</v>
      </c>
      <c r="B340" s="28">
        <f>IF(ISBLANK(A340),0,INDEX(txtstylestab[],MATCH(A340,txtstylestab[style_Name],0),1))</f>
        <v>0</v>
      </c>
      <c r="C340" s="28">
        <f t="shared" si="21"/>
        <v>1</v>
      </c>
      <c r="D340" s="28">
        <f t="shared" si="22"/>
        <v>18</v>
      </c>
      <c r="E340" s="28">
        <f t="shared" si="23"/>
        <v>2</v>
      </c>
      <c r="F340" s="59" t="str">
        <f t="shared" si="24"/>
        <v/>
      </c>
      <c r="G340" s="42" t="s">
        <v>637</v>
      </c>
      <c r="H340" s="43" t="s">
        <v>638</v>
      </c>
      <c r="I340" s="44" t="s">
        <v>639</v>
      </c>
      <c r="J340" s="45" t="s">
        <v>659</v>
      </c>
      <c r="K340" s="46" t="s">
        <v>641</v>
      </c>
      <c r="L340" s="47" t="s">
        <v>2657</v>
      </c>
      <c r="M340" s="48" t="s">
        <v>2658</v>
      </c>
      <c r="N340" s="49"/>
      <c r="O340" s="50" t="s">
        <v>3395</v>
      </c>
      <c r="P340" s="59"/>
      <c r="Q340" s="59"/>
      <c r="R340" s="13"/>
    </row>
    <row r="341" spans="1:18" ht="60" x14ac:dyDescent="0.25">
      <c r="A341" s="9" t="s">
        <v>21</v>
      </c>
      <c r="B341" s="28">
        <f>IF(ISBLANK(A341),0,INDEX(txtstylestab[],MATCH(A341,txtstylestab[style_Name],0),1))</f>
        <v>0</v>
      </c>
      <c r="C341" s="28">
        <f t="shared" si="21"/>
        <v>1</v>
      </c>
      <c r="D341" s="28">
        <f t="shared" si="22"/>
        <v>18</v>
      </c>
      <c r="E341" s="28">
        <f t="shared" si="23"/>
        <v>2</v>
      </c>
      <c r="F341" s="59" t="str">
        <f t="shared" si="24"/>
        <v/>
      </c>
      <c r="G341" s="42" t="s">
        <v>2308</v>
      </c>
      <c r="H341" s="43" t="s">
        <v>2309</v>
      </c>
      <c r="I341" s="44" t="s">
        <v>2310</v>
      </c>
      <c r="J341" s="45" t="s">
        <v>2311</v>
      </c>
      <c r="K341" s="46" t="s">
        <v>2312</v>
      </c>
      <c r="L341" s="47" t="s">
        <v>2660</v>
      </c>
      <c r="M341" s="48" t="s">
        <v>2661</v>
      </c>
      <c r="N341" s="49"/>
      <c r="O341" s="50" t="s">
        <v>3396</v>
      </c>
      <c r="P341" s="59"/>
      <c r="Q341" s="59"/>
      <c r="R341" s="13"/>
    </row>
    <row r="342" spans="1:18" ht="45" x14ac:dyDescent="0.25">
      <c r="A342" s="9" t="s">
        <v>21</v>
      </c>
      <c r="B342" s="28">
        <f>IF(ISBLANK(A342),0,INDEX(txtstylestab[],MATCH(A342,txtstylestab[style_Name],0),1))</f>
        <v>0</v>
      </c>
      <c r="C342" s="28">
        <f t="shared" si="21"/>
        <v>1</v>
      </c>
      <c r="D342" s="28">
        <f t="shared" si="22"/>
        <v>18</v>
      </c>
      <c r="E342" s="28">
        <f t="shared" si="23"/>
        <v>2</v>
      </c>
      <c r="F342" s="59" t="str">
        <f t="shared" si="24"/>
        <v/>
      </c>
      <c r="G342" s="42" t="s">
        <v>642</v>
      </c>
      <c r="H342" s="43" t="s">
        <v>643</v>
      </c>
      <c r="I342" s="44" t="s">
        <v>644</v>
      </c>
      <c r="J342" s="45" t="s">
        <v>645</v>
      </c>
      <c r="K342" s="46" t="s">
        <v>660</v>
      </c>
      <c r="L342" s="47" t="s">
        <v>2659</v>
      </c>
      <c r="M342" s="48" t="s">
        <v>2640</v>
      </c>
      <c r="N342" s="49"/>
      <c r="O342" s="50" t="s">
        <v>3397</v>
      </c>
      <c r="P342" s="59"/>
      <c r="Q342" s="59"/>
      <c r="R342" s="13"/>
    </row>
    <row r="343" spans="1:18" x14ac:dyDescent="0.25">
      <c r="A343" s="9" t="s">
        <v>21</v>
      </c>
      <c r="B343" s="28">
        <f>IF(ISBLANK(A343),0,INDEX(txtstylestab[],MATCH(A343,txtstylestab[style_Name],0),1))</f>
        <v>0</v>
      </c>
      <c r="C343" s="28">
        <f t="shared" si="21"/>
        <v>1</v>
      </c>
      <c r="D343" s="28">
        <f t="shared" si="22"/>
        <v>18</v>
      </c>
      <c r="E343" s="28">
        <f t="shared" si="23"/>
        <v>2</v>
      </c>
      <c r="F343" s="59" t="str">
        <f t="shared" si="24"/>
        <v/>
      </c>
      <c r="G343" s="42" t="s">
        <v>6</v>
      </c>
      <c r="H343" s="43" t="s">
        <v>26</v>
      </c>
      <c r="I343" s="44" t="s">
        <v>48</v>
      </c>
      <c r="J343" s="45" t="s">
        <v>54</v>
      </c>
      <c r="K343" s="46" t="s">
        <v>59</v>
      </c>
      <c r="L343" s="47" t="s">
        <v>2525</v>
      </c>
      <c r="M343" s="48" t="s">
        <v>2526</v>
      </c>
      <c r="N343" s="49"/>
      <c r="O343" s="50" t="s">
        <v>3173</v>
      </c>
      <c r="P343" s="50"/>
      <c r="Q343" s="59"/>
      <c r="R343" s="13"/>
    </row>
    <row r="344" spans="1:18" x14ac:dyDescent="0.25">
      <c r="A344" s="9" t="s">
        <v>13</v>
      </c>
      <c r="B344" s="28">
        <f>IF(ISBLANK(A344),0,INDEX(txtstylestab[],MATCH(A344,txtstylestab[style_Name],0),1))</f>
        <v>7</v>
      </c>
      <c r="C344" s="28">
        <f t="shared" si="21"/>
        <v>1</v>
      </c>
      <c r="D344" s="28">
        <f t="shared" si="22"/>
        <v>18</v>
      </c>
      <c r="E344" s="28">
        <f t="shared" si="23"/>
        <v>2</v>
      </c>
      <c r="F344" s="78" t="str">
        <f t="shared" si="24"/>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1"/>
        <v>1</v>
      </c>
      <c r="D345" s="28">
        <f t="shared" si="22"/>
        <v>19</v>
      </c>
      <c r="E345" s="28">
        <f t="shared" si="23"/>
        <v>0</v>
      </c>
      <c r="F345" s="54" t="str">
        <f t="shared" si="24"/>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1"/>
        <v>1</v>
      </c>
      <c r="D346" s="28">
        <f t="shared" si="22"/>
        <v>19</v>
      </c>
      <c r="E346" s="28">
        <f t="shared" si="23"/>
        <v>0</v>
      </c>
      <c r="F346" s="59" t="str">
        <f t="shared" si="24"/>
        <v/>
      </c>
      <c r="G346" s="42" t="s">
        <v>82</v>
      </c>
      <c r="H346" s="43" t="s">
        <v>83</v>
      </c>
      <c r="I346" s="44" t="s">
        <v>84</v>
      </c>
      <c r="J346" s="45" t="s">
        <v>85</v>
      </c>
      <c r="K346" s="46" t="s">
        <v>86</v>
      </c>
      <c r="L346" s="47" t="s">
        <v>2398</v>
      </c>
      <c r="M346" s="48" t="s">
        <v>2540</v>
      </c>
      <c r="N346" s="49"/>
      <c r="O346" s="50" t="s">
        <v>3364</v>
      </c>
      <c r="P346" s="50"/>
      <c r="Q346" s="59"/>
      <c r="R346" s="13"/>
    </row>
    <row r="347" spans="1:18" ht="30" x14ac:dyDescent="0.25">
      <c r="A347" s="9" t="s">
        <v>21</v>
      </c>
      <c r="B347" s="28">
        <f>IF(ISBLANK(A347),0,INDEX(txtstylestab[],MATCH(A347,txtstylestab[style_Name],0),1))</f>
        <v>0</v>
      </c>
      <c r="C347" s="28">
        <f t="shared" si="21"/>
        <v>1</v>
      </c>
      <c r="D347" s="28">
        <f t="shared" si="22"/>
        <v>19</v>
      </c>
      <c r="E347" s="28">
        <f t="shared" si="23"/>
        <v>0</v>
      </c>
      <c r="F347" s="59" t="str">
        <f t="shared" si="24"/>
        <v/>
      </c>
      <c r="G347" s="42" t="s">
        <v>662</v>
      </c>
      <c r="H347" s="43" t="s">
        <v>663</v>
      </c>
      <c r="I347" s="44" t="s">
        <v>2234</v>
      </c>
      <c r="J347" s="45" t="s">
        <v>664</v>
      </c>
      <c r="K347" s="46" t="s">
        <v>665</v>
      </c>
      <c r="L347" s="47" t="s">
        <v>2662</v>
      </c>
      <c r="M347" s="48" t="s">
        <v>2663</v>
      </c>
      <c r="N347" s="49"/>
      <c r="O347" s="50" t="s">
        <v>3398</v>
      </c>
      <c r="P347" s="59"/>
      <c r="Q347" s="59"/>
      <c r="R347" s="13"/>
    </row>
    <row r="348" spans="1:18" ht="75" x14ac:dyDescent="0.25">
      <c r="A348" s="9" t="s">
        <v>21</v>
      </c>
      <c r="B348" s="28">
        <f>IF(ISBLANK(A348),0,INDEX(txtstylestab[],MATCH(A348,txtstylestab[style_Name],0),1))</f>
        <v>0</v>
      </c>
      <c r="C348" s="28">
        <f t="shared" si="21"/>
        <v>1</v>
      </c>
      <c r="D348" s="28">
        <f t="shared" si="22"/>
        <v>19</v>
      </c>
      <c r="E348" s="28">
        <f t="shared" si="23"/>
        <v>0</v>
      </c>
      <c r="F348" s="59" t="str">
        <f t="shared" si="24"/>
        <v/>
      </c>
      <c r="G348" s="42" t="s">
        <v>666</v>
      </c>
      <c r="H348" s="43" t="s">
        <v>2229</v>
      </c>
      <c r="I348" s="44" t="s">
        <v>2254</v>
      </c>
      <c r="J348" s="45" t="s">
        <v>667</v>
      </c>
      <c r="K348" s="46" t="s">
        <v>668</v>
      </c>
      <c r="L348" s="47" t="s">
        <v>2664</v>
      </c>
      <c r="M348" s="48" t="s">
        <v>2665</v>
      </c>
      <c r="N348" s="49"/>
      <c r="O348" s="50" t="s">
        <v>3399</v>
      </c>
      <c r="P348" s="59"/>
      <c r="Q348" s="59"/>
      <c r="R348" s="13"/>
    </row>
    <row r="349" spans="1:18" x14ac:dyDescent="0.25">
      <c r="A349" s="9" t="s">
        <v>21</v>
      </c>
      <c r="B349" s="28">
        <f>IF(ISBLANK(A349),0,INDEX(txtstylestab[],MATCH(A349,txtstylestab[style_Name],0),1))</f>
        <v>0</v>
      </c>
      <c r="C349" s="28">
        <f t="shared" si="21"/>
        <v>1</v>
      </c>
      <c r="D349" s="28">
        <f t="shared" si="22"/>
        <v>19</v>
      </c>
      <c r="E349" s="28">
        <f t="shared" si="23"/>
        <v>0</v>
      </c>
      <c r="F349" s="59" t="str">
        <f t="shared" si="24"/>
        <v/>
      </c>
      <c r="G349" s="42" t="s">
        <v>6</v>
      </c>
      <c r="H349" s="43" t="s">
        <v>26</v>
      </c>
      <c r="I349" s="44" t="s">
        <v>48</v>
      </c>
      <c r="J349" s="45" t="s">
        <v>54</v>
      </c>
      <c r="K349" s="46" t="s">
        <v>59</v>
      </c>
      <c r="L349" s="47" t="s">
        <v>2525</v>
      </c>
      <c r="M349" s="48" t="s">
        <v>2526</v>
      </c>
      <c r="N349" s="49"/>
      <c r="O349" s="50" t="s">
        <v>3173</v>
      </c>
      <c r="P349" s="50"/>
      <c r="Q349" s="59"/>
      <c r="R349" s="13"/>
    </row>
    <row r="350" spans="1:18" ht="18" thickBot="1" x14ac:dyDescent="0.35">
      <c r="A350" s="9" t="s">
        <v>11</v>
      </c>
      <c r="B350" s="28">
        <f>IF(ISBLANK(A350),0,INDEX(txtstylestab[],MATCH(A350,txtstylestab[style_Name],0),1))</f>
        <v>2</v>
      </c>
      <c r="C350" s="28">
        <f t="shared" si="21"/>
        <v>1</v>
      </c>
      <c r="D350" s="28">
        <f t="shared" si="22"/>
        <v>20</v>
      </c>
      <c r="E350" s="28">
        <f t="shared" si="23"/>
        <v>0</v>
      </c>
      <c r="F350" s="54" t="str">
        <f t="shared" si="24"/>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1"/>
        <v>1</v>
      </c>
      <c r="D351" s="28">
        <f t="shared" si="22"/>
        <v>20</v>
      </c>
      <c r="E351" s="28">
        <f t="shared" si="23"/>
        <v>1</v>
      </c>
      <c r="F351" s="55" t="str">
        <f t="shared" si="24"/>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1"/>
        <v>1</v>
      </c>
      <c r="D352" s="28">
        <f t="shared" si="22"/>
        <v>20</v>
      </c>
      <c r="E352" s="28">
        <f t="shared" si="23"/>
        <v>1</v>
      </c>
      <c r="F352" s="59" t="str">
        <f t="shared" si="24"/>
        <v/>
      </c>
      <c r="G352" s="42" t="s">
        <v>1873</v>
      </c>
      <c r="H352" s="43" t="s">
        <v>1874</v>
      </c>
      <c r="I352" s="44" t="s">
        <v>1875</v>
      </c>
      <c r="J352" s="45" t="s">
        <v>1876</v>
      </c>
      <c r="K352" s="46" t="s">
        <v>1877</v>
      </c>
      <c r="L352" s="47" t="s">
        <v>2666</v>
      </c>
      <c r="M352" s="48" t="s">
        <v>2667</v>
      </c>
      <c r="N352" s="49"/>
      <c r="O352" s="50" t="s">
        <v>3400</v>
      </c>
      <c r="P352" s="59"/>
      <c r="Q352" s="59"/>
      <c r="R352" s="13"/>
    </row>
    <row r="353" spans="1:18" ht="105" x14ac:dyDescent="0.25">
      <c r="A353" s="9" t="s">
        <v>14</v>
      </c>
      <c r="B353" s="28">
        <f>IF(ISBLANK(A353),0,INDEX(txtstylestab[],MATCH(A353,txtstylestab[style_Name],0),1))</f>
        <v>6</v>
      </c>
      <c r="C353" s="28">
        <f t="shared" si="21"/>
        <v>1</v>
      </c>
      <c r="D353" s="28">
        <f t="shared" si="22"/>
        <v>20</v>
      </c>
      <c r="E353" s="28">
        <f t="shared" si="23"/>
        <v>1</v>
      </c>
      <c r="F353" s="59" t="str">
        <f t="shared" si="24"/>
        <v/>
      </c>
      <c r="G353" s="42" t="s">
        <v>3402</v>
      </c>
      <c r="H353" s="43" t="s">
        <v>3403</v>
      </c>
      <c r="I353" s="44" t="s">
        <v>3404</v>
      </c>
      <c r="J353" s="45" t="s">
        <v>3405</v>
      </c>
      <c r="K353" s="46" t="s">
        <v>3406</v>
      </c>
      <c r="L353" s="47" t="s">
        <v>3407</v>
      </c>
      <c r="M353" s="48" t="s">
        <v>3408</v>
      </c>
      <c r="N353" s="49"/>
      <c r="O353" s="50" t="s">
        <v>3401</v>
      </c>
      <c r="P353" s="59"/>
      <c r="Q353" s="59"/>
      <c r="R353" s="13"/>
    </row>
    <row r="354" spans="1:18" ht="60" x14ac:dyDescent="0.25">
      <c r="A354" s="9" t="s">
        <v>14</v>
      </c>
      <c r="B354" s="28">
        <f>IF(ISBLANK(A354),0,INDEX(txtstylestab[],MATCH(A354,txtstylestab[style_Name],0),1))</f>
        <v>6</v>
      </c>
      <c r="C354" s="28">
        <f t="shared" si="21"/>
        <v>1</v>
      </c>
      <c r="D354" s="28">
        <f t="shared" si="22"/>
        <v>20</v>
      </c>
      <c r="E354" s="28">
        <f t="shared" si="23"/>
        <v>1</v>
      </c>
      <c r="F354" s="59" t="str">
        <f t="shared" si="24"/>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1"/>
        <v>1</v>
      </c>
      <c r="D355" s="28">
        <f t="shared" si="22"/>
        <v>20</v>
      </c>
      <c r="E355" s="28">
        <f t="shared" si="23"/>
        <v>1</v>
      </c>
      <c r="F355" s="59" t="str">
        <f t="shared" si="24"/>
        <v/>
      </c>
      <c r="G355" s="42" t="s">
        <v>3409</v>
      </c>
      <c r="H355" s="43" t="s">
        <v>3410</v>
      </c>
      <c r="I355" s="44" t="s">
        <v>3411</v>
      </c>
      <c r="J355" s="45" t="s">
        <v>3412</v>
      </c>
      <c r="K355" s="46" t="s">
        <v>3413</v>
      </c>
      <c r="L355" s="47" t="s">
        <v>3414</v>
      </c>
      <c r="M355" s="48" t="s">
        <v>3415</v>
      </c>
      <c r="N355" s="49"/>
      <c r="O355" s="49"/>
      <c r="P355" s="50"/>
      <c r="Q355" s="59"/>
      <c r="R355" s="13"/>
    </row>
    <row r="356" spans="1:18" x14ac:dyDescent="0.25">
      <c r="A356" s="9" t="s">
        <v>21</v>
      </c>
      <c r="B356" s="28">
        <f>IF(ISBLANK(A356),0,INDEX(txtstylestab[],MATCH(A356,txtstylestab[style_Name],0),1))</f>
        <v>0</v>
      </c>
      <c r="C356" s="28">
        <f t="shared" si="21"/>
        <v>1</v>
      </c>
      <c r="D356" s="28">
        <f t="shared" si="22"/>
        <v>20</v>
      </c>
      <c r="E356" s="28">
        <f t="shared" si="23"/>
        <v>1</v>
      </c>
      <c r="F356" s="59" t="str">
        <f t="shared" si="24"/>
        <v/>
      </c>
      <c r="G356" s="42" t="s">
        <v>6</v>
      </c>
      <c r="H356" s="43" t="s">
        <v>26</v>
      </c>
      <c r="I356" s="44" t="s">
        <v>48</v>
      </c>
      <c r="J356" s="45" t="s">
        <v>397</v>
      </c>
      <c r="K356" s="46" t="s">
        <v>59</v>
      </c>
      <c r="L356" s="47" t="s">
        <v>2525</v>
      </c>
      <c r="M356" s="48" t="s">
        <v>2526</v>
      </c>
      <c r="N356" s="49"/>
      <c r="O356" s="50" t="s">
        <v>3173</v>
      </c>
      <c r="P356" s="50"/>
      <c r="Q356" s="59"/>
      <c r="R356" s="13"/>
    </row>
    <row r="357" spans="1:18" ht="15.75" thickBot="1" x14ac:dyDescent="0.3">
      <c r="A357" s="9" t="s">
        <v>12</v>
      </c>
      <c r="B357" s="28">
        <f>IF(ISBLANK(A357),0,INDEX(txtstylestab[],MATCH(A357,txtstylestab[style_Name],0),1))</f>
        <v>3</v>
      </c>
      <c r="C357" s="28">
        <f t="shared" si="21"/>
        <v>1</v>
      </c>
      <c r="D357" s="28">
        <f t="shared" si="22"/>
        <v>20</v>
      </c>
      <c r="E357" s="28">
        <f t="shared" si="23"/>
        <v>2</v>
      </c>
      <c r="F357" s="55" t="str">
        <f t="shared" si="24"/>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1"/>
        <v>1</v>
      </c>
      <c r="D358" s="28">
        <f t="shared" si="22"/>
        <v>20</v>
      </c>
      <c r="E358" s="28">
        <f t="shared" si="23"/>
        <v>2</v>
      </c>
      <c r="F358" s="59" t="str">
        <f t="shared" si="24"/>
        <v/>
      </c>
      <c r="G358" s="42" t="s">
        <v>678</v>
      </c>
      <c r="H358" s="43" t="s">
        <v>679</v>
      </c>
      <c r="I358" s="44" t="s">
        <v>1607</v>
      </c>
      <c r="J358" s="45" t="s">
        <v>680</v>
      </c>
      <c r="K358" s="46" t="s">
        <v>681</v>
      </c>
      <c r="L358" s="47" t="s">
        <v>2747</v>
      </c>
      <c r="M358" s="48" t="s">
        <v>2748</v>
      </c>
      <c r="N358" s="49"/>
      <c r="O358" s="50" t="s">
        <v>3420</v>
      </c>
      <c r="P358" s="59"/>
      <c r="Q358" s="59"/>
      <c r="R358" s="13"/>
    </row>
    <row r="359" spans="1:18" ht="90" x14ac:dyDescent="0.25">
      <c r="A359" s="9" t="s">
        <v>21</v>
      </c>
      <c r="B359" s="28">
        <f>IF(ISBLANK(A359),0,INDEX(txtstylestab[],MATCH(A359,txtstylestab[style_Name],0),1))</f>
        <v>0</v>
      </c>
      <c r="C359" s="28">
        <f t="shared" si="21"/>
        <v>1</v>
      </c>
      <c r="D359" s="28">
        <f t="shared" si="22"/>
        <v>20</v>
      </c>
      <c r="E359" s="28">
        <f t="shared" si="23"/>
        <v>2</v>
      </c>
      <c r="F359" s="59" t="str">
        <f t="shared" si="24"/>
        <v/>
      </c>
      <c r="G359" s="42" t="s">
        <v>672</v>
      </c>
      <c r="H359" s="43" t="s">
        <v>673</v>
      </c>
      <c r="I359" s="44" t="s">
        <v>1608</v>
      </c>
      <c r="J359" s="45" t="s">
        <v>1609</v>
      </c>
      <c r="K359" s="46" t="s">
        <v>1610</v>
      </c>
      <c r="L359" s="47" t="s">
        <v>2669</v>
      </c>
      <c r="M359" s="48" t="s">
        <v>2670</v>
      </c>
      <c r="N359" s="49"/>
      <c r="O359" s="50" t="s">
        <v>3416</v>
      </c>
      <c r="P359" s="59"/>
      <c r="Q359" s="59"/>
      <c r="R359" s="13"/>
    </row>
    <row r="360" spans="1:18" ht="45" x14ac:dyDescent="0.25">
      <c r="A360" s="9" t="s">
        <v>21</v>
      </c>
      <c r="B360" s="28">
        <f>IF(ISBLANK(A360),0,INDEX(txtstylestab[],MATCH(A360,txtstylestab[style_Name],0),1))</f>
        <v>0</v>
      </c>
      <c r="C360" s="28">
        <f t="shared" si="21"/>
        <v>1</v>
      </c>
      <c r="D360" s="28">
        <f t="shared" si="22"/>
        <v>20</v>
      </c>
      <c r="E360" s="28">
        <f t="shared" si="23"/>
        <v>2</v>
      </c>
      <c r="F360" s="59" t="str">
        <f t="shared" si="24"/>
        <v/>
      </c>
      <c r="G360" s="42" t="s">
        <v>674</v>
      </c>
      <c r="H360" s="43" t="s">
        <v>675</v>
      </c>
      <c r="I360" s="44" t="s">
        <v>1636</v>
      </c>
      <c r="J360" s="45" t="s">
        <v>676</v>
      </c>
      <c r="K360" s="46" t="s">
        <v>677</v>
      </c>
      <c r="L360" s="47" t="s">
        <v>2671</v>
      </c>
      <c r="M360" s="48" t="s">
        <v>2672</v>
      </c>
      <c r="N360" s="49"/>
      <c r="O360" s="50" t="s">
        <v>3417</v>
      </c>
      <c r="P360" s="59"/>
      <c r="Q360" s="59"/>
      <c r="R360" s="13"/>
    </row>
    <row r="361" spans="1:18" x14ac:dyDescent="0.25">
      <c r="A361" s="9" t="s">
        <v>21</v>
      </c>
      <c r="B361" s="28">
        <f>IF(ISBLANK(A361),0,INDEX(txtstylestab[],MATCH(A361,txtstylestab[style_Name],0),1))</f>
        <v>0</v>
      </c>
      <c r="C361" s="28">
        <f t="shared" si="21"/>
        <v>1</v>
      </c>
      <c r="D361" s="28">
        <f t="shared" si="22"/>
        <v>20</v>
      </c>
      <c r="E361" s="28">
        <f t="shared" si="23"/>
        <v>2</v>
      </c>
      <c r="F361" s="59" t="str">
        <f t="shared" si="24"/>
        <v/>
      </c>
      <c r="G361" s="42" t="s">
        <v>6</v>
      </c>
      <c r="H361" s="43" t="s">
        <v>26</v>
      </c>
      <c r="I361" s="44" t="s">
        <v>48</v>
      </c>
      <c r="J361" s="45" t="s">
        <v>384</v>
      </c>
      <c r="K361" s="46" t="s">
        <v>59</v>
      </c>
      <c r="L361" s="47" t="s">
        <v>2525</v>
      </c>
      <c r="M361" s="48" t="s">
        <v>2526</v>
      </c>
      <c r="N361" s="49"/>
      <c r="O361" s="50" t="s">
        <v>3173</v>
      </c>
      <c r="P361" s="50"/>
      <c r="Q361" s="59"/>
      <c r="R361" s="13"/>
    </row>
    <row r="362" spans="1:18" ht="18" thickBot="1" x14ac:dyDescent="0.35">
      <c r="A362" s="9" t="s">
        <v>11</v>
      </c>
      <c r="B362" s="28">
        <f>IF(ISBLANK(A362),0,INDEX(txtstylestab[],MATCH(A362,txtstylestab[style_Name],0),1))</f>
        <v>2</v>
      </c>
      <c r="C362" s="28">
        <f t="shared" si="21"/>
        <v>1</v>
      </c>
      <c r="D362" s="28">
        <f t="shared" si="22"/>
        <v>21</v>
      </c>
      <c r="E362" s="28">
        <f t="shared" si="23"/>
        <v>0</v>
      </c>
      <c r="F362" s="54" t="str">
        <f t="shared" si="24"/>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1"/>
        <v>1</v>
      </c>
      <c r="D363" s="28">
        <f t="shared" si="22"/>
        <v>21</v>
      </c>
      <c r="E363" s="28">
        <f t="shared" si="23"/>
        <v>0</v>
      </c>
      <c r="F363" s="59" t="str">
        <f t="shared" si="24"/>
        <v/>
      </c>
      <c r="G363" s="42" t="s">
        <v>82</v>
      </c>
      <c r="H363" s="43" t="s">
        <v>83</v>
      </c>
      <c r="I363" s="44" t="s">
        <v>84</v>
      </c>
      <c r="J363" s="45" t="s">
        <v>85</v>
      </c>
      <c r="K363" s="46" t="s">
        <v>86</v>
      </c>
      <c r="L363" s="47" t="s">
        <v>2398</v>
      </c>
      <c r="M363" s="48" t="s">
        <v>2540</v>
      </c>
      <c r="N363" s="49"/>
      <c r="O363" s="50" t="s">
        <v>3364</v>
      </c>
      <c r="P363" s="50"/>
      <c r="Q363" s="59"/>
      <c r="R363" s="13"/>
    </row>
    <row r="364" spans="1:18" ht="60" x14ac:dyDescent="0.25">
      <c r="A364" s="9" t="s">
        <v>21</v>
      </c>
      <c r="B364" s="28">
        <f>IF(ISBLANK(A364),0,INDEX(txtstylestab[],MATCH(A364,txtstylestab[style_Name],0),1))</f>
        <v>0</v>
      </c>
      <c r="C364" s="28">
        <f t="shared" si="21"/>
        <v>1</v>
      </c>
      <c r="D364" s="28">
        <f t="shared" si="22"/>
        <v>21</v>
      </c>
      <c r="E364" s="28">
        <f t="shared" si="23"/>
        <v>0</v>
      </c>
      <c r="F364" s="59" t="str">
        <f t="shared" si="24"/>
        <v/>
      </c>
      <c r="G364" s="42" t="s">
        <v>686</v>
      </c>
      <c r="H364" s="43" t="s">
        <v>687</v>
      </c>
      <c r="I364" s="44" t="s">
        <v>688</v>
      </c>
      <c r="J364" s="45" t="s">
        <v>1623</v>
      </c>
      <c r="K364" s="46" t="s">
        <v>689</v>
      </c>
      <c r="L364" s="47" t="s">
        <v>2673</v>
      </c>
      <c r="M364" s="48" t="s">
        <v>2674</v>
      </c>
      <c r="N364" s="49"/>
      <c r="O364" s="50" t="s">
        <v>3419</v>
      </c>
      <c r="P364" s="59"/>
      <c r="Q364" s="59"/>
      <c r="R364" s="13"/>
    </row>
    <row r="365" spans="1:18" ht="75" x14ac:dyDescent="0.25">
      <c r="A365" s="9" t="s">
        <v>21</v>
      </c>
      <c r="B365" s="28">
        <f>IF(ISBLANK(A365),0,INDEX(txtstylestab[],MATCH(A365,txtstylestab[style_Name],0),1))</f>
        <v>0</v>
      </c>
      <c r="C365" s="28">
        <f t="shared" si="21"/>
        <v>1</v>
      </c>
      <c r="D365" s="28">
        <f t="shared" si="22"/>
        <v>21</v>
      </c>
      <c r="E365" s="28">
        <f t="shared" si="23"/>
        <v>0</v>
      </c>
      <c r="F365" s="59" t="str">
        <f t="shared" si="24"/>
        <v/>
      </c>
      <c r="G365" s="42" t="s">
        <v>682</v>
      </c>
      <c r="H365" s="43" t="s">
        <v>683</v>
      </c>
      <c r="I365" s="44" t="s">
        <v>1637</v>
      </c>
      <c r="J365" s="45" t="s">
        <v>684</v>
      </c>
      <c r="K365" s="46" t="s">
        <v>1723</v>
      </c>
      <c r="L365" s="47" t="s">
        <v>2675</v>
      </c>
      <c r="M365" s="48" t="s">
        <v>2676</v>
      </c>
      <c r="N365" s="49"/>
      <c r="O365" s="50" t="s">
        <v>3418</v>
      </c>
      <c r="P365" s="59"/>
      <c r="Q365" s="59"/>
      <c r="R365" s="13"/>
    </row>
    <row r="366" spans="1:18" x14ac:dyDescent="0.25">
      <c r="A366" s="9" t="s">
        <v>21</v>
      </c>
      <c r="B366" s="28">
        <f>IF(ISBLANK(A366),0,INDEX(txtstylestab[],MATCH(A366,txtstylestab[style_Name],0),1))</f>
        <v>0</v>
      </c>
      <c r="C366" s="28">
        <f t="shared" si="21"/>
        <v>1</v>
      </c>
      <c r="D366" s="28">
        <f t="shared" si="22"/>
        <v>21</v>
      </c>
      <c r="E366" s="28">
        <f t="shared" si="23"/>
        <v>0</v>
      </c>
      <c r="F366" s="59" t="str">
        <f t="shared" si="24"/>
        <v/>
      </c>
      <c r="G366" s="42" t="s">
        <v>685</v>
      </c>
      <c r="H366" s="43" t="s">
        <v>26</v>
      </c>
      <c r="I366" s="44" t="s">
        <v>48</v>
      </c>
      <c r="J366" s="45" t="s">
        <v>384</v>
      </c>
      <c r="K366" s="46" t="s">
        <v>59</v>
      </c>
      <c r="L366" s="47" t="s">
        <v>2525</v>
      </c>
      <c r="M366" s="48" t="s">
        <v>2526</v>
      </c>
      <c r="N366" s="49"/>
      <c r="O366" s="50" t="s">
        <v>3173</v>
      </c>
      <c r="P366" s="50"/>
      <c r="Q366" s="59"/>
      <c r="R366" s="13"/>
    </row>
    <row r="367" spans="1:18" ht="18" thickBot="1" x14ac:dyDescent="0.35">
      <c r="A367" s="9" t="s">
        <v>11</v>
      </c>
      <c r="B367" s="28">
        <f>IF(ISBLANK(A367),0,INDEX(txtstylestab[],MATCH(A367,txtstylestab[style_Name],0),1))</f>
        <v>2</v>
      </c>
      <c r="C367" s="28">
        <f t="shared" si="21"/>
        <v>1</v>
      </c>
      <c r="D367" s="28">
        <f t="shared" si="22"/>
        <v>22</v>
      </c>
      <c r="E367" s="28">
        <f t="shared" si="23"/>
        <v>0</v>
      </c>
      <c r="F367" s="54" t="str">
        <f t="shared" si="24"/>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1"/>
        <v>1</v>
      </c>
      <c r="D368" s="28">
        <f t="shared" si="22"/>
        <v>22</v>
      </c>
      <c r="E368" s="28">
        <f t="shared" si="23"/>
        <v>0</v>
      </c>
      <c r="F368" s="59" t="str">
        <f t="shared" si="24"/>
        <v/>
      </c>
      <c r="G368" s="42" t="s">
        <v>82</v>
      </c>
      <c r="H368" s="43" t="s">
        <v>83</v>
      </c>
      <c r="I368" s="44" t="s">
        <v>84</v>
      </c>
      <c r="J368" s="45" t="s">
        <v>85</v>
      </c>
      <c r="K368" s="46" t="s">
        <v>86</v>
      </c>
      <c r="L368" s="47" t="s">
        <v>2398</v>
      </c>
      <c r="M368" s="48" t="s">
        <v>2540</v>
      </c>
      <c r="N368" s="49"/>
      <c r="O368" s="50" t="s">
        <v>3364</v>
      </c>
      <c r="P368" s="50"/>
      <c r="Q368" s="59"/>
      <c r="R368" s="13"/>
    </row>
    <row r="369" spans="1:18" ht="30" x14ac:dyDescent="0.25">
      <c r="A369" s="9" t="s">
        <v>21</v>
      </c>
      <c r="B369" s="28">
        <f>IF(ISBLANK(A369),0,INDEX(txtstylestab[],MATCH(A369,txtstylestab[style_Name],0),1))</f>
        <v>0</v>
      </c>
      <c r="C369" s="28">
        <f t="shared" si="21"/>
        <v>1</v>
      </c>
      <c r="D369" s="28">
        <f t="shared" si="22"/>
        <v>22</v>
      </c>
      <c r="E369" s="28">
        <f t="shared" si="23"/>
        <v>0</v>
      </c>
      <c r="F369" s="59" t="str">
        <f t="shared" si="24"/>
        <v/>
      </c>
      <c r="G369" s="42" t="s">
        <v>691</v>
      </c>
      <c r="H369" s="43" t="s">
        <v>2147</v>
      </c>
      <c r="I369" s="44" t="s">
        <v>2255</v>
      </c>
      <c r="J369" s="45" t="s">
        <v>692</v>
      </c>
      <c r="K369" s="46" t="s">
        <v>693</v>
      </c>
      <c r="L369" s="47" t="s">
        <v>2677</v>
      </c>
      <c r="M369" s="48" t="s">
        <v>2678</v>
      </c>
      <c r="N369" s="49"/>
      <c r="O369" s="50" t="s">
        <v>3421</v>
      </c>
      <c r="P369" s="59"/>
      <c r="Q369" s="59"/>
      <c r="R369" s="13"/>
    </row>
    <row r="370" spans="1:18" ht="60" x14ac:dyDescent="0.25">
      <c r="A370" s="9" t="s">
        <v>21</v>
      </c>
      <c r="B370" s="28">
        <f>IF(ISBLANK(A370),0,INDEX(txtstylestab[],MATCH(A370,txtstylestab[style_Name],0),1))</f>
        <v>0</v>
      </c>
      <c r="C370" s="28">
        <f t="shared" si="21"/>
        <v>1</v>
      </c>
      <c r="D370" s="28">
        <f t="shared" si="22"/>
        <v>22</v>
      </c>
      <c r="E370" s="28">
        <f t="shared" si="23"/>
        <v>0</v>
      </c>
      <c r="F370" s="59" t="str">
        <f t="shared" si="24"/>
        <v/>
      </c>
      <c r="G370" s="42" t="s">
        <v>1884</v>
      </c>
      <c r="H370" s="43" t="s">
        <v>1885</v>
      </c>
      <c r="I370" s="44" t="s">
        <v>1886</v>
      </c>
      <c r="J370" s="45" t="s">
        <v>1887</v>
      </c>
      <c r="K370" s="46" t="s">
        <v>694</v>
      </c>
      <c r="L370" s="47" t="s">
        <v>2746</v>
      </c>
      <c r="M370" s="48" t="s">
        <v>2737</v>
      </c>
      <c r="N370" s="49"/>
      <c r="O370" s="50" t="s">
        <v>3424</v>
      </c>
      <c r="P370" s="59"/>
      <c r="Q370" s="59"/>
      <c r="R370" s="13"/>
    </row>
    <row r="371" spans="1:18" ht="45" x14ac:dyDescent="0.25">
      <c r="A371" s="9" t="s">
        <v>14</v>
      </c>
      <c r="B371" s="28">
        <f>IF(ISBLANK(A371),0,INDEX(txtstylestab[],MATCH(A371,txtstylestab[style_Name],0),1))</f>
        <v>6</v>
      </c>
      <c r="C371" s="28">
        <f t="shared" si="21"/>
        <v>1</v>
      </c>
      <c r="D371" s="28">
        <f t="shared" si="22"/>
        <v>22</v>
      </c>
      <c r="E371" s="28">
        <f t="shared" si="23"/>
        <v>0</v>
      </c>
      <c r="F371" s="59" t="str">
        <f t="shared" si="24"/>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1"/>
        <v>1</v>
      </c>
      <c r="D372" s="28">
        <f t="shared" si="22"/>
        <v>22</v>
      </c>
      <c r="E372" s="28">
        <f t="shared" si="23"/>
        <v>0</v>
      </c>
      <c r="F372" s="59" t="str">
        <f t="shared" si="24"/>
        <v/>
      </c>
      <c r="G372" s="42" t="s">
        <v>696</v>
      </c>
      <c r="H372" s="43" t="s">
        <v>1892</v>
      </c>
      <c r="I372" s="44" t="s">
        <v>697</v>
      </c>
      <c r="J372" s="45" t="s">
        <v>698</v>
      </c>
      <c r="K372" s="46" t="s">
        <v>699</v>
      </c>
      <c r="L372" s="47" t="s">
        <v>2745</v>
      </c>
      <c r="M372" s="48" t="s">
        <v>2744</v>
      </c>
      <c r="N372" s="49"/>
      <c r="O372" s="50" t="s">
        <v>3423</v>
      </c>
      <c r="P372" s="59"/>
      <c r="Q372" s="59"/>
      <c r="R372" s="13"/>
    </row>
    <row r="373" spans="1:18" x14ac:dyDescent="0.25">
      <c r="A373" s="9" t="s">
        <v>22</v>
      </c>
      <c r="B373" s="28">
        <f>IF(ISBLANK(A373),0,INDEX(txtstylestab[],MATCH(A373,txtstylestab[style_Name],0),1))</f>
        <v>4</v>
      </c>
      <c r="C373" s="28">
        <f t="shared" si="21"/>
        <v>1</v>
      </c>
      <c r="D373" s="28">
        <f t="shared" si="22"/>
        <v>22</v>
      </c>
      <c r="E373" s="28">
        <f t="shared" si="23"/>
        <v>0</v>
      </c>
      <c r="F373" s="56" t="str">
        <f t="shared" si="24"/>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1"/>
        <v>1</v>
      </c>
      <c r="D374" s="28">
        <f t="shared" si="22"/>
        <v>22</v>
      </c>
      <c r="E374" s="28">
        <f t="shared" si="23"/>
        <v>0</v>
      </c>
      <c r="F374" s="59" t="str">
        <f t="shared" si="24"/>
        <v/>
      </c>
      <c r="G374" s="42" t="s">
        <v>701</v>
      </c>
      <c r="H374" s="43" t="s">
        <v>2230</v>
      </c>
      <c r="I374" s="44" t="s">
        <v>2256</v>
      </c>
      <c r="J374" s="45" t="s">
        <v>1611</v>
      </c>
      <c r="K374" s="46" t="s">
        <v>1612</v>
      </c>
      <c r="L374" s="47" t="s">
        <v>2681</v>
      </c>
      <c r="M374" s="48" t="s">
        <v>2682</v>
      </c>
      <c r="N374" s="49"/>
      <c r="O374" s="50" t="s">
        <v>3422</v>
      </c>
      <c r="P374" s="59"/>
      <c r="Q374" s="59"/>
      <c r="R374" s="13"/>
    </row>
    <row r="375" spans="1:18" x14ac:dyDescent="0.25">
      <c r="A375" s="9" t="s">
        <v>22</v>
      </c>
      <c r="B375" s="28">
        <f>IF(ISBLANK(A375),0,INDEX(txtstylestab[],MATCH(A375,txtstylestab[style_Name],0),1))</f>
        <v>4</v>
      </c>
      <c r="C375" s="28">
        <f t="shared" si="21"/>
        <v>1</v>
      </c>
      <c r="D375" s="28">
        <f t="shared" si="22"/>
        <v>22</v>
      </c>
      <c r="E375" s="28">
        <f t="shared" si="23"/>
        <v>0</v>
      </c>
      <c r="F375" s="56" t="str">
        <f t="shared" si="24"/>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1"/>
        <v>1</v>
      </c>
      <c r="D376" s="28">
        <f t="shared" si="22"/>
        <v>22</v>
      </c>
      <c r="E376" s="28">
        <f t="shared" si="23"/>
        <v>0</v>
      </c>
      <c r="F376" s="59" t="str">
        <f t="shared" si="24"/>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1"/>
        <v>1</v>
      </c>
      <c r="D377" s="28">
        <f t="shared" si="22"/>
        <v>22</v>
      </c>
      <c r="E377" s="28">
        <f t="shared" si="23"/>
        <v>0</v>
      </c>
      <c r="F377" s="56" t="str">
        <f t="shared" si="24"/>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1"/>
        <v>1</v>
      </c>
      <c r="D378" s="28">
        <f t="shared" si="22"/>
        <v>22</v>
      </c>
      <c r="E378" s="28">
        <f t="shared" si="23"/>
        <v>0</v>
      </c>
      <c r="F378" s="59" t="str">
        <f t="shared" si="24"/>
        <v/>
      </c>
      <c r="G378" s="42" t="s">
        <v>713</v>
      </c>
      <c r="H378" s="43" t="s">
        <v>714</v>
      </c>
      <c r="I378" s="44" t="s">
        <v>715</v>
      </c>
      <c r="J378" s="45" t="s">
        <v>716</v>
      </c>
      <c r="K378" s="46" t="s">
        <v>1724</v>
      </c>
      <c r="L378" s="47" t="s">
        <v>2685</v>
      </c>
      <c r="M378" s="48" t="s">
        <v>2740</v>
      </c>
      <c r="N378" s="49"/>
      <c r="O378" s="50" t="s">
        <v>3425</v>
      </c>
      <c r="P378" s="59"/>
      <c r="Q378" s="59"/>
      <c r="R378" s="13"/>
    </row>
    <row r="379" spans="1:18" ht="60" x14ac:dyDescent="0.25">
      <c r="A379" s="9" t="s">
        <v>21</v>
      </c>
      <c r="B379" s="28">
        <f>IF(ISBLANK(A379),0,INDEX(txtstylestab[],MATCH(A379,txtstylestab[style_Name],0),1))</f>
        <v>0</v>
      </c>
      <c r="C379" s="28">
        <f t="shared" si="21"/>
        <v>1</v>
      </c>
      <c r="D379" s="28">
        <f t="shared" si="22"/>
        <v>22</v>
      </c>
      <c r="E379" s="28">
        <f t="shared" si="23"/>
        <v>0</v>
      </c>
      <c r="F379" s="59" t="str">
        <f t="shared" si="24"/>
        <v/>
      </c>
      <c r="G379" s="42" t="s">
        <v>2313</v>
      </c>
      <c r="H379" s="43" t="s">
        <v>2314</v>
      </c>
      <c r="I379" s="44" t="s">
        <v>2315</v>
      </c>
      <c r="J379" s="45" t="s">
        <v>2316</v>
      </c>
      <c r="K379" s="46" t="s">
        <v>2317</v>
      </c>
      <c r="L379" s="47" t="s">
        <v>2739</v>
      </c>
      <c r="M379" s="48" t="s">
        <v>2738</v>
      </c>
      <c r="N379" s="49"/>
      <c r="O379" s="50" t="s">
        <v>3426</v>
      </c>
      <c r="P379" s="59"/>
      <c r="Q379" s="59"/>
      <c r="R379" s="13"/>
    </row>
    <row r="380" spans="1:18" ht="45" x14ac:dyDescent="0.25">
      <c r="A380" s="9" t="s">
        <v>21</v>
      </c>
      <c r="B380" s="28">
        <f>IF(ISBLANK(A380),0,INDEX(txtstylestab[],MATCH(A380,txtstylestab[style_Name],0),1))</f>
        <v>0</v>
      </c>
      <c r="C380" s="28">
        <f t="shared" si="21"/>
        <v>1</v>
      </c>
      <c r="D380" s="28">
        <f t="shared" si="22"/>
        <v>22</v>
      </c>
      <c r="E380" s="28">
        <f t="shared" si="23"/>
        <v>0</v>
      </c>
      <c r="F380" s="59" t="str">
        <f t="shared" si="24"/>
        <v/>
      </c>
      <c r="G380" s="42" t="s">
        <v>706</v>
      </c>
      <c r="H380" s="43" t="s">
        <v>707</v>
      </c>
      <c r="I380" s="44" t="s">
        <v>2304</v>
      </c>
      <c r="J380" s="45" t="s">
        <v>708</v>
      </c>
      <c r="K380" s="46" t="s">
        <v>709</v>
      </c>
      <c r="L380" s="47" t="s">
        <v>2686</v>
      </c>
      <c r="M380" s="48" t="s">
        <v>2687</v>
      </c>
      <c r="N380" s="49"/>
      <c r="O380" s="50" t="s">
        <v>3427</v>
      </c>
      <c r="P380" s="59"/>
      <c r="Q380" s="59"/>
      <c r="R380" s="13"/>
    </row>
    <row r="381" spans="1:18" ht="30" x14ac:dyDescent="0.25">
      <c r="A381" s="9" t="s">
        <v>21</v>
      </c>
      <c r="B381" s="28">
        <f>IF(ISBLANK(A381),0,INDEX(txtstylestab[],MATCH(A381,txtstylestab[style_Name],0),1))</f>
        <v>0</v>
      </c>
      <c r="C381" s="28">
        <f t="shared" si="21"/>
        <v>1</v>
      </c>
      <c r="D381" s="28">
        <f t="shared" si="22"/>
        <v>22</v>
      </c>
      <c r="E381" s="28">
        <f t="shared" si="23"/>
        <v>0</v>
      </c>
      <c r="F381" s="59" t="str">
        <f t="shared" si="24"/>
        <v/>
      </c>
      <c r="G381" s="42" t="s">
        <v>717</v>
      </c>
      <c r="H381" s="43" t="s">
        <v>718</v>
      </c>
      <c r="I381" s="44" t="s">
        <v>719</v>
      </c>
      <c r="J381" s="45" t="s">
        <v>720</v>
      </c>
      <c r="K381" s="46" t="s">
        <v>721</v>
      </c>
      <c r="L381" s="47" t="s">
        <v>2688</v>
      </c>
      <c r="M381" s="48" t="s">
        <v>2741</v>
      </c>
      <c r="N381" s="49"/>
      <c r="O381" s="50" t="s">
        <v>3433</v>
      </c>
      <c r="P381" s="59"/>
      <c r="Q381" s="59"/>
      <c r="R381" s="13"/>
    </row>
    <row r="382" spans="1:18" ht="60" x14ac:dyDescent="0.25">
      <c r="A382" s="9" t="s">
        <v>21</v>
      </c>
      <c r="B382" s="28">
        <f>IF(ISBLANK(A382),0,INDEX(txtstylestab[],MATCH(A382,txtstylestab[style_Name],0),1))</f>
        <v>0</v>
      </c>
      <c r="C382" s="28">
        <f t="shared" si="21"/>
        <v>1</v>
      </c>
      <c r="D382" s="28">
        <f t="shared" si="22"/>
        <v>22</v>
      </c>
      <c r="E382" s="28">
        <f t="shared" si="23"/>
        <v>0</v>
      </c>
      <c r="F382" s="59" t="str">
        <f t="shared" si="24"/>
        <v/>
      </c>
      <c r="G382" s="42" t="s">
        <v>722</v>
      </c>
      <c r="H382" s="43" t="s">
        <v>723</v>
      </c>
      <c r="I382" s="44" t="s">
        <v>724</v>
      </c>
      <c r="J382" s="45" t="s">
        <v>1624</v>
      </c>
      <c r="K382" s="46" t="s">
        <v>1725</v>
      </c>
      <c r="L382" s="47" t="s">
        <v>2689</v>
      </c>
      <c r="M382" s="48" t="s">
        <v>2742</v>
      </c>
      <c r="N382" s="49"/>
      <c r="O382" s="50" t="s">
        <v>3432</v>
      </c>
      <c r="P382" s="59"/>
      <c r="Q382" s="59"/>
      <c r="R382" s="13"/>
    </row>
    <row r="383" spans="1:18" ht="30" x14ac:dyDescent="0.25">
      <c r="A383" s="9" t="s">
        <v>21</v>
      </c>
      <c r="B383" s="28">
        <f>IF(ISBLANK(A383),0,INDEX(txtstylestab[],MATCH(A383,txtstylestab[style_Name],0),1))</f>
        <v>0</v>
      </c>
      <c r="C383" s="28">
        <f t="shared" si="21"/>
        <v>1</v>
      </c>
      <c r="D383" s="28">
        <f t="shared" si="22"/>
        <v>22</v>
      </c>
      <c r="E383" s="28">
        <f t="shared" si="23"/>
        <v>0</v>
      </c>
      <c r="F383" s="59" t="str">
        <f t="shared" si="24"/>
        <v/>
      </c>
      <c r="G383" s="42" t="s">
        <v>354</v>
      </c>
      <c r="H383" s="43" t="s">
        <v>725</v>
      </c>
      <c r="I383" s="44" t="s">
        <v>356</v>
      </c>
      <c r="J383" s="45" t="s">
        <v>357</v>
      </c>
      <c r="K383" s="46" t="s">
        <v>358</v>
      </c>
      <c r="L383" s="47" t="s">
        <v>2497</v>
      </c>
      <c r="M383" s="48" t="s">
        <v>2743</v>
      </c>
      <c r="N383" s="49"/>
      <c r="O383" s="50" t="s">
        <v>3431</v>
      </c>
      <c r="P383" s="59"/>
      <c r="Q383" s="59"/>
      <c r="R383" s="13"/>
    </row>
    <row r="384" spans="1:18" ht="30" x14ac:dyDescent="0.25">
      <c r="A384" s="9" t="s">
        <v>21</v>
      </c>
      <c r="B384" s="28">
        <f>IF(ISBLANK(A384),0,INDEX(txtstylestab[],MATCH(A384,txtstylestab[style_Name],0),1))</f>
        <v>0</v>
      </c>
      <c r="C384" s="28">
        <f t="shared" si="21"/>
        <v>1</v>
      </c>
      <c r="D384" s="28">
        <f t="shared" si="22"/>
        <v>22</v>
      </c>
      <c r="E384" s="28">
        <f t="shared" si="23"/>
        <v>0</v>
      </c>
      <c r="F384" s="59" t="str">
        <f t="shared" si="24"/>
        <v/>
      </c>
      <c r="G384" s="42" t="s">
        <v>359</v>
      </c>
      <c r="H384" s="43" t="s">
        <v>360</v>
      </c>
      <c r="I384" s="44" t="s">
        <v>726</v>
      </c>
      <c r="J384" s="45" t="s">
        <v>362</v>
      </c>
      <c r="K384" s="46" t="s">
        <v>727</v>
      </c>
      <c r="L384" s="47" t="s">
        <v>2690</v>
      </c>
      <c r="M384" s="48" t="s">
        <v>2500</v>
      </c>
      <c r="N384" s="49"/>
      <c r="O384" s="50" t="s">
        <v>3430</v>
      </c>
      <c r="P384" s="59"/>
      <c r="Q384" s="59"/>
      <c r="R384" s="13"/>
    </row>
    <row r="385" spans="1:18" ht="30" x14ac:dyDescent="0.25">
      <c r="A385" s="9" t="s">
        <v>21</v>
      </c>
      <c r="B385" s="28">
        <f>IF(ISBLANK(A385),0,INDEX(txtstylestab[],MATCH(A385,txtstylestab[style_Name],0),1))</f>
        <v>0</v>
      </c>
      <c r="C385" s="28">
        <f t="shared" si="21"/>
        <v>1</v>
      </c>
      <c r="D385" s="28">
        <f t="shared" si="22"/>
        <v>22</v>
      </c>
      <c r="E385" s="28">
        <f t="shared" si="23"/>
        <v>0</v>
      </c>
      <c r="F385" s="59" t="str">
        <f t="shared" si="24"/>
        <v/>
      </c>
      <c r="G385" s="42" t="s">
        <v>728</v>
      </c>
      <c r="H385" s="43" t="s">
        <v>729</v>
      </c>
      <c r="I385" s="44" t="s">
        <v>366</v>
      </c>
      <c r="J385" s="45" t="s">
        <v>730</v>
      </c>
      <c r="K385" s="46" t="s">
        <v>731</v>
      </c>
      <c r="L385" s="47" t="s">
        <v>2691</v>
      </c>
      <c r="M385" s="48" t="s">
        <v>2692</v>
      </c>
      <c r="N385" s="49"/>
      <c r="O385" s="50" t="s">
        <v>3428</v>
      </c>
      <c r="P385" s="59"/>
      <c r="Q385" s="59"/>
      <c r="R385" s="13"/>
    </row>
    <row r="386" spans="1:18" ht="45" x14ac:dyDescent="0.25">
      <c r="A386" s="9" t="s">
        <v>21</v>
      </c>
      <c r="B386" s="28">
        <f>IF(ISBLANK(A386),0,INDEX(txtstylestab[],MATCH(A386,txtstylestab[style_Name],0),1))</f>
        <v>0</v>
      </c>
      <c r="C386" s="28">
        <f t="shared" si="21"/>
        <v>1</v>
      </c>
      <c r="D386" s="28">
        <f t="shared" si="22"/>
        <v>22</v>
      </c>
      <c r="E386" s="28">
        <f t="shared" si="23"/>
        <v>0</v>
      </c>
      <c r="F386" s="59" t="str">
        <f t="shared" si="24"/>
        <v/>
      </c>
      <c r="G386" s="42" t="s">
        <v>732</v>
      </c>
      <c r="H386" s="43" t="s">
        <v>733</v>
      </c>
      <c r="I386" s="44" t="s">
        <v>734</v>
      </c>
      <c r="J386" s="45" t="s">
        <v>735</v>
      </c>
      <c r="K386" s="46" t="s">
        <v>736</v>
      </c>
      <c r="L386" s="47" t="s">
        <v>2503</v>
      </c>
      <c r="M386" s="48" t="s">
        <v>2504</v>
      </c>
      <c r="N386" s="49"/>
      <c r="O386" s="50" t="s">
        <v>3429</v>
      </c>
      <c r="P386" s="59"/>
      <c r="Q386" s="59"/>
      <c r="R386" s="13"/>
    </row>
    <row r="387" spans="1:18" ht="75" x14ac:dyDescent="0.25">
      <c r="A387" s="9" t="s">
        <v>21</v>
      </c>
      <c r="B387" s="28">
        <f>IF(ISBLANK(A387),0,INDEX(txtstylestab[],MATCH(A387,txtstylestab[style_Name],0),1))</f>
        <v>0</v>
      </c>
      <c r="C387" s="28">
        <f t="shared" si="21"/>
        <v>1</v>
      </c>
      <c r="D387" s="28">
        <f t="shared" si="22"/>
        <v>22</v>
      </c>
      <c r="E387" s="28">
        <f t="shared" si="23"/>
        <v>0</v>
      </c>
      <c r="F387" s="59" t="str">
        <f t="shared" si="24"/>
        <v/>
      </c>
      <c r="G387" s="42" t="s">
        <v>710</v>
      </c>
      <c r="H387" s="43" t="s">
        <v>711</v>
      </c>
      <c r="I387" s="44" t="s">
        <v>712</v>
      </c>
      <c r="J387" s="45" t="s">
        <v>1625</v>
      </c>
      <c r="K387" s="46" t="s">
        <v>1726</v>
      </c>
      <c r="L387" s="47" t="s">
        <v>2693</v>
      </c>
      <c r="M387" s="48" t="s">
        <v>2694</v>
      </c>
      <c r="N387" s="49"/>
      <c r="O387" s="50" t="s">
        <v>3434</v>
      </c>
      <c r="P387" s="59"/>
      <c r="Q387" s="59"/>
      <c r="R387" s="13"/>
    </row>
    <row r="388" spans="1:18" x14ac:dyDescent="0.25">
      <c r="A388" s="9" t="s">
        <v>22</v>
      </c>
      <c r="B388" s="28">
        <f>IF(ISBLANK(A388),0,INDEX(txtstylestab[],MATCH(A388,txtstylestab[style_Name],0),1))</f>
        <v>4</v>
      </c>
      <c r="C388" s="28">
        <f t="shared" ref="C388:C451" si="25">IF(B388=1,C387+1,C387)</f>
        <v>1</v>
      </c>
      <c r="D388" s="28">
        <f t="shared" ref="D388:D451" si="26">IF(B388=1,0,IF(B388=2,D387+1,IF(AND(B388=3,D387=0),1,D387)))</f>
        <v>22</v>
      </c>
      <c r="E388" s="28">
        <f t="shared" ref="E388:E451" si="27">IF(OR(B388=1,B388=2),0,IF(B388=3,E387+1,E387))</f>
        <v>0</v>
      </c>
      <c r="F388" s="56" t="str">
        <f t="shared" ref="F388:F451" si="28">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5"/>
        <v>1</v>
      </c>
      <c r="D389" s="28">
        <f t="shared" si="26"/>
        <v>22</v>
      </c>
      <c r="E389" s="28">
        <f t="shared" si="27"/>
        <v>0</v>
      </c>
      <c r="F389" s="59" t="str">
        <f t="shared" si="28"/>
        <v/>
      </c>
      <c r="G389" s="42" t="s">
        <v>737</v>
      </c>
      <c r="H389" s="43" t="s">
        <v>738</v>
      </c>
      <c r="I389" s="44" t="s">
        <v>739</v>
      </c>
      <c r="J389" s="45" t="s">
        <v>1626</v>
      </c>
      <c r="K389" s="46" t="s">
        <v>740</v>
      </c>
      <c r="L389" s="47" t="s">
        <v>2695</v>
      </c>
      <c r="M389" s="48" t="s">
        <v>2696</v>
      </c>
      <c r="N389" s="49"/>
      <c r="O389" s="50" t="s">
        <v>3435</v>
      </c>
      <c r="P389" s="59"/>
      <c r="Q389" s="59"/>
      <c r="R389" s="13"/>
    </row>
    <row r="390" spans="1:18" x14ac:dyDescent="0.25">
      <c r="A390" s="9" t="s">
        <v>22</v>
      </c>
      <c r="B390" s="28">
        <f>IF(ISBLANK(A390),0,INDEX(txtstylestab[],MATCH(A390,txtstylestab[style_Name],0),1))</f>
        <v>4</v>
      </c>
      <c r="C390" s="28">
        <f t="shared" si="25"/>
        <v>1</v>
      </c>
      <c r="D390" s="28">
        <f t="shared" si="26"/>
        <v>22</v>
      </c>
      <c r="E390" s="28">
        <f t="shared" si="27"/>
        <v>0</v>
      </c>
      <c r="F390" s="56" t="str">
        <f t="shared" si="28"/>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5"/>
        <v>1</v>
      </c>
      <c r="D391" s="28">
        <f t="shared" si="26"/>
        <v>22</v>
      </c>
      <c r="E391" s="28">
        <f t="shared" si="27"/>
        <v>0</v>
      </c>
      <c r="F391" s="59" t="str">
        <f t="shared" si="28"/>
        <v/>
      </c>
      <c r="G391" s="42" t="s">
        <v>742</v>
      </c>
      <c r="H391" s="43" t="s">
        <v>743</v>
      </c>
      <c r="I391" s="44" t="s">
        <v>744</v>
      </c>
      <c r="J391" s="45" t="s">
        <v>745</v>
      </c>
      <c r="K391" s="46" t="s">
        <v>1727</v>
      </c>
      <c r="L391" s="47" t="s">
        <v>2698</v>
      </c>
      <c r="M391" s="48" t="s">
        <v>2697</v>
      </c>
      <c r="N391" s="49"/>
      <c r="O391" s="50" t="s">
        <v>3436</v>
      </c>
      <c r="P391" s="59"/>
      <c r="Q391" s="59"/>
      <c r="R391" s="13"/>
    </row>
    <row r="392" spans="1:18" x14ac:dyDescent="0.25">
      <c r="A392" s="9" t="s">
        <v>21</v>
      </c>
      <c r="B392" s="28">
        <f>IF(ISBLANK(A392),0,INDEX(txtstylestab[],MATCH(A392,txtstylestab[style_Name],0),1))</f>
        <v>0</v>
      </c>
      <c r="C392" s="28">
        <f t="shared" si="25"/>
        <v>1</v>
      </c>
      <c r="D392" s="28">
        <f t="shared" si="26"/>
        <v>22</v>
      </c>
      <c r="E392" s="28">
        <f t="shared" si="27"/>
        <v>0</v>
      </c>
      <c r="F392" s="59" t="str">
        <f t="shared" si="28"/>
        <v/>
      </c>
      <c r="G392" s="42" t="s">
        <v>6</v>
      </c>
      <c r="H392" s="43" t="s">
        <v>26</v>
      </c>
      <c r="I392" s="44" t="s">
        <v>48</v>
      </c>
      <c r="J392" s="45" t="s">
        <v>384</v>
      </c>
      <c r="K392" s="46" t="s">
        <v>59</v>
      </c>
      <c r="L392" s="47" t="s">
        <v>2525</v>
      </c>
      <c r="M392" s="48" t="s">
        <v>2526</v>
      </c>
      <c r="N392" s="49"/>
      <c r="O392" s="50" t="s">
        <v>3173</v>
      </c>
      <c r="P392" s="59"/>
      <c r="Q392" s="59"/>
      <c r="R392" s="13"/>
    </row>
    <row r="393" spans="1:18" ht="18" thickBot="1" x14ac:dyDescent="0.35">
      <c r="A393" s="9" t="s">
        <v>11</v>
      </c>
      <c r="B393" s="28">
        <f>IF(ISBLANK(A393),0,INDEX(txtstylestab[],MATCH(A393,txtstylestab[style_Name],0),1))</f>
        <v>2</v>
      </c>
      <c r="C393" s="28">
        <f t="shared" si="25"/>
        <v>1</v>
      </c>
      <c r="D393" s="28">
        <f t="shared" si="26"/>
        <v>23</v>
      </c>
      <c r="E393" s="28">
        <f t="shared" si="27"/>
        <v>0</v>
      </c>
      <c r="F393" s="54" t="str">
        <f t="shared" si="28"/>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5"/>
        <v>1</v>
      </c>
      <c r="D394" s="28">
        <f t="shared" si="26"/>
        <v>23</v>
      </c>
      <c r="E394" s="28">
        <f t="shared" si="27"/>
        <v>0</v>
      </c>
      <c r="F394" s="59" t="str">
        <f t="shared" si="28"/>
        <v/>
      </c>
      <c r="G394" s="42" t="s">
        <v>82</v>
      </c>
      <c r="H394" s="43" t="s">
        <v>83</v>
      </c>
      <c r="I394" s="44" t="s">
        <v>84</v>
      </c>
      <c r="J394" s="45" t="s">
        <v>85</v>
      </c>
      <c r="K394" s="46" t="s">
        <v>86</v>
      </c>
      <c r="L394" s="47" t="s">
        <v>2398</v>
      </c>
      <c r="M394" s="48" t="s">
        <v>2540</v>
      </c>
      <c r="N394" s="49"/>
      <c r="O394" s="50" t="s">
        <v>3166</v>
      </c>
      <c r="P394" s="59"/>
      <c r="Q394" s="59"/>
      <c r="R394" s="13"/>
    </row>
    <row r="395" spans="1:18" ht="30" x14ac:dyDescent="0.25">
      <c r="A395" s="9" t="s">
        <v>21</v>
      </c>
      <c r="B395" s="28">
        <f>IF(ISBLANK(A395),0,INDEX(txtstylestab[],MATCH(A395,txtstylestab[style_Name],0),1))</f>
        <v>0</v>
      </c>
      <c r="C395" s="28">
        <f t="shared" si="25"/>
        <v>1</v>
      </c>
      <c r="D395" s="28">
        <f t="shared" si="26"/>
        <v>23</v>
      </c>
      <c r="E395" s="28">
        <f t="shared" si="27"/>
        <v>0</v>
      </c>
      <c r="F395" s="59" t="str">
        <f t="shared" si="28"/>
        <v/>
      </c>
      <c r="G395" s="42" t="s">
        <v>747</v>
      </c>
      <c r="H395" s="43" t="s">
        <v>748</v>
      </c>
      <c r="I395" s="44" t="s">
        <v>1613</v>
      </c>
      <c r="J395" s="45" t="s">
        <v>749</v>
      </c>
      <c r="K395" s="46" t="s">
        <v>750</v>
      </c>
      <c r="L395" s="47" t="s">
        <v>2699</v>
      </c>
      <c r="M395" s="48" t="s">
        <v>2700</v>
      </c>
      <c r="N395" s="49"/>
      <c r="O395" s="50" t="s">
        <v>3437</v>
      </c>
      <c r="P395" s="59"/>
      <c r="Q395" s="59"/>
      <c r="R395" s="13"/>
    </row>
    <row r="396" spans="1:18" x14ac:dyDescent="0.25">
      <c r="A396" s="9" t="s">
        <v>21</v>
      </c>
      <c r="B396" s="28">
        <f>IF(ISBLANK(A396),0,INDEX(txtstylestab[],MATCH(A396,txtstylestab[style_Name],0),1))</f>
        <v>0</v>
      </c>
      <c r="C396" s="28">
        <f t="shared" si="25"/>
        <v>1</v>
      </c>
      <c r="D396" s="28">
        <f t="shared" si="26"/>
        <v>23</v>
      </c>
      <c r="E396" s="28">
        <f t="shared" si="27"/>
        <v>0</v>
      </c>
      <c r="F396" s="59" t="str">
        <f t="shared" si="28"/>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5"/>
        <v>1</v>
      </c>
      <c r="D397" s="28">
        <f t="shared" si="26"/>
        <v>23</v>
      </c>
      <c r="E397" s="28">
        <f t="shared" si="27"/>
        <v>0</v>
      </c>
      <c r="F397" s="59" t="str">
        <f t="shared" si="28"/>
        <v/>
      </c>
      <c r="G397" s="42" t="s">
        <v>437</v>
      </c>
      <c r="H397" s="43" t="s">
        <v>441</v>
      </c>
      <c r="I397" s="44" t="s">
        <v>752</v>
      </c>
      <c r="J397" s="45" t="s">
        <v>1628</v>
      </c>
      <c r="K397" s="46" t="s">
        <v>453</v>
      </c>
      <c r="L397" s="47" t="s">
        <v>2702</v>
      </c>
      <c r="M397" s="48" t="s">
        <v>2534</v>
      </c>
      <c r="N397" s="49"/>
      <c r="O397" s="50" t="s">
        <v>3347</v>
      </c>
      <c r="P397" s="59"/>
      <c r="Q397" s="59"/>
      <c r="R397" s="13"/>
    </row>
    <row r="398" spans="1:18" ht="30" x14ac:dyDescent="0.25">
      <c r="A398" s="9" t="s">
        <v>21</v>
      </c>
      <c r="B398" s="28">
        <f>IF(ISBLANK(A398),0,INDEX(txtstylestab[],MATCH(A398,txtstylestab[style_Name],0),1))</f>
        <v>0</v>
      </c>
      <c r="C398" s="28">
        <f t="shared" si="25"/>
        <v>1</v>
      </c>
      <c r="D398" s="28">
        <f t="shared" si="26"/>
        <v>23</v>
      </c>
      <c r="E398" s="28">
        <f t="shared" si="27"/>
        <v>0</v>
      </c>
      <c r="F398" s="59" t="str">
        <f t="shared" si="28"/>
        <v/>
      </c>
      <c r="G398" s="42" t="s">
        <v>438</v>
      </c>
      <c r="H398" s="43" t="s">
        <v>442</v>
      </c>
      <c r="I398" s="44" t="s">
        <v>753</v>
      </c>
      <c r="J398" s="45" t="s">
        <v>754</v>
      </c>
      <c r="K398" s="46" t="s">
        <v>454</v>
      </c>
      <c r="L398" s="47" t="s">
        <v>2703</v>
      </c>
      <c r="M398" s="48" t="s">
        <v>2535</v>
      </c>
      <c r="N398" s="49"/>
      <c r="O398" s="50" t="s">
        <v>3335</v>
      </c>
      <c r="P398" s="59"/>
      <c r="Q398" s="59"/>
      <c r="R398" s="13"/>
    </row>
    <row r="399" spans="1:18" ht="30" x14ac:dyDescent="0.25">
      <c r="A399" s="9" t="s">
        <v>21</v>
      </c>
      <c r="B399" s="28">
        <f>IF(ISBLANK(A399),0,INDEX(txtstylestab[],MATCH(A399,txtstylestab[style_Name],0),1))</f>
        <v>0</v>
      </c>
      <c r="C399" s="28">
        <f t="shared" si="25"/>
        <v>1</v>
      </c>
      <c r="D399" s="28">
        <f t="shared" si="26"/>
        <v>23</v>
      </c>
      <c r="E399" s="28">
        <f t="shared" si="27"/>
        <v>0</v>
      </c>
      <c r="F399" s="59" t="str">
        <f t="shared" si="28"/>
        <v/>
      </c>
      <c r="G399" s="42" t="s">
        <v>439</v>
      </c>
      <c r="H399" s="43" t="s">
        <v>755</v>
      </c>
      <c r="I399" s="44" t="s">
        <v>756</v>
      </c>
      <c r="J399" s="45" t="s">
        <v>757</v>
      </c>
      <c r="K399" s="46" t="s">
        <v>455</v>
      </c>
      <c r="L399" s="47" t="s">
        <v>2704</v>
      </c>
      <c r="M399" s="48" t="s">
        <v>2536</v>
      </c>
      <c r="N399" s="49"/>
      <c r="O399" s="50" t="s">
        <v>3348</v>
      </c>
      <c r="P399" s="59"/>
      <c r="Q399" s="59"/>
      <c r="R399" s="13"/>
    </row>
    <row r="400" spans="1:18" x14ac:dyDescent="0.25">
      <c r="A400" s="9" t="s">
        <v>21</v>
      </c>
      <c r="B400" s="28">
        <f>IF(ISBLANK(A400),0,INDEX(txtstylestab[],MATCH(A400,txtstylestab[style_Name],0),1))</f>
        <v>0</v>
      </c>
      <c r="C400" s="28">
        <f t="shared" si="25"/>
        <v>1</v>
      </c>
      <c r="D400" s="28">
        <f t="shared" si="26"/>
        <v>23</v>
      </c>
      <c r="E400" s="28">
        <f t="shared" si="27"/>
        <v>0</v>
      </c>
      <c r="F400" s="59" t="str">
        <f t="shared" si="28"/>
        <v/>
      </c>
      <c r="G400" s="42" t="s">
        <v>758</v>
      </c>
      <c r="H400" s="43" t="s">
        <v>444</v>
      </c>
      <c r="I400" s="44" t="s">
        <v>759</v>
      </c>
      <c r="J400" s="45" t="s">
        <v>760</v>
      </c>
      <c r="K400" s="46" t="s">
        <v>456</v>
      </c>
      <c r="L400" s="47" t="s">
        <v>2532</v>
      </c>
      <c r="M400" s="48" t="s">
        <v>2705</v>
      </c>
      <c r="N400" s="49"/>
      <c r="O400" s="50" t="s">
        <v>3349</v>
      </c>
      <c r="P400" s="59"/>
      <c r="Q400" s="59"/>
      <c r="R400" s="13"/>
    </row>
    <row r="401" spans="1:18" x14ac:dyDescent="0.25">
      <c r="A401" s="9" t="s">
        <v>21</v>
      </c>
      <c r="B401" s="28">
        <f>IF(ISBLANK(A401),0,INDEX(txtstylestab[],MATCH(A401,txtstylestab[style_Name],0),1))</f>
        <v>0</v>
      </c>
      <c r="C401" s="28">
        <f t="shared" si="25"/>
        <v>1</v>
      </c>
      <c r="D401" s="28">
        <f t="shared" si="26"/>
        <v>23</v>
      </c>
      <c r="E401" s="28">
        <f t="shared" si="27"/>
        <v>0</v>
      </c>
      <c r="F401" s="59" t="str">
        <f t="shared" si="28"/>
        <v/>
      </c>
      <c r="G401" s="42" t="s">
        <v>6</v>
      </c>
      <c r="H401" s="43" t="s">
        <v>26</v>
      </c>
      <c r="I401" s="44" t="s">
        <v>48</v>
      </c>
      <c r="J401" s="45" t="s">
        <v>384</v>
      </c>
      <c r="K401" s="46" t="s">
        <v>59</v>
      </c>
      <c r="L401" s="47" t="s">
        <v>2525</v>
      </c>
      <c r="M401" s="48" t="s">
        <v>2526</v>
      </c>
      <c r="N401" s="49"/>
      <c r="O401" s="50" t="s">
        <v>3173</v>
      </c>
      <c r="P401" s="50"/>
      <c r="Q401" s="59"/>
      <c r="R401" s="13"/>
    </row>
    <row r="402" spans="1:18" x14ac:dyDescent="0.25">
      <c r="A402" s="9" t="s">
        <v>13</v>
      </c>
      <c r="B402" s="28">
        <f>IF(ISBLANK(A402),0,INDEX(txtstylestab[],MATCH(A402,txtstylestab[style_Name],0),1))</f>
        <v>7</v>
      </c>
      <c r="C402" s="28">
        <f t="shared" si="25"/>
        <v>1</v>
      </c>
      <c r="D402" s="28">
        <f t="shared" si="26"/>
        <v>23</v>
      </c>
      <c r="E402" s="28">
        <f t="shared" si="27"/>
        <v>0</v>
      </c>
      <c r="F402" s="78" t="str">
        <f t="shared" si="28"/>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5"/>
        <v>1</v>
      </c>
      <c r="D403" s="28">
        <f t="shared" si="26"/>
        <v>24</v>
      </c>
      <c r="E403" s="28">
        <f t="shared" si="27"/>
        <v>0</v>
      </c>
      <c r="F403" s="54" t="str">
        <f t="shared" si="28"/>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5"/>
        <v>1</v>
      </c>
      <c r="D404" s="28">
        <f t="shared" si="26"/>
        <v>24</v>
      </c>
      <c r="E404" s="28">
        <f t="shared" si="27"/>
        <v>0</v>
      </c>
      <c r="F404" s="59" t="str">
        <f t="shared" si="28"/>
        <v/>
      </c>
      <c r="G404" s="42" t="s">
        <v>1894</v>
      </c>
      <c r="H404" s="43" t="s">
        <v>1895</v>
      </c>
      <c r="I404" s="44" t="s">
        <v>1896</v>
      </c>
      <c r="J404" s="45" t="s">
        <v>1897</v>
      </c>
      <c r="K404" s="46" t="s">
        <v>1898</v>
      </c>
      <c r="L404" s="47" t="s">
        <v>2706</v>
      </c>
      <c r="M404" s="48" t="s">
        <v>2707</v>
      </c>
      <c r="N404" s="49"/>
      <c r="O404" s="50" t="s">
        <v>3438</v>
      </c>
      <c r="P404" s="59"/>
      <c r="Q404" s="59"/>
      <c r="R404" s="13"/>
    </row>
    <row r="405" spans="1:18" ht="60" x14ac:dyDescent="0.25">
      <c r="A405" s="9" t="s">
        <v>14</v>
      </c>
      <c r="B405" s="28">
        <f>IF(ISBLANK(A405),0,INDEX(txtstylestab[],MATCH(A405,txtstylestab[style_Name],0),1))</f>
        <v>6</v>
      </c>
      <c r="C405" s="28">
        <f t="shared" si="25"/>
        <v>1</v>
      </c>
      <c r="D405" s="28">
        <f t="shared" si="26"/>
        <v>24</v>
      </c>
      <c r="E405" s="28">
        <f t="shared" si="27"/>
        <v>0</v>
      </c>
      <c r="F405" s="59" t="str">
        <f t="shared" si="28"/>
        <v/>
      </c>
      <c r="G405" s="42" t="s">
        <v>1899</v>
      </c>
      <c r="H405" s="43" t="s">
        <v>1900</v>
      </c>
      <c r="I405" s="44" t="s">
        <v>1901</v>
      </c>
      <c r="J405" s="45" t="s">
        <v>1902</v>
      </c>
      <c r="K405" s="46" t="s">
        <v>1903</v>
      </c>
      <c r="L405" s="47" t="s">
        <v>2708</v>
      </c>
      <c r="M405" s="48" t="s">
        <v>2735</v>
      </c>
      <c r="N405" s="49"/>
      <c r="O405" s="50" t="s">
        <v>3439</v>
      </c>
      <c r="P405" s="59"/>
      <c r="Q405" s="59"/>
      <c r="R405" s="13"/>
    </row>
    <row r="406" spans="1:18" ht="75" x14ac:dyDescent="0.25">
      <c r="A406" s="9" t="s">
        <v>14</v>
      </c>
      <c r="B406" s="28">
        <f>IF(ISBLANK(A406),0,INDEX(txtstylestab[],MATCH(A406,txtstylestab[style_Name],0),1))</f>
        <v>6</v>
      </c>
      <c r="C406" s="28">
        <f t="shared" si="25"/>
        <v>1</v>
      </c>
      <c r="D406" s="28">
        <f t="shared" si="26"/>
        <v>24</v>
      </c>
      <c r="E406" s="28">
        <f t="shared" si="27"/>
        <v>0</v>
      </c>
      <c r="F406" s="59" t="str">
        <f t="shared" si="28"/>
        <v/>
      </c>
      <c r="G406" s="42" t="s">
        <v>762</v>
      </c>
      <c r="H406" s="43" t="s">
        <v>1904</v>
      </c>
      <c r="I406" s="44" t="s">
        <v>1638</v>
      </c>
      <c r="J406" s="45" t="s">
        <v>768</v>
      </c>
      <c r="K406" s="46" t="s">
        <v>763</v>
      </c>
      <c r="L406" s="47" t="s">
        <v>2709</v>
      </c>
      <c r="M406" s="48" t="s">
        <v>2731</v>
      </c>
      <c r="N406" s="49"/>
      <c r="O406" s="50" t="s">
        <v>3440</v>
      </c>
      <c r="P406" s="59"/>
      <c r="Q406" s="59"/>
      <c r="R406" s="13"/>
    </row>
    <row r="407" spans="1:18" ht="45" x14ac:dyDescent="0.25">
      <c r="A407" s="9" t="s">
        <v>21</v>
      </c>
      <c r="B407" s="28">
        <f>IF(ISBLANK(A407),0,INDEX(txtstylestab[],MATCH(A407,txtstylestab[style_Name],0),1))</f>
        <v>0</v>
      </c>
      <c r="C407" s="28">
        <f t="shared" si="25"/>
        <v>1</v>
      </c>
      <c r="D407" s="28">
        <f t="shared" si="26"/>
        <v>24</v>
      </c>
      <c r="E407" s="28">
        <f t="shared" si="27"/>
        <v>0</v>
      </c>
      <c r="F407" s="59" t="str">
        <f t="shared" si="28"/>
        <v/>
      </c>
      <c r="G407" s="42" t="s">
        <v>764</v>
      </c>
      <c r="H407" s="43" t="s">
        <v>765</v>
      </c>
      <c r="I407" s="44" t="s">
        <v>766</v>
      </c>
      <c r="J407" s="45" t="s">
        <v>767</v>
      </c>
      <c r="K407" s="46" t="s">
        <v>769</v>
      </c>
      <c r="L407" s="47" t="s">
        <v>2710</v>
      </c>
      <c r="M407" s="48" t="s">
        <v>2734</v>
      </c>
      <c r="N407" s="49"/>
      <c r="O407" s="50" t="s">
        <v>3441</v>
      </c>
      <c r="P407" s="59"/>
      <c r="Q407" s="59"/>
      <c r="R407" s="13"/>
    </row>
    <row r="408" spans="1:18" ht="60" x14ac:dyDescent="0.25">
      <c r="A408" s="9" t="s">
        <v>21</v>
      </c>
      <c r="B408" s="28">
        <f>IF(ISBLANK(A408),0,INDEX(txtstylestab[],MATCH(A408,txtstylestab[style_Name],0),1))</f>
        <v>0</v>
      </c>
      <c r="C408" s="28">
        <f t="shared" si="25"/>
        <v>1</v>
      </c>
      <c r="D408" s="28">
        <f t="shared" si="26"/>
        <v>24</v>
      </c>
      <c r="E408" s="28">
        <f t="shared" si="27"/>
        <v>0</v>
      </c>
      <c r="F408" s="59" t="str">
        <f t="shared" si="28"/>
        <v/>
      </c>
      <c r="G408" s="42" t="s">
        <v>713</v>
      </c>
      <c r="H408" s="43" t="s">
        <v>781</v>
      </c>
      <c r="I408" s="44" t="s">
        <v>782</v>
      </c>
      <c r="J408" s="45" t="s">
        <v>783</v>
      </c>
      <c r="K408" s="46" t="s">
        <v>2305</v>
      </c>
      <c r="L408" s="47" t="s">
        <v>2685</v>
      </c>
      <c r="M408" s="48" t="s">
        <v>2736</v>
      </c>
      <c r="N408" s="49"/>
      <c r="O408" s="50" t="s">
        <v>3442</v>
      </c>
      <c r="P408" s="59"/>
      <c r="Q408" s="59"/>
      <c r="R408" s="13"/>
    </row>
    <row r="409" spans="1:18" ht="60" x14ac:dyDescent="0.25">
      <c r="A409" s="9" t="s">
        <v>21</v>
      </c>
      <c r="B409" s="28">
        <f>IF(ISBLANK(A409),0,INDEX(txtstylestab[],MATCH(A409,txtstylestab[style_Name],0),1))</f>
        <v>0</v>
      </c>
      <c r="C409" s="28">
        <f t="shared" si="25"/>
        <v>1</v>
      </c>
      <c r="D409" s="28">
        <f t="shared" si="26"/>
        <v>24</v>
      </c>
      <c r="E409" s="28">
        <f t="shared" si="27"/>
        <v>0</v>
      </c>
      <c r="F409" s="59" t="str">
        <f t="shared" si="28"/>
        <v/>
      </c>
      <c r="G409" s="42" t="s">
        <v>2313</v>
      </c>
      <c r="H409" s="43" t="s">
        <v>2314</v>
      </c>
      <c r="I409" s="44" t="s">
        <v>2318</v>
      </c>
      <c r="J409" s="45" t="s">
        <v>2319</v>
      </c>
      <c r="K409" s="46" t="s">
        <v>2320</v>
      </c>
      <c r="L409" s="47" t="s">
        <v>2733</v>
      </c>
      <c r="M409" s="48" t="s">
        <v>2732</v>
      </c>
      <c r="N409" s="49"/>
      <c r="O409" s="50" t="s">
        <v>3443</v>
      </c>
      <c r="P409" s="59"/>
      <c r="Q409" s="59"/>
      <c r="R409" s="13"/>
    </row>
    <row r="410" spans="1:18" ht="75" x14ac:dyDescent="0.25">
      <c r="A410" s="9" t="s">
        <v>21</v>
      </c>
      <c r="B410" s="28">
        <f>IF(ISBLANK(A410),0,INDEX(txtstylestab[],MATCH(A410,txtstylestab[style_Name],0),1))</f>
        <v>0</v>
      </c>
      <c r="C410" s="28">
        <f t="shared" si="25"/>
        <v>1</v>
      </c>
      <c r="D410" s="28">
        <f t="shared" si="26"/>
        <v>24</v>
      </c>
      <c r="E410" s="28">
        <f t="shared" si="27"/>
        <v>0</v>
      </c>
      <c r="F410" s="59" t="str">
        <f t="shared" si="28"/>
        <v/>
      </c>
      <c r="G410" s="42" t="s">
        <v>770</v>
      </c>
      <c r="H410" s="43" t="s">
        <v>2148</v>
      </c>
      <c r="I410" s="44" t="s">
        <v>2259</v>
      </c>
      <c r="J410" s="45" t="s">
        <v>771</v>
      </c>
      <c r="K410" s="46" t="s">
        <v>2192</v>
      </c>
      <c r="L410" s="47" t="s">
        <v>2711</v>
      </c>
      <c r="M410" s="48" t="s">
        <v>2712</v>
      </c>
      <c r="N410" s="49"/>
      <c r="O410" s="50" t="s">
        <v>3447</v>
      </c>
      <c r="P410" s="59"/>
      <c r="Q410" s="59"/>
      <c r="R410" s="13"/>
    </row>
    <row r="411" spans="1:18" ht="45" x14ac:dyDescent="0.25">
      <c r="A411" s="9" t="s">
        <v>21</v>
      </c>
      <c r="B411" s="28">
        <f>IF(ISBLANK(A411),0,INDEX(txtstylestab[],MATCH(A411,txtstylestab[style_Name],0),1))</f>
        <v>0</v>
      </c>
      <c r="C411" s="28">
        <f t="shared" si="25"/>
        <v>1</v>
      </c>
      <c r="D411" s="28">
        <f t="shared" si="26"/>
        <v>24</v>
      </c>
      <c r="E411" s="28">
        <f t="shared" si="27"/>
        <v>0</v>
      </c>
      <c r="F411" s="59" t="str">
        <f t="shared" si="28"/>
        <v/>
      </c>
      <c r="G411" s="42" t="s">
        <v>772</v>
      </c>
      <c r="H411" s="43" t="s">
        <v>773</v>
      </c>
      <c r="I411" s="44" t="s">
        <v>774</v>
      </c>
      <c r="J411" s="45" t="s">
        <v>775</v>
      </c>
      <c r="K411" s="46" t="s">
        <v>776</v>
      </c>
      <c r="L411" s="47" t="s">
        <v>2713</v>
      </c>
      <c r="M411" s="48" t="s">
        <v>2714</v>
      </c>
      <c r="N411" s="49"/>
      <c r="O411" s="50" t="s">
        <v>3448</v>
      </c>
      <c r="P411" s="59"/>
      <c r="Q411" s="59"/>
      <c r="R411" s="13"/>
    </row>
    <row r="412" spans="1:18" ht="60" x14ac:dyDescent="0.25">
      <c r="A412" s="9" t="s">
        <v>21</v>
      </c>
      <c r="B412" s="28">
        <f>IF(ISBLANK(A412),0,INDEX(txtstylestab[],MATCH(A412,txtstylestab[style_Name],0),1))</f>
        <v>0</v>
      </c>
      <c r="C412" s="28">
        <f t="shared" si="25"/>
        <v>1</v>
      </c>
      <c r="D412" s="28">
        <f t="shared" si="26"/>
        <v>24</v>
      </c>
      <c r="E412" s="28">
        <f t="shared" si="27"/>
        <v>0</v>
      </c>
      <c r="F412" s="59" t="str">
        <f t="shared" si="28"/>
        <v/>
      </c>
      <c r="G412" s="42" t="s">
        <v>777</v>
      </c>
      <c r="H412" s="43" t="s">
        <v>778</v>
      </c>
      <c r="I412" s="44" t="s">
        <v>779</v>
      </c>
      <c r="J412" s="45" t="s">
        <v>1165</v>
      </c>
      <c r="K412" s="46" t="s">
        <v>780</v>
      </c>
      <c r="L412" s="47" t="s">
        <v>2715</v>
      </c>
      <c r="M412" s="48" t="s">
        <v>2716</v>
      </c>
      <c r="N412" s="49"/>
      <c r="O412" s="50" t="s">
        <v>3449</v>
      </c>
      <c r="P412" s="59"/>
      <c r="Q412" s="59"/>
      <c r="R412" s="13"/>
    </row>
    <row r="413" spans="1:18" x14ac:dyDescent="0.25">
      <c r="A413" s="9" t="s">
        <v>22</v>
      </c>
      <c r="B413" s="28">
        <f>IF(ISBLANK(A413),0,INDEX(txtstylestab[],MATCH(A413,txtstylestab[style_Name],0),1))</f>
        <v>4</v>
      </c>
      <c r="C413" s="28">
        <f t="shared" si="25"/>
        <v>1</v>
      </c>
      <c r="D413" s="28">
        <f t="shared" si="26"/>
        <v>24</v>
      </c>
      <c r="E413" s="28">
        <f t="shared" si="27"/>
        <v>0</v>
      </c>
      <c r="F413" s="56" t="str">
        <f t="shared" si="28"/>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5"/>
        <v>1</v>
      </c>
      <c r="D414" s="28">
        <f t="shared" si="26"/>
        <v>24</v>
      </c>
      <c r="E414" s="28">
        <f t="shared" si="27"/>
        <v>0</v>
      </c>
      <c r="F414" s="59" t="str">
        <f t="shared" si="28"/>
        <v/>
      </c>
      <c r="G414" s="42" t="s">
        <v>785</v>
      </c>
      <c r="H414" s="43" t="s">
        <v>786</v>
      </c>
      <c r="I414" s="44" t="s">
        <v>2258</v>
      </c>
      <c r="J414" s="45" t="s">
        <v>1614</v>
      </c>
      <c r="K414" s="46" t="s">
        <v>1742</v>
      </c>
      <c r="L414" s="47" t="s">
        <v>2717</v>
      </c>
      <c r="M414" s="48" t="s">
        <v>2718</v>
      </c>
      <c r="N414" s="49"/>
      <c r="O414" s="50" t="s">
        <v>3450</v>
      </c>
      <c r="P414" s="59"/>
      <c r="Q414" s="59"/>
      <c r="R414" s="13"/>
    </row>
    <row r="415" spans="1:18" x14ac:dyDescent="0.25">
      <c r="A415" s="9" t="s">
        <v>22</v>
      </c>
      <c r="B415" s="28">
        <f>IF(ISBLANK(A415),0,INDEX(txtstylestab[],MATCH(A415,txtstylestab[style_Name],0),1))</f>
        <v>4</v>
      </c>
      <c r="C415" s="28">
        <f t="shared" si="25"/>
        <v>1</v>
      </c>
      <c r="D415" s="28">
        <f t="shared" si="26"/>
        <v>24</v>
      </c>
      <c r="E415" s="28">
        <f t="shared" si="27"/>
        <v>0</v>
      </c>
      <c r="F415" s="56" t="str">
        <f t="shared" si="28"/>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5"/>
        <v>1</v>
      </c>
      <c r="D416" s="28">
        <f t="shared" si="26"/>
        <v>24</v>
      </c>
      <c r="E416" s="28">
        <f t="shared" si="27"/>
        <v>0</v>
      </c>
      <c r="F416" s="59" t="str">
        <f t="shared" si="28"/>
        <v/>
      </c>
      <c r="G416" s="42" t="s">
        <v>788</v>
      </c>
      <c r="H416" s="43" t="s">
        <v>789</v>
      </c>
      <c r="I416" s="44" t="s">
        <v>790</v>
      </c>
      <c r="J416" s="45" t="s">
        <v>791</v>
      </c>
      <c r="K416" s="46" t="s">
        <v>792</v>
      </c>
      <c r="L416" s="47" t="s">
        <v>2719</v>
      </c>
      <c r="M416" s="48" t="s">
        <v>2720</v>
      </c>
      <c r="N416" s="49"/>
      <c r="O416" s="50" t="s">
        <v>3451</v>
      </c>
      <c r="P416" s="59"/>
      <c r="Q416" s="59"/>
      <c r="R416" s="13"/>
    </row>
    <row r="417" spans="1:18" x14ac:dyDescent="0.25">
      <c r="A417" s="9" t="s">
        <v>22</v>
      </c>
      <c r="B417" s="28">
        <f>IF(ISBLANK(A417),0,INDEX(txtstylestab[],MATCH(A417,txtstylestab[style_Name],0),1))</f>
        <v>4</v>
      </c>
      <c r="C417" s="28">
        <f t="shared" si="25"/>
        <v>1</v>
      </c>
      <c r="D417" s="28">
        <f t="shared" si="26"/>
        <v>24</v>
      </c>
      <c r="E417" s="28">
        <f t="shared" si="27"/>
        <v>0</v>
      </c>
      <c r="F417" s="56" t="str">
        <f t="shared" si="28"/>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5"/>
        <v>1</v>
      </c>
      <c r="D418" s="28">
        <f t="shared" si="26"/>
        <v>24</v>
      </c>
      <c r="E418" s="28">
        <f t="shared" si="27"/>
        <v>0</v>
      </c>
      <c r="F418" s="59" t="str">
        <f t="shared" si="28"/>
        <v/>
      </c>
      <c r="G418" s="42" t="s">
        <v>2139</v>
      </c>
      <c r="H418" s="43" t="s">
        <v>2140</v>
      </c>
      <c r="I418" s="44" t="s">
        <v>793</v>
      </c>
      <c r="J418" s="45" t="s">
        <v>2141</v>
      </c>
      <c r="K418" s="46" t="s">
        <v>2142</v>
      </c>
      <c r="L418" s="47" t="s">
        <v>2721</v>
      </c>
      <c r="M418" s="48" t="s">
        <v>2722</v>
      </c>
      <c r="N418" s="49"/>
      <c r="O418" s="50" t="s">
        <v>3452</v>
      </c>
      <c r="P418" s="59"/>
      <c r="Q418" s="59"/>
      <c r="R418" s="13"/>
    </row>
    <row r="419" spans="1:18" ht="30" x14ac:dyDescent="0.25">
      <c r="A419" s="9" t="s">
        <v>21</v>
      </c>
      <c r="B419" s="28">
        <f>IF(ISBLANK(A419),0,INDEX(txtstylestab[],MATCH(A419,txtstylestab[style_Name],0),1))</f>
        <v>0</v>
      </c>
      <c r="C419" s="28">
        <f t="shared" si="25"/>
        <v>1</v>
      </c>
      <c r="D419" s="28">
        <f t="shared" si="26"/>
        <v>24</v>
      </c>
      <c r="E419" s="28">
        <f t="shared" si="27"/>
        <v>0</v>
      </c>
      <c r="F419" s="59" t="str">
        <f t="shared" si="28"/>
        <v/>
      </c>
      <c r="G419" s="42" t="s">
        <v>794</v>
      </c>
      <c r="H419" s="43" t="s">
        <v>795</v>
      </c>
      <c r="I419" s="44" t="s">
        <v>796</v>
      </c>
      <c r="J419" s="45" t="s">
        <v>797</v>
      </c>
      <c r="K419" s="46" t="s">
        <v>833</v>
      </c>
      <c r="L419" s="47" t="s">
        <v>2723</v>
      </c>
      <c r="M419" s="48" t="s">
        <v>2724</v>
      </c>
      <c r="N419" s="49"/>
      <c r="O419" s="50" t="s">
        <v>3453</v>
      </c>
      <c r="P419" s="59"/>
      <c r="Q419" s="59"/>
      <c r="R419" s="13"/>
    </row>
    <row r="420" spans="1:18" ht="15.75" thickBot="1" x14ac:dyDescent="0.3">
      <c r="A420" s="9" t="s">
        <v>12</v>
      </c>
      <c r="B420" s="28">
        <f>IF(ISBLANK(A420),0,INDEX(txtstylestab[],MATCH(A420,txtstylestab[style_Name],0),1))</f>
        <v>3</v>
      </c>
      <c r="C420" s="28">
        <f t="shared" si="25"/>
        <v>1</v>
      </c>
      <c r="D420" s="28">
        <f t="shared" si="26"/>
        <v>24</v>
      </c>
      <c r="E420" s="28">
        <f t="shared" si="27"/>
        <v>1</v>
      </c>
      <c r="F420" s="55" t="str">
        <f t="shared" si="28"/>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5"/>
        <v>1</v>
      </c>
      <c r="D421" s="28">
        <f t="shared" si="26"/>
        <v>24</v>
      </c>
      <c r="E421" s="28">
        <f t="shared" si="27"/>
        <v>1</v>
      </c>
      <c r="F421" s="59" t="str">
        <f t="shared" si="28"/>
        <v/>
      </c>
      <c r="G421" s="42" t="s">
        <v>82</v>
      </c>
      <c r="H421" s="43" t="s">
        <v>83</v>
      </c>
      <c r="I421" s="44" t="s">
        <v>84</v>
      </c>
      <c r="J421" s="45" t="s">
        <v>85</v>
      </c>
      <c r="K421" s="46" t="s">
        <v>86</v>
      </c>
      <c r="L421" s="47" t="s">
        <v>2398</v>
      </c>
      <c r="M421" s="48" t="s">
        <v>2540</v>
      </c>
      <c r="N421" s="49"/>
      <c r="O421" s="50" t="s">
        <v>3166</v>
      </c>
      <c r="P421" s="59"/>
      <c r="Q421" s="59"/>
      <c r="R421" s="13"/>
    </row>
    <row r="422" spans="1:18" ht="105" x14ac:dyDescent="0.25">
      <c r="A422" s="9" t="s">
        <v>21</v>
      </c>
      <c r="B422" s="28">
        <f>IF(ISBLANK(A422),0,INDEX(txtstylestab[],MATCH(A422,txtstylestab[style_Name],0),1))</f>
        <v>0</v>
      </c>
      <c r="C422" s="28">
        <f t="shared" si="25"/>
        <v>1</v>
      </c>
      <c r="D422" s="28">
        <f t="shared" si="26"/>
        <v>24</v>
      </c>
      <c r="E422" s="28">
        <f t="shared" si="27"/>
        <v>1</v>
      </c>
      <c r="F422" s="59" t="str">
        <f t="shared" si="28"/>
        <v/>
      </c>
      <c r="G422" s="42" t="s">
        <v>798</v>
      </c>
      <c r="H422" s="43" t="s">
        <v>1616</v>
      </c>
      <c r="I422" s="44" t="s">
        <v>1639</v>
      </c>
      <c r="J422" s="45" t="s">
        <v>799</v>
      </c>
      <c r="K422" s="46" t="s">
        <v>800</v>
      </c>
      <c r="L422" s="47" t="s">
        <v>2725</v>
      </c>
      <c r="M422" s="48" t="s">
        <v>2726</v>
      </c>
      <c r="N422" s="49"/>
      <c r="O422" s="50" t="s">
        <v>3454</v>
      </c>
      <c r="P422" s="59"/>
      <c r="Q422" s="59"/>
      <c r="R422" s="13"/>
    </row>
    <row r="423" spans="1:18" ht="30" x14ac:dyDescent="0.25">
      <c r="A423" s="9" t="s">
        <v>21</v>
      </c>
      <c r="B423" s="28">
        <f>IF(ISBLANK(A423),0,INDEX(txtstylestab[],MATCH(A423,txtstylestab[style_Name],0),1))</f>
        <v>0</v>
      </c>
      <c r="C423" s="28">
        <f t="shared" si="25"/>
        <v>1</v>
      </c>
      <c r="D423" s="28">
        <f t="shared" si="26"/>
        <v>24</v>
      </c>
      <c r="E423" s="28">
        <f t="shared" si="27"/>
        <v>1</v>
      </c>
      <c r="F423" s="59" t="str">
        <f t="shared" si="28"/>
        <v/>
      </c>
      <c r="G423" s="42" t="s">
        <v>801</v>
      </c>
      <c r="H423" s="43" t="s">
        <v>802</v>
      </c>
      <c r="I423" s="44" t="s">
        <v>803</v>
      </c>
      <c r="J423" s="45" t="s">
        <v>804</v>
      </c>
      <c r="K423" s="46" t="s">
        <v>805</v>
      </c>
      <c r="L423" s="47" t="s">
        <v>2727</v>
      </c>
      <c r="M423" s="48" t="s">
        <v>2728</v>
      </c>
      <c r="N423" s="49"/>
      <c r="O423" s="50" t="s">
        <v>3455</v>
      </c>
      <c r="P423" s="59"/>
      <c r="Q423" s="59"/>
      <c r="R423" s="13"/>
    </row>
    <row r="424" spans="1:18" x14ac:dyDescent="0.25">
      <c r="A424" s="9" t="s">
        <v>21</v>
      </c>
      <c r="B424" s="28">
        <f>IF(ISBLANK(A424),0,INDEX(txtstylestab[],MATCH(A424,txtstylestab[style_Name],0),1))</f>
        <v>0</v>
      </c>
      <c r="C424" s="28">
        <f t="shared" si="25"/>
        <v>1</v>
      </c>
      <c r="D424" s="28">
        <f t="shared" si="26"/>
        <v>24</v>
      </c>
      <c r="E424" s="28">
        <f t="shared" si="27"/>
        <v>1</v>
      </c>
      <c r="F424" s="59" t="str">
        <f t="shared" si="28"/>
        <v/>
      </c>
      <c r="G424" s="42" t="s">
        <v>6</v>
      </c>
      <c r="H424" s="43" t="s">
        <v>26</v>
      </c>
      <c r="I424" s="44" t="s">
        <v>48</v>
      </c>
      <c r="J424" s="45" t="s">
        <v>54</v>
      </c>
      <c r="K424" s="46" t="s">
        <v>59</v>
      </c>
      <c r="L424" s="47" t="s">
        <v>2525</v>
      </c>
      <c r="M424" s="48" t="s">
        <v>2526</v>
      </c>
      <c r="N424" s="49"/>
      <c r="O424" s="50" t="s">
        <v>3456</v>
      </c>
      <c r="P424" s="59"/>
      <c r="Q424" s="59"/>
      <c r="R424" s="13"/>
    </row>
    <row r="425" spans="1:18" ht="15.75" thickBot="1" x14ac:dyDescent="0.3">
      <c r="A425" s="9" t="s">
        <v>12</v>
      </c>
      <c r="B425" s="28">
        <f>IF(ISBLANK(A425),0,INDEX(txtstylestab[],MATCH(A425,txtstylestab[style_Name],0),1))</f>
        <v>3</v>
      </c>
      <c r="C425" s="28">
        <f t="shared" si="25"/>
        <v>1</v>
      </c>
      <c r="D425" s="28">
        <f t="shared" si="26"/>
        <v>24</v>
      </c>
      <c r="E425" s="28">
        <f t="shared" si="27"/>
        <v>2</v>
      </c>
      <c r="F425" s="55" t="str">
        <f t="shared" si="28"/>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5"/>
        <v>1</v>
      </c>
      <c r="D426" s="28">
        <f t="shared" si="26"/>
        <v>24</v>
      </c>
      <c r="E426" s="28">
        <f t="shared" si="27"/>
        <v>2</v>
      </c>
      <c r="F426" s="56" t="str">
        <f t="shared" si="28"/>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5"/>
        <v>1</v>
      </c>
      <c r="D427" s="28">
        <f t="shared" si="26"/>
        <v>24</v>
      </c>
      <c r="E427" s="28">
        <f t="shared" si="27"/>
        <v>2</v>
      </c>
      <c r="F427" s="59" t="str">
        <f t="shared" si="28"/>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5"/>
        <v>1</v>
      </c>
      <c r="D428" s="28">
        <f t="shared" si="26"/>
        <v>25</v>
      </c>
      <c r="E428" s="28">
        <f t="shared" si="27"/>
        <v>0</v>
      </c>
      <c r="F428" s="54" t="str">
        <f t="shared" si="28"/>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5"/>
        <v>1</v>
      </c>
      <c r="D429" s="28">
        <f t="shared" si="26"/>
        <v>25</v>
      </c>
      <c r="E429" s="28">
        <f t="shared" si="27"/>
        <v>0</v>
      </c>
      <c r="F429" s="59" t="str">
        <f t="shared" si="28"/>
        <v/>
      </c>
      <c r="G429" s="42" t="s">
        <v>82</v>
      </c>
      <c r="H429" s="43" t="s">
        <v>83</v>
      </c>
      <c r="I429" s="44" t="s">
        <v>84</v>
      </c>
      <c r="J429" s="45" t="s">
        <v>809</v>
      </c>
      <c r="K429" s="46" t="s">
        <v>86</v>
      </c>
      <c r="L429" s="47" t="s">
        <v>2398</v>
      </c>
      <c r="M429" s="48" t="s">
        <v>2540</v>
      </c>
      <c r="N429" s="49"/>
      <c r="O429" s="50" t="s">
        <v>3166</v>
      </c>
      <c r="P429" s="50"/>
      <c r="Q429" s="59"/>
      <c r="R429" s="13"/>
    </row>
    <row r="430" spans="1:18" ht="30" x14ac:dyDescent="0.25">
      <c r="A430" s="9" t="s">
        <v>21</v>
      </c>
      <c r="B430" s="28">
        <f>IF(ISBLANK(A430),0,INDEX(txtstylestab[],MATCH(A430,txtstylestab[style_Name],0),1))</f>
        <v>0</v>
      </c>
      <c r="C430" s="28">
        <f t="shared" si="25"/>
        <v>1</v>
      </c>
      <c r="D430" s="28">
        <f t="shared" si="26"/>
        <v>25</v>
      </c>
      <c r="E430" s="28">
        <f t="shared" si="27"/>
        <v>0</v>
      </c>
      <c r="F430" s="59" t="str">
        <f t="shared" si="28"/>
        <v/>
      </c>
      <c r="G430" s="42" t="s">
        <v>810</v>
      </c>
      <c r="H430" s="43" t="s">
        <v>811</v>
      </c>
      <c r="I430" s="44" t="s">
        <v>812</v>
      </c>
      <c r="J430" s="45" t="s">
        <v>813</v>
      </c>
      <c r="K430" s="46" t="s">
        <v>814</v>
      </c>
      <c r="L430" s="47" t="s">
        <v>2749</v>
      </c>
      <c r="M430" s="48" t="s">
        <v>2750</v>
      </c>
      <c r="N430" s="49"/>
      <c r="O430" s="50" t="s">
        <v>3457</v>
      </c>
      <c r="P430" s="59"/>
      <c r="Q430" s="59"/>
      <c r="R430" s="13"/>
    </row>
    <row r="431" spans="1:18" ht="90" x14ac:dyDescent="0.25">
      <c r="A431" s="9" t="s">
        <v>21</v>
      </c>
      <c r="B431" s="28">
        <f>IF(ISBLANK(A431),0,INDEX(txtstylestab[],MATCH(A431,txtstylestab[style_Name],0),1))</f>
        <v>0</v>
      </c>
      <c r="C431" s="28">
        <f t="shared" si="25"/>
        <v>1</v>
      </c>
      <c r="D431" s="28">
        <f t="shared" si="26"/>
        <v>25</v>
      </c>
      <c r="E431" s="28">
        <f t="shared" si="27"/>
        <v>0</v>
      </c>
      <c r="F431" s="59" t="str">
        <f t="shared" si="28"/>
        <v/>
      </c>
      <c r="G431" s="42" t="s">
        <v>821</v>
      </c>
      <c r="H431" s="43" t="s">
        <v>2149</v>
      </c>
      <c r="I431" s="44" t="s">
        <v>2260</v>
      </c>
      <c r="J431" s="45" t="s">
        <v>815</v>
      </c>
      <c r="K431" s="46" t="s">
        <v>1743</v>
      </c>
      <c r="L431" s="47" t="s">
        <v>2751</v>
      </c>
      <c r="M431" s="48" t="s">
        <v>2752</v>
      </c>
      <c r="N431" s="49"/>
      <c r="O431" s="50" t="s">
        <v>3458</v>
      </c>
      <c r="P431" s="59"/>
      <c r="Q431" s="59"/>
      <c r="R431" s="13"/>
    </row>
    <row r="432" spans="1:18" ht="30" x14ac:dyDescent="0.25">
      <c r="A432" s="9" t="s">
        <v>21</v>
      </c>
      <c r="B432" s="28">
        <f>IF(ISBLANK(A432),0,INDEX(txtstylestab[],MATCH(A432,txtstylestab[style_Name],0),1))</f>
        <v>0</v>
      </c>
      <c r="C432" s="28">
        <f t="shared" si="25"/>
        <v>1</v>
      </c>
      <c r="D432" s="28">
        <f t="shared" si="26"/>
        <v>25</v>
      </c>
      <c r="E432" s="28">
        <f t="shared" si="27"/>
        <v>0</v>
      </c>
      <c r="F432" s="59" t="str">
        <f t="shared" si="28"/>
        <v/>
      </c>
      <c r="G432" s="42" t="s">
        <v>816</v>
      </c>
      <c r="H432" s="43" t="s">
        <v>817</v>
      </c>
      <c r="I432" s="44" t="s">
        <v>818</v>
      </c>
      <c r="J432" s="45" t="s">
        <v>819</v>
      </c>
      <c r="K432" s="46" t="s">
        <v>820</v>
      </c>
      <c r="L432" s="47" t="s">
        <v>2753</v>
      </c>
      <c r="M432" s="48" t="s">
        <v>2754</v>
      </c>
      <c r="N432" s="49"/>
      <c r="O432" s="50" t="s">
        <v>3241</v>
      </c>
      <c r="P432" s="59"/>
      <c r="Q432" s="59"/>
      <c r="R432" s="13"/>
    </row>
    <row r="433" spans="1:18" x14ac:dyDescent="0.25">
      <c r="A433" s="9" t="s">
        <v>21</v>
      </c>
      <c r="B433" s="28">
        <f>IF(ISBLANK(A433),0,INDEX(txtstylestab[],MATCH(A433,txtstylestab[style_Name],0),1))</f>
        <v>0</v>
      </c>
      <c r="C433" s="28">
        <f t="shared" si="25"/>
        <v>1</v>
      </c>
      <c r="D433" s="28">
        <f t="shared" si="26"/>
        <v>25</v>
      </c>
      <c r="E433" s="28">
        <f t="shared" si="27"/>
        <v>0</v>
      </c>
      <c r="F433" s="59" t="str">
        <f t="shared" si="28"/>
        <v/>
      </c>
      <c r="G433" s="42" t="s">
        <v>6</v>
      </c>
      <c r="H433" s="43" t="s">
        <v>26</v>
      </c>
      <c r="I433" s="44" t="s">
        <v>48</v>
      </c>
      <c r="J433" s="45" t="s">
        <v>54</v>
      </c>
      <c r="K433" s="46" t="s">
        <v>59</v>
      </c>
      <c r="L433" s="47" t="s">
        <v>2525</v>
      </c>
      <c r="M433" s="48" t="s">
        <v>2526</v>
      </c>
      <c r="N433" s="49"/>
      <c r="O433" s="50" t="s">
        <v>3456</v>
      </c>
      <c r="P433" s="59"/>
      <c r="Q433" s="59"/>
      <c r="R433" s="13"/>
    </row>
    <row r="434" spans="1:18" ht="18" thickBot="1" x14ac:dyDescent="0.35">
      <c r="A434" s="9" t="s">
        <v>11</v>
      </c>
      <c r="B434" s="28">
        <f>IF(ISBLANK(A434),0,INDEX(txtstylestab[],MATCH(A434,txtstylestab[style_Name],0),1))</f>
        <v>2</v>
      </c>
      <c r="C434" s="28">
        <f t="shared" si="25"/>
        <v>1</v>
      </c>
      <c r="D434" s="28">
        <f t="shared" si="26"/>
        <v>26</v>
      </c>
      <c r="E434" s="28">
        <f t="shared" si="27"/>
        <v>0</v>
      </c>
      <c r="F434" s="54" t="str">
        <f t="shared" si="28"/>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5"/>
        <v>1</v>
      </c>
      <c r="D435" s="28">
        <f t="shared" si="26"/>
        <v>26</v>
      </c>
      <c r="E435" s="28">
        <f t="shared" si="27"/>
        <v>0</v>
      </c>
      <c r="F435" s="59" t="str">
        <f t="shared" si="28"/>
        <v/>
      </c>
      <c r="G435" s="42" t="s">
        <v>82</v>
      </c>
      <c r="H435" s="43" t="s">
        <v>83</v>
      </c>
      <c r="I435" s="44" t="s">
        <v>84</v>
      </c>
      <c r="J435" s="45" t="s">
        <v>85</v>
      </c>
      <c r="K435" s="46" t="s">
        <v>86</v>
      </c>
      <c r="L435" s="47" t="s">
        <v>2398</v>
      </c>
      <c r="M435" s="48" t="s">
        <v>2540</v>
      </c>
      <c r="N435" s="49"/>
      <c r="O435" s="50" t="s">
        <v>3166</v>
      </c>
      <c r="P435" s="50"/>
      <c r="Q435" s="59"/>
      <c r="R435" s="13"/>
    </row>
    <row r="436" spans="1:18" x14ac:dyDescent="0.25">
      <c r="A436" s="9" t="s">
        <v>21</v>
      </c>
      <c r="B436" s="28">
        <f>IF(ISBLANK(A436),0,INDEX(txtstylestab[],MATCH(A436,txtstylestab[style_Name],0),1))</f>
        <v>0</v>
      </c>
      <c r="C436" s="28">
        <f t="shared" si="25"/>
        <v>1</v>
      </c>
      <c r="D436" s="28">
        <f t="shared" si="26"/>
        <v>26</v>
      </c>
      <c r="E436" s="28">
        <f t="shared" si="27"/>
        <v>0</v>
      </c>
      <c r="F436" s="59" t="str">
        <f t="shared" si="28"/>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5"/>
        <v>1</v>
      </c>
      <c r="D437" s="28">
        <f t="shared" si="26"/>
        <v>26</v>
      </c>
      <c r="E437" s="28">
        <f t="shared" si="27"/>
        <v>0</v>
      </c>
      <c r="F437" s="59" t="str">
        <f t="shared" si="28"/>
        <v/>
      </c>
      <c r="G437" s="42" t="s">
        <v>806</v>
      </c>
      <c r="H437" s="43" t="s">
        <v>825</v>
      </c>
      <c r="I437" s="44" t="s">
        <v>826</v>
      </c>
      <c r="J437" s="45" t="s">
        <v>827</v>
      </c>
      <c r="K437" s="46" t="s">
        <v>828</v>
      </c>
      <c r="L437" s="47" t="s">
        <v>2755</v>
      </c>
      <c r="M437" s="48" t="s">
        <v>2756</v>
      </c>
      <c r="N437" s="49"/>
      <c r="O437" s="50" t="s">
        <v>3459</v>
      </c>
      <c r="P437" s="59"/>
      <c r="Q437" s="59"/>
      <c r="R437" s="13"/>
    </row>
    <row r="438" spans="1:18" ht="105" x14ac:dyDescent="0.25">
      <c r="A438" s="9" t="s">
        <v>21</v>
      </c>
      <c r="B438" s="28">
        <f>IF(ISBLANK(A438),0,INDEX(txtstylestab[],MATCH(A438,txtstylestab[style_Name],0),1))</f>
        <v>0</v>
      </c>
      <c r="C438" s="28">
        <f t="shared" si="25"/>
        <v>1</v>
      </c>
      <c r="D438" s="28">
        <f t="shared" si="26"/>
        <v>26</v>
      </c>
      <c r="E438" s="28">
        <f t="shared" si="27"/>
        <v>0</v>
      </c>
      <c r="F438" s="59" t="str">
        <f t="shared" si="28"/>
        <v/>
      </c>
      <c r="G438" s="42" t="s">
        <v>834</v>
      </c>
      <c r="H438" s="43" t="s">
        <v>2232</v>
      </c>
      <c r="I438" s="44" t="s">
        <v>2261</v>
      </c>
      <c r="J438" s="45" t="s">
        <v>1164</v>
      </c>
      <c r="K438" s="46" t="s">
        <v>835</v>
      </c>
      <c r="L438" s="47" t="s">
        <v>2757</v>
      </c>
      <c r="M438" s="48" t="s">
        <v>2758</v>
      </c>
      <c r="N438" s="49"/>
      <c r="O438" s="50" t="s">
        <v>3460</v>
      </c>
      <c r="P438" s="59"/>
      <c r="Q438" s="59"/>
      <c r="R438" s="13"/>
    </row>
    <row r="439" spans="1:18" ht="30" x14ac:dyDescent="0.25">
      <c r="A439" s="9" t="s">
        <v>21</v>
      </c>
      <c r="B439" s="28">
        <f>IF(ISBLANK(A439),0,INDEX(txtstylestab[],MATCH(A439,txtstylestab[style_Name],0),1))</f>
        <v>0</v>
      </c>
      <c r="C439" s="28">
        <f t="shared" si="25"/>
        <v>1</v>
      </c>
      <c r="D439" s="28">
        <f t="shared" si="26"/>
        <v>26</v>
      </c>
      <c r="E439" s="28">
        <f t="shared" si="27"/>
        <v>0</v>
      </c>
      <c r="F439" s="59" t="str">
        <f t="shared" si="28"/>
        <v/>
      </c>
      <c r="G439" s="42" t="s">
        <v>829</v>
      </c>
      <c r="H439" s="43" t="s">
        <v>830</v>
      </c>
      <c r="I439" s="44" t="s">
        <v>831</v>
      </c>
      <c r="J439" s="45" t="s">
        <v>832</v>
      </c>
      <c r="K439" s="46" t="s">
        <v>833</v>
      </c>
      <c r="L439" s="47" t="s">
        <v>2759</v>
      </c>
      <c r="M439" s="48" t="s">
        <v>2760</v>
      </c>
      <c r="N439" s="49"/>
      <c r="O439" s="50" t="s">
        <v>3461</v>
      </c>
      <c r="P439" s="59"/>
      <c r="Q439" s="59"/>
      <c r="R439" s="13"/>
    </row>
    <row r="440" spans="1:18" ht="180" x14ac:dyDescent="0.25">
      <c r="A440" s="9" t="s">
        <v>21</v>
      </c>
      <c r="B440" s="28">
        <f>IF(ISBLANK(A440),0,INDEX(txtstylestab[],MATCH(A440,txtstylestab[style_Name],0),1))</f>
        <v>0</v>
      </c>
      <c r="C440" s="28">
        <f t="shared" si="25"/>
        <v>1</v>
      </c>
      <c r="D440" s="28">
        <f t="shared" si="26"/>
        <v>26</v>
      </c>
      <c r="E440" s="28">
        <f t="shared" si="27"/>
        <v>0</v>
      </c>
      <c r="F440" s="59" t="str">
        <f t="shared" si="28"/>
        <v/>
      </c>
      <c r="G440" s="42"/>
      <c r="H440" s="43"/>
      <c r="I440" s="44" t="s">
        <v>3462</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5"/>
        <v>1</v>
      </c>
      <c r="D441" s="28">
        <f t="shared" si="26"/>
        <v>27</v>
      </c>
      <c r="E441" s="28">
        <f t="shared" si="27"/>
        <v>0</v>
      </c>
      <c r="F441" s="54" t="str">
        <f t="shared" si="28"/>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5"/>
        <v>1</v>
      </c>
      <c r="D442" s="28">
        <f t="shared" si="26"/>
        <v>27</v>
      </c>
      <c r="E442" s="28">
        <f t="shared" si="27"/>
        <v>0</v>
      </c>
      <c r="F442" s="59" t="str">
        <f t="shared" si="28"/>
        <v/>
      </c>
      <c r="G442" s="42" t="s">
        <v>82</v>
      </c>
      <c r="H442" s="43" t="s">
        <v>83</v>
      </c>
      <c r="I442" s="44" t="s">
        <v>84</v>
      </c>
      <c r="J442" s="45" t="s">
        <v>85</v>
      </c>
      <c r="K442" s="46" t="s">
        <v>86</v>
      </c>
      <c r="L442" s="47" t="s">
        <v>2398</v>
      </c>
      <c r="M442" s="48" t="s">
        <v>2540</v>
      </c>
      <c r="N442" s="49"/>
      <c r="O442" s="50" t="s">
        <v>3166</v>
      </c>
      <c r="P442" s="50"/>
      <c r="Q442" s="59"/>
      <c r="R442" s="13"/>
    </row>
    <row r="443" spans="1:18" ht="45" x14ac:dyDescent="0.25">
      <c r="A443" s="9" t="s">
        <v>21</v>
      </c>
      <c r="B443" s="28">
        <f>IF(ISBLANK(A443),0,INDEX(txtstylestab[],MATCH(A443,txtstylestab[style_Name],0),1))</f>
        <v>0</v>
      </c>
      <c r="C443" s="28">
        <f t="shared" si="25"/>
        <v>1</v>
      </c>
      <c r="D443" s="28">
        <f t="shared" si="26"/>
        <v>27</v>
      </c>
      <c r="E443" s="28">
        <f t="shared" si="27"/>
        <v>0</v>
      </c>
      <c r="F443" s="59" t="str">
        <f t="shared" si="28"/>
        <v/>
      </c>
      <c r="G443" s="42" t="s">
        <v>838</v>
      </c>
      <c r="H443" s="43" t="s">
        <v>839</v>
      </c>
      <c r="I443" s="44" t="s">
        <v>840</v>
      </c>
      <c r="J443" s="45" t="s">
        <v>841</v>
      </c>
      <c r="K443" s="46" t="s">
        <v>842</v>
      </c>
      <c r="L443" s="47" t="s">
        <v>2761</v>
      </c>
      <c r="M443" s="48" t="s">
        <v>2762</v>
      </c>
      <c r="N443" s="49"/>
      <c r="O443" s="50" t="s">
        <v>3463</v>
      </c>
      <c r="P443" s="59"/>
      <c r="Q443" s="59"/>
      <c r="R443" s="13"/>
    </row>
    <row r="444" spans="1:18" ht="30" x14ac:dyDescent="0.25">
      <c r="A444" s="9" t="s">
        <v>21</v>
      </c>
      <c r="B444" s="28">
        <f>IF(ISBLANK(A444),0,INDEX(txtstylestab[],MATCH(A444,txtstylestab[style_Name],0),1))</f>
        <v>0</v>
      </c>
      <c r="C444" s="28">
        <f t="shared" si="25"/>
        <v>1</v>
      </c>
      <c r="D444" s="28">
        <f t="shared" si="26"/>
        <v>27</v>
      </c>
      <c r="E444" s="28">
        <f t="shared" si="27"/>
        <v>0</v>
      </c>
      <c r="F444" s="59" t="str">
        <f t="shared" si="28"/>
        <v/>
      </c>
      <c r="G444" s="42" t="s">
        <v>843</v>
      </c>
      <c r="H444" s="43" t="s">
        <v>844</v>
      </c>
      <c r="I444" s="44" t="s">
        <v>845</v>
      </c>
      <c r="J444" s="45" t="s">
        <v>846</v>
      </c>
      <c r="K444" s="46" t="s">
        <v>1728</v>
      </c>
      <c r="L444" s="47" t="s">
        <v>2763</v>
      </c>
      <c r="M444" s="48" t="s">
        <v>2764</v>
      </c>
      <c r="N444" s="49"/>
      <c r="O444" s="50" t="s">
        <v>3464</v>
      </c>
      <c r="P444" s="59"/>
      <c r="Q444" s="59"/>
      <c r="R444" s="13"/>
    </row>
    <row r="445" spans="1:18" x14ac:dyDescent="0.25">
      <c r="A445" s="9" t="s">
        <v>21</v>
      </c>
      <c r="B445" s="28">
        <f>IF(ISBLANK(A445),0,INDEX(txtstylestab[],MATCH(A445,txtstylestab[style_Name],0),1))</f>
        <v>0</v>
      </c>
      <c r="C445" s="28">
        <f t="shared" si="25"/>
        <v>1</v>
      </c>
      <c r="D445" s="28">
        <f t="shared" si="26"/>
        <v>27</v>
      </c>
      <c r="E445" s="28">
        <f t="shared" si="27"/>
        <v>0</v>
      </c>
      <c r="F445" s="59" t="str">
        <f t="shared" si="28"/>
        <v/>
      </c>
      <c r="G445" s="42" t="s">
        <v>6</v>
      </c>
      <c r="H445" s="43" t="s">
        <v>26</v>
      </c>
      <c r="I445" s="44" t="s">
        <v>48</v>
      </c>
      <c r="J445" s="45" t="s">
        <v>384</v>
      </c>
      <c r="K445" s="46" t="s">
        <v>59</v>
      </c>
      <c r="L445" s="47" t="s">
        <v>2525</v>
      </c>
      <c r="M445" s="48" t="s">
        <v>2526</v>
      </c>
      <c r="N445" s="48"/>
      <c r="O445" s="50" t="s">
        <v>3456</v>
      </c>
      <c r="P445" s="49"/>
      <c r="Q445" s="50"/>
      <c r="R445" s="13"/>
    </row>
    <row r="446" spans="1:18" ht="15.75" thickBot="1" x14ac:dyDescent="0.3">
      <c r="A446" s="9" t="s">
        <v>12</v>
      </c>
      <c r="B446" s="28">
        <f>IF(ISBLANK(A446),0,INDEX(txtstylestab[],MATCH(A446,txtstylestab[style_Name],0),1))</f>
        <v>3</v>
      </c>
      <c r="C446" s="28">
        <f t="shared" si="25"/>
        <v>1</v>
      </c>
      <c r="D446" s="28">
        <f t="shared" si="26"/>
        <v>27</v>
      </c>
      <c r="E446" s="28">
        <f t="shared" si="27"/>
        <v>1</v>
      </c>
      <c r="F446" s="55" t="str">
        <f t="shared" si="28"/>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5"/>
        <v>1</v>
      </c>
      <c r="D447" s="28">
        <f t="shared" si="26"/>
        <v>27</v>
      </c>
      <c r="E447" s="28">
        <f t="shared" si="27"/>
        <v>1</v>
      </c>
      <c r="F447" s="59" t="str">
        <f t="shared" si="28"/>
        <v/>
      </c>
      <c r="G447" s="42" t="s">
        <v>82</v>
      </c>
      <c r="H447" s="43" t="s">
        <v>83</v>
      </c>
      <c r="I447" s="44" t="s">
        <v>84</v>
      </c>
      <c r="J447" s="45" t="s">
        <v>85</v>
      </c>
      <c r="K447" s="46" t="s">
        <v>86</v>
      </c>
      <c r="L447" s="47" t="s">
        <v>2398</v>
      </c>
      <c r="M447" s="48" t="s">
        <v>2540</v>
      </c>
      <c r="N447" s="49"/>
      <c r="O447" s="50" t="s">
        <v>3166</v>
      </c>
      <c r="P447" s="50"/>
      <c r="Q447" s="59"/>
      <c r="R447" s="13"/>
    </row>
    <row r="448" spans="1:18" ht="90" x14ac:dyDescent="0.25">
      <c r="A448" s="9" t="s">
        <v>21</v>
      </c>
      <c r="B448" s="28">
        <f>IF(ISBLANK(A448),0,INDEX(txtstylestab[],MATCH(A448,txtstylestab[style_Name],0),1))</f>
        <v>0</v>
      </c>
      <c r="C448" s="28">
        <f t="shared" si="25"/>
        <v>1</v>
      </c>
      <c r="D448" s="28">
        <f t="shared" si="26"/>
        <v>27</v>
      </c>
      <c r="E448" s="28">
        <f t="shared" si="27"/>
        <v>1</v>
      </c>
      <c r="F448" s="59" t="str">
        <f t="shared" si="28"/>
        <v/>
      </c>
      <c r="G448" s="42" t="s">
        <v>848</v>
      </c>
      <c r="H448" s="43" t="s">
        <v>849</v>
      </c>
      <c r="I448" s="44" t="s">
        <v>1640</v>
      </c>
      <c r="J448" s="45" t="s">
        <v>1618</v>
      </c>
      <c r="K448" s="46" t="s">
        <v>850</v>
      </c>
      <c r="L448" s="47" t="s">
        <v>2765</v>
      </c>
      <c r="M448" s="48" t="s">
        <v>2766</v>
      </c>
      <c r="N448" s="49"/>
      <c r="O448" s="50" t="s">
        <v>3465</v>
      </c>
      <c r="P448" s="59"/>
      <c r="Q448" s="59"/>
      <c r="R448" s="13"/>
    </row>
    <row r="449" spans="1:18" x14ac:dyDescent="0.25">
      <c r="A449" s="9" t="s">
        <v>21</v>
      </c>
      <c r="B449" s="28">
        <f>IF(ISBLANK(A449),0,INDEX(txtstylestab[],MATCH(A449,txtstylestab[style_Name],0),1))</f>
        <v>0</v>
      </c>
      <c r="C449" s="28">
        <f t="shared" si="25"/>
        <v>1</v>
      </c>
      <c r="D449" s="28">
        <f t="shared" si="26"/>
        <v>27</v>
      </c>
      <c r="E449" s="28">
        <f t="shared" si="27"/>
        <v>1</v>
      </c>
      <c r="F449" s="59" t="str">
        <f t="shared" si="28"/>
        <v/>
      </c>
      <c r="G449" s="42" t="s">
        <v>6</v>
      </c>
      <c r="H449" s="43" t="s">
        <v>96</v>
      </c>
      <c r="I449" s="44" t="s">
        <v>48</v>
      </c>
      <c r="J449" s="45" t="s">
        <v>384</v>
      </c>
      <c r="K449" s="46" t="s">
        <v>59</v>
      </c>
      <c r="L449" s="47" t="s">
        <v>2525</v>
      </c>
      <c r="M449" s="48" t="s">
        <v>2526</v>
      </c>
      <c r="N449" s="49"/>
      <c r="O449" s="50" t="s">
        <v>3456</v>
      </c>
      <c r="P449" s="50"/>
      <c r="Q449" s="59"/>
      <c r="R449" s="13"/>
    </row>
    <row r="450" spans="1:18" ht="18" thickBot="1" x14ac:dyDescent="0.35">
      <c r="A450" s="9" t="s">
        <v>11</v>
      </c>
      <c r="B450" s="28">
        <f>IF(ISBLANK(A450),0,INDEX(txtstylestab[],MATCH(A450,txtstylestab[style_Name],0),1))</f>
        <v>2</v>
      </c>
      <c r="C450" s="28">
        <f t="shared" si="25"/>
        <v>1</v>
      </c>
      <c r="D450" s="28">
        <f t="shared" si="26"/>
        <v>28</v>
      </c>
      <c r="E450" s="28">
        <f t="shared" si="27"/>
        <v>0</v>
      </c>
      <c r="F450" s="54" t="str">
        <f t="shared" si="28"/>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5"/>
        <v>1</v>
      </c>
      <c r="D451" s="28">
        <f t="shared" si="26"/>
        <v>28</v>
      </c>
      <c r="E451" s="28">
        <f t="shared" si="27"/>
        <v>0</v>
      </c>
      <c r="F451" s="59" t="str">
        <f t="shared" si="28"/>
        <v/>
      </c>
      <c r="G451" s="42" t="s">
        <v>82</v>
      </c>
      <c r="H451" s="43" t="s">
        <v>852</v>
      </c>
      <c r="I451" s="44" t="s">
        <v>84</v>
      </c>
      <c r="J451" s="45" t="s">
        <v>85</v>
      </c>
      <c r="K451" s="46" t="s">
        <v>86</v>
      </c>
      <c r="L451" s="47" t="s">
        <v>2398</v>
      </c>
      <c r="M451" s="48" t="s">
        <v>2540</v>
      </c>
      <c r="N451" s="49"/>
      <c r="O451" s="50" t="s">
        <v>3166</v>
      </c>
      <c r="P451" s="50"/>
      <c r="Q451" s="59"/>
      <c r="R451" s="13"/>
    </row>
    <row r="452" spans="1:18" ht="75" x14ac:dyDescent="0.25">
      <c r="A452" s="9" t="s">
        <v>21</v>
      </c>
      <c r="B452" s="28">
        <f>IF(ISBLANK(A452),0,INDEX(txtstylestab[],MATCH(A452,txtstylestab[style_Name],0),1))</f>
        <v>0</v>
      </c>
      <c r="C452" s="28">
        <f t="shared" ref="C452:C469" si="29">IF(B452=1,C451+1,C451)</f>
        <v>1</v>
      </c>
      <c r="D452" s="28">
        <f t="shared" ref="D452:D469" si="30">IF(B452=1,0,IF(B452=2,D451+1,IF(AND(B452=3,D451=0),1,D451)))</f>
        <v>28</v>
      </c>
      <c r="E452" s="28">
        <f t="shared" ref="E452:E469" si="31">IF(OR(B452=1,B452=2),0,IF(B452=3,E451+1,E451))</f>
        <v>0</v>
      </c>
      <c r="F452" s="59" t="str">
        <f t="shared" ref="F452:F469" si="32">IF(OR(B452=1,B452=2,B452=3),TEXT(C452,"#")&amp;".","")&amp;IF(OR(B452=2,B452=3),TEXT(D452,"#")&amp;".","")&amp;IF(B452=3,TEXT(E452,"#")&amp;".","")</f>
        <v/>
      </c>
      <c r="G452" s="42" t="s">
        <v>853</v>
      </c>
      <c r="H452" s="43" t="s">
        <v>854</v>
      </c>
      <c r="I452" s="44" t="s">
        <v>855</v>
      </c>
      <c r="J452" s="45" t="s">
        <v>856</v>
      </c>
      <c r="K452" s="46" t="s">
        <v>857</v>
      </c>
      <c r="L452" s="47" t="s">
        <v>2767</v>
      </c>
      <c r="M452" s="48" t="s">
        <v>2768</v>
      </c>
      <c r="N452" s="49"/>
      <c r="O452" s="50" t="s">
        <v>3466</v>
      </c>
      <c r="P452" s="59"/>
      <c r="Q452" s="59"/>
      <c r="R452" s="13"/>
    </row>
    <row r="453" spans="1:18" ht="30" x14ac:dyDescent="0.25">
      <c r="A453" s="9" t="s">
        <v>21</v>
      </c>
      <c r="B453" s="28">
        <f>IF(ISBLANK(A453),0,INDEX(txtstylestab[],MATCH(A453,txtstylestab[style_Name],0),1))</f>
        <v>0</v>
      </c>
      <c r="C453" s="28">
        <f t="shared" si="29"/>
        <v>1</v>
      </c>
      <c r="D453" s="28">
        <f t="shared" si="30"/>
        <v>28</v>
      </c>
      <c r="E453" s="28">
        <f t="shared" si="31"/>
        <v>0</v>
      </c>
      <c r="F453" s="59" t="str">
        <f t="shared" si="32"/>
        <v/>
      </c>
      <c r="G453" s="42" t="s">
        <v>858</v>
      </c>
      <c r="H453" s="43" t="s">
        <v>859</v>
      </c>
      <c r="I453" s="44" t="s">
        <v>860</v>
      </c>
      <c r="J453" s="45" t="s">
        <v>861</v>
      </c>
      <c r="K453" s="46" t="s">
        <v>1729</v>
      </c>
      <c r="L453" s="47" t="s">
        <v>2769</v>
      </c>
      <c r="M453" s="48" t="s">
        <v>2770</v>
      </c>
      <c r="N453" s="49"/>
      <c r="O453" s="50" t="s">
        <v>3467</v>
      </c>
      <c r="P453" s="59"/>
      <c r="Q453" s="59"/>
      <c r="R453" s="13"/>
    </row>
    <row r="454" spans="1:18" x14ac:dyDescent="0.25">
      <c r="A454" s="9" t="s">
        <v>21</v>
      </c>
      <c r="B454" s="28">
        <f>IF(ISBLANK(A454),0,INDEX(txtstylestab[],MATCH(A454,txtstylestab[style_Name],0),1))</f>
        <v>0</v>
      </c>
      <c r="C454" s="28">
        <f t="shared" si="29"/>
        <v>1</v>
      </c>
      <c r="D454" s="28">
        <f t="shared" si="30"/>
        <v>28</v>
      </c>
      <c r="E454" s="28">
        <f t="shared" si="31"/>
        <v>0</v>
      </c>
      <c r="F454" s="59" t="str">
        <f t="shared" si="32"/>
        <v/>
      </c>
      <c r="G454" s="42" t="s">
        <v>6</v>
      </c>
      <c r="H454" s="43" t="s">
        <v>26</v>
      </c>
      <c r="I454" s="44" t="s">
        <v>48</v>
      </c>
      <c r="J454" s="45" t="s">
        <v>54</v>
      </c>
      <c r="K454" s="46" t="s">
        <v>59</v>
      </c>
      <c r="L454" s="47" t="s">
        <v>2525</v>
      </c>
      <c r="M454" s="48" t="s">
        <v>2526</v>
      </c>
      <c r="N454" s="49"/>
      <c r="O454" s="50" t="s">
        <v>3456</v>
      </c>
      <c r="P454" s="50"/>
      <c r="Q454" s="59"/>
      <c r="R454" s="13"/>
    </row>
    <row r="455" spans="1:18" ht="18" thickBot="1" x14ac:dyDescent="0.35">
      <c r="A455" s="9" t="s">
        <v>11</v>
      </c>
      <c r="B455" s="28">
        <f>IF(ISBLANK(A455),0,INDEX(txtstylestab[],MATCH(A455,txtstylestab[style_Name],0),1))</f>
        <v>2</v>
      </c>
      <c r="C455" s="28">
        <f t="shared" si="29"/>
        <v>1</v>
      </c>
      <c r="D455" s="28">
        <f t="shared" si="30"/>
        <v>29</v>
      </c>
      <c r="E455" s="28">
        <f t="shared" si="31"/>
        <v>0</v>
      </c>
      <c r="F455" s="54" t="str">
        <f t="shared" si="32"/>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9"/>
        <v>1</v>
      </c>
      <c r="D456" s="28">
        <f t="shared" si="30"/>
        <v>29</v>
      </c>
      <c r="E456" s="28">
        <f t="shared" si="31"/>
        <v>0</v>
      </c>
      <c r="F456" s="59" t="str">
        <f t="shared" si="32"/>
        <v/>
      </c>
      <c r="G456" s="42" t="s">
        <v>82</v>
      </c>
      <c r="H456" s="43" t="s">
        <v>863</v>
      </c>
      <c r="I456" s="44" t="s">
        <v>84</v>
      </c>
      <c r="J456" s="45" t="s">
        <v>85</v>
      </c>
      <c r="K456" s="46" t="s">
        <v>86</v>
      </c>
      <c r="L456" s="47" t="s">
        <v>2398</v>
      </c>
      <c r="M456" s="48" t="s">
        <v>2540</v>
      </c>
      <c r="N456" s="49"/>
      <c r="O456" s="50" t="s">
        <v>3468</v>
      </c>
      <c r="P456" s="50"/>
      <c r="Q456" s="59"/>
      <c r="R456" s="13"/>
    </row>
    <row r="457" spans="1:18" ht="45" x14ac:dyDescent="0.25">
      <c r="A457" s="9" t="s">
        <v>21</v>
      </c>
      <c r="B457" s="28">
        <f>IF(ISBLANK(A457),0,INDEX(txtstylestab[],MATCH(A457,txtstylestab[style_Name],0),1))</f>
        <v>0</v>
      </c>
      <c r="C457" s="28">
        <f t="shared" si="29"/>
        <v>1</v>
      </c>
      <c r="D457" s="28">
        <f t="shared" si="30"/>
        <v>29</v>
      </c>
      <c r="E457" s="28">
        <f t="shared" si="31"/>
        <v>0</v>
      </c>
      <c r="F457" s="59" t="str">
        <f t="shared" si="32"/>
        <v/>
      </c>
      <c r="G457" s="42" t="s">
        <v>1906</v>
      </c>
      <c r="H457" s="43" t="s">
        <v>1907</v>
      </c>
      <c r="I457" s="44" t="s">
        <v>1908</v>
      </c>
      <c r="J457" s="45" t="s">
        <v>867</v>
      </c>
      <c r="K457" s="46" t="s">
        <v>1909</v>
      </c>
      <c r="L457" s="47" t="s">
        <v>2771</v>
      </c>
      <c r="M457" s="48" t="s">
        <v>2782</v>
      </c>
      <c r="N457" s="49"/>
      <c r="O457" s="50" t="s">
        <v>3469</v>
      </c>
      <c r="P457" s="59"/>
      <c r="Q457" s="59"/>
      <c r="R457" s="13"/>
    </row>
    <row r="458" spans="1:18" x14ac:dyDescent="0.25">
      <c r="A458" s="9" t="s">
        <v>14</v>
      </c>
      <c r="B458" s="28">
        <f>IF(ISBLANK(A458),0,INDEX(txtstylestab[],MATCH(A458,txtstylestab[style_Name],0),1))</f>
        <v>6</v>
      </c>
      <c r="C458" s="28">
        <f t="shared" si="29"/>
        <v>1</v>
      </c>
      <c r="D458" s="28">
        <f t="shared" si="30"/>
        <v>29</v>
      </c>
      <c r="E458" s="28">
        <f t="shared" si="31"/>
        <v>0</v>
      </c>
      <c r="F458" s="59" t="str">
        <f t="shared" si="32"/>
        <v/>
      </c>
      <c r="G458" s="42" t="s">
        <v>1910</v>
      </c>
      <c r="H458" s="43" t="s">
        <v>1913</v>
      </c>
      <c r="I458" s="44" t="s">
        <v>1916</v>
      </c>
      <c r="J458" s="45" t="s">
        <v>864</v>
      </c>
      <c r="K458" s="46" t="s">
        <v>1919</v>
      </c>
      <c r="L458" s="47" t="s">
        <v>2772</v>
      </c>
      <c r="M458" s="48" t="s">
        <v>2773</v>
      </c>
      <c r="N458" s="49"/>
      <c r="O458" s="50" t="s">
        <v>3470</v>
      </c>
      <c r="P458" s="59"/>
      <c r="Q458" s="59"/>
      <c r="R458" s="13"/>
    </row>
    <row r="459" spans="1:18" x14ac:dyDescent="0.25">
      <c r="A459" s="9" t="s">
        <v>14</v>
      </c>
      <c r="B459" s="28">
        <f>IF(ISBLANK(A459),0,INDEX(txtstylestab[],MATCH(A459,txtstylestab[style_Name],0),1))</f>
        <v>6</v>
      </c>
      <c r="C459" s="28">
        <f t="shared" si="29"/>
        <v>1</v>
      </c>
      <c r="D459" s="28">
        <f t="shared" si="30"/>
        <v>29</v>
      </c>
      <c r="E459" s="28">
        <f t="shared" si="31"/>
        <v>0</v>
      </c>
      <c r="F459" s="59" t="str">
        <f t="shared" si="32"/>
        <v/>
      </c>
      <c r="G459" s="42" t="s">
        <v>1911</v>
      </c>
      <c r="H459" s="43" t="s">
        <v>1914</v>
      </c>
      <c r="I459" s="44" t="s">
        <v>1917</v>
      </c>
      <c r="J459" s="45" t="s">
        <v>865</v>
      </c>
      <c r="K459" s="46" t="s">
        <v>1920</v>
      </c>
      <c r="L459" s="47" t="s">
        <v>2774</v>
      </c>
      <c r="M459" s="48" t="s">
        <v>2775</v>
      </c>
      <c r="N459" s="49"/>
      <c r="O459" s="50" t="s">
        <v>3471</v>
      </c>
      <c r="P459" s="59"/>
      <c r="Q459" s="59"/>
      <c r="R459" s="13"/>
    </row>
    <row r="460" spans="1:18" x14ac:dyDescent="0.25">
      <c r="A460" s="9" t="s">
        <v>14</v>
      </c>
      <c r="B460" s="28">
        <f>IF(ISBLANK(A460),0,INDEX(txtstylestab[],MATCH(A460,txtstylestab[style_Name],0),1))</f>
        <v>6</v>
      </c>
      <c r="C460" s="28">
        <f t="shared" si="29"/>
        <v>1</v>
      </c>
      <c r="D460" s="28">
        <f t="shared" si="30"/>
        <v>29</v>
      </c>
      <c r="E460" s="28">
        <f t="shared" si="31"/>
        <v>0</v>
      </c>
      <c r="F460" s="59" t="str">
        <f t="shared" si="32"/>
        <v/>
      </c>
      <c r="G460" s="42" t="s">
        <v>1912</v>
      </c>
      <c r="H460" s="43" t="s">
        <v>1915</v>
      </c>
      <c r="I460" s="44" t="s">
        <v>1918</v>
      </c>
      <c r="J460" s="45" t="s">
        <v>866</v>
      </c>
      <c r="K460" s="46" t="s">
        <v>1921</v>
      </c>
      <c r="L460" s="47" t="s">
        <v>2776</v>
      </c>
      <c r="M460" s="48" t="s">
        <v>2777</v>
      </c>
      <c r="N460" s="49"/>
      <c r="O460" s="50" t="s">
        <v>3472</v>
      </c>
      <c r="P460" s="59"/>
      <c r="Q460" s="59"/>
      <c r="R460" s="13"/>
    </row>
    <row r="461" spans="1:18" ht="30" x14ac:dyDescent="0.25">
      <c r="A461" s="9" t="s">
        <v>14</v>
      </c>
      <c r="B461" s="28">
        <f>IF(ISBLANK(A461),0,INDEX(txtstylestab[],MATCH(A461,txtstylestab[style_Name],0),1))</f>
        <v>6</v>
      </c>
      <c r="C461" s="28">
        <f t="shared" si="29"/>
        <v>1</v>
      </c>
      <c r="D461" s="28">
        <f t="shared" si="30"/>
        <v>29</v>
      </c>
      <c r="E461" s="28">
        <f t="shared" si="31"/>
        <v>0</v>
      </c>
      <c r="F461" s="59" t="str">
        <f t="shared" si="32"/>
        <v/>
      </c>
      <c r="G461" s="42" t="s">
        <v>1922</v>
      </c>
      <c r="H461" s="43" t="s">
        <v>1923</v>
      </c>
      <c r="I461" s="44" t="s">
        <v>1924</v>
      </c>
      <c r="J461" s="45" t="s">
        <v>1926</v>
      </c>
      <c r="K461" s="46" t="s">
        <v>1925</v>
      </c>
      <c r="L461" s="47" t="s">
        <v>2778</v>
      </c>
      <c r="M461" s="48" t="s">
        <v>2779</v>
      </c>
      <c r="N461" s="49"/>
      <c r="O461" s="50" t="s">
        <v>3473</v>
      </c>
      <c r="P461" s="59"/>
      <c r="Q461" s="59"/>
      <c r="R461" s="13"/>
    </row>
    <row r="462" spans="1:18" x14ac:dyDescent="0.25">
      <c r="A462" s="9" t="s">
        <v>21</v>
      </c>
      <c r="B462" s="28">
        <f>IF(ISBLANK(A462),0,INDEX(txtstylestab[],MATCH(A462,txtstylestab[style_Name],0),1))</f>
        <v>0</v>
      </c>
      <c r="C462" s="28">
        <f t="shared" si="29"/>
        <v>1</v>
      </c>
      <c r="D462" s="28">
        <f t="shared" si="30"/>
        <v>29</v>
      </c>
      <c r="E462" s="28">
        <f t="shared" si="31"/>
        <v>0</v>
      </c>
      <c r="F462" s="59" t="str">
        <f t="shared" si="32"/>
        <v/>
      </c>
      <c r="G462" s="42"/>
      <c r="H462" s="43"/>
      <c r="I462" s="44"/>
      <c r="J462" s="45"/>
      <c r="K462" s="46"/>
      <c r="L462" s="47"/>
      <c r="M462" s="48"/>
      <c r="N462" s="49"/>
      <c r="O462" s="50" t="s">
        <v>3474</v>
      </c>
      <c r="P462" s="59"/>
      <c r="Q462" s="59"/>
      <c r="R462" s="13"/>
    </row>
    <row r="463" spans="1:18" x14ac:dyDescent="0.25">
      <c r="A463" s="9" t="s">
        <v>21</v>
      </c>
      <c r="B463" s="28">
        <f>IF(ISBLANK(A463),0,INDEX(txtstylestab[],MATCH(A463,txtstylestab[style_Name],0),1))</f>
        <v>0</v>
      </c>
      <c r="C463" s="28">
        <f t="shared" si="29"/>
        <v>1</v>
      </c>
      <c r="D463" s="28">
        <f t="shared" si="30"/>
        <v>29</v>
      </c>
      <c r="E463" s="28">
        <f t="shared" si="31"/>
        <v>0</v>
      </c>
      <c r="F463" s="59" t="str">
        <f t="shared" si="32"/>
        <v/>
      </c>
      <c r="G463" s="42" t="s">
        <v>6</v>
      </c>
      <c r="H463" s="43" t="s">
        <v>26</v>
      </c>
      <c r="I463" s="44" t="s">
        <v>48</v>
      </c>
      <c r="J463" s="45" t="s">
        <v>54</v>
      </c>
      <c r="K463" s="46" t="s">
        <v>59</v>
      </c>
      <c r="L463" s="47" t="s">
        <v>2525</v>
      </c>
      <c r="M463" s="48" t="s">
        <v>2526</v>
      </c>
      <c r="N463" s="49"/>
      <c r="O463" s="50" t="s">
        <v>3456</v>
      </c>
      <c r="P463" s="50"/>
      <c r="Q463" s="59"/>
      <c r="R463" s="13"/>
    </row>
    <row r="464" spans="1:18" ht="15.75" thickBot="1" x14ac:dyDescent="0.3">
      <c r="A464" s="9" t="s">
        <v>12</v>
      </c>
      <c r="B464" s="28">
        <f>IF(ISBLANK(A464),0,INDEX(txtstylestab[],MATCH(A464,txtstylestab[style_Name],0),1))</f>
        <v>3</v>
      </c>
      <c r="C464" s="28">
        <f t="shared" si="29"/>
        <v>1</v>
      </c>
      <c r="D464" s="28">
        <f t="shared" si="30"/>
        <v>29</v>
      </c>
      <c r="E464" s="28">
        <f t="shared" si="31"/>
        <v>1</v>
      </c>
      <c r="F464" s="55" t="str">
        <f t="shared" si="32"/>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9"/>
        <v>1</v>
      </c>
      <c r="D465" s="28">
        <f t="shared" si="30"/>
        <v>29</v>
      </c>
      <c r="E465" s="28">
        <f t="shared" si="31"/>
        <v>1</v>
      </c>
      <c r="F465" s="59" t="str">
        <f t="shared" si="32"/>
        <v/>
      </c>
      <c r="G465" s="42" t="s">
        <v>344</v>
      </c>
      <c r="H465" s="43" t="s">
        <v>83</v>
      </c>
      <c r="I465" s="44" t="s">
        <v>84</v>
      </c>
      <c r="J465" s="45" t="s">
        <v>85</v>
      </c>
      <c r="K465" s="46" t="s">
        <v>86</v>
      </c>
      <c r="L465" s="47" t="s">
        <v>2398</v>
      </c>
      <c r="M465" s="48" t="s">
        <v>2540</v>
      </c>
      <c r="N465" s="49"/>
      <c r="O465" s="50" t="s">
        <v>3166</v>
      </c>
      <c r="P465" s="50"/>
      <c r="Q465" s="59"/>
      <c r="R465" s="13"/>
    </row>
    <row r="466" spans="1:18" ht="90" x14ac:dyDescent="0.25">
      <c r="A466" s="9" t="s">
        <v>21</v>
      </c>
      <c r="B466" s="28">
        <f>IF(ISBLANK(A466),0,INDEX(txtstylestab[],MATCH(A466,txtstylestab[style_Name],0),1))</f>
        <v>0</v>
      </c>
      <c r="C466" s="28">
        <f t="shared" si="29"/>
        <v>1</v>
      </c>
      <c r="D466" s="28">
        <f t="shared" si="30"/>
        <v>29</v>
      </c>
      <c r="E466" s="28">
        <f t="shared" si="31"/>
        <v>1</v>
      </c>
      <c r="F466" s="59" t="str">
        <f t="shared" si="32"/>
        <v/>
      </c>
      <c r="G466" s="42" t="s">
        <v>869</v>
      </c>
      <c r="H466" s="43" t="s">
        <v>870</v>
      </c>
      <c r="I466" s="44" t="s">
        <v>1641</v>
      </c>
      <c r="J466" s="45" t="s">
        <v>871</v>
      </c>
      <c r="K466" s="46" t="s">
        <v>872</v>
      </c>
      <c r="L466" s="47" t="s">
        <v>2781</v>
      </c>
      <c r="M466" s="48" t="s">
        <v>2780</v>
      </c>
      <c r="N466" s="49"/>
      <c r="O466" s="50" t="s">
        <v>3475</v>
      </c>
      <c r="P466" s="59"/>
      <c r="Q466" s="59"/>
      <c r="R466" s="13"/>
    </row>
    <row r="467" spans="1:18" x14ac:dyDescent="0.25">
      <c r="A467" s="9" t="s">
        <v>21</v>
      </c>
      <c r="B467" s="28">
        <f>IF(ISBLANK(A467),0,INDEX(txtstylestab[],MATCH(A467,txtstylestab[style_Name],0),1))</f>
        <v>0</v>
      </c>
      <c r="C467" s="28">
        <f t="shared" si="29"/>
        <v>1</v>
      </c>
      <c r="D467" s="28">
        <f t="shared" si="30"/>
        <v>29</v>
      </c>
      <c r="E467" s="28">
        <f t="shared" si="31"/>
        <v>1</v>
      </c>
      <c r="F467" s="59" t="str">
        <f t="shared" si="32"/>
        <v/>
      </c>
      <c r="G467" s="42" t="s">
        <v>6</v>
      </c>
      <c r="H467" s="43" t="s">
        <v>26</v>
      </c>
      <c r="I467" s="44" t="s">
        <v>48</v>
      </c>
      <c r="J467" s="45" t="s">
        <v>54</v>
      </c>
      <c r="K467" s="46" t="s">
        <v>59</v>
      </c>
      <c r="L467" s="47" t="s">
        <v>2525</v>
      </c>
      <c r="M467" s="48" t="s">
        <v>2526</v>
      </c>
      <c r="N467" s="49"/>
      <c r="O467" s="50" t="s">
        <v>3456</v>
      </c>
      <c r="P467" s="50"/>
      <c r="Q467" s="59"/>
      <c r="R467" s="13"/>
    </row>
    <row r="468" spans="1:18" x14ac:dyDescent="0.25">
      <c r="A468" s="9" t="s">
        <v>21</v>
      </c>
      <c r="B468" s="28">
        <f>IF(ISBLANK(A468),0,INDEX(txtstylestab[],MATCH(A468,txtstylestab[style_Name],0),1))</f>
        <v>0</v>
      </c>
      <c r="C468" s="28">
        <f t="shared" si="29"/>
        <v>1</v>
      </c>
      <c r="D468" s="28">
        <f t="shared" si="30"/>
        <v>29</v>
      </c>
      <c r="E468" s="28">
        <f t="shared" si="31"/>
        <v>1</v>
      </c>
      <c r="F468" s="59" t="str">
        <f t="shared" si="32"/>
        <v/>
      </c>
      <c r="G468" s="42"/>
      <c r="H468" s="43"/>
      <c r="I468" s="44"/>
      <c r="J468" s="45"/>
      <c r="K468" s="46"/>
      <c r="L468" s="47"/>
      <c r="M468" s="48"/>
      <c r="N468" s="49"/>
      <c r="O468" s="50"/>
      <c r="P468" s="59"/>
      <c r="Q468" s="59"/>
      <c r="R468" s="13"/>
    </row>
    <row r="469" spans="1:18" s="20" customFormat="1" x14ac:dyDescent="0.25">
      <c r="A469" s="9" t="s">
        <v>21</v>
      </c>
      <c r="B469" s="28">
        <f>IF(ISBLANK(A469),0,INDEX(txtstylestab[],MATCH(A469,txtstylestab[style_Name],0),1))</f>
        <v>0</v>
      </c>
      <c r="C469" s="28">
        <f t="shared" si="29"/>
        <v>1</v>
      </c>
      <c r="D469" s="28">
        <f t="shared" si="30"/>
        <v>29</v>
      </c>
      <c r="E469" s="28">
        <f t="shared" si="31"/>
        <v>1</v>
      </c>
      <c r="F469" s="59" t="str">
        <f t="shared" si="32"/>
        <v/>
      </c>
      <c r="G469" s="42"/>
      <c r="H469" s="43"/>
      <c r="I469" s="44"/>
      <c r="J469" s="45"/>
      <c r="K469" s="46"/>
      <c r="L469" s="47"/>
      <c r="M469" s="47"/>
      <c r="N469" s="48"/>
      <c r="O469" s="48"/>
      <c r="P469" s="49"/>
      <c r="Q469" s="50"/>
      <c r="R469" s="13"/>
    </row>
    <row r="470" spans="1:18" s="20" customFormat="1" x14ac:dyDescent="0.25">
      <c r="A470" s="9"/>
      <c r="B470" s="28"/>
      <c r="C470" s="28"/>
      <c r="D470" s="28"/>
      <c r="E470" s="28"/>
      <c r="F470" s="31"/>
      <c r="G470" s="21"/>
      <c r="H470" s="22"/>
      <c r="I470" s="23"/>
      <c r="J470" s="24"/>
      <c r="K470" s="25"/>
      <c r="L470" s="23"/>
      <c r="M470" s="23"/>
      <c r="N470" s="24"/>
      <c r="O470" s="24"/>
      <c r="P470" s="25"/>
      <c r="Q470" s="25"/>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x14ac:dyDescent="0.25">
      <c r="A2437" s="9"/>
      <c r="B2437" s="28"/>
      <c r="C2437" s="28"/>
      <c r="D2437" s="28"/>
      <c r="E2437" s="28"/>
      <c r="F2437" s="31"/>
      <c r="G2437" s="21"/>
      <c r="H2437" s="22"/>
      <c r="I2437" s="23"/>
      <c r="J2437" s="24"/>
      <c r="K2437" s="25"/>
      <c r="L2437" s="23"/>
      <c r="M2437" s="23"/>
      <c r="N2437" s="24"/>
      <c r="O2437" s="24"/>
      <c r="P2437" s="25"/>
      <c r="Q2437" s="25"/>
      <c r="R2437" s="20"/>
    </row>
  </sheetData>
  <sheetProtection formatCells="0" insertRows="0"/>
  <conditionalFormatting sqref="G1:Q1 L187:Q187 G186:G213 G315:Q315 L2:Q5 G2:G30 G219:Q221 L51:Q54 G350:Q351 G285:Q286 G277:H277 L37:Q39 G33:G49 G428:Q428 L18:Q18 N19:Q30 N40:Q49 N6:Q17 N55:Q56 L111:Q111 N110:Q110 L113:Q113 N112:Q112 L135:Q135 N134:Q134 L140:Q140 N136:Q139 L145:Q146 N141:Q144 L148:Q148 N147:Q147 L156:Q156 N149:Q155 L159:Q159 N157:Q158 L174:Q174 L179:Q179 N175:Q178 N186:Q186 L196:Q198 L208:Q208 N199:Q207 G215:K218 N215:N218 G224:Q224 G222:K223 N222:Q223 G227:Q229 G225:K226 G231:Q231 G230:K230 N230:Q230 G237:Q237 G232:K236 N232:Q236 G245:Q245 G238:K244 N238:Q244 G249:Q249 G246:K248 N246:Q248 G250:K253 N250:Q253 G270:Q270 G266:K269 G274:Q274 G271:K273 G275:K276 G278:K284 G292:Q293 G287:K291 G307:Q307 G294:K306 G308:K309 N308:Q309 G311:K314 N311:Q314 G318:Q319 G316:K317 G327:Q327 G320:K326 G328:K335 N329:Q335 G338:K349 N338:Q342 G357:Q357 G352:K356 N352:Q355 G362:Q362 G358:K361 N358:Q360 G367:Q367 G363:K366 N364:Q365 G373:Q373 G368:K372 N369:Q372 G375:Q375 G374:K374 N374:Q374 G377:Q377 G376:K376 N376:Q376 G388:Q388 G378:K387 N378:Q387 G390:Q390 G389:K389 N389:Q389 G393:Q393 G391:K392 N391:Q392 G402:Q403 G394:K401 G413:Q413 G404:K412 N404:Q412 G415:Q415 G414:K414 N414:Q414 G417:Q417 G416:K416 N416:Q416 G420:Q420 G418:K419 N418:Q419 G425:Q425 G421:K424 N421:Q424 G427:K427 N427:Q427 G434:Q434 G429:K433 G440:Q441 G435:K439 G446:Q446 G442:K445 G450:Q450 G447:K449 G455:Q455 G451:K454 G464:Q464 G456:K463 G465:K467 G260:K263 N260:Q263 G264:Q265 N114:Q116 N180:Q184 N188:Q195 P225:Q226 N225:N226 G254:Q259 N266:Q269 N271:Q273 N275:Q284 N287:Q291 N294:Q306 N316:Q317 N344:Q345 N343 P343:Q343 P326:Q326 N326 N328 P328:Q328 N321:Q325 P320:Q320 N320 N347:Q348 N346 P346:Q346 N349 P349:Q349 N356 P356:Q356 N361 P361:Q361 N363 P363:Q363 N368 P368:Q368 N366 P366:Q366 N394:Q401 N429:Q433 N435:Q439 N442:Q445 N447:Q449 N451:Q454 N456:Q463 N465:Q467 L36:N36 N33:Q33 N34:N35 P34:Q36 N117 P117:Q117 H61:I66 K61:K66 L57:Q109 N118:Q122 L114:M122 L123:Q133 G51:G184 H67:K184 N160:Q173 N209:Q213 P215:Q218 G468:Q1048576">
    <cfRule type="expression" dxfId="312" priority="156">
      <formula>($B1=6)</formula>
    </cfRule>
  </conditionalFormatting>
  <conditionalFormatting sqref="H33:K35 H51:K60 H186:K213 H2:K30 H37:K49 H36 J36:K36">
    <cfRule type="expression" dxfId="311" priority="151">
      <formula>($B2=6)</formula>
    </cfRule>
  </conditionalFormatting>
  <conditionalFormatting sqref="J61 J63:J65 O225">
    <cfRule type="expression" dxfId="310" priority="152">
      <formula>($B62=6)</formula>
    </cfRule>
  </conditionalFormatting>
  <conditionalFormatting sqref="J66">
    <cfRule type="expression" dxfId="309" priority="150">
      <formula>($B66=6)</formula>
    </cfRule>
  </conditionalFormatting>
  <conditionalFormatting sqref="G31 N31:Q31">
    <cfRule type="expression" dxfId="308" priority="149">
      <formula>($B31=6)</formula>
    </cfRule>
  </conditionalFormatting>
  <conditionalFormatting sqref="H31:K31">
    <cfRule type="expression" dxfId="307" priority="148">
      <formula>($B31=6)</formula>
    </cfRule>
  </conditionalFormatting>
  <conditionalFormatting sqref="G32 N32:Q32">
    <cfRule type="expression" dxfId="306" priority="147">
      <formula>($B32=6)</formula>
    </cfRule>
  </conditionalFormatting>
  <conditionalFormatting sqref="H32:K32">
    <cfRule type="expression" dxfId="305" priority="146">
      <formula>($B32=6)</formula>
    </cfRule>
  </conditionalFormatting>
  <conditionalFormatting sqref="L50:Q50 G50">
    <cfRule type="expression" dxfId="304" priority="145">
      <formula>($B50=6)</formula>
    </cfRule>
  </conditionalFormatting>
  <conditionalFormatting sqref="H50:K50">
    <cfRule type="expression" dxfId="303" priority="144">
      <formula>($B50=6)</formula>
    </cfRule>
  </conditionalFormatting>
  <conditionalFormatting sqref="N185:Q185">
    <cfRule type="expression" dxfId="302" priority="143">
      <formula>($B185=6)</formula>
    </cfRule>
  </conditionalFormatting>
  <conditionalFormatting sqref="H185:K185">
    <cfRule type="expression" dxfId="301" priority="140">
      <formula>($B185=6)</formula>
    </cfRule>
  </conditionalFormatting>
  <conditionalFormatting sqref="G185">
    <cfRule type="expression" dxfId="300" priority="141">
      <formula>($B185=6)</formula>
    </cfRule>
  </conditionalFormatting>
  <conditionalFormatting sqref="N214 G214 P214:Q214">
    <cfRule type="expression" dxfId="299" priority="139">
      <formula>($B214=6)</formula>
    </cfRule>
  </conditionalFormatting>
  <conditionalFormatting sqref="H214:K214">
    <cfRule type="expression" dxfId="298" priority="138">
      <formula>($B214=6)</formula>
    </cfRule>
  </conditionalFormatting>
  <conditionalFormatting sqref="N310:Q310 G310">
    <cfRule type="expression" dxfId="297" priority="137">
      <formula>($B310=6)</formula>
    </cfRule>
  </conditionalFormatting>
  <conditionalFormatting sqref="H310:K310">
    <cfRule type="expression" dxfId="296" priority="136">
      <formula>($B310=6)</formula>
    </cfRule>
  </conditionalFormatting>
  <conditionalFormatting sqref="G336:Q336">
    <cfRule type="expression" dxfId="295" priority="135">
      <formula>($B336=6)</formula>
    </cfRule>
  </conditionalFormatting>
  <conditionalFormatting sqref="G337:K337 N337:Q337">
    <cfRule type="expression" dxfId="294" priority="134">
      <formula>($B337=6)</formula>
    </cfRule>
  </conditionalFormatting>
  <conditionalFormatting sqref="L426:Q426 G426">
    <cfRule type="expression" dxfId="293" priority="133">
      <formula>($B426=6)</formula>
    </cfRule>
  </conditionalFormatting>
  <conditionalFormatting sqref="H426:K426">
    <cfRule type="expression" dxfId="292" priority="132">
      <formula>($B426=6)</formula>
    </cfRule>
  </conditionalFormatting>
  <conditionalFormatting sqref="I277:K277">
    <cfRule type="expression" dxfId="291" priority="109">
      <formula>($B277=6)</formula>
    </cfRule>
  </conditionalFormatting>
  <conditionalFormatting sqref="I36">
    <cfRule type="expression" dxfId="290" priority="108">
      <formula>($B36=6)</formula>
    </cfRule>
  </conditionalFormatting>
  <conditionalFormatting sqref="L7:M16">
    <cfRule type="expression" dxfId="289" priority="107">
      <formula>($B7=6)</formula>
    </cfRule>
  </conditionalFormatting>
  <conditionalFormatting sqref="L19:M30 M31 L33:M35">
    <cfRule type="expression" dxfId="288" priority="106">
      <formula>($B19=6)</formula>
    </cfRule>
  </conditionalFormatting>
  <conditionalFormatting sqref="L31">
    <cfRule type="expression" dxfId="287" priority="105">
      <formula>($B31=6)</formula>
    </cfRule>
  </conditionalFormatting>
  <conditionalFormatting sqref="L32">
    <cfRule type="expression" dxfId="286" priority="104">
      <formula>($B32=6)</formula>
    </cfRule>
  </conditionalFormatting>
  <conditionalFormatting sqref="M32">
    <cfRule type="expression" dxfId="285" priority="103">
      <formula>($B32=6)</formula>
    </cfRule>
  </conditionalFormatting>
  <conditionalFormatting sqref="L40:M41 L49:M49">
    <cfRule type="expression" dxfId="284" priority="102">
      <formula>($B40=6)</formula>
    </cfRule>
  </conditionalFormatting>
  <conditionalFormatting sqref="L42:M48">
    <cfRule type="expression" dxfId="283" priority="101">
      <formula>($B42=6)</formula>
    </cfRule>
  </conditionalFormatting>
  <conditionalFormatting sqref="L17:M17">
    <cfRule type="expression" dxfId="282" priority="100">
      <formula>($B17=6)</formula>
    </cfRule>
  </conditionalFormatting>
  <conditionalFormatting sqref="L55:M56">
    <cfRule type="expression" dxfId="281" priority="99">
      <formula>($B55=6)</formula>
    </cfRule>
  </conditionalFormatting>
  <conditionalFormatting sqref="L110:M110">
    <cfRule type="expression" dxfId="280" priority="93">
      <formula>($B110=6)</formula>
    </cfRule>
  </conditionalFormatting>
  <conditionalFormatting sqref="L112:M112">
    <cfRule type="expression" dxfId="279" priority="92">
      <formula>($B112=6)</formula>
    </cfRule>
  </conditionalFormatting>
  <conditionalFormatting sqref="L134:M134">
    <cfRule type="expression" dxfId="278" priority="89">
      <formula>($B134=6)</formula>
    </cfRule>
  </conditionalFormatting>
  <conditionalFormatting sqref="L136:M139">
    <cfRule type="expression" dxfId="277" priority="88">
      <formula>($B136=6)</formula>
    </cfRule>
  </conditionalFormatting>
  <conditionalFormatting sqref="L141:M144">
    <cfRule type="expression" dxfId="276" priority="87">
      <formula>($B141=6)</formula>
    </cfRule>
  </conditionalFormatting>
  <conditionalFormatting sqref="L147:M147">
    <cfRule type="expression" dxfId="275" priority="86">
      <formula>($B147=6)</formula>
    </cfRule>
  </conditionalFormatting>
  <conditionalFormatting sqref="L149:M155">
    <cfRule type="expression" dxfId="274" priority="85">
      <formula>($B149=6)</formula>
    </cfRule>
  </conditionalFormatting>
  <conditionalFormatting sqref="L157:M157">
    <cfRule type="expression" dxfId="273" priority="84">
      <formula>($B157=6)</formula>
    </cfRule>
  </conditionalFormatting>
  <conditionalFormatting sqref="L158:M158">
    <cfRule type="expression" dxfId="272" priority="83">
      <formula>($B158=6)</formula>
    </cfRule>
  </conditionalFormatting>
  <conditionalFormatting sqref="L160:M173">
    <cfRule type="expression" dxfId="271" priority="82">
      <formula>($B160=6)</formula>
    </cfRule>
  </conditionalFormatting>
  <conditionalFormatting sqref="L175:M178">
    <cfRule type="expression" dxfId="270" priority="81">
      <formula>($B175=6)</formula>
    </cfRule>
  </conditionalFormatting>
  <conditionalFormatting sqref="L180:M186">
    <cfRule type="expression" dxfId="269" priority="80">
      <formula>($B180=6)</formula>
    </cfRule>
  </conditionalFormatting>
  <conditionalFormatting sqref="L188:M195">
    <cfRule type="expression" dxfId="268" priority="79">
      <formula>($B188=6)</formula>
    </cfRule>
  </conditionalFormatting>
  <conditionalFormatting sqref="L199:M207">
    <cfRule type="expression" dxfId="267" priority="78">
      <formula>($B199=6)</formula>
    </cfRule>
  </conditionalFormatting>
  <conditionalFormatting sqref="L209:M209">
    <cfRule type="expression" dxfId="266" priority="77">
      <formula>($B209=6)</formula>
    </cfRule>
  </conditionalFormatting>
  <conditionalFormatting sqref="L210:M212">
    <cfRule type="expression" dxfId="265" priority="76">
      <formula>($B210=6)</formula>
    </cfRule>
  </conditionalFormatting>
  <conditionalFormatting sqref="L215:M218">
    <cfRule type="expression" dxfId="264" priority="75">
      <formula>($B215=6)</formula>
    </cfRule>
  </conditionalFormatting>
  <conditionalFormatting sqref="L213:M213">
    <cfRule type="expression" dxfId="263" priority="74">
      <formula>($B213=6)</formula>
    </cfRule>
  </conditionalFormatting>
  <conditionalFormatting sqref="L214:M214">
    <cfRule type="expression" dxfId="262" priority="73">
      <formula>($B214=6)</formula>
    </cfRule>
  </conditionalFormatting>
  <conditionalFormatting sqref="L222:M223">
    <cfRule type="expression" dxfId="261" priority="72">
      <formula>($B222=6)</formula>
    </cfRule>
  </conditionalFormatting>
  <conditionalFormatting sqref="L225:M226">
    <cfRule type="expression" dxfId="260" priority="71">
      <formula>($B225=6)</formula>
    </cfRule>
  </conditionalFormatting>
  <conditionalFormatting sqref="L230:M230">
    <cfRule type="expression" dxfId="259" priority="70">
      <formula>($B230=6)</formula>
    </cfRule>
  </conditionalFormatting>
  <conditionalFormatting sqref="L232:M236">
    <cfRule type="expression" dxfId="258" priority="69">
      <formula>($B232=6)</formula>
    </cfRule>
  </conditionalFormatting>
  <conditionalFormatting sqref="L238:M238">
    <cfRule type="expression" dxfId="257" priority="66">
      <formula>($B238=6)</formula>
    </cfRule>
  </conditionalFormatting>
  <conditionalFormatting sqref="M242 L239:M241 L243:M244">
    <cfRule type="expression" dxfId="256" priority="65">
      <formula>($B239=6)</formula>
    </cfRule>
  </conditionalFormatting>
  <conditionalFormatting sqref="L242">
    <cfRule type="expression" dxfId="255" priority="64">
      <formula>($B242=6)</formula>
    </cfRule>
  </conditionalFormatting>
  <conditionalFormatting sqref="L247:M248">
    <cfRule type="expression" dxfId="254" priority="63">
      <formula>($B247=6)</formula>
    </cfRule>
  </conditionalFormatting>
  <conditionalFormatting sqref="L246:M246">
    <cfRule type="expression" dxfId="253" priority="62">
      <formula>($B246=6)</formula>
    </cfRule>
  </conditionalFormatting>
  <conditionalFormatting sqref="L250:M252">
    <cfRule type="expression" dxfId="252" priority="61">
      <formula>($B250=6)</formula>
    </cfRule>
  </conditionalFormatting>
  <conditionalFormatting sqref="L253:M253">
    <cfRule type="expression" dxfId="251" priority="60">
      <formula>($B253=6)</formula>
    </cfRule>
  </conditionalFormatting>
  <conditionalFormatting sqref="L260:M263">
    <cfRule type="expression" dxfId="250" priority="58">
      <formula>($B260=6)</formula>
    </cfRule>
  </conditionalFormatting>
  <conditionalFormatting sqref="L266:M269">
    <cfRule type="expression" dxfId="249" priority="56">
      <formula>($B266=6)</formula>
    </cfRule>
  </conditionalFormatting>
  <conditionalFormatting sqref="L271:M273">
    <cfRule type="expression" dxfId="248" priority="55">
      <formula>($B271=6)</formula>
    </cfRule>
  </conditionalFormatting>
  <conditionalFormatting sqref="L275:M284">
    <cfRule type="expression" dxfId="247" priority="54">
      <formula>($B275=6)</formula>
    </cfRule>
  </conditionalFormatting>
  <conditionalFormatting sqref="L287:M291">
    <cfRule type="expression" dxfId="246" priority="53">
      <formula>($B287=6)</formula>
    </cfRule>
  </conditionalFormatting>
  <conditionalFormatting sqref="L294:M306">
    <cfRule type="expression" dxfId="245" priority="52">
      <formula>($B294=6)</formula>
    </cfRule>
  </conditionalFormatting>
  <conditionalFormatting sqref="L308:M309">
    <cfRule type="expression" dxfId="244" priority="51">
      <formula>($B308=6)</formula>
    </cfRule>
  </conditionalFormatting>
  <conditionalFormatting sqref="L310:M310">
    <cfRule type="expression" dxfId="243" priority="50">
      <formula>($B310=6)</formula>
    </cfRule>
  </conditionalFormatting>
  <conditionalFormatting sqref="L311:M314">
    <cfRule type="expression" dxfId="242" priority="49">
      <formula>($B311=6)</formula>
    </cfRule>
  </conditionalFormatting>
  <conditionalFormatting sqref="L316:M317">
    <cfRule type="expression" dxfId="241" priority="48">
      <formula>($B316=6)</formula>
    </cfRule>
  </conditionalFormatting>
  <conditionalFormatting sqref="L320:M326">
    <cfRule type="expression" dxfId="240" priority="47">
      <formula>($B320=6)</formula>
    </cfRule>
  </conditionalFormatting>
  <conditionalFormatting sqref="L328:M335">
    <cfRule type="expression" dxfId="239" priority="46">
      <formula>($B328=6)</formula>
    </cfRule>
  </conditionalFormatting>
  <conditionalFormatting sqref="L338:M338 L344:M345">
    <cfRule type="expression" dxfId="238" priority="45">
      <formula>($B338=6)</formula>
    </cfRule>
  </conditionalFormatting>
  <conditionalFormatting sqref="L337:M337">
    <cfRule type="expression" dxfId="237" priority="44">
      <formula>($B337=6)</formula>
    </cfRule>
  </conditionalFormatting>
  <conditionalFormatting sqref="L339:M339">
    <cfRule type="expression" dxfId="236" priority="43">
      <formula>($B339=6)</formula>
    </cfRule>
  </conditionalFormatting>
  <conditionalFormatting sqref="L340:M340">
    <cfRule type="expression" dxfId="235" priority="42">
      <formula>($B340=6)</formula>
    </cfRule>
  </conditionalFormatting>
  <conditionalFormatting sqref="L341:M341">
    <cfRule type="expression" dxfId="234" priority="41">
      <formula>($B341=6)</formula>
    </cfRule>
  </conditionalFormatting>
  <conditionalFormatting sqref="L342:M343">
    <cfRule type="expression" dxfId="233" priority="40">
      <formula>($B342=6)</formula>
    </cfRule>
  </conditionalFormatting>
  <conditionalFormatting sqref="L346:M349">
    <cfRule type="expression" dxfId="232" priority="39">
      <formula>($B346=6)</formula>
    </cfRule>
  </conditionalFormatting>
  <conditionalFormatting sqref="L352:M353 L356:M356">
    <cfRule type="expression" dxfId="231" priority="38">
      <formula>($B352=6)</formula>
    </cfRule>
  </conditionalFormatting>
  <conditionalFormatting sqref="L354:M354">
    <cfRule type="expression" dxfId="230" priority="37">
      <formula>($B354=6)</formula>
    </cfRule>
  </conditionalFormatting>
  <conditionalFormatting sqref="L355:M355">
    <cfRule type="expression" dxfId="229" priority="36">
      <formula>($B355=6)</formula>
    </cfRule>
  </conditionalFormatting>
  <conditionalFormatting sqref="L358:M361">
    <cfRule type="expression" dxfId="228" priority="35">
      <formula>($B358=6)</formula>
    </cfRule>
  </conditionalFormatting>
  <conditionalFormatting sqref="L363:M366">
    <cfRule type="expression" dxfId="227" priority="34">
      <formula>($B363=6)</formula>
    </cfRule>
  </conditionalFormatting>
  <conditionalFormatting sqref="L368:M372">
    <cfRule type="expression" dxfId="226" priority="33">
      <formula>($B368=6)</formula>
    </cfRule>
  </conditionalFormatting>
  <conditionalFormatting sqref="L374:M374">
    <cfRule type="expression" dxfId="225" priority="32">
      <formula>($B374=6)</formula>
    </cfRule>
  </conditionalFormatting>
  <conditionalFormatting sqref="L376:M376">
    <cfRule type="expression" dxfId="224" priority="31">
      <formula>($B376=6)</formula>
    </cfRule>
  </conditionalFormatting>
  <conditionalFormatting sqref="L378:M387">
    <cfRule type="expression" dxfId="223" priority="30">
      <formula>($B378=6)</formula>
    </cfRule>
  </conditionalFormatting>
  <conditionalFormatting sqref="L389:M389">
    <cfRule type="expression" dxfId="222" priority="29">
      <formula>($B389=6)</formula>
    </cfRule>
  </conditionalFormatting>
  <conditionalFormatting sqref="L391:M391">
    <cfRule type="expression" dxfId="221" priority="28">
      <formula>($B391=6)</formula>
    </cfRule>
  </conditionalFormatting>
  <conditionalFormatting sqref="L392:M392">
    <cfRule type="expression" dxfId="220" priority="27">
      <formula>($B392=6)</formula>
    </cfRule>
  </conditionalFormatting>
  <conditionalFormatting sqref="L394:M401">
    <cfRule type="expression" dxfId="219" priority="26">
      <formula>($B394=6)</formula>
    </cfRule>
  </conditionalFormatting>
  <conditionalFormatting sqref="L404:M412">
    <cfRule type="expression" dxfId="218" priority="25">
      <formula>($B404=6)</formula>
    </cfRule>
  </conditionalFormatting>
  <conditionalFormatting sqref="L414:M414">
    <cfRule type="expression" dxfId="217" priority="24">
      <formula>($B414=6)</formula>
    </cfRule>
  </conditionalFormatting>
  <conditionalFormatting sqref="L416:M416">
    <cfRule type="expression" dxfId="216" priority="23">
      <formula>($B416=6)</formula>
    </cfRule>
  </conditionalFormatting>
  <conditionalFormatting sqref="L418:M418">
    <cfRule type="expression" dxfId="215" priority="22">
      <formula>($B418=6)</formula>
    </cfRule>
  </conditionalFormatting>
  <conditionalFormatting sqref="L419:M419">
    <cfRule type="expression" dxfId="214" priority="21">
      <formula>($B419=6)</formula>
    </cfRule>
  </conditionalFormatting>
  <conditionalFormatting sqref="L421:M424">
    <cfRule type="expression" dxfId="213" priority="20">
      <formula>($B421=6)</formula>
    </cfRule>
  </conditionalFormatting>
  <conditionalFormatting sqref="L427:M427">
    <cfRule type="expression" dxfId="212" priority="19">
      <formula>($B427=6)</formula>
    </cfRule>
  </conditionalFormatting>
  <conditionalFormatting sqref="L429:M433">
    <cfRule type="expression" dxfId="211" priority="18">
      <formula>($B429=6)</formula>
    </cfRule>
  </conditionalFormatting>
  <conditionalFormatting sqref="L435:M439">
    <cfRule type="expression" dxfId="210" priority="17">
      <formula>($B435=6)</formula>
    </cfRule>
  </conditionalFormatting>
  <conditionalFormatting sqref="L442:M444">
    <cfRule type="expression" dxfId="209" priority="16">
      <formula>($B442=6)</formula>
    </cfRule>
  </conditionalFormatting>
  <conditionalFormatting sqref="L445:M445">
    <cfRule type="expression" dxfId="208" priority="15">
      <formula>($B445=6)</formula>
    </cfRule>
  </conditionalFormatting>
  <conditionalFormatting sqref="L447:M449">
    <cfRule type="expression" dxfId="207" priority="14">
      <formula>($B447=6)</formula>
    </cfRule>
  </conditionalFormatting>
  <conditionalFormatting sqref="L451:M454">
    <cfRule type="expression" dxfId="206" priority="13">
      <formula>($B451=6)</formula>
    </cfRule>
  </conditionalFormatting>
  <conditionalFormatting sqref="L456:M463">
    <cfRule type="expression" dxfId="205" priority="12">
      <formula>($B456=6)</formula>
    </cfRule>
  </conditionalFormatting>
  <conditionalFormatting sqref="L465:M467">
    <cfRule type="expression" dxfId="204" priority="11">
      <formula>($B465=6)</formula>
    </cfRule>
  </conditionalFormatting>
  <conditionalFormatting sqref="J62">
    <cfRule type="expression" dxfId="203" priority="160">
      <formula>($B63=6)</formula>
    </cfRule>
  </conditionalFormatting>
  <conditionalFormatting sqref="O343">
    <cfRule type="expression" dxfId="202" priority="163">
      <formula>($B326=6)</formula>
    </cfRule>
  </conditionalFormatting>
  <conditionalFormatting sqref="O328">
    <cfRule type="expression" dxfId="201" priority="166">
      <formula>($B320=6)</formula>
    </cfRule>
  </conditionalFormatting>
  <conditionalFormatting sqref="O346">
    <cfRule type="expression" dxfId="200" priority="10">
      <formula>($B338=6)</formula>
    </cfRule>
  </conditionalFormatting>
  <conditionalFormatting sqref="O349">
    <cfRule type="expression" dxfId="199" priority="9">
      <formula>($B332=6)</formula>
    </cfRule>
  </conditionalFormatting>
  <conditionalFormatting sqref="O356">
    <cfRule type="expression" dxfId="198" priority="8">
      <formula>($B339=6)</formula>
    </cfRule>
  </conditionalFormatting>
  <conditionalFormatting sqref="O361">
    <cfRule type="expression" dxfId="197" priority="7">
      <formula>($B344=6)</formula>
    </cfRule>
  </conditionalFormatting>
  <conditionalFormatting sqref="O363">
    <cfRule type="expression" dxfId="196" priority="6">
      <formula>($B355=6)</formula>
    </cfRule>
  </conditionalFormatting>
  <conditionalFormatting sqref="O368">
    <cfRule type="expression" dxfId="195" priority="5">
      <formula>($B360=6)</formula>
    </cfRule>
  </conditionalFormatting>
  <conditionalFormatting sqref="O366">
    <cfRule type="expression" dxfId="194" priority="4">
      <formula>($B349=6)</formula>
    </cfRule>
  </conditionalFormatting>
  <conditionalFormatting sqref="O35">
    <cfRule type="expression" dxfId="193" priority="168">
      <formula>($B35=6)</formula>
    </cfRule>
  </conditionalFormatting>
  <conditionalFormatting sqref="O34">
    <cfRule type="expression" dxfId="192" priority="3">
      <formula>($B34=6)</formula>
    </cfRule>
  </conditionalFormatting>
  <conditionalFormatting sqref="O117">
    <cfRule type="expression" dxfId="191" priority="2">
      <formula>($B117=6)</formula>
    </cfRule>
  </conditionalFormatting>
  <conditionalFormatting sqref="O214:O218">
    <cfRule type="expression" dxfId="190" priority="1">
      <formula>($B214=6)</formula>
    </cfRule>
  </conditionalFormatting>
  <dataValidations count="1">
    <dataValidation type="list" showInputMessage="1" showErrorMessage="1" sqref="A2:A469">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opLeftCell="F1" zoomScale="90" zoomScaleNormal="90" workbookViewId="0">
      <pane ySplit="1" topLeftCell="A2" activePane="bottomLeft" state="frozen"/>
      <selection pane="bottomLeft" activeCell="O1" sqref="O1"/>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2" width="33.7109375" style="17" hidden="1" customWidth="1"/>
    <col min="13"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 t="shared" ref="F3" si="0">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2</v>
      </c>
      <c r="D4" s="28">
        <f t="shared" ref="D4:D67" si="2">IF(B4=1,0,IF(B4=2,D3+1,IF(AND(B4=3,D3=0),1,D3)))</f>
        <v>1</v>
      </c>
      <c r="E4" s="28">
        <f t="shared" ref="E4:E67" si="3">IF(OR(B4=1,B4=2),0,IF(B4=3,E3+1,E3))</f>
        <v>0</v>
      </c>
      <c r="F4" s="51" t="str">
        <f t="shared" ref="F4:F67" si="4">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1"/>
        <v>2</v>
      </c>
      <c r="D5" s="28">
        <f t="shared" si="2"/>
        <v>1</v>
      </c>
      <c r="E5" s="28">
        <f t="shared" si="3"/>
        <v>0</v>
      </c>
      <c r="F5" s="59" t="str">
        <f t="shared" si="4"/>
        <v/>
      </c>
      <c r="G5" s="42" t="s">
        <v>82</v>
      </c>
      <c r="H5" s="43" t="s">
        <v>83</v>
      </c>
      <c r="I5" s="44" t="s">
        <v>84</v>
      </c>
      <c r="J5" s="45" t="s">
        <v>85</v>
      </c>
      <c r="K5" s="46" t="s">
        <v>86</v>
      </c>
      <c r="L5" s="47" t="s">
        <v>2398</v>
      </c>
      <c r="M5" s="48" t="s">
        <v>2333</v>
      </c>
      <c r="N5" s="49"/>
      <c r="O5" s="50" t="s">
        <v>3166</v>
      </c>
      <c r="P5" s="59"/>
      <c r="Q5" s="59"/>
      <c r="R5" s="13"/>
    </row>
    <row r="6" spans="1:18" ht="45" x14ac:dyDescent="0.25">
      <c r="A6" s="9" t="s">
        <v>21</v>
      </c>
      <c r="B6" s="28">
        <f>IF(ISBLANK(A6),0,INDEX(txtstylestab[],MATCH(A6,txtstylestab[style_Name],0),1))</f>
        <v>0</v>
      </c>
      <c r="C6" s="28">
        <f t="shared" si="1"/>
        <v>2</v>
      </c>
      <c r="D6" s="28">
        <f t="shared" si="2"/>
        <v>1</v>
      </c>
      <c r="E6" s="28">
        <f t="shared" si="3"/>
        <v>0</v>
      </c>
      <c r="F6" s="59" t="str">
        <f t="shared" si="4"/>
        <v/>
      </c>
      <c r="G6" s="42" t="s">
        <v>874</v>
      </c>
      <c r="H6" s="43" t="s">
        <v>875</v>
      </c>
      <c r="I6" s="44" t="s">
        <v>2279</v>
      </c>
      <c r="J6" s="45" t="s">
        <v>2281</v>
      </c>
      <c r="K6" s="46" t="s">
        <v>2280</v>
      </c>
      <c r="L6" s="47" t="s">
        <v>2783</v>
      </c>
      <c r="M6" s="48" t="s">
        <v>2864</v>
      </c>
      <c r="N6" s="49"/>
      <c r="O6" s="50" t="s">
        <v>3261</v>
      </c>
      <c r="P6" s="59"/>
      <c r="Q6" s="59"/>
      <c r="R6" s="13"/>
    </row>
    <row r="7" spans="1:18" ht="30" x14ac:dyDescent="0.25">
      <c r="A7" s="9" t="s">
        <v>21</v>
      </c>
      <c r="B7" s="28">
        <f>IF(ISBLANK(A7),0,INDEX(txtstylestab[],MATCH(A7,txtstylestab[style_Name],0),1))</f>
        <v>0</v>
      </c>
      <c r="C7" s="28">
        <f t="shared" si="1"/>
        <v>2</v>
      </c>
      <c r="D7" s="28">
        <f t="shared" si="2"/>
        <v>1</v>
      </c>
      <c r="E7" s="28">
        <f t="shared" si="3"/>
        <v>0</v>
      </c>
      <c r="F7" s="59" t="str">
        <f t="shared" si="4"/>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1"/>
        <v>2</v>
      </c>
      <c r="D8" s="28">
        <f t="shared" si="2"/>
        <v>1</v>
      </c>
      <c r="E8" s="28">
        <f t="shared" si="3"/>
        <v>0</v>
      </c>
      <c r="F8" s="59" t="str">
        <f t="shared" si="4"/>
        <v/>
      </c>
      <c r="G8" s="42" t="s">
        <v>1928</v>
      </c>
      <c r="H8" s="43" t="s">
        <v>1929</v>
      </c>
      <c r="I8" s="44" t="s">
        <v>1930</v>
      </c>
      <c r="J8" s="45" t="s">
        <v>1931</v>
      </c>
      <c r="K8" s="46" t="s">
        <v>1932</v>
      </c>
      <c r="L8" s="47" t="s">
        <v>2784</v>
      </c>
      <c r="M8" s="48" t="s">
        <v>2785</v>
      </c>
      <c r="N8" s="49"/>
      <c r="O8" s="50" t="s">
        <v>3264</v>
      </c>
      <c r="P8" s="59"/>
      <c r="Q8" s="59"/>
      <c r="R8" s="13"/>
    </row>
    <row r="9" spans="1:18" ht="45" x14ac:dyDescent="0.25">
      <c r="A9" s="9" t="s">
        <v>14</v>
      </c>
      <c r="B9" s="28">
        <f>IF(ISBLANK(A9),0,INDEX(txtstylestab[],MATCH(A9,txtstylestab[style_Name],0),1))</f>
        <v>6</v>
      </c>
      <c r="C9" s="28">
        <f t="shared" si="1"/>
        <v>2</v>
      </c>
      <c r="D9" s="28">
        <f t="shared" si="2"/>
        <v>1</v>
      </c>
      <c r="E9" s="28">
        <f t="shared" si="3"/>
        <v>0</v>
      </c>
      <c r="F9" s="59" t="str">
        <f t="shared" si="4"/>
        <v/>
      </c>
      <c r="G9" s="42" t="s">
        <v>1933</v>
      </c>
      <c r="H9" s="43" t="s">
        <v>879</v>
      </c>
      <c r="I9" s="44" t="s">
        <v>1939</v>
      </c>
      <c r="J9" s="45" t="s">
        <v>1944</v>
      </c>
      <c r="K9" s="46" t="s">
        <v>1949</v>
      </c>
      <c r="L9" s="47" t="s">
        <v>2786</v>
      </c>
      <c r="M9" s="48" t="s">
        <v>2799</v>
      </c>
      <c r="N9" s="49"/>
      <c r="O9" s="50" t="s">
        <v>3265</v>
      </c>
      <c r="P9" s="59"/>
      <c r="Q9" s="59"/>
      <c r="R9" s="13"/>
    </row>
    <row r="10" spans="1:18" ht="45" x14ac:dyDescent="0.25">
      <c r="A10" s="9" t="s">
        <v>14</v>
      </c>
      <c r="B10" s="28">
        <f>IF(ISBLANK(A10),0,INDEX(txtstylestab[],MATCH(A10,txtstylestab[style_Name],0),1))</f>
        <v>6</v>
      </c>
      <c r="C10" s="28">
        <f t="shared" si="1"/>
        <v>2</v>
      </c>
      <c r="D10" s="28">
        <f t="shared" si="2"/>
        <v>1</v>
      </c>
      <c r="E10" s="28">
        <f t="shared" si="3"/>
        <v>0</v>
      </c>
      <c r="F10" s="59" t="str">
        <f t="shared" si="4"/>
        <v/>
      </c>
      <c r="G10" s="42" t="s">
        <v>1953</v>
      </c>
      <c r="H10" s="43" t="s">
        <v>1954</v>
      </c>
      <c r="I10" s="44" t="s">
        <v>2203</v>
      </c>
      <c r="J10" s="45" t="s">
        <v>2204</v>
      </c>
      <c r="K10" s="46" t="s">
        <v>2202</v>
      </c>
      <c r="L10" s="47" t="s">
        <v>2787</v>
      </c>
      <c r="M10" s="48" t="s">
        <v>2788</v>
      </c>
      <c r="N10" s="49"/>
      <c r="O10" s="50" t="s">
        <v>3266</v>
      </c>
      <c r="P10" s="59"/>
      <c r="Q10" s="59"/>
      <c r="R10" s="13"/>
    </row>
    <row r="11" spans="1:18" ht="30" x14ac:dyDescent="0.25">
      <c r="A11" s="9" t="s">
        <v>14</v>
      </c>
      <c r="B11" s="28">
        <f>IF(ISBLANK(A11),0,INDEX(txtstylestab[],MATCH(A11,txtstylestab[style_Name],0),1))</f>
        <v>6</v>
      </c>
      <c r="C11" s="28">
        <f t="shared" si="1"/>
        <v>2</v>
      </c>
      <c r="D11" s="28">
        <f t="shared" si="2"/>
        <v>1</v>
      </c>
      <c r="E11" s="28">
        <f t="shared" si="3"/>
        <v>0</v>
      </c>
      <c r="F11" s="59" t="str">
        <f t="shared" si="4"/>
        <v/>
      </c>
      <c r="G11" s="42" t="s">
        <v>37</v>
      </c>
      <c r="H11" s="43" t="s">
        <v>1772</v>
      </c>
      <c r="I11" s="44" t="s">
        <v>1940</v>
      </c>
      <c r="J11" s="45" t="s">
        <v>1945</v>
      </c>
      <c r="K11" s="46" t="s">
        <v>1950</v>
      </c>
      <c r="L11" s="47" t="s">
        <v>2789</v>
      </c>
      <c r="M11" s="48" t="s">
        <v>2790</v>
      </c>
      <c r="N11" s="49"/>
      <c r="O11" s="50" t="s">
        <v>3267</v>
      </c>
      <c r="P11" s="59"/>
      <c r="Q11" s="59"/>
      <c r="R11" s="13"/>
    </row>
    <row r="12" spans="1:18" ht="45" x14ac:dyDescent="0.25">
      <c r="A12" s="9" t="s">
        <v>14</v>
      </c>
      <c r="B12" s="28">
        <f>IF(ISBLANK(A12),0,INDEX(txtstylestab[],MATCH(A12,txtstylestab[style_Name],0),1))</f>
        <v>6</v>
      </c>
      <c r="C12" s="28">
        <f t="shared" si="1"/>
        <v>2</v>
      </c>
      <c r="D12" s="28">
        <f t="shared" si="2"/>
        <v>1</v>
      </c>
      <c r="E12" s="28">
        <f t="shared" si="3"/>
        <v>0</v>
      </c>
      <c r="F12" s="59" t="str">
        <f t="shared" si="4"/>
        <v/>
      </c>
      <c r="G12" s="42" t="s">
        <v>1934</v>
      </c>
      <c r="H12" s="43" t="s">
        <v>1936</v>
      </c>
      <c r="I12" s="44" t="s">
        <v>1941</v>
      </c>
      <c r="J12" s="45" t="s">
        <v>1946</v>
      </c>
      <c r="K12" s="46" t="s">
        <v>1951</v>
      </c>
      <c r="L12" s="47" t="s">
        <v>2791</v>
      </c>
      <c r="M12" s="48" t="s">
        <v>2792</v>
      </c>
      <c r="N12" s="49"/>
      <c r="O12" s="50" t="s">
        <v>3268</v>
      </c>
      <c r="P12" s="59"/>
      <c r="Q12" s="59"/>
      <c r="R12" s="13"/>
    </row>
    <row r="13" spans="1:18" ht="30" x14ac:dyDescent="0.25">
      <c r="A13" s="9" t="s">
        <v>14</v>
      </c>
      <c r="B13" s="28">
        <f>IF(ISBLANK(A13),0,INDEX(txtstylestab[],MATCH(A13,txtstylestab[style_Name],0),1))</f>
        <v>6</v>
      </c>
      <c r="C13" s="28">
        <f t="shared" si="1"/>
        <v>2</v>
      </c>
      <c r="D13" s="28">
        <f t="shared" si="2"/>
        <v>1</v>
      </c>
      <c r="E13" s="28">
        <f t="shared" si="3"/>
        <v>0</v>
      </c>
      <c r="F13" s="59" t="str">
        <f t="shared" si="4"/>
        <v/>
      </c>
      <c r="G13" s="42" t="s">
        <v>39</v>
      </c>
      <c r="H13" s="43" t="s">
        <v>1937</v>
      </c>
      <c r="I13" s="44" t="s">
        <v>1942</v>
      </c>
      <c r="J13" s="45" t="s">
        <v>1947</v>
      </c>
      <c r="K13" s="46" t="s">
        <v>1795</v>
      </c>
      <c r="L13" s="47" t="s">
        <v>2793</v>
      </c>
      <c r="M13" s="48" t="s">
        <v>2794</v>
      </c>
      <c r="N13" s="49"/>
      <c r="O13" s="50" t="s">
        <v>3269</v>
      </c>
      <c r="P13" s="59"/>
      <c r="Q13" s="59"/>
      <c r="R13" s="13"/>
    </row>
    <row r="14" spans="1:18" ht="30" x14ac:dyDescent="0.25">
      <c r="A14" s="9" t="s">
        <v>14</v>
      </c>
      <c r="B14" s="28">
        <f>IF(ISBLANK(A14),0,INDEX(txtstylestab[],MATCH(A14,txtstylestab[style_Name],0),1))</f>
        <v>6</v>
      </c>
      <c r="C14" s="28">
        <f t="shared" si="1"/>
        <v>2</v>
      </c>
      <c r="D14" s="28">
        <f t="shared" si="2"/>
        <v>1</v>
      </c>
      <c r="E14" s="28">
        <f t="shared" si="3"/>
        <v>0</v>
      </c>
      <c r="F14" s="59" t="str">
        <f t="shared" si="4"/>
        <v/>
      </c>
      <c r="G14" s="42" t="s">
        <v>1935</v>
      </c>
      <c r="H14" s="43" t="s">
        <v>1938</v>
      </c>
      <c r="I14" s="44" t="s">
        <v>1943</v>
      </c>
      <c r="J14" s="45" t="s">
        <v>1948</v>
      </c>
      <c r="K14" s="46" t="s">
        <v>1952</v>
      </c>
      <c r="L14" s="47" t="s">
        <v>2795</v>
      </c>
      <c r="M14" s="48" t="s">
        <v>2796</v>
      </c>
      <c r="N14" s="49"/>
      <c r="O14" s="50" t="s">
        <v>3270</v>
      </c>
      <c r="P14" s="59"/>
      <c r="Q14" s="59"/>
      <c r="R14" s="13"/>
    </row>
    <row r="15" spans="1:18" ht="75" x14ac:dyDescent="0.25">
      <c r="A15" s="9" t="s">
        <v>14</v>
      </c>
      <c r="B15" s="28">
        <f>IF(ISBLANK(A15),0,INDEX(txtstylestab[],MATCH(A15,txtstylestab[style_Name],0),1))</f>
        <v>6</v>
      </c>
      <c r="C15" s="28">
        <f t="shared" si="1"/>
        <v>2</v>
      </c>
      <c r="D15" s="28">
        <f t="shared" si="2"/>
        <v>1</v>
      </c>
      <c r="E15" s="28">
        <f t="shared" si="3"/>
        <v>0</v>
      </c>
      <c r="F15" s="59" t="str">
        <f t="shared" si="4"/>
        <v/>
      </c>
      <c r="G15" s="42" t="s">
        <v>1956</v>
      </c>
      <c r="H15" s="43" t="s">
        <v>1957</v>
      </c>
      <c r="I15" s="44" t="s">
        <v>2206</v>
      </c>
      <c r="J15" s="45" t="s">
        <v>2207</v>
      </c>
      <c r="K15" s="46" t="s">
        <v>2205</v>
      </c>
      <c r="L15" s="47" t="s">
        <v>2797</v>
      </c>
      <c r="M15" s="48" t="s">
        <v>2798</v>
      </c>
      <c r="N15" s="49"/>
      <c r="O15" s="50" t="s">
        <v>3271</v>
      </c>
      <c r="P15" s="59"/>
      <c r="Q15" s="59"/>
      <c r="R15" s="13"/>
    </row>
    <row r="16" spans="1:18" ht="45" x14ac:dyDescent="0.25">
      <c r="A16" s="9" t="s">
        <v>14</v>
      </c>
      <c r="B16" s="28">
        <f>IF(ISBLANK(A16),0,INDEX(txtstylestab[],MATCH(A16,txtstylestab[style_Name],0),1))</f>
        <v>6</v>
      </c>
      <c r="C16" s="28">
        <f t="shared" si="1"/>
        <v>2</v>
      </c>
      <c r="D16" s="28">
        <f t="shared" si="2"/>
        <v>1</v>
      </c>
      <c r="E16" s="28">
        <f t="shared" si="3"/>
        <v>0</v>
      </c>
      <c r="F16" s="59" t="str">
        <f t="shared" si="4"/>
        <v/>
      </c>
      <c r="G16" s="42" t="s">
        <v>1777</v>
      </c>
      <c r="H16" s="43" t="s">
        <v>1955</v>
      </c>
      <c r="I16" s="44" t="s">
        <v>2299</v>
      </c>
      <c r="J16" s="45" t="s">
        <v>2209</v>
      </c>
      <c r="K16" s="46" t="s">
        <v>2208</v>
      </c>
      <c r="L16" s="47"/>
      <c r="M16" s="48"/>
      <c r="N16" s="49"/>
      <c r="O16" s="50" t="s">
        <v>3272</v>
      </c>
      <c r="P16" s="59"/>
      <c r="Q16" s="59"/>
      <c r="R16" s="13"/>
    </row>
    <row r="17" spans="1:18" ht="60" x14ac:dyDescent="0.25">
      <c r="A17" s="9" t="s">
        <v>14</v>
      </c>
      <c r="B17" s="28">
        <f>IF(ISBLANK(A17),0,INDEX(txtstylestab[],MATCH(A17,txtstylestab[style_Name],0),1))</f>
        <v>6</v>
      </c>
      <c r="C17" s="28">
        <f t="shared" si="1"/>
        <v>2</v>
      </c>
      <c r="D17" s="28">
        <f t="shared" si="2"/>
        <v>1</v>
      </c>
      <c r="E17" s="28">
        <f t="shared" si="3"/>
        <v>0</v>
      </c>
      <c r="F17" s="59" t="str">
        <f t="shared" si="4"/>
        <v/>
      </c>
      <c r="G17" s="42" t="s">
        <v>1958</v>
      </c>
      <c r="H17" s="43" t="s">
        <v>1959</v>
      </c>
      <c r="I17" s="44" t="s">
        <v>1960</v>
      </c>
      <c r="J17" s="45" t="s">
        <v>1961</v>
      </c>
      <c r="K17" s="46" t="s">
        <v>1962</v>
      </c>
      <c r="L17" s="47" t="s">
        <v>2368</v>
      </c>
      <c r="M17" s="48" t="s">
        <v>2369</v>
      </c>
      <c r="N17" s="49"/>
      <c r="O17" s="50" t="s">
        <v>3262</v>
      </c>
      <c r="P17" s="59"/>
      <c r="Q17" s="59"/>
      <c r="R17" s="13"/>
    </row>
    <row r="18" spans="1:18" ht="30" x14ac:dyDescent="0.25">
      <c r="A18" s="9" t="s">
        <v>21</v>
      </c>
      <c r="B18" s="28">
        <f>IF(ISBLANK(A18),0,INDEX(txtstylestab[],MATCH(A18,txtstylestab[style_Name],0),1))</f>
        <v>0</v>
      </c>
      <c r="C18" s="28">
        <f t="shared" si="1"/>
        <v>2</v>
      </c>
      <c r="D18" s="28">
        <f t="shared" si="2"/>
        <v>1</v>
      </c>
      <c r="E18" s="28">
        <f t="shared" si="3"/>
        <v>0</v>
      </c>
      <c r="F18" s="59" t="str">
        <f t="shared" si="4"/>
        <v/>
      </c>
      <c r="G18" s="42"/>
      <c r="H18" s="43"/>
      <c r="I18" s="44"/>
      <c r="J18" s="45"/>
      <c r="K18" s="46"/>
      <c r="L18" s="47"/>
      <c r="M18" s="48"/>
      <c r="N18" s="49"/>
      <c r="O18" s="50" t="s">
        <v>3263</v>
      </c>
      <c r="P18" s="59"/>
      <c r="Q18" s="59"/>
      <c r="R18" s="13"/>
    </row>
    <row r="19" spans="1:18" ht="30" x14ac:dyDescent="0.25">
      <c r="A19" s="9" t="s">
        <v>21</v>
      </c>
      <c r="B19" s="28">
        <f>IF(ISBLANK(A19),0,INDEX(txtstylestab[],MATCH(A19,txtstylestab[style_Name],0),1))</f>
        <v>0</v>
      </c>
      <c r="C19" s="28">
        <f t="shared" si="1"/>
        <v>2</v>
      </c>
      <c r="D19" s="28">
        <f t="shared" si="2"/>
        <v>1</v>
      </c>
      <c r="E19" s="28">
        <f t="shared" si="3"/>
        <v>0</v>
      </c>
      <c r="F19" s="59" t="str">
        <f t="shared" si="4"/>
        <v/>
      </c>
      <c r="G19" s="42" t="s">
        <v>1963</v>
      </c>
      <c r="H19" s="43" t="s">
        <v>1964</v>
      </c>
      <c r="I19" s="44" t="s">
        <v>1965</v>
      </c>
      <c r="J19" s="45" t="s">
        <v>1966</v>
      </c>
      <c r="K19" s="46" t="s">
        <v>1967</v>
      </c>
      <c r="L19" s="47" t="s">
        <v>2801</v>
      </c>
      <c r="M19" s="48" t="s">
        <v>2863</v>
      </c>
      <c r="N19" s="49"/>
      <c r="O19" s="50" t="s">
        <v>3277</v>
      </c>
      <c r="P19" s="59"/>
      <c r="Q19" s="59"/>
      <c r="R19" s="13"/>
    </row>
    <row r="20" spans="1:18" ht="45" x14ac:dyDescent="0.25">
      <c r="A20" s="9" t="s">
        <v>14</v>
      </c>
      <c r="B20" s="28">
        <f>IF(ISBLANK(A20),0,INDEX(txtstylestab[],MATCH(A20,txtstylestab[style_Name],0),1))</f>
        <v>6</v>
      </c>
      <c r="C20" s="28">
        <f t="shared" si="1"/>
        <v>2</v>
      </c>
      <c r="D20" s="28">
        <f t="shared" si="2"/>
        <v>1</v>
      </c>
      <c r="E20" s="28">
        <f t="shared" si="3"/>
        <v>0</v>
      </c>
      <c r="F20" s="59" t="str">
        <f t="shared" si="4"/>
        <v/>
      </c>
      <c r="G20" s="42" t="s">
        <v>1968</v>
      </c>
      <c r="H20" s="43" t="s">
        <v>1970</v>
      </c>
      <c r="I20" s="44" t="s">
        <v>1972</v>
      </c>
      <c r="J20" s="45" t="s">
        <v>1974</v>
      </c>
      <c r="K20" s="46" t="s">
        <v>1976</v>
      </c>
      <c r="L20" s="47" t="s">
        <v>2802</v>
      </c>
      <c r="M20" s="48" t="s">
        <v>2803</v>
      </c>
      <c r="N20" s="49"/>
      <c r="O20" s="50" t="s">
        <v>3273</v>
      </c>
      <c r="P20" s="59"/>
      <c r="Q20" s="59"/>
      <c r="R20" s="13"/>
    </row>
    <row r="21" spans="1:18" ht="45" x14ac:dyDescent="0.25">
      <c r="A21" s="9" t="s">
        <v>14</v>
      </c>
      <c r="B21" s="28">
        <f>IF(ISBLANK(A21),0,INDEX(txtstylestab[],MATCH(A21,txtstylestab[style_Name],0),1))</f>
        <v>6</v>
      </c>
      <c r="C21" s="28">
        <f t="shared" si="1"/>
        <v>2</v>
      </c>
      <c r="D21" s="28">
        <f t="shared" si="2"/>
        <v>1</v>
      </c>
      <c r="E21" s="28">
        <f t="shared" si="3"/>
        <v>0</v>
      </c>
      <c r="F21" s="59" t="str">
        <f t="shared" si="4"/>
        <v/>
      </c>
      <c r="G21" s="42" t="s">
        <v>1969</v>
      </c>
      <c r="H21" s="43" t="s">
        <v>1971</v>
      </c>
      <c r="I21" s="44" t="s">
        <v>1973</v>
      </c>
      <c r="J21" s="45" t="s">
        <v>1975</v>
      </c>
      <c r="K21" s="46" t="s">
        <v>1977</v>
      </c>
      <c r="L21" s="47" t="s">
        <v>2804</v>
      </c>
      <c r="M21" s="48" t="s">
        <v>2805</v>
      </c>
      <c r="N21" s="49"/>
      <c r="O21" s="50" t="s">
        <v>3274</v>
      </c>
      <c r="P21" s="59"/>
      <c r="Q21" s="59"/>
      <c r="R21" s="13"/>
    </row>
    <row r="22" spans="1:18" ht="90" x14ac:dyDescent="0.25">
      <c r="A22" s="9" t="s">
        <v>14</v>
      </c>
      <c r="B22" s="28">
        <f>IF(ISBLANK(A22),0,INDEX(txtstylestab[],MATCH(A22,txtstylestab[style_Name],0),1))</f>
        <v>6</v>
      </c>
      <c r="C22" s="28">
        <f t="shared" si="1"/>
        <v>2</v>
      </c>
      <c r="D22" s="28">
        <f t="shared" si="2"/>
        <v>1</v>
      </c>
      <c r="E22" s="28">
        <f t="shared" si="3"/>
        <v>0</v>
      </c>
      <c r="F22" s="59" t="str">
        <f t="shared" si="4"/>
        <v/>
      </c>
      <c r="G22" s="42" t="s">
        <v>1978</v>
      </c>
      <c r="H22" s="43" t="s">
        <v>1979</v>
      </c>
      <c r="I22" s="44" t="s">
        <v>1980</v>
      </c>
      <c r="J22" s="45" t="s">
        <v>1981</v>
      </c>
      <c r="K22" s="46" t="s">
        <v>1982</v>
      </c>
      <c r="L22" s="47" t="s">
        <v>2806</v>
      </c>
      <c r="M22" s="48" t="s">
        <v>2807</v>
      </c>
      <c r="N22" s="49"/>
      <c r="O22" s="50" t="s">
        <v>3275</v>
      </c>
      <c r="P22" s="59"/>
      <c r="Q22" s="59"/>
      <c r="R22" s="13"/>
    </row>
    <row r="23" spans="1:18" ht="45" x14ac:dyDescent="0.25">
      <c r="A23" s="9" t="s">
        <v>21</v>
      </c>
      <c r="B23" s="28">
        <f>IF(ISBLANK(A23),0,INDEX(txtstylestab[],MATCH(A23,txtstylestab[style_Name],0),1))</f>
        <v>0</v>
      </c>
      <c r="C23" s="28">
        <f t="shared" si="1"/>
        <v>2</v>
      </c>
      <c r="D23" s="28">
        <f t="shared" si="2"/>
        <v>1</v>
      </c>
      <c r="E23" s="28">
        <f t="shared" si="3"/>
        <v>0</v>
      </c>
      <c r="F23" s="59" t="str">
        <f t="shared" si="4"/>
        <v/>
      </c>
      <c r="G23" s="42" t="s">
        <v>876</v>
      </c>
      <c r="H23" s="43" t="s">
        <v>537</v>
      </c>
      <c r="I23" s="44" t="s">
        <v>503</v>
      </c>
      <c r="J23" s="45" t="s">
        <v>504</v>
      </c>
      <c r="K23" s="46" t="s">
        <v>538</v>
      </c>
      <c r="L23" s="47" t="s">
        <v>2808</v>
      </c>
      <c r="M23" s="48" t="s">
        <v>2809</v>
      </c>
      <c r="N23" s="49"/>
      <c r="O23" s="50" t="s">
        <v>3244</v>
      </c>
      <c r="P23" s="59"/>
      <c r="Q23" s="59"/>
      <c r="R23" s="13"/>
    </row>
    <row r="24" spans="1:18" ht="90" x14ac:dyDescent="0.25">
      <c r="A24" s="9" t="s">
        <v>21</v>
      </c>
      <c r="B24" s="28">
        <f>IF(ISBLANK(A24),0,INDEX(txtstylestab[],MATCH(A24,txtstylestab[style_Name],0),1))</f>
        <v>0</v>
      </c>
      <c r="C24" s="28">
        <f t="shared" si="1"/>
        <v>2</v>
      </c>
      <c r="D24" s="28">
        <f t="shared" si="2"/>
        <v>1</v>
      </c>
      <c r="E24" s="28">
        <f t="shared" si="3"/>
        <v>0</v>
      </c>
      <c r="F24" s="59" t="str">
        <f t="shared" si="4"/>
        <v/>
      </c>
      <c r="G24" s="42" t="s">
        <v>880</v>
      </c>
      <c r="H24" s="43" t="s">
        <v>881</v>
      </c>
      <c r="I24" s="44" t="s">
        <v>882</v>
      </c>
      <c r="J24" s="45" t="s">
        <v>883</v>
      </c>
      <c r="K24" s="46" t="s">
        <v>884</v>
      </c>
      <c r="L24" s="47"/>
      <c r="M24" s="48"/>
      <c r="N24" s="49"/>
      <c r="O24" s="50" t="s">
        <v>3276</v>
      </c>
      <c r="P24" s="59"/>
      <c r="Q24" s="59"/>
      <c r="R24" s="13"/>
    </row>
    <row r="25" spans="1:18" ht="30" x14ac:dyDescent="0.25">
      <c r="A25" s="9" t="s">
        <v>21</v>
      </c>
      <c r="B25" s="28">
        <f>IF(ISBLANK(A25),0,INDEX(txtstylestab[],MATCH(A25,txtstylestab[style_Name],0),1))</f>
        <v>0</v>
      </c>
      <c r="C25" s="28">
        <f t="shared" si="1"/>
        <v>2</v>
      </c>
      <c r="D25" s="28">
        <f t="shared" si="2"/>
        <v>1</v>
      </c>
      <c r="E25" s="28">
        <f t="shared" si="3"/>
        <v>0</v>
      </c>
      <c r="F25" s="59" t="str">
        <f t="shared" si="4"/>
        <v/>
      </c>
      <c r="G25" s="42" t="s">
        <v>877</v>
      </c>
      <c r="H25" s="43" t="s">
        <v>26</v>
      </c>
      <c r="I25" s="44" t="s">
        <v>48</v>
      </c>
      <c r="J25" s="45" t="s">
        <v>54</v>
      </c>
      <c r="K25" s="46" t="s">
        <v>878</v>
      </c>
      <c r="L25" s="47" t="s">
        <v>2818</v>
      </c>
      <c r="M25" s="48" t="s">
        <v>2819</v>
      </c>
      <c r="N25" s="49"/>
      <c r="O25" s="50" t="s">
        <v>3173</v>
      </c>
      <c r="P25" s="59"/>
      <c r="Q25" s="59"/>
      <c r="R25" s="13"/>
    </row>
    <row r="26" spans="1:18" ht="18" thickBot="1" x14ac:dyDescent="0.35">
      <c r="A26" s="9" t="s">
        <v>11</v>
      </c>
      <c r="B26" s="28">
        <f>IF(ISBLANK(A26),0,INDEX(txtstylestab[],MATCH(A26,txtstylestab[style_Name],0),1))</f>
        <v>2</v>
      </c>
      <c r="C26" s="28">
        <f t="shared" si="1"/>
        <v>2</v>
      </c>
      <c r="D26" s="28">
        <f t="shared" si="2"/>
        <v>2</v>
      </c>
      <c r="E26" s="28">
        <f t="shared" si="3"/>
        <v>0</v>
      </c>
      <c r="F26" s="51" t="str">
        <f t="shared" si="4"/>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1"/>
        <v>2</v>
      </c>
      <c r="D27" s="28">
        <f t="shared" si="2"/>
        <v>2</v>
      </c>
      <c r="E27" s="28">
        <f t="shared" si="3"/>
        <v>0</v>
      </c>
      <c r="F27" s="59" t="str">
        <f t="shared" si="4"/>
        <v/>
      </c>
      <c r="G27" s="42" t="s">
        <v>82</v>
      </c>
      <c r="H27" s="43" t="s">
        <v>83</v>
      </c>
      <c r="I27" s="44" t="s">
        <v>84</v>
      </c>
      <c r="J27" s="45" t="s">
        <v>85</v>
      </c>
      <c r="K27" s="46" t="s">
        <v>86</v>
      </c>
      <c r="L27" s="47" t="s">
        <v>2398</v>
      </c>
      <c r="M27" s="48" t="s">
        <v>2333</v>
      </c>
      <c r="N27" s="49"/>
      <c r="O27" s="50" t="s">
        <v>3166</v>
      </c>
      <c r="P27" s="50"/>
      <c r="Q27" s="59"/>
      <c r="R27" s="13"/>
    </row>
    <row r="28" spans="1:18" ht="61.5" customHeight="1" x14ac:dyDescent="0.25">
      <c r="A28" s="9" t="s">
        <v>21</v>
      </c>
      <c r="B28" s="28">
        <f>IF(ISBLANK(A28),0,INDEX(txtstylestab[],MATCH(A28,txtstylestab[style_Name],0),1))</f>
        <v>0</v>
      </c>
      <c r="C28" s="28">
        <f t="shared" si="1"/>
        <v>2</v>
      </c>
      <c r="D28" s="28">
        <f t="shared" si="2"/>
        <v>2</v>
      </c>
      <c r="E28" s="28">
        <f t="shared" si="3"/>
        <v>0</v>
      </c>
      <c r="F28" s="59" t="str">
        <f t="shared" si="4"/>
        <v/>
      </c>
      <c r="G28" s="42" t="s">
        <v>2033</v>
      </c>
      <c r="H28" s="43" t="s">
        <v>2034</v>
      </c>
      <c r="I28" s="44" t="s">
        <v>2035</v>
      </c>
      <c r="J28" s="45" t="s">
        <v>2129</v>
      </c>
      <c r="K28" s="46" t="s">
        <v>2037</v>
      </c>
      <c r="L28" s="47" t="s">
        <v>2862</v>
      </c>
      <c r="M28" s="48" t="s">
        <v>2820</v>
      </c>
      <c r="N28" s="49"/>
      <c r="O28" s="50" t="s">
        <v>3257</v>
      </c>
      <c r="P28" s="59"/>
      <c r="Q28" s="59"/>
      <c r="R28" s="13"/>
    </row>
    <row r="29" spans="1:18" ht="45" x14ac:dyDescent="0.25">
      <c r="A29" s="9" t="s">
        <v>14</v>
      </c>
      <c r="B29" s="28">
        <f>IF(ISBLANK(A29),0,INDEX(txtstylestab[],MATCH(A29,txtstylestab[style_Name],0),1))</f>
        <v>6</v>
      </c>
      <c r="C29" s="28">
        <f t="shared" si="1"/>
        <v>2</v>
      </c>
      <c r="D29" s="28">
        <f t="shared" si="2"/>
        <v>2</v>
      </c>
      <c r="E29" s="28">
        <f t="shared" si="3"/>
        <v>0</v>
      </c>
      <c r="F29" s="59" t="str">
        <f t="shared" si="4"/>
        <v/>
      </c>
      <c r="G29" s="42" t="s">
        <v>2038</v>
      </c>
      <c r="H29" s="43" t="s">
        <v>2040</v>
      </c>
      <c r="I29" s="44" t="s">
        <v>2042</v>
      </c>
      <c r="J29" s="45" t="s">
        <v>2044</v>
      </c>
      <c r="K29" s="46" t="s">
        <v>2046</v>
      </c>
      <c r="L29" s="47" t="s">
        <v>2861</v>
      </c>
      <c r="M29" s="48" t="s">
        <v>2860</v>
      </c>
      <c r="N29" s="49"/>
      <c r="O29" s="50" t="s">
        <v>3256</v>
      </c>
      <c r="P29" s="59"/>
      <c r="Q29" s="59"/>
      <c r="R29" s="13"/>
    </row>
    <row r="30" spans="1:18" ht="30" x14ac:dyDescent="0.25">
      <c r="A30" s="9" t="s">
        <v>14</v>
      </c>
      <c r="B30" s="28">
        <f>IF(ISBLANK(A30),0,INDEX(txtstylestab[],MATCH(A30,txtstylestab[style_Name],0),1))</f>
        <v>6</v>
      </c>
      <c r="C30" s="28">
        <f t="shared" si="1"/>
        <v>2</v>
      </c>
      <c r="D30" s="28">
        <f t="shared" si="2"/>
        <v>2</v>
      </c>
      <c r="E30" s="28">
        <f t="shared" si="3"/>
        <v>0</v>
      </c>
      <c r="F30" s="59" t="str">
        <f t="shared" si="4"/>
        <v/>
      </c>
      <c r="G30" s="42" t="s">
        <v>897</v>
      </c>
      <c r="H30" s="43" t="s">
        <v>898</v>
      </c>
      <c r="I30" s="44" t="s">
        <v>899</v>
      </c>
      <c r="J30" s="45" t="s">
        <v>900</v>
      </c>
      <c r="K30" s="46" t="s">
        <v>901</v>
      </c>
      <c r="L30" s="47" t="s">
        <v>2811</v>
      </c>
      <c r="M30" s="48" t="s">
        <v>2812</v>
      </c>
      <c r="N30" s="49"/>
      <c r="O30" s="50" t="s">
        <v>3178</v>
      </c>
      <c r="P30" s="59"/>
      <c r="Q30" s="59"/>
      <c r="R30" s="13"/>
    </row>
    <row r="31" spans="1:18" ht="30" x14ac:dyDescent="0.25">
      <c r="A31" s="9" t="s">
        <v>21</v>
      </c>
      <c r="B31" s="28">
        <f>IF(ISBLANK(A31),0,INDEX(txtstylestab[],MATCH(A31,txtstylestab[style_Name],0),1))</f>
        <v>0</v>
      </c>
      <c r="C31" s="28">
        <f t="shared" si="1"/>
        <v>2</v>
      </c>
      <c r="D31" s="28">
        <f t="shared" si="2"/>
        <v>2</v>
      </c>
      <c r="E31" s="28">
        <f t="shared" si="3"/>
        <v>0</v>
      </c>
      <c r="F31" s="59" t="str">
        <f t="shared" si="4"/>
        <v/>
      </c>
      <c r="G31" s="42" t="s">
        <v>886</v>
      </c>
      <c r="H31" s="43" t="s">
        <v>887</v>
      </c>
      <c r="I31" s="44" t="s">
        <v>888</v>
      </c>
      <c r="J31" s="45" t="s">
        <v>889</v>
      </c>
      <c r="K31" s="46" t="s">
        <v>890</v>
      </c>
      <c r="L31" s="47" t="s">
        <v>2813</v>
      </c>
      <c r="M31" s="48" t="s">
        <v>2814</v>
      </c>
      <c r="N31" s="49"/>
      <c r="O31" s="50" t="s">
        <v>3258</v>
      </c>
      <c r="P31" s="59"/>
      <c r="Q31" s="59"/>
      <c r="R31" s="13"/>
    </row>
    <row r="32" spans="1:18" ht="45" x14ac:dyDescent="0.25">
      <c r="A32" s="9" t="s">
        <v>21</v>
      </c>
      <c r="B32" s="28">
        <f>IF(ISBLANK(A32),0,INDEX(txtstylestab[],MATCH(A32,txtstylestab[style_Name],0),1))</f>
        <v>0</v>
      </c>
      <c r="C32" s="28">
        <f t="shared" si="1"/>
        <v>2</v>
      </c>
      <c r="D32" s="28">
        <f t="shared" si="2"/>
        <v>2</v>
      </c>
      <c r="E32" s="28">
        <f t="shared" si="3"/>
        <v>0</v>
      </c>
      <c r="F32" s="59" t="str">
        <f t="shared" si="4"/>
        <v/>
      </c>
      <c r="G32" s="42" t="s">
        <v>891</v>
      </c>
      <c r="H32" s="43" t="s">
        <v>892</v>
      </c>
      <c r="I32" s="44" t="s">
        <v>417</v>
      </c>
      <c r="J32" s="45" t="s">
        <v>395</v>
      </c>
      <c r="K32" s="46" t="s">
        <v>1730</v>
      </c>
      <c r="L32" s="47" t="s">
        <v>2815</v>
      </c>
      <c r="M32" s="48" t="s">
        <v>2803</v>
      </c>
      <c r="N32" s="49"/>
      <c r="O32" s="50" t="s">
        <v>3259</v>
      </c>
      <c r="P32" s="59"/>
      <c r="Q32" s="59"/>
      <c r="R32" s="13"/>
    </row>
    <row r="33" spans="1:18" ht="45" x14ac:dyDescent="0.25">
      <c r="A33" s="9" t="s">
        <v>21</v>
      </c>
      <c r="B33" s="28">
        <f>IF(ISBLANK(A33),0,INDEX(txtstylestab[],MATCH(A33,txtstylestab[style_Name],0),1))</f>
        <v>0</v>
      </c>
      <c r="C33" s="28">
        <f t="shared" si="1"/>
        <v>2</v>
      </c>
      <c r="D33" s="28">
        <f t="shared" si="2"/>
        <v>2</v>
      </c>
      <c r="E33" s="28">
        <f t="shared" si="3"/>
        <v>0</v>
      </c>
      <c r="F33" s="59" t="str">
        <f t="shared" si="4"/>
        <v/>
      </c>
      <c r="G33" s="42" t="s">
        <v>893</v>
      </c>
      <c r="H33" s="43" t="s">
        <v>894</v>
      </c>
      <c r="I33" s="44" t="s">
        <v>1710</v>
      </c>
      <c r="J33" s="45" t="s">
        <v>895</v>
      </c>
      <c r="K33" s="46" t="s">
        <v>896</v>
      </c>
      <c r="L33" s="47" t="s">
        <v>2816</v>
      </c>
      <c r="M33" s="48" t="s">
        <v>2817</v>
      </c>
      <c r="N33" s="49"/>
      <c r="O33" s="50" t="s">
        <v>3260</v>
      </c>
      <c r="P33" s="59"/>
      <c r="Q33" s="59"/>
      <c r="R33" s="13"/>
    </row>
    <row r="34" spans="1:18" ht="45" x14ac:dyDescent="0.25">
      <c r="A34" s="9" t="s">
        <v>21</v>
      </c>
      <c r="B34" s="28">
        <f>IF(ISBLANK(A34),0,INDEX(txtstylestab[],MATCH(A34,txtstylestab[style_Name],0),1))</f>
        <v>0</v>
      </c>
      <c r="C34" s="28">
        <f t="shared" si="1"/>
        <v>2</v>
      </c>
      <c r="D34" s="28">
        <f t="shared" si="2"/>
        <v>2</v>
      </c>
      <c r="E34" s="28">
        <f t="shared" si="3"/>
        <v>0</v>
      </c>
      <c r="F34" s="59" t="str">
        <f t="shared" si="4"/>
        <v/>
      </c>
      <c r="G34" s="42" t="s">
        <v>536</v>
      </c>
      <c r="H34" s="43" t="s">
        <v>537</v>
      </c>
      <c r="I34" s="44" t="s">
        <v>503</v>
      </c>
      <c r="J34" s="45" t="s">
        <v>504</v>
      </c>
      <c r="K34" s="46" t="s">
        <v>538</v>
      </c>
      <c r="L34" s="47" t="s">
        <v>2808</v>
      </c>
      <c r="M34" s="48" t="s">
        <v>2809</v>
      </c>
      <c r="N34" s="49"/>
      <c r="O34" s="50" t="s">
        <v>3244</v>
      </c>
      <c r="P34" s="59"/>
      <c r="Q34" s="59"/>
      <c r="R34" s="13"/>
    </row>
    <row r="35" spans="1:18" ht="30" x14ac:dyDescent="0.25">
      <c r="A35" s="9" t="s">
        <v>21</v>
      </c>
      <c r="B35" s="28">
        <f>IF(ISBLANK(A35),0,INDEX(txtstylestab[],MATCH(A35,txtstylestab[style_Name],0),1))</f>
        <v>0</v>
      </c>
      <c r="C35" s="28">
        <f t="shared" si="1"/>
        <v>2</v>
      </c>
      <c r="D35" s="28">
        <f t="shared" si="2"/>
        <v>2</v>
      </c>
      <c r="E35" s="28">
        <f t="shared" si="3"/>
        <v>0</v>
      </c>
      <c r="F35" s="59" t="str">
        <f t="shared" si="4"/>
        <v/>
      </c>
      <c r="G35" s="42" t="s">
        <v>562</v>
      </c>
      <c r="H35" s="43" t="s">
        <v>26</v>
      </c>
      <c r="I35" s="44" t="s">
        <v>48</v>
      </c>
      <c r="J35" s="45" t="s">
        <v>54</v>
      </c>
      <c r="K35" s="46" t="s">
        <v>59</v>
      </c>
      <c r="L35" s="47" t="s">
        <v>2818</v>
      </c>
      <c r="M35" s="48" t="s">
        <v>2819</v>
      </c>
      <c r="N35" s="49"/>
      <c r="O35" s="50" t="s">
        <v>3173</v>
      </c>
      <c r="P35" s="59"/>
      <c r="Q35" s="59"/>
      <c r="R35" s="13"/>
    </row>
    <row r="36" spans="1:18" ht="18" thickBot="1" x14ac:dyDescent="0.35">
      <c r="A36" s="9" t="s">
        <v>11</v>
      </c>
      <c r="B36" s="28">
        <f>IF(ISBLANK(A36),0,INDEX(txtstylestab[],MATCH(A36,txtstylestab[style_Name],0),1))</f>
        <v>2</v>
      </c>
      <c r="C36" s="28">
        <f t="shared" si="1"/>
        <v>2</v>
      </c>
      <c r="D36" s="28">
        <f t="shared" si="2"/>
        <v>3</v>
      </c>
      <c r="E36" s="28">
        <f t="shared" si="3"/>
        <v>0</v>
      </c>
      <c r="F36" s="54" t="str">
        <f t="shared" si="4"/>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1"/>
        <v>2</v>
      </c>
      <c r="D37" s="28">
        <f t="shared" si="2"/>
        <v>3</v>
      </c>
      <c r="E37" s="28">
        <f t="shared" si="3"/>
        <v>0</v>
      </c>
      <c r="F37" s="59" t="str">
        <f t="shared" si="4"/>
        <v/>
      </c>
      <c r="G37" s="42" t="s">
        <v>82</v>
      </c>
      <c r="H37" s="43" t="s">
        <v>83</v>
      </c>
      <c r="I37" s="44" t="s">
        <v>84</v>
      </c>
      <c r="J37" s="45" t="s">
        <v>85</v>
      </c>
      <c r="K37" s="46" t="s">
        <v>86</v>
      </c>
      <c r="L37" s="47" t="s">
        <v>2398</v>
      </c>
      <c r="M37" s="48" t="s">
        <v>2333</v>
      </c>
      <c r="N37" s="49"/>
      <c r="O37" s="50" t="s">
        <v>3166</v>
      </c>
      <c r="P37" s="50"/>
      <c r="Q37" s="59"/>
      <c r="R37" s="13"/>
    </row>
    <row r="38" spans="1:18" ht="30" x14ac:dyDescent="0.25">
      <c r="A38" s="9" t="s">
        <v>21</v>
      </c>
      <c r="B38" s="28">
        <f>IF(ISBLANK(A38),0,INDEX(txtstylestab[],MATCH(A38,txtstylestab[style_Name],0),1))</f>
        <v>0</v>
      </c>
      <c r="C38" s="28">
        <f t="shared" si="1"/>
        <v>2</v>
      </c>
      <c r="D38" s="28">
        <f t="shared" si="2"/>
        <v>3</v>
      </c>
      <c r="E38" s="28">
        <f t="shared" si="3"/>
        <v>0</v>
      </c>
      <c r="F38" s="59" t="str">
        <f t="shared" si="4"/>
        <v/>
      </c>
      <c r="G38" s="42" t="s">
        <v>903</v>
      </c>
      <c r="H38" s="43" t="s">
        <v>904</v>
      </c>
      <c r="I38" s="44" t="s">
        <v>905</v>
      </c>
      <c r="J38" s="45" t="s">
        <v>906</v>
      </c>
      <c r="K38" s="46" t="s">
        <v>907</v>
      </c>
      <c r="L38" s="47" t="s">
        <v>2821</v>
      </c>
      <c r="M38" s="48" t="s">
        <v>2822</v>
      </c>
      <c r="N38" s="49"/>
      <c r="O38" s="50" t="s">
        <v>3252</v>
      </c>
      <c r="P38" s="59"/>
      <c r="Q38" s="59"/>
      <c r="R38" s="13"/>
    </row>
    <row r="39" spans="1:18" ht="45" x14ac:dyDescent="0.25">
      <c r="A39" s="9" t="s">
        <v>21</v>
      </c>
      <c r="B39" s="28">
        <f>IF(ISBLANK(A39),0,INDEX(txtstylestab[],MATCH(A39,txtstylestab[style_Name],0),1))</f>
        <v>0</v>
      </c>
      <c r="C39" s="28">
        <f t="shared" si="1"/>
        <v>2</v>
      </c>
      <c r="D39" s="28">
        <f t="shared" si="2"/>
        <v>3</v>
      </c>
      <c r="E39" s="28">
        <f t="shared" si="3"/>
        <v>0</v>
      </c>
      <c r="F39" s="59" t="str">
        <f t="shared" si="4"/>
        <v/>
      </c>
      <c r="G39" s="42" t="s">
        <v>908</v>
      </c>
      <c r="H39" s="43" t="s">
        <v>909</v>
      </c>
      <c r="I39" s="44" t="s">
        <v>1642</v>
      </c>
      <c r="J39" s="45" t="s">
        <v>910</v>
      </c>
      <c r="K39" s="46" t="s">
        <v>911</v>
      </c>
      <c r="L39" s="47" t="s">
        <v>2823</v>
      </c>
      <c r="M39" s="48" t="s">
        <v>2824</v>
      </c>
      <c r="N39" s="49"/>
      <c r="O39" s="50" t="s">
        <v>3253</v>
      </c>
      <c r="P39" s="59"/>
      <c r="Q39" s="59"/>
      <c r="R39" s="13"/>
    </row>
    <row r="40" spans="1:18" ht="60" x14ac:dyDescent="0.25">
      <c r="A40" s="9" t="s">
        <v>21</v>
      </c>
      <c r="B40" s="28">
        <f>IF(ISBLANK(A40),0,INDEX(txtstylestab[],MATCH(A40,txtstylestab[style_Name],0),1))</f>
        <v>0</v>
      </c>
      <c r="C40" s="28">
        <f t="shared" si="1"/>
        <v>2</v>
      </c>
      <c r="D40" s="28">
        <f t="shared" si="2"/>
        <v>3</v>
      </c>
      <c r="E40" s="28">
        <f t="shared" si="3"/>
        <v>0</v>
      </c>
      <c r="F40" s="59" t="str">
        <f t="shared" si="4"/>
        <v/>
      </c>
      <c r="G40" s="42" t="s">
        <v>912</v>
      </c>
      <c r="H40" s="43" t="s">
        <v>913</v>
      </c>
      <c r="I40" s="44" t="s">
        <v>1643</v>
      </c>
      <c r="J40" s="45" t="s">
        <v>914</v>
      </c>
      <c r="K40" s="46" t="s">
        <v>915</v>
      </c>
      <c r="L40" s="47" t="s">
        <v>2825</v>
      </c>
      <c r="M40" s="48" t="s">
        <v>2826</v>
      </c>
      <c r="N40" s="49"/>
      <c r="O40" s="50" t="s">
        <v>3254</v>
      </c>
      <c r="P40" s="59"/>
      <c r="Q40" s="59"/>
      <c r="R40" s="13"/>
    </row>
    <row r="41" spans="1:18" ht="30" x14ac:dyDescent="0.25">
      <c r="A41" s="9" t="s">
        <v>21</v>
      </c>
      <c r="B41" s="28">
        <f>IF(ISBLANK(A41),0,INDEX(txtstylestab[],MATCH(A41,txtstylestab[style_Name],0),1))</f>
        <v>0</v>
      </c>
      <c r="C41" s="28">
        <f t="shared" si="1"/>
        <v>2</v>
      </c>
      <c r="D41" s="28">
        <f t="shared" si="2"/>
        <v>3</v>
      </c>
      <c r="E41" s="28">
        <f t="shared" si="3"/>
        <v>0</v>
      </c>
      <c r="F41" s="59" t="str">
        <f t="shared" si="4"/>
        <v/>
      </c>
      <c r="G41" s="42" t="s">
        <v>916</v>
      </c>
      <c r="H41" s="43" t="s">
        <v>917</v>
      </c>
      <c r="I41" s="44" t="s">
        <v>918</v>
      </c>
      <c r="J41" s="45" t="s">
        <v>919</v>
      </c>
      <c r="K41" s="46" t="s">
        <v>920</v>
      </c>
      <c r="L41" s="47" t="s">
        <v>2827</v>
      </c>
      <c r="M41" s="48" t="s">
        <v>2828</v>
      </c>
      <c r="N41" s="49"/>
      <c r="O41" s="50" t="s">
        <v>3255</v>
      </c>
      <c r="P41" s="59"/>
      <c r="Q41" s="59"/>
      <c r="R41" s="13"/>
    </row>
    <row r="42" spans="1:18" x14ac:dyDescent="0.25">
      <c r="A42" s="9" t="s">
        <v>21</v>
      </c>
      <c r="B42" s="28">
        <f>IF(ISBLANK(A42),0,INDEX(txtstylestab[],MATCH(A42,txtstylestab[style_Name],0),1))</f>
        <v>0</v>
      </c>
      <c r="C42" s="28">
        <f t="shared" si="1"/>
        <v>2</v>
      </c>
      <c r="D42" s="28">
        <f t="shared" si="2"/>
        <v>3</v>
      </c>
      <c r="E42" s="28">
        <f t="shared" si="3"/>
        <v>0</v>
      </c>
      <c r="F42" s="59" t="str">
        <f t="shared" si="4"/>
        <v/>
      </c>
      <c r="G42" s="42" t="s">
        <v>6</v>
      </c>
      <c r="H42" s="43" t="s">
        <v>26</v>
      </c>
      <c r="I42" s="44" t="s">
        <v>48</v>
      </c>
      <c r="J42" s="45" t="s">
        <v>54</v>
      </c>
      <c r="K42" s="46" t="s">
        <v>59</v>
      </c>
      <c r="L42" s="47" t="s">
        <v>2525</v>
      </c>
      <c r="M42" s="48" t="s">
        <v>2526</v>
      </c>
      <c r="N42" s="49"/>
      <c r="O42" s="50" t="s">
        <v>3173</v>
      </c>
      <c r="P42" s="50"/>
      <c r="Q42" s="59"/>
      <c r="R42" s="13"/>
    </row>
    <row r="43" spans="1:18" ht="15.75" thickBot="1" x14ac:dyDescent="0.3">
      <c r="A43" s="9" t="s">
        <v>12</v>
      </c>
      <c r="B43" s="28">
        <f>IF(ISBLANK(A43),0,INDEX(txtstylestab[],MATCH(A43,txtstylestab[style_Name],0),1))</f>
        <v>3</v>
      </c>
      <c r="C43" s="28">
        <f t="shared" si="1"/>
        <v>2</v>
      </c>
      <c r="D43" s="28">
        <f t="shared" si="2"/>
        <v>3</v>
      </c>
      <c r="E43" s="28">
        <f t="shared" si="3"/>
        <v>1</v>
      </c>
      <c r="F43" s="55" t="str">
        <f t="shared" si="4"/>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1"/>
        <v>2</v>
      </c>
      <c r="D44" s="28">
        <f t="shared" si="2"/>
        <v>3</v>
      </c>
      <c r="E44" s="28">
        <f t="shared" si="3"/>
        <v>1</v>
      </c>
      <c r="F44" s="59" t="str">
        <f t="shared" si="4"/>
        <v/>
      </c>
      <c r="G44" s="42" t="s">
        <v>82</v>
      </c>
      <c r="H44" s="43" t="s">
        <v>83</v>
      </c>
      <c r="I44" s="44" t="s">
        <v>84</v>
      </c>
      <c r="J44" s="45" t="s">
        <v>85</v>
      </c>
      <c r="K44" s="46" t="s">
        <v>86</v>
      </c>
      <c r="L44" s="47"/>
      <c r="M44" s="47"/>
      <c r="N44" s="48"/>
      <c r="O44" s="50" t="s">
        <v>3166</v>
      </c>
      <c r="P44" s="49"/>
      <c r="Q44" s="50"/>
      <c r="R44" s="13"/>
    </row>
    <row r="45" spans="1:18" x14ac:dyDescent="0.25">
      <c r="A45" s="9" t="s">
        <v>21</v>
      </c>
      <c r="B45" s="28">
        <f>IF(ISBLANK(A45),0,INDEX(txtstylestab[],MATCH(A45,txtstylestab[style_Name],0),1))</f>
        <v>0</v>
      </c>
      <c r="C45" s="28">
        <f t="shared" si="1"/>
        <v>2</v>
      </c>
      <c r="D45" s="28">
        <f t="shared" si="2"/>
        <v>3</v>
      </c>
      <c r="E45" s="28">
        <f t="shared" si="3"/>
        <v>1</v>
      </c>
      <c r="F45" s="59" t="str">
        <f t="shared" si="4"/>
        <v/>
      </c>
      <c r="G45" s="42" t="s">
        <v>922</v>
      </c>
      <c r="H45" s="43" t="s">
        <v>923</v>
      </c>
      <c r="I45" s="44" t="s">
        <v>924</v>
      </c>
      <c r="J45" s="45" t="s">
        <v>925</v>
      </c>
      <c r="K45" s="46" t="s">
        <v>926</v>
      </c>
      <c r="L45" s="47"/>
      <c r="M45" s="48"/>
      <c r="N45" s="49"/>
      <c r="O45" s="50" t="s">
        <v>3250</v>
      </c>
      <c r="P45" s="59"/>
      <c r="Q45" s="59"/>
      <c r="R45" s="13"/>
    </row>
    <row r="46" spans="1:18" ht="30" x14ac:dyDescent="0.25">
      <c r="A46" s="9" t="s">
        <v>21</v>
      </c>
      <c r="B46" s="28">
        <f>IF(ISBLANK(A46),0,INDEX(txtstylestab[],MATCH(A46,txtstylestab[style_Name],0),1))</f>
        <v>0</v>
      </c>
      <c r="C46" s="28">
        <f t="shared" si="1"/>
        <v>2</v>
      </c>
      <c r="D46" s="28">
        <f t="shared" si="2"/>
        <v>3</v>
      </c>
      <c r="E46" s="28">
        <f t="shared" si="3"/>
        <v>1</v>
      </c>
      <c r="F46" s="59" t="str">
        <f t="shared" si="4"/>
        <v/>
      </c>
      <c r="G46" s="42" t="s">
        <v>929</v>
      </c>
      <c r="H46" s="43" t="s">
        <v>930</v>
      </c>
      <c r="I46" s="44" t="s">
        <v>927</v>
      </c>
      <c r="J46" s="45" t="s">
        <v>931</v>
      </c>
      <c r="K46" s="46" t="s">
        <v>928</v>
      </c>
      <c r="L46" s="47"/>
      <c r="M46" s="48"/>
      <c r="N46" s="49"/>
      <c r="O46" s="50" t="s">
        <v>3251</v>
      </c>
      <c r="P46" s="59"/>
      <c r="Q46" s="59"/>
      <c r="R46" s="13"/>
    </row>
    <row r="47" spans="1:18" x14ac:dyDescent="0.25">
      <c r="A47" s="9" t="s">
        <v>21</v>
      </c>
      <c r="B47" s="28">
        <f>IF(ISBLANK(A47),0,INDEX(txtstylestab[],MATCH(A47,txtstylestab[style_Name],0),1))</f>
        <v>0</v>
      </c>
      <c r="C47" s="28">
        <f t="shared" si="1"/>
        <v>2</v>
      </c>
      <c r="D47" s="28">
        <f t="shared" si="2"/>
        <v>3</v>
      </c>
      <c r="E47" s="28">
        <f t="shared" si="3"/>
        <v>1</v>
      </c>
      <c r="F47" s="59" t="str">
        <f t="shared" si="4"/>
        <v/>
      </c>
      <c r="G47" s="42" t="s">
        <v>6</v>
      </c>
      <c r="H47" s="43" t="s">
        <v>26</v>
      </c>
      <c r="I47" s="44" t="s">
        <v>48</v>
      </c>
      <c r="J47" s="45" t="s">
        <v>384</v>
      </c>
      <c r="K47" s="46" t="s">
        <v>59</v>
      </c>
      <c r="L47" s="47"/>
      <c r="M47" s="47"/>
      <c r="N47" s="48"/>
      <c r="O47" s="50" t="s">
        <v>3173</v>
      </c>
      <c r="P47" s="49"/>
      <c r="Q47" s="50"/>
      <c r="R47" s="13"/>
    </row>
    <row r="48" spans="1:18" ht="18" thickBot="1" x14ac:dyDescent="0.35">
      <c r="A48" s="9" t="s">
        <v>11</v>
      </c>
      <c r="B48" s="28">
        <f>IF(ISBLANK(A48),0,INDEX(txtstylestab[],MATCH(A48,txtstylestab[style_Name],0),1))</f>
        <v>2</v>
      </c>
      <c r="C48" s="28">
        <f t="shared" si="1"/>
        <v>2</v>
      </c>
      <c r="D48" s="28">
        <f t="shared" si="2"/>
        <v>4</v>
      </c>
      <c r="E48" s="28">
        <f t="shared" si="3"/>
        <v>0</v>
      </c>
      <c r="F48" s="54" t="str">
        <f t="shared" si="4"/>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1"/>
        <v>2</v>
      </c>
      <c r="D49" s="28">
        <f t="shared" si="2"/>
        <v>4</v>
      </c>
      <c r="E49" s="28">
        <f t="shared" si="3"/>
        <v>0</v>
      </c>
      <c r="F49" s="59" t="str">
        <f t="shared" si="4"/>
        <v/>
      </c>
      <c r="G49" s="42" t="s">
        <v>82</v>
      </c>
      <c r="H49" s="43" t="s">
        <v>83</v>
      </c>
      <c r="I49" s="44" t="s">
        <v>84</v>
      </c>
      <c r="J49" s="45" t="s">
        <v>85</v>
      </c>
      <c r="K49" s="46" t="s">
        <v>86</v>
      </c>
      <c r="L49" s="47" t="s">
        <v>2398</v>
      </c>
      <c r="M49" s="48" t="s">
        <v>2333</v>
      </c>
      <c r="N49" s="49"/>
      <c r="O49" s="50" t="s">
        <v>3166</v>
      </c>
      <c r="P49" s="50"/>
      <c r="Q49" s="59"/>
      <c r="R49" s="13"/>
    </row>
    <row r="50" spans="1:18" ht="75" x14ac:dyDescent="0.25">
      <c r="A50" s="9" t="s">
        <v>21</v>
      </c>
      <c r="B50" s="28">
        <f>IF(ISBLANK(A50),0,INDEX(txtstylestab[],MATCH(A50,txtstylestab[style_Name],0),1))</f>
        <v>0</v>
      </c>
      <c r="C50" s="28">
        <f t="shared" si="1"/>
        <v>2</v>
      </c>
      <c r="D50" s="28">
        <f t="shared" si="2"/>
        <v>4</v>
      </c>
      <c r="E50" s="28">
        <f t="shared" si="3"/>
        <v>0</v>
      </c>
      <c r="F50" s="59" t="str">
        <f t="shared" si="4"/>
        <v/>
      </c>
      <c r="G50" s="42" t="s">
        <v>1983</v>
      </c>
      <c r="H50" s="43" t="s">
        <v>1984</v>
      </c>
      <c r="I50" s="44" t="s">
        <v>1985</v>
      </c>
      <c r="J50" s="45" t="s">
        <v>1986</v>
      </c>
      <c r="K50" s="46" t="s">
        <v>1987</v>
      </c>
      <c r="L50" s="47" t="s">
        <v>2829</v>
      </c>
      <c r="M50" s="48" t="s">
        <v>2859</v>
      </c>
      <c r="N50" s="49"/>
      <c r="O50" s="50" t="s">
        <v>3248</v>
      </c>
      <c r="P50" s="59"/>
      <c r="Q50" s="59"/>
      <c r="R50" s="13"/>
    </row>
    <row r="51" spans="1:18" ht="90" x14ac:dyDescent="0.25">
      <c r="A51" s="9" t="s">
        <v>14</v>
      </c>
      <c r="B51" s="28">
        <f>IF(ISBLANK(A51),0,INDEX(txtstylestab[],MATCH(A51,txtstylestab[style_Name],0),1))</f>
        <v>6</v>
      </c>
      <c r="C51" s="28">
        <f t="shared" si="1"/>
        <v>2</v>
      </c>
      <c r="D51" s="28">
        <f t="shared" si="2"/>
        <v>4</v>
      </c>
      <c r="E51" s="28">
        <f t="shared" si="3"/>
        <v>0</v>
      </c>
      <c r="F51" s="59" t="str">
        <f t="shared" si="4"/>
        <v/>
      </c>
      <c r="G51" s="42" t="s">
        <v>1988</v>
      </c>
      <c r="H51" s="43" t="s">
        <v>1989</v>
      </c>
      <c r="I51" s="44" t="s">
        <v>1990</v>
      </c>
      <c r="J51" s="45" t="s">
        <v>1991</v>
      </c>
      <c r="K51" s="46" t="s">
        <v>1992</v>
      </c>
      <c r="L51" s="47" t="s">
        <v>2830</v>
      </c>
      <c r="M51" s="48" t="s">
        <v>2831</v>
      </c>
      <c r="N51" s="49"/>
      <c r="O51" s="50" t="s">
        <v>3245</v>
      </c>
      <c r="P51" s="59"/>
      <c r="Q51" s="59"/>
      <c r="R51" s="13"/>
    </row>
    <row r="52" spans="1:18" ht="90" x14ac:dyDescent="0.25">
      <c r="A52" s="9" t="s">
        <v>14</v>
      </c>
      <c r="B52" s="28">
        <f>IF(ISBLANK(A52),0,INDEX(txtstylestab[],MATCH(A52,txtstylestab[style_Name],0),1))</f>
        <v>6</v>
      </c>
      <c r="C52" s="28">
        <f t="shared" si="1"/>
        <v>2</v>
      </c>
      <c r="D52" s="28">
        <f t="shared" si="2"/>
        <v>4</v>
      </c>
      <c r="E52" s="28">
        <f t="shared" si="3"/>
        <v>0</v>
      </c>
      <c r="F52" s="59" t="str">
        <f t="shared" si="4"/>
        <v/>
      </c>
      <c r="G52" s="42" t="s">
        <v>1993</v>
      </c>
      <c r="H52" s="43" t="s">
        <v>1994</v>
      </c>
      <c r="I52" s="44" t="s">
        <v>1995</v>
      </c>
      <c r="J52" s="45" t="s">
        <v>1996</v>
      </c>
      <c r="K52" s="46" t="s">
        <v>1997</v>
      </c>
      <c r="L52" s="47" t="s">
        <v>2832</v>
      </c>
      <c r="M52" s="48" t="s">
        <v>2858</v>
      </c>
      <c r="N52" s="49"/>
      <c r="O52" s="50" t="s">
        <v>3246</v>
      </c>
      <c r="P52" s="59"/>
      <c r="Q52" s="59"/>
      <c r="R52" s="13"/>
    </row>
    <row r="53" spans="1:18" ht="45" x14ac:dyDescent="0.25">
      <c r="A53" s="9" t="s">
        <v>21</v>
      </c>
      <c r="B53" s="28">
        <f>IF(ISBLANK(A53),0,INDEX(txtstylestab[],MATCH(A53,txtstylestab[style_Name],0),1))</f>
        <v>0</v>
      </c>
      <c r="C53" s="28">
        <f t="shared" si="1"/>
        <v>2</v>
      </c>
      <c r="D53" s="28">
        <f t="shared" si="2"/>
        <v>4</v>
      </c>
      <c r="E53" s="28">
        <f t="shared" si="3"/>
        <v>0</v>
      </c>
      <c r="F53" s="59" t="str">
        <f t="shared" si="4"/>
        <v/>
      </c>
      <c r="G53" s="42"/>
      <c r="H53" s="43"/>
      <c r="I53" s="44"/>
      <c r="J53" s="45"/>
      <c r="K53" s="46"/>
      <c r="L53" s="47"/>
      <c r="M53" s="48"/>
      <c r="N53" s="49"/>
      <c r="O53" s="50" t="s">
        <v>3247</v>
      </c>
      <c r="P53" s="59"/>
      <c r="Q53" s="59"/>
      <c r="R53" s="13"/>
    </row>
    <row r="54" spans="1:18" ht="45" x14ac:dyDescent="0.25">
      <c r="A54" s="9" t="s">
        <v>21</v>
      </c>
      <c r="B54" s="28">
        <f>IF(ISBLANK(A54),0,INDEX(txtstylestab[],MATCH(A54,txtstylestab[style_Name],0),1))</f>
        <v>0</v>
      </c>
      <c r="C54" s="28">
        <f t="shared" si="1"/>
        <v>2</v>
      </c>
      <c r="D54" s="28">
        <f t="shared" si="2"/>
        <v>4</v>
      </c>
      <c r="E54" s="28">
        <f t="shared" si="3"/>
        <v>0</v>
      </c>
      <c r="F54" s="59" t="str">
        <f t="shared" si="4"/>
        <v/>
      </c>
      <c r="G54" s="42" t="s">
        <v>392</v>
      </c>
      <c r="H54" s="43" t="s">
        <v>892</v>
      </c>
      <c r="I54" s="44" t="s">
        <v>1644</v>
      </c>
      <c r="J54" s="45" t="s">
        <v>395</v>
      </c>
      <c r="K54" s="46" t="s">
        <v>933</v>
      </c>
      <c r="L54" s="47" t="s">
        <v>2523</v>
      </c>
      <c r="M54" s="48" t="s">
        <v>2524</v>
      </c>
      <c r="N54" s="49"/>
      <c r="O54" s="50" t="s">
        <v>3249</v>
      </c>
      <c r="P54" s="59"/>
      <c r="Q54" s="59"/>
      <c r="R54" s="13"/>
    </row>
    <row r="55" spans="1:18" ht="45" x14ac:dyDescent="0.25">
      <c r="A55" s="9" t="s">
        <v>21</v>
      </c>
      <c r="B55" s="28">
        <f>IF(ISBLANK(A55),0,INDEX(txtstylestab[],MATCH(A55,txtstylestab[style_Name],0),1))</f>
        <v>0</v>
      </c>
      <c r="C55" s="28">
        <f t="shared" si="1"/>
        <v>2</v>
      </c>
      <c r="D55" s="28">
        <f t="shared" si="2"/>
        <v>4</v>
      </c>
      <c r="E55" s="28">
        <f t="shared" si="3"/>
        <v>0</v>
      </c>
      <c r="F55" s="59" t="str">
        <f t="shared" si="4"/>
        <v/>
      </c>
      <c r="G55" s="42" t="s">
        <v>536</v>
      </c>
      <c r="H55" s="43" t="s">
        <v>537</v>
      </c>
      <c r="I55" s="44" t="s">
        <v>2210</v>
      </c>
      <c r="J55" s="45" t="s">
        <v>504</v>
      </c>
      <c r="K55" s="46" t="s">
        <v>538</v>
      </c>
      <c r="L55" s="47" t="s">
        <v>2833</v>
      </c>
      <c r="M55" s="48" t="s">
        <v>2803</v>
      </c>
      <c r="N55" s="49"/>
      <c r="O55" s="50" t="s">
        <v>3244</v>
      </c>
      <c r="P55" s="59"/>
      <c r="Q55" s="59"/>
      <c r="R55" s="13"/>
    </row>
    <row r="56" spans="1:18" x14ac:dyDescent="0.25">
      <c r="A56" s="9" t="s">
        <v>21</v>
      </c>
      <c r="B56" s="28">
        <f>IF(ISBLANK(A56),0,INDEX(txtstylestab[],MATCH(A56,txtstylestab[style_Name],0),1))</f>
        <v>0</v>
      </c>
      <c r="C56" s="28">
        <f t="shared" si="1"/>
        <v>2</v>
      </c>
      <c r="D56" s="28">
        <f t="shared" si="2"/>
        <v>4</v>
      </c>
      <c r="E56" s="28">
        <f t="shared" si="3"/>
        <v>0</v>
      </c>
      <c r="F56" s="59" t="str">
        <f t="shared" si="4"/>
        <v/>
      </c>
      <c r="G56" s="42" t="s">
        <v>6</v>
      </c>
      <c r="H56" s="43" t="s">
        <v>26</v>
      </c>
      <c r="I56" s="44" t="s">
        <v>48</v>
      </c>
      <c r="J56" s="45" t="s">
        <v>384</v>
      </c>
      <c r="K56" s="46" t="s">
        <v>59</v>
      </c>
      <c r="L56" s="47" t="s">
        <v>2525</v>
      </c>
      <c r="M56" s="48" t="s">
        <v>2526</v>
      </c>
      <c r="N56" s="49"/>
      <c r="O56" s="50" t="s">
        <v>3173</v>
      </c>
      <c r="P56" s="50"/>
      <c r="Q56" s="59"/>
      <c r="R56" s="13"/>
    </row>
    <row r="57" spans="1:18" ht="18" thickBot="1" x14ac:dyDescent="0.35">
      <c r="A57" s="9" t="s">
        <v>11</v>
      </c>
      <c r="B57" s="28">
        <f>IF(ISBLANK(A57),0,INDEX(txtstylestab[],MATCH(A57,txtstylestab[style_Name],0),1))</f>
        <v>2</v>
      </c>
      <c r="C57" s="28">
        <f t="shared" si="1"/>
        <v>2</v>
      </c>
      <c r="D57" s="28">
        <f t="shared" si="2"/>
        <v>5</v>
      </c>
      <c r="E57" s="28">
        <f t="shared" si="3"/>
        <v>0</v>
      </c>
      <c r="F57" s="54" t="str">
        <f t="shared" si="4"/>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1"/>
        <v>2</v>
      </c>
      <c r="D58" s="28">
        <f t="shared" si="2"/>
        <v>5</v>
      </c>
      <c r="E58" s="28">
        <f t="shared" si="3"/>
        <v>0</v>
      </c>
      <c r="F58" s="59" t="str">
        <f t="shared" si="4"/>
        <v/>
      </c>
      <c r="G58" s="42" t="s">
        <v>82</v>
      </c>
      <c r="H58" s="43" t="s">
        <v>83</v>
      </c>
      <c r="I58" s="44" t="s">
        <v>84</v>
      </c>
      <c r="J58" s="45" t="s">
        <v>85</v>
      </c>
      <c r="K58" s="46" t="s">
        <v>86</v>
      </c>
      <c r="L58" s="47" t="s">
        <v>2398</v>
      </c>
      <c r="M58" s="48" t="s">
        <v>2333</v>
      </c>
      <c r="N58" s="49"/>
      <c r="O58" s="50" t="s">
        <v>3166</v>
      </c>
      <c r="P58" s="50"/>
      <c r="Q58" s="59"/>
      <c r="R58" s="13"/>
    </row>
    <row r="59" spans="1:18" x14ac:dyDescent="0.25">
      <c r="A59" s="9" t="s">
        <v>21</v>
      </c>
      <c r="B59" s="28">
        <f>IF(ISBLANK(A59),0,INDEX(txtstylestab[],MATCH(A59,txtstylestab[style_Name],0),1))</f>
        <v>0</v>
      </c>
      <c r="C59" s="28">
        <f t="shared" si="1"/>
        <v>2</v>
      </c>
      <c r="D59" s="28">
        <f t="shared" si="2"/>
        <v>5</v>
      </c>
      <c r="E59" s="28">
        <f t="shared" si="3"/>
        <v>0</v>
      </c>
      <c r="F59" s="59" t="str">
        <f t="shared" si="4"/>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1"/>
        <v>2</v>
      </c>
      <c r="D60" s="28">
        <f t="shared" si="2"/>
        <v>5</v>
      </c>
      <c r="E60" s="28">
        <f t="shared" si="3"/>
        <v>0</v>
      </c>
      <c r="F60" s="59" t="str">
        <f t="shared" si="4"/>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1"/>
        <v>2</v>
      </c>
      <c r="D61" s="28">
        <f t="shared" si="2"/>
        <v>5</v>
      </c>
      <c r="E61" s="28">
        <f t="shared" si="3"/>
        <v>0</v>
      </c>
      <c r="F61" s="59" t="str">
        <f t="shared" si="4"/>
        <v/>
      </c>
      <c r="G61" s="42" t="s">
        <v>1998</v>
      </c>
      <c r="H61" s="43" t="s">
        <v>1999</v>
      </c>
      <c r="I61" s="44" t="s">
        <v>2212</v>
      </c>
      <c r="J61" s="45" t="s">
        <v>2213</v>
      </c>
      <c r="K61" s="46" t="s">
        <v>2211</v>
      </c>
      <c r="L61" s="47" t="s">
        <v>2834</v>
      </c>
      <c r="M61" s="48" t="s">
        <v>2835</v>
      </c>
      <c r="N61" s="49"/>
      <c r="O61" s="50" t="s">
        <v>3242</v>
      </c>
      <c r="P61" s="59"/>
      <c r="Q61" s="59"/>
      <c r="R61" s="13"/>
    </row>
    <row r="62" spans="1:18" ht="45" x14ac:dyDescent="0.25">
      <c r="A62" s="9" t="s">
        <v>21</v>
      </c>
      <c r="B62" s="28">
        <f>IF(ISBLANK(A62),0,INDEX(txtstylestab[],MATCH(A62,txtstylestab[style_Name],0),1))</f>
        <v>0</v>
      </c>
      <c r="C62" s="28">
        <f t="shared" si="1"/>
        <v>2</v>
      </c>
      <c r="D62" s="28">
        <f t="shared" si="2"/>
        <v>5</v>
      </c>
      <c r="E62" s="28">
        <f t="shared" si="3"/>
        <v>0</v>
      </c>
      <c r="F62" s="59" t="str">
        <f t="shared" si="4"/>
        <v/>
      </c>
      <c r="G62" s="42" t="s">
        <v>416</v>
      </c>
      <c r="H62" s="43" t="s">
        <v>892</v>
      </c>
      <c r="I62" s="44" t="s">
        <v>1644</v>
      </c>
      <c r="J62" s="45" t="s">
        <v>395</v>
      </c>
      <c r="K62" s="46" t="s">
        <v>933</v>
      </c>
      <c r="L62" s="47" t="s">
        <v>2836</v>
      </c>
      <c r="M62" s="48" t="s">
        <v>2803</v>
      </c>
      <c r="N62" s="49"/>
      <c r="O62" s="50" t="s">
        <v>3243</v>
      </c>
      <c r="P62" s="59"/>
      <c r="Q62" s="59"/>
      <c r="R62" s="13"/>
    </row>
    <row r="63" spans="1:18" ht="45" x14ac:dyDescent="0.25">
      <c r="A63" s="9" t="s">
        <v>21</v>
      </c>
      <c r="B63" s="28">
        <f>IF(ISBLANK(A63),0,INDEX(txtstylestab[],MATCH(A63,txtstylestab[style_Name],0),1))</f>
        <v>0</v>
      </c>
      <c r="C63" s="28">
        <f t="shared" si="1"/>
        <v>2</v>
      </c>
      <c r="D63" s="28">
        <f t="shared" si="2"/>
        <v>5</v>
      </c>
      <c r="E63" s="28">
        <f t="shared" si="3"/>
        <v>0</v>
      </c>
      <c r="F63" s="59" t="str">
        <f t="shared" si="4"/>
        <v/>
      </c>
      <c r="G63" s="42" t="s">
        <v>536</v>
      </c>
      <c r="H63" s="43" t="s">
        <v>537</v>
      </c>
      <c r="I63" s="44" t="s">
        <v>2200</v>
      </c>
      <c r="J63" s="45" t="s">
        <v>504</v>
      </c>
      <c r="K63" s="46" t="s">
        <v>538</v>
      </c>
      <c r="L63" s="47" t="s">
        <v>2523</v>
      </c>
      <c r="M63" s="48" t="s">
        <v>2524</v>
      </c>
      <c r="N63" s="49"/>
      <c r="O63" s="50" t="s">
        <v>3244</v>
      </c>
      <c r="P63" s="59"/>
      <c r="Q63" s="59"/>
      <c r="R63" s="13"/>
    </row>
    <row r="64" spans="1:18" x14ac:dyDescent="0.25">
      <c r="A64" s="9" t="s">
        <v>21</v>
      </c>
      <c r="B64" s="28">
        <f>IF(ISBLANK(A64),0,INDEX(txtstylestab[],MATCH(A64,txtstylestab[style_Name],0),1))</f>
        <v>0</v>
      </c>
      <c r="C64" s="28">
        <f t="shared" si="1"/>
        <v>2</v>
      </c>
      <c r="D64" s="28">
        <f t="shared" si="2"/>
        <v>5</v>
      </c>
      <c r="E64" s="28">
        <f t="shared" si="3"/>
        <v>0</v>
      </c>
      <c r="F64" s="59" t="str">
        <f t="shared" si="4"/>
        <v/>
      </c>
      <c r="G64" s="42" t="s">
        <v>935</v>
      </c>
      <c r="H64" s="43" t="s">
        <v>26</v>
      </c>
      <c r="I64" s="44" t="s">
        <v>48</v>
      </c>
      <c r="J64" s="45" t="s">
        <v>54</v>
      </c>
      <c r="K64" s="46" t="s">
        <v>59</v>
      </c>
      <c r="L64" s="47" t="s">
        <v>2525</v>
      </c>
      <c r="M64" s="48" t="s">
        <v>2526</v>
      </c>
      <c r="N64" s="49"/>
      <c r="O64" s="50" t="s">
        <v>3173</v>
      </c>
      <c r="P64" s="59"/>
      <c r="Q64" s="59"/>
      <c r="R64" s="13"/>
    </row>
    <row r="65" spans="1:18" ht="18" thickBot="1" x14ac:dyDescent="0.35">
      <c r="A65" s="9" t="s">
        <v>11</v>
      </c>
      <c r="B65" s="28">
        <f>IF(ISBLANK(A65),0,INDEX(txtstylestab[],MATCH(A65,txtstylestab[style_Name],0),1))</f>
        <v>2</v>
      </c>
      <c r="C65" s="28">
        <f t="shared" si="1"/>
        <v>2</v>
      </c>
      <c r="D65" s="28">
        <f t="shared" si="2"/>
        <v>6</v>
      </c>
      <c r="E65" s="28">
        <f t="shared" si="3"/>
        <v>0</v>
      </c>
      <c r="F65" s="54" t="str">
        <f t="shared" si="4"/>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1"/>
        <v>2</v>
      </c>
      <c r="D66" s="28">
        <f t="shared" si="2"/>
        <v>6</v>
      </c>
      <c r="E66" s="28">
        <f t="shared" si="3"/>
        <v>0</v>
      </c>
      <c r="F66" s="59" t="str">
        <f t="shared" si="4"/>
        <v/>
      </c>
      <c r="G66" s="42" t="s">
        <v>82</v>
      </c>
      <c r="H66" s="43" t="s">
        <v>83</v>
      </c>
      <c r="I66" s="44" t="s">
        <v>84</v>
      </c>
      <c r="J66" s="45" t="s">
        <v>809</v>
      </c>
      <c r="K66" s="46" t="s">
        <v>86</v>
      </c>
      <c r="L66" s="47" t="s">
        <v>2398</v>
      </c>
      <c r="M66" s="48" t="s">
        <v>2333</v>
      </c>
      <c r="N66" s="49"/>
      <c r="O66" s="50" t="s">
        <v>3166</v>
      </c>
      <c r="P66" s="59"/>
      <c r="Q66" s="59"/>
      <c r="R66" s="13"/>
    </row>
    <row r="67" spans="1:18" ht="75" x14ac:dyDescent="0.25">
      <c r="A67" s="9" t="s">
        <v>21</v>
      </c>
      <c r="B67" s="28">
        <f>IF(ISBLANK(A67),0,INDEX(txtstylestab[],MATCH(A67,txtstylestab[style_Name],0),1))</f>
        <v>0</v>
      </c>
      <c r="C67" s="28">
        <f t="shared" si="1"/>
        <v>2</v>
      </c>
      <c r="D67" s="28">
        <f t="shared" si="2"/>
        <v>6</v>
      </c>
      <c r="E67" s="28">
        <f t="shared" si="3"/>
        <v>0</v>
      </c>
      <c r="F67" s="59" t="str">
        <f t="shared" si="4"/>
        <v/>
      </c>
      <c r="G67" s="42" t="s">
        <v>940</v>
      </c>
      <c r="H67" s="43" t="s">
        <v>941</v>
      </c>
      <c r="I67" s="44" t="s">
        <v>942</v>
      </c>
      <c r="J67" s="45" t="s">
        <v>943</v>
      </c>
      <c r="K67" s="46" t="s">
        <v>944</v>
      </c>
      <c r="L67" s="47" t="s">
        <v>2837</v>
      </c>
      <c r="M67" s="48" t="s">
        <v>2838</v>
      </c>
      <c r="N67" s="49"/>
      <c r="O67" s="50" t="s">
        <v>3240</v>
      </c>
      <c r="P67" s="59"/>
      <c r="Q67" s="59"/>
      <c r="R67" s="13"/>
    </row>
    <row r="68" spans="1:18" ht="30" x14ac:dyDescent="0.25">
      <c r="A68" s="9" t="s">
        <v>21</v>
      </c>
      <c r="B68" s="28">
        <f>IF(ISBLANK(A68),0,INDEX(txtstylestab[],MATCH(A68,txtstylestab[style_Name],0),1))</f>
        <v>0</v>
      </c>
      <c r="C68" s="28">
        <f t="shared" ref="C68:C131" si="5">IF(B68=1,C67+1,C67)</f>
        <v>2</v>
      </c>
      <c r="D68" s="28">
        <f t="shared" ref="D68:D131" si="6">IF(B68=1,0,IF(B68=2,D67+1,IF(AND(B68=3,D67=0),1,D67)))</f>
        <v>6</v>
      </c>
      <c r="E68" s="28">
        <f t="shared" ref="E68:E131" si="7">IF(OR(B68=1,B68=2),0,IF(B68=3,E67+1,E67))</f>
        <v>0</v>
      </c>
      <c r="F68" s="59" t="str">
        <f t="shared" ref="F68:F131" si="8">IF(OR(B68=1,B68=2,B68=3),TEXT(C68,"#")&amp;".","")&amp;IF(OR(B68=2,B68=3),TEXT(D68,"#")&amp;".","")&amp;IF(B68=3,TEXT(E68,"#")&amp;".","")</f>
        <v/>
      </c>
      <c r="G68" s="42" t="s">
        <v>816</v>
      </c>
      <c r="H68" s="43" t="s">
        <v>945</v>
      </c>
      <c r="I68" s="44" t="s">
        <v>946</v>
      </c>
      <c r="J68" s="45" t="s">
        <v>947</v>
      </c>
      <c r="K68" s="46" t="s">
        <v>948</v>
      </c>
      <c r="L68" s="47" t="s">
        <v>2753</v>
      </c>
      <c r="M68" s="48" t="s">
        <v>2754</v>
      </c>
      <c r="N68" s="49"/>
      <c r="O68" s="50" t="s">
        <v>3241</v>
      </c>
      <c r="P68" s="59"/>
      <c r="Q68" s="59"/>
      <c r="R68" s="13"/>
    </row>
    <row r="69" spans="1:18" x14ac:dyDescent="0.25">
      <c r="A69" s="9" t="s">
        <v>21</v>
      </c>
      <c r="B69" s="28">
        <f>IF(ISBLANK(A69),0,INDEX(txtstylestab[],MATCH(A69,txtstylestab[style_Name],0),1))</f>
        <v>0</v>
      </c>
      <c r="C69" s="28">
        <f t="shared" si="5"/>
        <v>2</v>
      </c>
      <c r="D69" s="28">
        <f t="shared" si="6"/>
        <v>6</v>
      </c>
      <c r="E69" s="28">
        <f t="shared" si="7"/>
        <v>0</v>
      </c>
      <c r="F69" s="59" t="str">
        <f t="shared" si="8"/>
        <v/>
      </c>
      <c r="G69" s="42" t="s">
        <v>685</v>
      </c>
      <c r="H69" s="43" t="s">
        <v>96</v>
      </c>
      <c r="I69" s="44" t="s">
        <v>48</v>
      </c>
      <c r="J69" s="45" t="s">
        <v>54</v>
      </c>
      <c r="K69" s="46" t="s">
        <v>59</v>
      </c>
      <c r="L69" s="47" t="s">
        <v>2525</v>
      </c>
      <c r="M69" s="48" t="s">
        <v>2526</v>
      </c>
      <c r="N69" s="49"/>
      <c r="O69" s="50" t="s">
        <v>3173</v>
      </c>
      <c r="P69" s="59"/>
      <c r="Q69" s="59"/>
      <c r="R69" s="13"/>
    </row>
    <row r="70" spans="1:18" x14ac:dyDescent="0.25">
      <c r="A70" s="9" t="s">
        <v>13</v>
      </c>
      <c r="B70" s="28">
        <f>IF(ISBLANK(A70),0,INDEX(txtstylestab[],MATCH(A70,txtstylestab[style_Name],0),1))</f>
        <v>7</v>
      </c>
      <c r="C70" s="28">
        <f t="shared" si="5"/>
        <v>2</v>
      </c>
      <c r="D70" s="28">
        <f t="shared" si="6"/>
        <v>6</v>
      </c>
      <c r="E70" s="28">
        <f t="shared" si="7"/>
        <v>0</v>
      </c>
      <c r="F70" s="78" t="str">
        <f t="shared" si="8"/>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5"/>
        <v>2</v>
      </c>
      <c r="D71" s="28">
        <f t="shared" si="6"/>
        <v>7</v>
      </c>
      <c r="E71" s="28">
        <f t="shared" si="7"/>
        <v>0</v>
      </c>
      <c r="F71" s="54" t="str">
        <f t="shared" si="8"/>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5"/>
        <v>2</v>
      </c>
      <c r="D72" s="28">
        <f t="shared" si="6"/>
        <v>7</v>
      </c>
      <c r="E72" s="28">
        <f t="shared" si="7"/>
        <v>0</v>
      </c>
      <c r="F72" s="59" t="str">
        <f t="shared" si="8"/>
        <v/>
      </c>
      <c r="G72" s="42" t="s">
        <v>2000</v>
      </c>
      <c r="H72" s="43" t="s">
        <v>617</v>
      </c>
      <c r="I72" s="44" t="s">
        <v>619</v>
      </c>
      <c r="J72" s="45" t="s">
        <v>620</v>
      </c>
      <c r="K72" s="46" t="s">
        <v>60</v>
      </c>
      <c r="L72" s="47" t="s">
        <v>2352</v>
      </c>
      <c r="M72" s="48" t="s">
        <v>2852</v>
      </c>
      <c r="N72" s="49"/>
      <c r="O72" s="50" t="s">
        <v>3166</v>
      </c>
      <c r="P72" s="59"/>
      <c r="Q72" s="59"/>
      <c r="R72" s="13"/>
    </row>
    <row r="73" spans="1:18" ht="105" x14ac:dyDescent="0.25">
      <c r="A73" s="9" t="s">
        <v>21</v>
      </c>
      <c r="B73" s="28">
        <f>IF(ISBLANK(A73),0,INDEX(txtstylestab[],MATCH(A73,txtstylestab[style_Name],0),1))</f>
        <v>0</v>
      </c>
      <c r="C73" s="28">
        <f t="shared" si="5"/>
        <v>2</v>
      </c>
      <c r="D73" s="28">
        <f t="shared" si="6"/>
        <v>7</v>
      </c>
      <c r="E73" s="28">
        <f t="shared" si="7"/>
        <v>0</v>
      </c>
      <c r="F73" s="59" t="str">
        <f t="shared" si="8"/>
        <v/>
      </c>
      <c r="G73" s="42" t="s">
        <v>75</v>
      </c>
      <c r="H73" s="43" t="s">
        <v>2262</v>
      </c>
      <c r="I73" s="44" t="s">
        <v>1744</v>
      </c>
      <c r="J73" s="45" t="s">
        <v>950</v>
      </c>
      <c r="K73" s="46" t="s">
        <v>951</v>
      </c>
      <c r="L73" s="47" t="s">
        <v>2839</v>
      </c>
      <c r="M73" s="48" t="s">
        <v>2857</v>
      </c>
      <c r="N73" s="49"/>
      <c r="O73" s="50" t="s">
        <v>3237</v>
      </c>
      <c r="P73" s="59"/>
      <c r="Q73" s="59"/>
      <c r="R73" s="13"/>
    </row>
    <row r="74" spans="1:18" ht="90" x14ac:dyDescent="0.25">
      <c r="A74" s="9" t="s">
        <v>21</v>
      </c>
      <c r="B74" s="28">
        <f>IF(ISBLANK(A74),0,INDEX(txtstylestab[],MATCH(A74,txtstylestab[style_Name],0),1))</f>
        <v>0</v>
      </c>
      <c r="C74" s="28">
        <f t="shared" si="5"/>
        <v>2</v>
      </c>
      <c r="D74" s="28">
        <f t="shared" si="6"/>
        <v>7</v>
      </c>
      <c r="E74" s="28">
        <f t="shared" si="7"/>
        <v>0</v>
      </c>
      <c r="F74" s="59" t="str">
        <f t="shared" si="8"/>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5"/>
        <v>2</v>
      </c>
      <c r="D75" s="28">
        <f t="shared" si="6"/>
        <v>7</v>
      </c>
      <c r="E75" s="28">
        <f t="shared" si="7"/>
        <v>0</v>
      </c>
      <c r="F75" s="59" t="str">
        <f t="shared" si="8"/>
        <v/>
      </c>
      <c r="G75" s="42" t="s">
        <v>952</v>
      </c>
      <c r="H75" s="43" t="s">
        <v>954</v>
      </c>
      <c r="I75" s="44" t="s">
        <v>953</v>
      </c>
      <c r="J75" s="45" t="s">
        <v>955</v>
      </c>
      <c r="K75" s="46" t="s">
        <v>956</v>
      </c>
      <c r="L75" s="47" t="s">
        <v>2840</v>
      </c>
      <c r="M75" s="48" t="s">
        <v>2856</v>
      </c>
      <c r="N75" s="49"/>
      <c r="O75" s="50" t="s">
        <v>3238</v>
      </c>
      <c r="P75" s="59"/>
      <c r="Q75" s="59"/>
      <c r="R75" s="13"/>
    </row>
    <row r="76" spans="1:18" ht="45" x14ac:dyDescent="0.25">
      <c r="A76" s="9" t="s">
        <v>21</v>
      </c>
      <c r="B76" s="28">
        <f>IF(ISBLANK(A76),0,INDEX(txtstylestab[],MATCH(A76,txtstylestab[style_Name],0),1))</f>
        <v>0</v>
      </c>
      <c r="C76" s="28">
        <f t="shared" si="5"/>
        <v>2</v>
      </c>
      <c r="D76" s="28">
        <f t="shared" si="6"/>
        <v>7</v>
      </c>
      <c r="E76" s="28">
        <f t="shared" si="7"/>
        <v>0</v>
      </c>
      <c r="F76" s="59" t="str">
        <f t="shared" si="8"/>
        <v/>
      </c>
      <c r="G76" s="42" t="s">
        <v>957</v>
      </c>
      <c r="H76" s="43" t="s">
        <v>958</v>
      </c>
      <c r="I76" s="44" t="s">
        <v>959</v>
      </c>
      <c r="J76" s="45" t="s">
        <v>960</v>
      </c>
      <c r="K76" s="46" t="s">
        <v>961</v>
      </c>
      <c r="L76" s="47" t="s">
        <v>2854</v>
      </c>
      <c r="M76" s="48" t="s">
        <v>2855</v>
      </c>
      <c r="N76" s="49"/>
      <c r="O76" s="50" t="s">
        <v>3239</v>
      </c>
      <c r="P76" s="59"/>
      <c r="Q76" s="59"/>
      <c r="R76" s="13"/>
    </row>
    <row r="77" spans="1:18" x14ac:dyDescent="0.25">
      <c r="A77" s="9" t="s">
        <v>22</v>
      </c>
      <c r="B77" s="28">
        <f>IF(ISBLANK(A77),0,INDEX(txtstylestab[],MATCH(A77,txtstylestab[style_Name],0),1))</f>
        <v>4</v>
      </c>
      <c r="C77" s="28">
        <f t="shared" si="5"/>
        <v>2</v>
      </c>
      <c r="D77" s="28">
        <f t="shared" si="6"/>
        <v>7</v>
      </c>
      <c r="E77" s="28">
        <f t="shared" si="7"/>
        <v>0</v>
      </c>
      <c r="F77" s="56" t="str">
        <f t="shared" si="8"/>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5"/>
        <v>2</v>
      </c>
      <c r="D78" s="28">
        <f t="shared" si="6"/>
        <v>7</v>
      </c>
      <c r="E78" s="28">
        <f t="shared" si="7"/>
        <v>0</v>
      </c>
      <c r="F78" s="59" t="str">
        <f t="shared" si="8"/>
        <v/>
      </c>
      <c r="G78" s="42" t="s">
        <v>20</v>
      </c>
      <c r="H78" s="43" t="s">
        <v>45</v>
      </c>
      <c r="I78" s="44" t="s">
        <v>2284</v>
      </c>
      <c r="J78" s="45" t="s">
        <v>529</v>
      </c>
      <c r="K78" s="46" t="s">
        <v>63</v>
      </c>
      <c r="L78" s="47" t="s">
        <v>2371</v>
      </c>
      <c r="M78" s="48" t="s">
        <v>2372</v>
      </c>
      <c r="N78" s="49"/>
      <c r="O78" s="50" t="s">
        <v>3236</v>
      </c>
      <c r="P78" s="59"/>
      <c r="Q78" s="59"/>
      <c r="R78" s="13"/>
    </row>
    <row r="79" spans="1:18" ht="30" x14ac:dyDescent="0.25">
      <c r="A79" s="9" t="s">
        <v>21</v>
      </c>
      <c r="B79" s="28">
        <f>IF(ISBLANK(A79),0,INDEX(txtstylestab[],MATCH(A79,txtstylestab[style_Name],0),1))</f>
        <v>0</v>
      </c>
      <c r="C79" s="28">
        <f t="shared" si="5"/>
        <v>2</v>
      </c>
      <c r="D79" s="28">
        <f t="shared" si="6"/>
        <v>7</v>
      </c>
      <c r="E79" s="28">
        <f t="shared" si="7"/>
        <v>0</v>
      </c>
      <c r="F79" s="59" t="str">
        <f t="shared" si="8"/>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5"/>
        <v>2</v>
      </c>
      <c r="D80" s="28">
        <f t="shared" si="6"/>
        <v>8</v>
      </c>
      <c r="E80" s="28">
        <f t="shared" si="7"/>
        <v>0</v>
      </c>
      <c r="F80" s="54" t="str">
        <f t="shared" si="8"/>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5"/>
        <v>2</v>
      </c>
      <c r="D81" s="28">
        <f t="shared" si="6"/>
        <v>8</v>
      </c>
      <c r="E81" s="28">
        <f t="shared" si="7"/>
        <v>0</v>
      </c>
      <c r="F81" s="56" t="str">
        <f t="shared" si="8"/>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5"/>
        <v>2</v>
      </c>
      <c r="D82" s="28">
        <f t="shared" si="6"/>
        <v>8</v>
      </c>
      <c r="E82" s="28">
        <f t="shared" si="7"/>
        <v>0</v>
      </c>
      <c r="F82" s="59" t="str">
        <f t="shared" si="8"/>
        <v/>
      </c>
      <c r="G82" s="42" t="s">
        <v>2853</v>
      </c>
      <c r="H82" s="43" t="s">
        <v>617</v>
      </c>
      <c r="I82" s="44" t="s">
        <v>619</v>
      </c>
      <c r="J82" s="45" t="s">
        <v>620</v>
      </c>
      <c r="K82" s="46" t="s">
        <v>60</v>
      </c>
      <c r="L82" s="47" t="s">
        <v>2851</v>
      </c>
      <c r="M82" s="48" t="s">
        <v>2852</v>
      </c>
      <c r="N82" s="49"/>
      <c r="O82" s="50" t="s">
        <v>3477</v>
      </c>
      <c r="P82" s="59"/>
      <c r="Q82" s="59"/>
      <c r="R82" s="13"/>
    </row>
    <row r="83" spans="1:18" ht="60" x14ac:dyDescent="0.25">
      <c r="A83" s="9" t="s">
        <v>21</v>
      </c>
      <c r="B83" s="28">
        <f>IF(ISBLANK(A83),0,INDEX(txtstylestab[],MATCH(A83,txtstylestab[style_Name],0),1))</f>
        <v>0</v>
      </c>
      <c r="C83" s="28">
        <f t="shared" si="5"/>
        <v>2</v>
      </c>
      <c r="D83" s="28">
        <f t="shared" si="6"/>
        <v>8</v>
      </c>
      <c r="E83" s="28">
        <f t="shared" si="7"/>
        <v>0</v>
      </c>
      <c r="F83" s="59" t="str">
        <f t="shared" si="8"/>
        <v/>
      </c>
      <c r="G83" s="42" t="s">
        <v>964</v>
      </c>
      <c r="H83" s="43" t="s">
        <v>2001</v>
      </c>
      <c r="I83" s="44" t="s">
        <v>965</v>
      </c>
      <c r="J83" s="45" t="s">
        <v>966</v>
      </c>
      <c r="K83" s="46" t="s">
        <v>967</v>
      </c>
      <c r="L83" s="47" t="s">
        <v>2849</v>
      </c>
      <c r="M83" s="48" t="s">
        <v>2850</v>
      </c>
      <c r="N83" s="49"/>
      <c r="O83" s="50" t="s">
        <v>3232</v>
      </c>
      <c r="P83" s="59"/>
      <c r="Q83" s="59"/>
      <c r="R83" s="13"/>
    </row>
    <row r="84" spans="1:18" ht="90" x14ac:dyDescent="0.25">
      <c r="A84" s="9" t="s">
        <v>21</v>
      </c>
      <c r="B84" s="28">
        <f>IF(ISBLANK(A84),0,INDEX(txtstylestab[],MATCH(A84,txtstylestab[style_Name],0),1))</f>
        <v>0</v>
      </c>
      <c r="C84" s="28">
        <f t="shared" si="5"/>
        <v>2</v>
      </c>
      <c r="D84" s="28">
        <f t="shared" si="6"/>
        <v>8</v>
      </c>
      <c r="E84" s="28">
        <f t="shared" si="7"/>
        <v>0</v>
      </c>
      <c r="F84" s="59" t="str">
        <f t="shared" si="8"/>
        <v/>
      </c>
      <c r="G84" s="42" t="s">
        <v>41</v>
      </c>
      <c r="H84" s="43" t="s">
        <v>2263</v>
      </c>
      <c r="I84" s="44" t="s">
        <v>2268</v>
      </c>
      <c r="J84" s="45" t="s">
        <v>968</v>
      </c>
      <c r="K84" s="46" t="s">
        <v>969</v>
      </c>
      <c r="L84" s="47" t="s">
        <v>2848</v>
      </c>
      <c r="M84" s="48" t="s">
        <v>2847</v>
      </c>
      <c r="N84" s="49"/>
      <c r="O84" s="50" t="s">
        <v>3233</v>
      </c>
      <c r="P84" s="59"/>
      <c r="Q84" s="59"/>
      <c r="R84" s="13"/>
    </row>
    <row r="85" spans="1:18" ht="120" x14ac:dyDescent="0.25">
      <c r="A85" s="9" t="s">
        <v>21</v>
      </c>
      <c r="B85" s="28">
        <f>IF(ISBLANK(A85),0,INDEX(txtstylestab[],MATCH(A85,txtstylestab[style_Name],0),1))</f>
        <v>0</v>
      </c>
      <c r="C85" s="28">
        <f t="shared" si="5"/>
        <v>2</v>
      </c>
      <c r="D85" s="28">
        <f t="shared" si="6"/>
        <v>8</v>
      </c>
      <c r="E85" s="28">
        <f t="shared" si="7"/>
        <v>0</v>
      </c>
      <c r="F85" s="59" t="str">
        <f t="shared" si="8"/>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5"/>
        <v>2</v>
      </c>
      <c r="D86" s="28">
        <f t="shared" si="6"/>
        <v>8</v>
      </c>
      <c r="E86" s="28">
        <f t="shared" si="7"/>
        <v>0</v>
      </c>
      <c r="F86" s="59" t="str">
        <f t="shared" si="8"/>
        <v/>
      </c>
      <c r="G86" s="42" t="s">
        <v>2002</v>
      </c>
      <c r="H86" s="43" t="s">
        <v>77</v>
      </c>
      <c r="I86" s="44" t="s">
        <v>49</v>
      </c>
      <c r="J86" s="45" t="s">
        <v>399</v>
      </c>
      <c r="K86" s="46" t="s">
        <v>61</v>
      </c>
      <c r="L86" s="47" t="s">
        <v>2846</v>
      </c>
      <c r="M86" s="48" t="s">
        <v>2845</v>
      </c>
      <c r="N86" s="49"/>
      <c r="O86" s="50" t="s">
        <v>3234</v>
      </c>
      <c r="P86" s="59"/>
      <c r="Q86" s="59"/>
      <c r="R86" s="13"/>
    </row>
    <row r="87" spans="1:18" ht="30" x14ac:dyDescent="0.25">
      <c r="A87" s="9" t="s">
        <v>21</v>
      </c>
      <c r="B87" s="28">
        <f>IF(ISBLANK(A87),0,INDEX(txtstylestab[],MATCH(A87,txtstylestab[style_Name],0),1))</f>
        <v>0</v>
      </c>
      <c r="C87" s="28">
        <f t="shared" si="5"/>
        <v>2</v>
      </c>
      <c r="D87" s="28">
        <f t="shared" si="6"/>
        <v>8</v>
      </c>
      <c r="E87" s="28">
        <f t="shared" si="7"/>
        <v>0</v>
      </c>
      <c r="F87" s="59" t="str">
        <f t="shared" si="8"/>
        <v/>
      </c>
      <c r="G87" s="42" t="s">
        <v>42</v>
      </c>
      <c r="H87" s="43" t="s">
        <v>43</v>
      </c>
      <c r="I87" s="44" t="s">
        <v>50</v>
      </c>
      <c r="J87" s="45" t="s">
        <v>55</v>
      </c>
      <c r="K87" s="46" t="s">
        <v>62</v>
      </c>
      <c r="L87" s="47" t="s">
        <v>2354</v>
      </c>
      <c r="M87" s="48" t="s">
        <v>2396</v>
      </c>
      <c r="N87" s="49"/>
      <c r="O87" s="50" t="s">
        <v>3235</v>
      </c>
      <c r="P87" s="59"/>
      <c r="Q87" s="59"/>
      <c r="R87" s="13"/>
    </row>
    <row r="88" spans="1:18" x14ac:dyDescent="0.25">
      <c r="A88" s="9" t="s">
        <v>22</v>
      </c>
      <c r="B88" s="28">
        <f>IF(ISBLANK(A88),0,INDEX(txtstylestab[],MATCH(A88,txtstylestab[style_Name],0),1))</f>
        <v>4</v>
      </c>
      <c r="C88" s="28">
        <f t="shared" si="5"/>
        <v>2</v>
      </c>
      <c r="D88" s="28">
        <f t="shared" si="6"/>
        <v>8</v>
      </c>
      <c r="E88" s="28">
        <f t="shared" si="7"/>
        <v>0</v>
      </c>
      <c r="F88" s="56" t="str">
        <f t="shared" si="8"/>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5"/>
        <v>2</v>
      </c>
      <c r="D89" s="28">
        <f t="shared" si="6"/>
        <v>8</v>
      </c>
      <c r="E89" s="28">
        <f t="shared" si="7"/>
        <v>0</v>
      </c>
      <c r="F89" s="59" t="str">
        <f t="shared" si="8"/>
        <v/>
      </c>
      <c r="G89" s="42" t="s">
        <v>20</v>
      </c>
      <c r="H89" s="43" t="s">
        <v>45</v>
      </c>
      <c r="I89" s="44" t="s">
        <v>2284</v>
      </c>
      <c r="J89" s="45" t="s">
        <v>529</v>
      </c>
      <c r="K89" s="46" t="s">
        <v>63</v>
      </c>
      <c r="L89" s="47" t="s">
        <v>2371</v>
      </c>
      <c r="M89" s="48" t="s">
        <v>2372</v>
      </c>
      <c r="N89" s="49"/>
      <c r="O89" s="50" t="s">
        <v>3236</v>
      </c>
      <c r="P89" s="59"/>
      <c r="Q89" s="59"/>
      <c r="R89" s="13"/>
    </row>
    <row r="90" spans="1:18" ht="30" x14ac:dyDescent="0.25">
      <c r="A90" s="9" t="s">
        <v>21</v>
      </c>
      <c r="B90" s="28">
        <f>IF(ISBLANK(A90),0,INDEX(txtstylestab[],MATCH(A90,txtstylestab[style_Name],0),1))</f>
        <v>0</v>
      </c>
      <c r="C90" s="28">
        <f t="shared" si="5"/>
        <v>2</v>
      </c>
      <c r="D90" s="28">
        <f t="shared" si="6"/>
        <v>8</v>
      </c>
      <c r="E90" s="28">
        <f t="shared" si="7"/>
        <v>0</v>
      </c>
      <c r="F90" s="59" t="str">
        <f t="shared" si="8"/>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5"/>
        <v>2</v>
      </c>
      <c r="D91" s="28">
        <f t="shared" si="6"/>
        <v>9</v>
      </c>
      <c r="E91" s="28">
        <f t="shared" si="7"/>
        <v>0</v>
      </c>
      <c r="F91" s="54" t="str">
        <f t="shared" si="8"/>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5"/>
        <v>2</v>
      </c>
      <c r="D92" s="28">
        <f t="shared" si="6"/>
        <v>9</v>
      </c>
      <c r="E92" s="28">
        <f t="shared" si="7"/>
        <v>0</v>
      </c>
      <c r="F92" s="56" t="str">
        <f t="shared" si="8"/>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5"/>
        <v>2</v>
      </c>
      <c r="D93" s="28">
        <f t="shared" si="6"/>
        <v>9</v>
      </c>
      <c r="E93" s="28">
        <f t="shared" si="7"/>
        <v>0</v>
      </c>
      <c r="F93" s="56" t="str">
        <f t="shared" si="8"/>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5"/>
        <v>2</v>
      </c>
      <c r="D94" s="28">
        <f t="shared" si="6"/>
        <v>9</v>
      </c>
      <c r="E94" s="28">
        <f t="shared" si="7"/>
        <v>0</v>
      </c>
      <c r="F94" s="56" t="str">
        <f t="shared" si="8"/>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5"/>
        <v>2</v>
      </c>
      <c r="D95" s="28">
        <f t="shared" si="6"/>
        <v>9</v>
      </c>
      <c r="E95" s="28">
        <f t="shared" si="7"/>
        <v>0</v>
      </c>
      <c r="F95" s="59" t="str">
        <f t="shared" si="8"/>
        <v/>
      </c>
      <c r="G95" s="42" t="s">
        <v>82</v>
      </c>
      <c r="H95" s="43" t="s">
        <v>83</v>
      </c>
      <c r="I95" s="44" t="s">
        <v>84</v>
      </c>
      <c r="J95" s="45" t="s">
        <v>2285</v>
      </c>
      <c r="K95" s="46" t="s">
        <v>86</v>
      </c>
      <c r="L95" s="47" t="s">
        <v>2398</v>
      </c>
      <c r="M95" s="48" t="s">
        <v>2333</v>
      </c>
      <c r="N95" s="49"/>
      <c r="O95" s="50" t="s">
        <v>3166</v>
      </c>
      <c r="P95" s="50"/>
      <c r="Q95" s="59"/>
      <c r="R95" s="13"/>
    </row>
    <row r="96" spans="1:18" ht="45" x14ac:dyDescent="0.25">
      <c r="A96" s="9" t="s">
        <v>21</v>
      </c>
      <c r="B96" s="28">
        <f>IF(ISBLANK(A96),0,INDEX(txtstylestab[],MATCH(A96,txtstylestab[style_Name],0),1))</f>
        <v>0</v>
      </c>
      <c r="C96" s="28">
        <f t="shared" si="5"/>
        <v>2</v>
      </c>
      <c r="D96" s="28">
        <f t="shared" si="6"/>
        <v>9</v>
      </c>
      <c r="E96" s="28">
        <f t="shared" si="7"/>
        <v>0</v>
      </c>
      <c r="F96" s="59" t="str">
        <f t="shared" si="8"/>
        <v/>
      </c>
      <c r="G96" s="42" t="s">
        <v>87</v>
      </c>
      <c r="H96" s="43" t="s">
        <v>975</v>
      </c>
      <c r="I96" s="44" t="s">
        <v>89</v>
      </c>
      <c r="J96" s="45" t="s">
        <v>90</v>
      </c>
      <c r="K96" s="46" t="s">
        <v>91</v>
      </c>
      <c r="L96" s="47" t="s">
        <v>2841</v>
      </c>
      <c r="M96" s="48" t="s">
        <v>2865</v>
      </c>
      <c r="N96" s="49"/>
      <c r="O96" s="50" t="s">
        <v>3350</v>
      </c>
      <c r="P96" s="59"/>
      <c r="Q96" s="59"/>
      <c r="R96" s="13"/>
    </row>
    <row r="97" spans="1:18" ht="120" x14ac:dyDescent="0.25">
      <c r="A97" s="9" t="s">
        <v>21</v>
      </c>
      <c r="B97" s="28">
        <f>IF(ISBLANK(A97),0,INDEX(txtstylestab[],MATCH(A97,txtstylestab[style_Name],0),1))</f>
        <v>0</v>
      </c>
      <c r="C97" s="28">
        <f t="shared" si="5"/>
        <v>2</v>
      </c>
      <c r="D97" s="28">
        <f t="shared" si="6"/>
        <v>9</v>
      </c>
      <c r="E97" s="28">
        <f t="shared" si="7"/>
        <v>0</v>
      </c>
      <c r="F97" s="59" t="str">
        <f t="shared" si="8"/>
        <v/>
      </c>
      <c r="G97" s="42" t="s">
        <v>971</v>
      </c>
      <c r="H97" s="43" t="s">
        <v>972</v>
      </c>
      <c r="I97" s="44" t="s">
        <v>973</v>
      </c>
      <c r="J97" s="45" t="s">
        <v>1588</v>
      </c>
      <c r="K97" s="46" t="s">
        <v>974</v>
      </c>
      <c r="L97" s="47" t="s">
        <v>2842</v>
      </c>
      <c r="M97" s="48" t="s">
        <v>2866</v>
      </c>
      <c r="N97" s="49"/>
      <c r="O97" s="50" t="s">
        <v>3224</v>
      </c>
      <c r="P97" s="59"/>
      <c r="Q97" s="59"/>
      <c r="R97" s="13"/>
    </row>
    <row r="98" spans="1:18" ht="105" x14ac:dyDescent="0.25">
      <c r="A98" s="9" t="s">
        <v>21</v>
      </c>
      <c r="B98" s="28">
        <f>IF(ISBLANK(A98),0,INDEX(txtstylestab[],MATCH(A98,txtstylestab[style_Name],0),1))</f>
        <v>0</v>
      </c>
      <c r="C98" s="28">
        <f t="shared" si="5"/>
        <v>2</v>
      </c>
      <c r="D98" s="28">
        <f t="shared" si="6"/>
        <v>9</v>
      </c>
      <c r="E98" s="28">
        <f t="shared" si="7"/>
        <v>0</v>
      </c>
      <c r="F98" s="59" t="str">
        <f t="shared" si="8"/>
        <v/>
      </c>
      <c r="G98" s="42" t="s">
        <v>92</v>
      </c>
      <c r="H98" s="43" t="s">
        <v>2003</v>
      </c>
      <c r="I98" s="44" t="s">
        <v>1745</v>
      </c>
      <c r="J98" s="45" t="s">
        <v>530</v>
      </c>
      <c r="K98" s="46" t="s">
        <v>93</v>
      </c>
      <c r="L98" s="47" t="s">
        <v>2843</v>
      </c>
      <c r="M98" s="48" t="s">
        <v>2867</v>
      </c>
      <c r="N98" s="49"/>
      <c r="O98" s="50" t="s">
        <v>3225</v>
      </c>
      <c r="P98" s="59"/>
      <c r="Q98" s="59"/>
      <c r="R98" s="13"/>
    </row>
    <row r="99" spans="1:18" ht="75" x14ac:dyDescent="0.25">
      <c r="A99" s="9" t="s">
        <v>21</v>
      </c>
      <c r="B99" s="28">
        <f>IF(ISBLANK(A99),0,INDEX(txtstylestab[],MATCH(A99,txtstylestab[style_Name],0),1))</f>
        <v>0</v>
      </c>
      <c r="C99" s="28">
        <f t="shared" si="5"/>
        <v>2</v>
      </c>
      <c r="D99" s="28">
        <f t="shared" si="6"/>
        <v>9</v>
      </c>
      <c r="E99" s="28">
        <f t="shared" si="7"/>
        <v>0</v>
      </c>
      <c r="F99" s="59" t="str">
        <f t="shared" si="8"/>
        <v/>
      </c>
      <c r="G99" s="42" t="s">
        <v>1784</v>
      </c>
      <c r="H99" s="43" t="s">
        <v>1785</v>
      </c>
      <c r="I99" s="44" t="s">
        <v>1786</v>
      </c>
      <c r="J99" s="45" t="s">
        <v>1787</v>
      </c>
      <c r="K99" s="46" t="s">
        <v>1788</v>
      </c>
      <c r="L99" s="47" t="s">
        <v>2868</v>
      </c>
      <c r="M99" s="48" t="s">
        <v>2844</v>
      </c>
      <c r="N99" s="49"/>
      <c r="O99" s="50" t="s">
        <v>3226</v>
      </c>
      <c r="P99" s="59"/>
      <c r="Q99" s="59"/>
      <c r="R99" s="13"/>
    </row>
    <row r="100" spans="1:18" ht="60" x14ac:dyDescent="0.25">
      <c r="A100" s="9" t="s">
        <v>14</v>
      </c>
      <c r="B100" s="28">
        <f>IF(ISBLANK(A100),0,INDEX(txtstylestab[],MATCH(A100,txtstylestab[style_Name],0),1))</f>
        <v>6</v>
      </c>
      <c r="C100" s="28">
        <f t="shared" si="5"/>
        <v>2</v>
      </c>
      <c r="D100" s="28">
        <f t="shared" si="6"/>
        <v>9</v>
      </c>
      <c r="E100" s="28">
        <f t="shared" si="7"/>
        <v>0</v>
      </c>
      <c r="F100" s="59" t="str">
        <f t="shared" si="8"/>
        <v/>
      </c>
      <c r="G100" s="42" t="s">
        <v>976</v>
      </c>
      <c r="H100" s="43" t="s">
        <v>979</v>
      </c>
      <c r="I100" s="44" t="s">
        <v>981</v>
      </c>
      <c r="J100" s="45" t="s">
        <v>983</v>
      </c>
      <c r="K100" s="46" t="s">
        <v>986</v>
      </c>
      <c r="L100" s="47" t="s">
        <v>2376</v>
      </c>
      <c r="M100" s="48" t="s">
        <v>2377</v>
      </c>
      <c r="N100" s="49"/>
      <c r="O100" s="50" t="s">
        <v>3227</v>
      </c>
      <c r="P100" s="59"/>
      <c r="Q100" s="59"/>
      <c r="R100" s="13"/>
    </row>
    <row r="101" spans="1:18" ht="60" x14ac:dyDescent="0.25">
      <c r="A101" s="9" t="s">
        <v>14</v>
      </c>
      <c r="B101" s="28">
        <f>IF(ISBLANK(A101),0,INDEX(txtstylestab[],MATCH(A101,txtstylestab[style_Name],0),1))</f>
        <v>6</v>
      </c>
      <c r="C101" s="28">
        <f t="shared" si="5"/>
        <v>2</v>
      </c>
      <c r="D101" s="28">
        <f t="shared" si="6"/>
        <v>9</v>
      </c>
      <c r="E101" s="28">
        <f t="shared" si="7"/>
        <v>0</v>
      </c>
      <c r="F101" s="59" t="str">
        <f t="shared" si="8"/>
        <v/>
      </c>
      <c r="G101" s="42" t="s">
        <v>977</v>
      </c>
      <c r="H101" s="43" t="s">
        <v>980</v>
      </c>
      <c r="I101" s="44" t="s">
        <v>982</v>
      </c>
      <c r="J101" s="45" t="s">
        <v>984</v>
      </c>
      <c r="K101" s="46" t="s">
        <v>987</v>
      </c>
      <c r="L101" s="47" t="s">
        <v>2378</v>
      </c>
      <c r="M101" s="48" t="s">
        <v>2379</v>
      </c>
      <c r="N101" s="49"/>
      <c r="O101" s="50" t="s">
        <v>3228</v>
      </c>
      <c r="P101" s="59"/>
      <c r="Q101" s="59"/>
      <c r="R101" s="13"/>
    </row>
    <row r="102" spans="1:18" ht="45" x14ac:dyDescent="0.25">
      <c r="A102" s="9" t="s">
        <v>14</v>
      </c>
      <c r="B102" s="28">
        <f>IF(ISBLANK(A102),0,INDEX(txtstylestab[],MATCH(A102,txtstylestab[style_Name],0),1))</f>
        <v>6</v>
      </c>
      <c r="C102" s="28">
        <f t="shared" si="5"/>
        <v>2</v>
      </c>
      <c r="D102" s="28">
        <f t="shared" si="6"/>
        <v>9</v>
      </c>
      <c r="E102" s="28">
        <f t="shared" si="7"/>
        <v>0</v>
      </c>
      <c r="F102" s="59" t="str">
        <f t="shared" si="8"/>
        <v/>
      </c>
      <c r="G102" s="42" t="s">
        <v>978</v>
      </c>
      <c r="H102" s="43" t="s">
        <v>979</v>
      </c>
      <c r="I102" s="44" t="s">
        <v>981</v>
      </c>
      <c r="J102" s="45" t="s">
        <v>985</v>
      </c>
      <c r="K102" s="46" t="s">
        <v>988</v>
      </c>
      <c r="L102" s="47" t="s">
        <v>2380</v>
      </c>
      <c r="M102" s="48" t="s">
        <v>2381</v>
      </c>
      <c r="N102" s="49"/>
      <c r="O102" s="50" t="s">
        <v>3229</v>
      </c>
      <c r="P102" s="59"/>
      <c r="Q102" s="59"/>
      <c r="R102" s="13"/>
    </row>
    <row r="103" spans="1:18" ht="135" x14ac:dyDescent="0.25">
      <c r="A103" s="9" t="s">
        <v>21</v>
      </c>
      <c r="B103" s="28">
        <f>IF(ISBLANK(A103),0,INDEX(txtstylestab[],MATCH(A103,txtstylestab[style_Name],0),1))</f>
        <v>0</v>
      </c>
      <c r="C103" s="28">
        <f t="shared" si="5"/>
        <v>2</v>
      </c>
      <c r="D103" s="28">
        <f t="shared" si="6"/>
        <v>9</v>
      </c>
      <c r="E103" s="28">
        <f t="shared" si="7"/>
        <v>0</v>
      </c>
      <c r="F103" s="59" t="str">
        <f t="shared" si="8"/>
        <v/>
      </c>
      <c r="G103" s="42" t="s">
        <v>2214</v>
      </c>
      <c r="H103" s="43" t="s">
        <v>2215</v>
      </c>
      <c r="I103" s="44" t="s">
        <v>1746</v>
      </c>
      <c r="J103" s="45" t="s">
        <v>94</v>
      </c>
      <c r="K103" s="46" t="s">
        <v>95</v>
      </c>
      <c r="L103" s="47" t="s">
        <v>2382</v>
      </c>
      <c r="M103" s="48" t="s">
        <v>2869</v>
      </c>
      <c r="N103" s="49"/>
      <c r="O103" s="50" t="s">
        <v>3230</v>
      </c>
      <c r="P103" s="59"/>
      <c r="Q103" s="59"/>
      <c r="R103" s="13"/>
    </row>
    <row r="104" spans="1:18" ht="30" x14ac:dyDescent="0.25">
      <c r="A104" s="9" t="s">
        <v>21</v>
      </c>
      <c r="B104" s="28">
        <f>IF(ISBLANK(A104),0,INDEX(txtstylestab[],MATCH(A104,txtstylestab[style_Name],0),1))</f>
        <v>0</v>
      </c>
      <c r="C104" s="28">
        <f t="shared" si="5"/>
        <v>2</v>
      </c>
      <c r="D104" s="28">
        <f t="shared" si="6"/>
        <v>9</v>
      </c>
      <c r="E104" s="28">
        <f t="shared" si="7"/>
        <v>0</v>
      </c>
      <c r="F104" s="59" t="str">
        <f t="shared" si="8"/>
        <v/>
      </c>
      <c r="G104" s="42" t="s">
        <v>97</v>
      </c>
      <c r="H104" s="43" t="s">
        <v>96</v>
      </c>
      <c r="I104" s="44" t="s">
        <v>48</v>
      </c>
      <c r="J104" s="45" t="s">
        <v>397</v>
      </c>
      <c r="K104" s="46" t="s">
        <v>59</v>
      </c>
      <c r="L104" s="47" t="s">
        <v>2371</v>
      </c>
      <c r="M104" s="48" t="s">
        <v>2526</v>
      </c>
      <c r="N104" s="49"/>
      <c r="O104" s="50" t="s">
        <v>3231</v>
      </c>
      <c r="P104" s="59"/>
      <c r="Q104" s="59"/>
      <c r="R104" s="13"/>
    </row>
    <row r="105" spans="1:18" ht="18" thickBot="1" x14ac:dyDescent="0.35">
      <c r="A105" s="9" t="s">
        <v>11</v>
      </c>
      <c r="B105" s="28">
        <f>IF(ISBLANK(A105),0,INDEX(txtstylestab[],MATCH(A105,txtstylestab[style_Name],0),1))</f>
        <v>2</v>
      </c>
      <c r="C105" s="28">
        <f t="shared" si="5"/>
        <v>2</v>
      </c>
      <c r="D105" s="28">
        <f t="shared" si="6"/>
        <v>10</v>
      </c>
      <c r="E105" s="28">
        <f t="shared" si="7"/>
        <v>0</v>
      </c>
      <c r="F105" s="54" t="str">
        <f t="shared" si="8"/>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5"/>
        <v>2</v>
      </c>
      <c r="D106" s="28">
        <f t="shared" si="6"/>
        <v>10</v>
      </c>
      <c r="E106" s="28">
        <f t="shared" si="7"/>
        <v>0</v>
      </c>
      <c r="F106" s="59" t="str">
        <f t="shared" si="8"/>
        <v/>
      </c>
      <c r="G106" s="42" t="s">
        <v>344</v>
      </c>
      <c r="H106" s="43" t="s">
        <v>83</v>
      </c>
      <c r="I106" s="44" t="s">
        <v>84</v>
      </c>
      <c r="J106" s="45" t="s">
        <v>85</v>
      </c>
      <c r="K106" s="46" t="s">
        <v>86</v>
      </c>
      <c r="L106" s="47" t="s">
        <v>2398</v>
      </c>
      <c r="M106" s="48" t="s">
        <v>2333</v>
      </c>
      <c r="N106" s="49"/>
      <c r="O106" s="50" t="s">
        <v>3173</v>
      </c>
      <c r="P106" s="50"/>
      <c r="Q106" s="59"/>
      <c r="R106" s="13"/>
    </row>
    <row r="107" spans="1:18" ht="45" x14ac:dyDescent="0.25">
      <c r="A107" s="9" t="s">
        <v>21</v>
      </c>
      <c r="B107" s="28">
        <f>IF(ISBLANK(A107),0,INDEX(txtstylestab[],MATCH(A107,txtstylestab[style_Name],0),1))</f>
        <v>0</v>
      </c>
      <c r="C107" s="28">
        <f t="shared" si="5"/>
        <v>2</v>
      </c>
      <c r="D107" s="28">
        <f t="shared" si="6"/>
        <v>10</v>
      </c>
      <c r="E107" s="28">
        <f t="shared" si="7"/>
        <v>0</v>
      </c>
      <c r="F107" s="59" t="str">
        <f t="shared" si="8"/>
        <v/>
      </c>
      <c r="G107" s="42" t="s">
        <v>996</v>
      </c>
      <c r="H107" s="43" t="s">
        <v>997</v>
      </c>
      <c r="I107" s="44" t="s">
        <v>998</v>
      </c>
      <c r="J107" s="45" t="s">
        <v>999</v>
      </c>
      <c r="K107" s="46" t="s">
        <v>1000</v>
      </c>
      <c r="L107" s="47" t="s">
        <v>2870</v>
      </c>
      <c r="M107" s="48" t="s">
        <v>2871</v>
      </c>
      <c r="N107" s="49"/>
      <c r="O107" s="50" t="s">
        <v>3222</v>
      </c>
      <c r="P107" s="59"/>
      <c r="Q107" s="59"/>
      <c r="R107" s="13"/>
    </row>
    <row r="108" spans="1:18" ht="45" x14ac:dyDescent="0.25">
      <c r="A108" s="9" t="s">
        <v>21</v>
      </c>
      <c r="B108" s="28">
        <f>IF(ISBLANK(A108),0,INDEX(txtstylestab[],MATCH(A108,txtstylestab[style_Name],0),1))</f>
        <v>0</v>
      </c>
      <c r="C108" s="28">
        <f t="shared" si="5"/>
        <v>2</v>
      </c>
      <c r="D108" s="28">
        <f t="shared" si="6"/>
        <v>10</v>
      </c>
      <c r="E108" s="28">
        <f t="shared" si="7"/>
        <v>0</v>
      </c>
      <c r="F108" s="59" t="str">
        <f t="shared" si="8"/>
        <v/>
      </c>
      <c r="G108" s="42" t="s">
        <v>990</v>
      </c>
      <c r="H108" s="43" t="s">
        <v>991</v>
      </c>
      <c r="I108" s="44" t="s">
        <v>992</v>
      </c>
      <c r="J108" s="45" t="s">
        <v>993</v>
      </c>
      <c r="K108" s="46" t="s">
        <v>994</v>
      </c>
      <c r="L108" s="47" t="s">
        <v>2872</v>
      </c>
      <c r="M108" s="48" t="s">
        <v>2873</v>
      </c>
      <c r="N108" s="49"/>
      <c r="O108" s="50" t="s">
        <v>3223</v>
      </c>
      <c r="P108" s="59"/>
      <c r="Q108" s="59"/>
      <c r="R108" s="13"/>
    </row>
    <row r="109" spans="1:18" x14ac:dyDescent="0.25">
      <c r="A109" s="9" t="s">
        <v>21</v>
      </c>
      <c r="B109" s="28">
        <f>IF(ISBLANK(A109),0,INDEX(txtstylestab[],MATCH(A109,txtstylestab[style_Name],0),1))</f>
        <v>0</v>
      </c>
      <c r="C109" s="28">
        <f t="shared" si="5"/>
        <v>2</v>
      </c>
      <c r="D109" s="28">
        <f t="shared" si="6"/>
        <v>10</v>
      </c>
      <c r="E109" s="28">
        <f t="shared" si="7"/>
        <v>0</v>
      </c>
      <c r="F109" s="59" t="str">
        <f t="shared" si="8"/>
        <v/>
      </c>
      <c r="G109" s="42" t="s">
        <v>6</v>
      </c>
      <c r="H109" s="43" t="s">
        <v>26</v>
      </c>
      <c r="I109" s="44" t="s">
        <v>995</v>
      </c>
      <c r="J109" s="45" t="s">
        <v>54</v>
      </c>
      <c r="K109" s="46" t="s">
        <v>59</v>
      </c>
      <c r="L109" s="47" t="s">
        <v>2525</v>
      </c>
      <c r="M109" s="48" t="s">
        <v>2526</v>
      </c>
      <c r="N109" s="49"/>
      <c r="O109" s="50" t="s">
        <v>3173</v>
      </c>
      <c r="P109" s="50"/>
      <c r="Q109" s="59"/>
      <c r="R109" s="13"/>
    </row>
    <row r="110" spans="1:18" ht="18" thickBot="1" x14ac:dyDescent="0.35">
      <c r="A110" s="9" t="s">
        <v>11</v>
      </c>
      <c r="B110" s="28">
        <f>IF(ISBLANK(A110),0,INDEX(txtstylestab[],MATCH(A110,txtstylestab[style_Name],0),1))</f>
        <v>2</v>
      </c>
      <c r="C110" s="28">
        <f t="shared" si="5"/>
        <v>2</v>
      </c>
      <c r="D110" s="28">
        <f t="shared" si="6"/>
        <v>11</v>
      </c>
      <c r="E110" s="28">
        <f t="shared" si="7"/>
        <v>0</v>
      </c>
      <c r="F110" s="54" t="str">
        <f t="shared" si="8"/>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5"/>
        <v>2</v>
      </c>
      <c r="D111" s="28">
        <f t="shared" si="6"/>
        <v>11</v>
      </c>
      <c r="E111" s="28">
        <f t="shared" si="7"/>
        <v>0</v>
      </c>
      <c r="F111" s="59" t="str">
        <f t="shared" si="8"/>
        <v/>
      </c>
      <c r="G111" s="42" t="s">
        <v>82</v>
      </c>
      <c r="H111" s="43" t="s">
        <v>83</v>
      </c>
      <c r="I111" s="44" t="s">
        <v>84</v>
      </c>
      <c r="J111" s="45" t="s">
        <v>85</v>
      </c>
      <c r="K111" s="46" t="s">
        <v>86</v>
      </c>
      <c r="L111" s="47" t="s">
        <v>2398</v>
      </c>
      <c r="M111" s="48" t="s">
        <v>2333</v>
      </c>
      <c r="N111" s="49"/>
      <c r="O111" s="50" t="s">
        <v>3166</v>
      </c>
      <c r="P111" s="50"/>
      <c r="Q111" s="59"/>
      <c r="R111" s="13"/>
    </row>
    <row r="112" spans="1:18" ht="90" x14ac:dyDescent="0.25">
      <c r="A112" s="9" t="s">
        <v>21</v>
      </c>
      <c r="B112" s="28">
        <f>IF(ISBLANK(A112),0,INDEX(txtstylestab[],MATCH(A112,txtstylestab[style_Name],0),1))</f>
        <v>0</v>
      </c>
      <c r="C112" s="28">
        <f t="shared" si="5"/>
        <v>2</v>
      </c>
      <c r="D112" s="28">
        <f t="shared" si="6"/>
        <v>11</v>
      </c>
      <c r="E112" s="28">
        <f t="shared" si="7"/>
        <v>0</v>
      </c>
      <c r="F112" s="59" t="str">
        <f t="shared" si="8"/>
        <v/>
      </c>
      <c r="G112" s="42" t="s">
        <v>1012</v>
      </c>
      <c r="H112" s="43" t="s">
        <v>1011</v>
      </c>
      <c r="I112" s="44" t="s">
        <v>1013</v>
      </c>
      <c r="J112" s="45" t="s">
        <v>1589</v>
      </c>
      <c r="K112" s="46" t="s">
        <v>1014</v>
      </c>
      <c r="L112" s="47" t="s">
        <v>2878</v>
      </c>
      <c r="M112" s="48" t="s">
        <v>2880</v>
      </c>
      <c r="N112" s="49"/>
      <c r="O112" s="50" t="s">
        <v>3219</v>
      </c>
      <c r="P112" s="59"/>
      <c r="Q112" s="59"/>
      <c r="R112" s="13"/>
    </row>
    <row r="113" spans="1:18" ht="45" x14ac:dyDescent="0.25">
      <c r="A113" s="9" t="s">
        <v>21</v>
      </c>
      <c r="B113" s="28">
        <f>IF(ISBLANK(A113),0,INDEX(txtstylestab[],MATCH(A113,txtstylestab[style_Name],0),1))</f>
        <v>0</v>
      </c>
      <c r="C113" s="28">
        <f t="shared" si="5"/>
        <v>2</v>
      </c>
      <c r="D113" s="28">
        <f t="shared" si="6"/>
        <v>11</v>
      </c>
      <c r="E113" s="28">
        <f t="shared" si="7"/>
        <v>0</v>
      </c>
      <c r="F113" s="59" t="str">
        <f t="shared" si="8"/>
        <v/>
      </c>
      <c r="G113" s="42" t="s">
        <v>1002</v>
      </c>
      <c r="H113" s="43" t="s">
        <v>1003</v>
      </c>
      <c r="I113" s="44" t="s">
        <v>1004</v>
      </c>
      <c r="J113" s="45" t="s">
        <v>1005</v>
      </c>
      <c r="K113" s="46" t="s">
        <v>1006</v>
      </c>
      <c r="L113" s="47" t="s">
        <v>2874</v>
      </c>
      <c r="M113" s="48" t="s">
        <v>2875</v>
      </c>
      <c r="N113" s="49"/>
      <c r="O113" s="50" t="s">
        <v>3220</v>
      </c>
      <c r="P113" s="59"/>
      <c r="Q113" s="59"/>
      <c r="R113" s="13"/>
    </row>
    <row r="114" spans="1:18" ht="75" x14ac:dyDescent="0.25">
      <c r="A114" s="9" t="s">
        <v>21</v>
      </c>
      <c r="B114" s="28">
        <f>IF(ISBLANK(A114),0,INDEX(txtstylestab[],MATCH(A114,txtstylestab[style_Name],0),1))</f>
        <v>0</v>
      </c>
      <c r="C114" s="28">
        <f t="shared" si="5"/>
        <v>2</v>
      </c>
      <c r="D114" s="28">
        <f t="shared" si="6"/>
        <v>11</v>
      </c>
      <c r="E114" s="28">
        <f t="shared" si="7"/>
        <v>0</v>
      </c>
      <c r="F114" s="59" t="str">
        <f t="shared" si="8"/>
        <v/>
      </c>
      <c r="G114" s="42" t="s">
        <v>1007</v>
      </c>
      <c r="H114" s="43" t="s">
        <v>1008</v>
      </c>
      <c r="I114" s="44" t="s">
        <v>1645</v>
      </c>
      <c r="J114" s="45" t="s">
        <v>1009</v>
      </c>
      <c r="K114" s="46" t="s">
        <v>1010</v>
      </c>
      <c r="L114" s="47" t="s">
        <v>2876</v>
      </c>
      <c r="M114" s="48" t="s">
        <v>2877</v>
      </c>
      <c r="N114" s="49"/>
      <c r="O114" s="50" t="s">
        <v>3221</v>
      </c>
      <c r="P114" s="59"/>
      <c r="Q114" s="59"/>
      <c r="R114" s="13"/>
    </row>
    <row r="115" spans="1:18" x14ac:dyDescent="0.25">
      <c r="A115" s="9" t="s">
        <v>21</v>
      </c>
      <c r="B115" s="28">
        <f>IF(ISBLANK(A115),0,INDEX(txtstylestab[],MATCH(A115,txtstylestab[style_Name],0),1))</f>
        <v>0</v>
      </c>
      <c r="C115" s="28">
        <f t="shared" si="5"/>
        <v>2</v>
      </c>
      <c r="D115" s="28">
        <f t="shared" si="6"/>
        <v>11</v>
      </c>
      <c r="E115" s="28">
        <f t="shared" si="7"/>
        <v>0</v>
      </c>
      <c r="F115" s="59" t="str">
        <f t="shared" si="8"/>
        <v/>
      </c>
      <c r="G115" s="42" t="s">
        <v>6</v>
      </c>
      <c r="H115" s="43" t="s">
        <v>26</v>
      </c>
      <c r="I115" s="44" t="s">
        <v>48</v>
      </c>
      <c r="J115" s="45" t="s">
        <v>54</v>
      </c>
      <c r="K115" s="46" t="s">
        <v>59</v>
      </c>
      <c r="L115" s="47" t="s">
        <v>2525</v>
      </c>
      <c r="M115" s="48" t="s">
        <v>2526</v>
      </c>
      <c r="N115" s="49"/>
      <c r="O115" s="50" t="s">
        <v>3173</v>
      </c>
      <c r="P115" s="50"/>
      <c r="Q115" s="59"/>
      <c r="R115" s="13"/>
    </row>
    <row r="116" spans="1:18" ht="18" thickBot="1" x14ac:dyDescent="0.35">
      <c r="A116" s="9" t="s">
        <v>11</v>
      </c>
      <c r="B116" s="28">
        <f>IF(ISBLANK(A116),0,INDEX(txtstylestab[],MATCH(A116,txtstylestab[style_Name],0),1))</f>
        <v>2</v>
      </c>
      <c r="C116" s="28">
        <f t="shared" si="5"/>
        <v>2</v>
      </c>
      <c r="D116" s="28">
        <f t="shared" si="6"/>
        <v>12</v>
      </c>
      <c r="E116" s="28">
        <f t="shared" si="7"/>
        <v>0</v>
      </c>
      <c r="F116" s="54" t="str">
        <f t="shared" si="8"/>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5"/>
        <v>2</v>
      </c>
      <c r="D117" s="28">
        <f t="shared" si="6"/>
        <v>12</v>
      </c>
      <c r="E117" s="28">
        <f t="shared" si="7"/>
        <v>0</v>
      </c>
      <c r="F117" s="59" t="str">
        <f t="shared" si="8"/>
        <v/>
      </c>
      <c r="G117" s="42" t="s">
        <v>82</v>
      </c>
      <c r="H117" s="43" t="s">
        <v>83</v>
      </c>
      <c r="I117" s="44" t="s">
        <v>84</v>
      </c>
      <c r="J117" s="45" t="s">
        <v>85</v>
      </c>
      <c r="K117" s="46" t="s">
        <v>86</v>
      </c>
      <c r="L117" s="47" t="s">
        <v>2398</v>
      </c>
      <c r="M117" s="48" t="s">
        <v>2333</v>
      </c>
      <c r="N117" s="49"/>
      <c r="O117" s="50" t="s">
        <v>3166</v>
      </c>
      <c r="P117" s="50"/>
      <c r="Q117" s="59"/>
      <c r="R117" s="13"/>
    </row>
    <row r="118" spans="1:18" ht="60" x14ac:dyDescent="0.25">
      <c r="A118" s="9" t="s">
        <v>21</v>
      </c>
      <c r="B118" s="28">
        <f>IF(ISBLANK(A118),0,INDEX(txtstylestab[],MATCH(A118,txtstylestab[style_Name],0),1))</f>
        <v>0</v>
      </c>
      <c r="C118" s="28">
        <f t="shared" si="5"/>
        <v>2</v>
      </c>
      <c r="D118" s="28">
        <f t="shared" si="6"/>
        <v>12</v>
      </c>
      <c r="E118" s="28">
        <f t="shared" si="7"/>
        <v>0</v>
      </c>
      <c r="F118" s="59" t="str">
        <f t="shared" si="8"/>
        <v/>
      </c>
      <c r="G118" s="42" t="s">
        <v>1016</v>
      </c>
      <c r="H118" s="43" t="s">
        <v>2004</v>
      </c>
      <c r="I118" s="44" t="s">
        <v>1017</v>
      </c>
      <c r="J118" s="45" t="s">
        <v>1018</v>
      </c>
      <c r="K118" s="46" t="s">
        <v>1019</v>
      </c>
      <c r="L118" s="47" t="s">
        <v>2879</v>
      </c>
      <c r="M118" s="48" t="s">
        <v>2881</v>
      </c>
      <c r="N118" s="49"/>
      <c r="O118" s="50" t="s">
        <v>3218</v>
      </c>
      <c r="P118" s="59"/>
      <c r="Q118" s="59"/>
      <c r="R118" s="13"/>
    </row>
    <row r="119" spans="1:18" x14ac:dyDescent="0.25">
      <c r="A119" s="9" t="s">
        <v>21</v>
      </c>
      <c r="B119" s="28">
        <f>IF(ISBLANK(A119),0,INDEX(txtstylestab[],MATCH(A119,txtstylestab[style_Name],0),1))</f>
        <v>0</v>
      </c>
      <c r="C119" s="28">
        <f t="shared" si="5"/>
        <v>2</v>
      </c>
      <c r="D119" s="28">
        <f t="shared" si="6"/>
        <v>12</v>
      </c>
      <c r="E119" s="28">
        <f t="shared" si="7"/>
        <v>0</v>
      </c>
      <c r="F119" s="59" t="str">
        <f t="shared" si="8"/>
        <v/>
      </c>
      <c r="G119" s="42" t="s">
        <v>6</v>
      </c>
      <c r="H119" s="43" t="s">
        <v>26</v>
      </c>
      <c r="I119" s="44" t="s">
        <v>48</v>
      </c>
      <c r="J119" s="45" t="s">
        <v>54</v>
      </c>
      <c r="K119" s="46" t="s">
        <v>59</v>
      </c>
      <c r="L119" s="47" t="s">
        <v>2525</v>
      </c>
      <c r="M119" s="48" t="s">
        <v>2526</v>
      </c>
      <c r="N119" s="49"/>
      <c r="O119" s="50" t="s">
        <v>3173</v>
      </c>
      <c r="P119" s="50"/>
      <c r="Q119" s="59"/>
      <c r="R119" s="13"/>
    </row>
    <row r="120" spans="1:18" ht="18" thickBot="1" x14ac:dyDescent="0.35">
      <c r="A120" s="9" t="s">
        <v>11</v>
      </c>
      <c r="B120" s="28">
        <f>IF(ISBLANK(A120),0,INDEX(txtstylestab[],MATCH(A120,txtstylestab[style_Name],0),1))</f>
        <v>2</v>
      </c>
      <c r="C120" s="28">
        <f t="shared" si="5"/>
        <v>2</v>
      </c>
      <c r="D120" s="28">
        <f t="shared" si="6"/>
        <v>13</v>
      </c>
      <c r="E120" s="28">
        <f t="shared" si="7"/>
        <v>0</v>
      </c>
      <c r="F120" s="54" t="str">
        <f t="shared" si="8"/>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5"/>
        <v>2</v>
      </c>
      <c r="D121" s="28">
        <f t="shared" si="6"/>
        <v>13</v>
      </c>
      <c r="E121" s="28">
        <f t="shared" si="7"/>
        <v>0</v>
      </c>
      <c r="F121" s="59" t="str">
        <f t="shared" si="8"/>
        <v/>
      </c>
      <c r="G121" s="42" t="s">
        <v>82</v>
      </c>
      <c r="H121" s="43" t="s">
        <v>83</v>
      </c>
      <c r="I121" s="44" t="s">
        <v>84</v>
      </c>
      <c r="J121" s="45" t="s">
        <v>85</v>
      </c>
      <c r="K121" s="46" t="s">
        <v>86</v>
      </c>
      <c r="L121" s="47" t="s">
        <v>2398</v>
      </c>
      <c r="M121" s="48" t="s">
        <v>2333</v>
      </c>
      <c r="N121" s="49"/>
      <c r="O121" s="50" t="s">
        <v>3166</v>
      </c>
      <c r="P121" s="50"/>
      <c r="Q121" s="59"/>
      <c r="R121" s="13"/>
    </row>
    <row r="122" spans="1:18" ht="60" x14ac:dyDescent="0.25">
      <c r="A122" s="9" t="s">
        <v>21</v>
      </c>
      <c r="B122" s="28">
        <f>IF(ISBLANK(A122),0,INDEX(txtstylestab[],MATCH(A122,txtstylestab[style_Name],0),1))</f>
        <v>0</v>
      </c>
      <c r="C122" s="28">
        <f t="shared" si="5"/>
        <v>2</v>
      </c>
      <c r="D122" s="28">
        <f t="shared" si="6"/>
        <v>13</v>
      </c>
      <c r="E122" s="28">
        <f t="shared" si="7"/>
        <v>0</v>
      </c>
      <c r="F122" s="59" t="str">
        <f t="shared" si="8"/>
        <v/>
      </c>
      <c r="G122" s="42" t="s">
        <v>1021</v>
      </c>
      <c r="H122" s="43" t="s">
        <v>1022</v>
      </c>
      <c r="I122" s="44" t="s">
        <v>1023</v>
      </c>
      <c r="J122" s="45" t="s">
        <v>1024</v>
      </c>
      <c r="K122" s="46" t="s">
        <v>1025</v>
      </c>
      <c r="L122" s="47" t="s">
        <v>2882</v>
      </c>
      <c r="M122" s="48" t="s">
        <v>2883</v>
      </c>
      <c r="N122" s="49"/>
      <c r="O122" s="50" t="s">
        <v>3216</v>
      </c>
      <c r="P122" s="59"/>
      <c r="Q122" s="59"/>
      <c r="R122" s="13"/>
    </row>
    <row r="123" spans="1:18" ht="60" x14ac:dyDescent="0.25">
      <c r="A123" s="9" t="s">
        <v>21</v>
      </c>
      <c r="B123" s="28">
        <f>IF(ISBLANK(A123),0,INDEX(txtstylestab[],MATCH(A123,txtstylestab[style_Name],0),1))</f>
        <v>0</v>
      </c>
      <c r="C123" s="28">
        <f t="shared" si="5"/>
        <v>2</v>
      </c>
      <c r="D123" s="28">
        <f t="shared" si="6"/>
        <v>13</v>
      </c>
      <c r="E123" s="28">
        <f t="shared" si="7"/>
        <v>0</v>
      </c>
      <c r="F123" s="59" t="str">
        <f t="shared" si="8"/>
        <v/>
      </c>
      <c r="G123" s="42" t="s">
        <v>1026</v>
      </c>
      <c r="H123" s="43" t="s">
        <v>1027</v>
      </c>
      <c r="I123" s="44" t="s">
        <v>1028</v>
      </c>
      <c r="J123" s="45" t="s">
        <v>1029</v>
      </c>
      <c r="K123" s="46" t="s">
        <v>1030</v>
      </c>
      <c r="L123" s="47" t="s">
        <v>2884</v>
      </c>
      <c r="M123" s="48" t="s">
        <v>2885</v>
      </c>
      <c r="N123" s="49"/>
      <c r="O123" s="50" t="s">
        <v>3217</v>
      </c>
      <c r="P123" s="59"/>
      <c r="Q123" s="59"/>
      <c r="R123" s="13"/>
    </row>
    <row r="124" spans="1:18" ht="45" x14ac:dyDescent="0.25">
      <c r="A124" s="9" t="s">
        <v>21</v>
      </c>
      <c r="B124" s="28">
        <f>IF(ISBLANK(A124),0,INDEX(txtstylestab[],MATCH(A124,txtstylestab[style_Name],0),1))</f>
        <v>0</v>
      </c>
      <c r="C124" s="28">
        <f t="shared" si="5"/>
        <v>2</v>
      </c>
      <c r="D124" s="28">
        <f t="shared" si="6"/>
        <v>13</v>
      </c>
      <c r="E124" s="28">
        <f t="shared" si="7"/>
        <v>0</v>
      </c>
      <c r="F124" s="59" t="str">
        <f t="shared" si="8"/>
        <v/>
      </c>
      <c r="G124" s="42" t="s">
        <v>536</v>
      </c>
      <c r="H124" s="43" t="s">
        <v>537</v>
      </c>
      <c r="I124" s="44" t="s">
        <v>503</v>
      </c>
      <c r="J124" s="45" t="s">
        <v>504</v>
      </c>
      <c r="K124" s="46" t="s">
        <v>1031</v>
      </c>
      <c r="L124" s="47" t="s">
        <v>2886</v>
      </c>
      <c r="M124" s="48" t="s">
        <v>2809</v>
      </c>
      <c r="N124" s="49"/>
      <c r="O124" s="50" t="s">
        <v>3244</v>
      </c>
      <c r="P124" s="50"/>
      <c r="Q124" s="59"/>
      <c r="R124" s="13"/>
    </row>
    <row r="125" spans="1:18" x14ac:dyDescent="0.25">
      <c r="A125" s="9" t="s">
        <v>21</v>
      </c>
      <c r="B125" s="28">
        <f>IF(ISBLANK(A125),0,INDEX(txtstylestab[],MATCH(A125,txtstylestab[style_Name],0),1))</f>
        <v>0</v>
      </c>
      <c r="C125" s="28">
        <f t="shared" si="5"/>
        <v>2</v>
      </c>
      <c r="D125" s="28">
        <f t="shared" si="6"/>
        <v>13</v>
      </c>
      <c r="E125" s="28">
        <f t="shared" si="7"/>
        <v>0</v>
      </c>
      <c r="F125" s="59" t="str">
        <f t="shared" si="8"/>
        <v/>
      </c>
      <c r="G125" s="42" t="s">
        <v>6</v>
      </c>
      <c r="H125" s="43" t="s">
        <v>96</v>
      </c>
      <c r="I125" s="44" t="s">
        <v>48</v>
      </c>
      <c r="J125" s="45" t="s">
        <v>54</v>
      </c>
      <c r="K125" s="46" t="s">
        <v>59</v>
      </c>
      <c r="L125" s="47" t="s">
        <v>2525</v>
      </c>
      <c r="M125" s="48" t="s">
        <v>2526</v>
      </c>
      <c r="N125" s="49"/>
      <c r="O125" s="50" t="s">
        <v>3173</v>
      </c>
      <c r="P125" s="50"/>
      <c r="Q125" s="59"/>
      <c r="R125" s="13"/>
    </row>
    <row r="126" spans="1:18" x14ac:dyDescent="0.25">
      <c r="A126" s="9" t="s">
        <v>13</v>
      </c>
      <c r="B126" s="28">
        <f>IF(ISBLANK(A126),0,INDEX(txtstylestab[],MATCH(A126,txtstylestab[style_Name],0),1))</f>
        <v>7</v>
      </c>
      <c r="C126" s="28">
        <f t="shared" si="5"/>
        <v>2</v>
      </c>
      <c r="D126" s="28">
        <f t="shared" si="6"/>
        <v>13</v>
      </c>
      <c r="E126" s="28">
        <f t="shared" si="7"/>
        <v>0</v>
      </c>
      <c r="F126" s="78" t="str">
        <f t="shared" si="8"/>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5"/>
        <v>2</v>
      </c>
      <c r="D127" s="28">
        <f t="shared" si="6"/>
        <v>14</v>
      </c>
      <c r="E127" s="28">
        <f t="shared" si="7"/>
        <v>0</v>
      </c>
      <c r="F127" s="54" t="str">
        <f t="shared" si="8"/>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5"/>
        <v>2</v>
      </c>
      <c r="D128" s="28">
        <f t="shared" si="6"/>
        <v>14</v>
      </c>
      <c r="E128" s="28">
        <f t="shared" si="7"/>
        <v>0</v>
      </c>
      <c r="F128" s="59" t="str">
        <f t="shared" si="8"/>
        <v/>
      </c>
      <c r="G128" s="42" t="s">
        <v>82</v>
      </c>
      <c r="H128" s="43" t="s">
        <v>83</v>
      </c>
      <c r="I128" s="44" t="s">
        <v>84</v>
      </c>
      <c r="J128" s="45" t="s">
        <v>85</v>
      </c>
      <c r="K128" s="46" t="s">
        <v>86</v>
      </c>
      <c r="L128" s="47" t="s">
        <v>2398</v>
      </c>
      <c r="M128" s="48" t="s">
        <v>2333</v>
      </c>
      <c r="N128" s="49"/>
      <c r="O128" s="50" t="s">
        <v>3166</v>
      </c>
      <c r="P128" s="50"/>
      <c r="Q128" s="59"/>
      <c r="R128" s="13"/>
    </row>
    <row r="129" spans="1:18" x14ac:dyDescent="0.25">
      <c r="A129" s="9" t="s">
        <v>22</v>
      </c>
      <c r="B129" s="28">
        <f>IF(ISBLANK(A129),0,INDEX(txtstylestab[],MATCH(A129,txtstylestab[style_Name],0),1))</f>
        <v>4</v>
      </c>
      <c r="C129" s="28">
        <f t="shared" si="5"/>
        <v>2</v>
      </c>
      <c r="D129" s="28">
        <f t="shared" si="6"/>
        <v>14</v>
      </c>
      <c r="E129" s="28">
        <f t="shared" si="7"/>
        <v>0</v>
      </c>
      <c r="F129" s="56" t="str">
        <f t="shared" si="8"/>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5"/>
        <v>2</v>
      </c>
      <c r="D130" s="28">
        <f t="shared" si="6"/>
        <v>14</v>
      </c>
      <c r="E130" s="28">
        <f t="shared" si="7"/>
        <v>0</v>
      </c>
      <c r="F130" s="59" t="str">
        <f t="shared" si="8"/>
        <v/>
      </c>
      <c r="G130" s="42" t="s">
        <v>1034</v>
      </c>
      <c r="H130" s="43" t="s">
        <v>1035</v>
      </c>
      <c r="I130" s="44" t="s">
        <v>1646</v>
      </c>
      <c r="J130" s="45" t="s">
        <v>1036</v>
      </c>
      <c r="K130" s="46" t="s">
        <v>1037</v>
      </c>
      <c r="L130" s="47" t="s">
        <v>2887</v>
      </c>
      <c r="M130" s="48" t="s">
        <v>2888</v>
      </c>
      <c r="N130" s="49"/>
      <c r="O130" s="50" t="s">
        <v>3212</v>
      </c>
      <c r="P130" s="59"/>
      <c r="Q130" s="59"/>
      <c r="R130" s="13"/>
    </row>
    <row r="131" spans="1:18" x14ac:dyDescent="0.25">
      <c r="A131" s="9" t="s">
        <v>22</v>
      </c>
      <c r="B131" s="28">
        <f>IF(ISBLANK(A131),0,INDEX(txtstylestab[],MATCH(A131,txtstylestab[style_Name],0),1))</f>
        <v>4</v>
      </c>
      <c r="C131" s="28">
        <f t="shared" si="5"/>
        <v>2</v>
      </c>
      <c r="D131" s="28">
        <f t="shared" si="6"/>
        <v>14</v>
      </c>
      <c r="E131" s="28">
        <f t="shared" si="7"/>
        <v>0</v>
      </c>
      <c r="F131" s="56" t="str">
        <f t="shared" si="8"/>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9">IF(B132=1,C131+1,C131)</f>
        <v>2</v>
      </c>
      <c r="D132" s="28">
        <f t="shared" ref="D132:D195" si="10">IF(B132=1,0,IF(B132=2,D131+1,IF(AND(B132=3,D131=0),1,D131)))</f>
        <v>14</v>
      </c>
      <c r="E132" s="28">
        <f t="shared" ref="E132:E195" si="11">IF(OR(B132=1,B132=2),0,IF(B132=3,E131+1,E131))</f>
        <v>0</v>
      </c>
      <c r="F132" s="59" t="str">
        <f t="shared" ref="F132:F195" si="12">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3213</v>
      </c>
      <c r="P132" s="59"/>
      <c r="Q132" s="59"/>
      <c r="R132" s="13"/>
    </row>
    <row r="133" spans="1:18" x14ac:dyDescent="0.25">
      <c r="A133" s="9" t="s">
        <v>22</v>
      </c>
      <c r="B133" s="28">
        <f>IF(ISBLANK(A133),0,INDEX(txtstylestab[],MATCH(A133,txtstylestab[style_Name],0),1))</f>
        <v>4</v>
      </c>
      <c r="C133" s="28">
        <f t="shared" si="9"/>
        <v>2</v>
      </c>
      <c r="D133" s="28">
        <f t="shared" si="10"/>
        <v>14</v>
      </c>
      <c r="E133" s="28">
        <f t="shared" si="11"/>
        <v>0</v>
      </c>
      <c r="F133" s="56" t="str">
        <f t="shared" si="12"/>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9"/>
        <v>2</v>
      </c>
      <c r="D134" s="28">
        <f t="shared" si="10"/>
        <v>14</v>
      </c>
      <c r="E134" s="28">
        <f t="shared" si="11"/>
        <v>0</v>
      </c>
      <c r="F134" s="59" t="str">
        <f t="shared" si="12"/>
        <v/>
      </c>
      <c r="G134" s="42" t="s">
        <v>1044</v>
      </c>
      <c r="H134" s="43" t="s">
        <v>1045</v>
      </c>
      <c r="I134" s="44" t="s">
        <v>1647</v>
      </c>
      <c r="J134" s="45" t="s">
        <v>1046</v>
      </c>
      <c r="K134" s="46" t="s">
        <v>1047</v>
      </c>
      <c r="L134" s="47" t="s">
        <v>2891</v>
      </c>
      <c r="M134" s="48" t="s">
        <v>2892</v>
      </c>
      <c r="N134" s="49"/>
      <c r="O134" s="50" t="s">
        <v>3214</v>
      </c>
      <c r="P134" s="59"/>
      <c r="Q134" s="59"/>
      <c r="R134" s="13"/>
    </row>
    <row r="135" spans="1:18" ht="45" x14ac:dyDescent="0.25">
      <c r="A135" s="9" t="s">
        <v>21</v>
      </c>
      <c r="B135" s="28">
        <f>IF(ISBLANK(A135),0,INDEX(txtstylestab[],MATCH(A135,txtstylestab[style_Name],0),1))</f>
        <v>0</v>
      </c>
      <c r="C135" s="28">
        <f t="shared" si="9"/>
        <v>2</v>
      </c>
      <c r="D135" s="28">
        <f t="shared" si="10"/>
        <v>14</v>
      </c>
      <c r="E135" s="28">
        <f t="shared" si="11"/>
        <v>0</v>
      </c>
      <c r="F135" s="59" t="str">
        <f t="shared" si="12"/>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9"/>
        <v>2</v>
      </c>
      <c r="D136" s="28">
        <f t="shared" si="10"/>
        <v>14</v>
      </c>
      <c r="E136" s="28">
        <f t="shared" si="11"/>
        <v>0</v>
      </c>
      <c r="F136" s="59" t="str">
        <f t="shared" si="12"/>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9"/>
        <v>2</v>
      </c>
      <c r="D137" s="28">
        <f t="shared" si="10"/>
        <v>14</v>
      </c>
      <c r="E137" s="28">
        <f t="shared" si="11"/>
        <v>0</v>
      </c>
      <c r="F137" s="59" t="str">
        <f t="shared" si="12"/>
        <v/>
      </c>
      <c r="G137" s="42" t="s">
        <v>1048</v>
      </c>
      <c r="H137" s="43" t="s">
        <v>2264</v>
      </c>
      <c r="I137" s="44" t="s">
        <v>1747</v>
      </c>
      <c r="J137" s="45" t="s">
        <v>1049</v>
      </c>
      <c r="K137" s="46" t="s">
        <v>1050</v>
      </c>
      <c r="L137" s="47" t="s">
        <v>2897</v>
      </c>
      <c r="M137" s="48" t="s">
        <v>2898</v>
      </c>
      <c r="N137" s="49"/>
      <c r="O137" s="50" t="s">
        <v>3215</v>
      </c>
      <c r="P137" s="59"/>
      <c r="Q137" s="59"/>
      <c r="R137" s="13"/>
    </row>
    <row r="138" spans="1:18" x14ac:dyDescent="0.25">
      <c r="A138" s="9" t="s">
        <v>21</v>
      </c>
      <c r="B138" s="28">
        <f>IF(ISBLANK(A138),0,INDEX(txtstylestab[],MATCH(A138,txtstylestab[style_Name],0),1))</f>
        <v>0</v>
      </c>
      <c r="C138" s="28">
        <f t="shared" si="9"/>
        <v>2</v>
      </c>
      <c r="D138" s="28">
        <f t="shared" si="10"/>
        <v>14</v>
      </c>
      <c r="E138" s="28">
        <f t="shared" si="11"/>
        <v>0</v>
      </c>
      <c r="F138" s="59" t="str">
        <f t="shared" si="12"/>
        <v/>
      </c>
      <c r="G138" s="42" t="s">
        <v>6</v>
      </c>
      <c r="H138" s="43" t="s">
        <v>26</v>
      </c>
      <c r="I138" s="44" t="s">
        <v>48</v>
      </c>
      <c r="J138" s="45" t="s">
        <v>54</v>
      </c>
      <c r="K138" s="46" t="s">
        <v>59</v>
      </c>
      <c r="L138" s="47" t="s">
        <v>2525</v>
      </c>
      <c r="M138" s="48" t="s">
        <v>2526</v>
      </c>
      <c r="N138" s="49"/>
      <c r="O138" s="50" t="s">
        <v>3173</v>
      </c>
      <c r="P138" s="50"/>
      <c r="Q138" s="59"/>
      <c r="R138" s="13"/>
    </row>
    <row r="139" spans="1:18" ht="18" thickBot="1" x14ac:dyDescent="0.35">
      <c r="A139" s="9" t="s">
        <v>11</v>
      </c>
      <c r="B139" s="28">
        <f>IF(ISBLANK(A139),0,INDEX(txtstylestab[],MATCH(A139,txtstylestab[style_Name],0),1))</f>
        <v>2</v>
      </c>
      <c r="C139" s="28">
        <f t="shared" si="9"/>
        <v>2</v>
      </c>
      <c r="D139" s="28">
        <f t="shared" si="10"/>
        <v>15</v>
      </c>
      <c r="E139" s="28">
        <f t="shared" si="11"/>
        <v>0</v>
      </c>
      <c r="F139" s="54" t="str">
        <f t="shared" si="12"/>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9"/>
        <v>2</v>
      </c>
      <c r="D140" s="28">
        <f t="shared" si="10"/>
        <v>15</v>
      </c>
      <c r="E140" s="28">
        <f t="shared" si="11"/>
        <v>0</v>
      </c>
      <c r="F140" s="59" t="str">
        <f t="shared" si="12"/>
        <v/>
      </c>
      <c r="G140" s="42" t="s">
        <v>82</v>
      </c>
      <c r="H140" s="43" t="s">
        <v>83</v>
      </c>
      <c r="I140" s="44" t="s">
        <v>84</v>
      </c>
      <c r="J140" s="45" t="s">
        <v>85</v>
      </c>
      <c r="K140" s="46" t="s">
        <v>86</v>
      </c>
      <c r="L140" s="47" t="s">
        <v>2398</v>
      </c>
      <c r="M140" s="48" t="s">
        <v>2333</v>
      </c>
      <c r="N140" s="49"/>
      <c r="O140" s="50" t="s">
        <v>3166</v>
      </c>
      <c r="P140" s="50"/>
      <c r="Q140" s="59"/>
      <c r="R140" s="13"/>
    </row>
    <row r="141" spans="1:18" ht="60" x14ac:dyDescent="0.25">
      <c r="A141" s="9" t="s">
        <v>21</v>
      </c>
      <c r="B141" s="28">
        <f>IF(ISBLANK(A141),0,INDEX(txtstylestab[],MATCH(A141,txtstylestab[style_Name],0),1))</f>
        <v>0</v>
      </c>
      <c r="C141" s="28">
        <f t="shared" si="9"/>
        <v>2</v>
      </c>
      <c r="D141" s="28">
        <f t="shared" si="10"/>
        <v>15</v>
      </c>
      <c r="E141" s="28">
        <f t="shared" si="11"/>
        <v>0</v>
      </c>
      <c r="F141" s="59" t="str">
        <f t="shared" si="12"/>
        <v/>
      </c>
      <c r="G141" s="42" t="s">
        <v>1062</v>
      </c>
      <c r="H141" s="43" t="s">
        <v>1063</v>
      </c>
      <c r="I141" s="44" t="s">
        <v>1064</v>
      </c>
      <c r="J141" s="45" t="s">
        <v>1066</v>
      </c>
      <c r="K141" s="46" t="s">
        <v>1065</v>
      </c>
      <c r="L141" s="47" t="s">
        <v>2899</v>
      </c>
      <c r="M141" s="48" t="s">
        <v>2900</v>
      </c>
      <c r="N141" s="49"/>
      <c r="O141" s="50" t="s">
        <v>3211</v>
      </c>
      <c r="P141" s="59"/>
      <c r="Q141" s="59"/>
      <c r="R141" s="13"/>
    </row>
    <row r="142" spans="1:18" x14ac:dyDescent="0.25">
      <c r="A142" s="9" t="s">
        <v>21</v>
      </c>
      <c r="B142" s="28">
        <f>IF(ISBLANK(A142),0,INDEX(txtstylestab[],MATCH(A142,txtstylestab[style_Name],0),1))</f>
        <v>0</v>
      </c>
      <c r="C142" s="28">
        <f t="shared" si="9"/>
        <v>2</v>
      </c>
      <c r="D142" s="28">
        <f t="shared" si="10"/>
        <v>15</v>
      </c>
      <c r="E142" s="28">
        <f t="shared" si="11"/>
        <v>0</v>
      </c>
      <c r="F142" s="59" t="str">
        <f t="shared" si="12"/>
        <v/>
      </c>
      <c r="G142" s="42" t="s">
        <v>6</v>
      </c>
      <c r="H142" s="43" t="s">
        <v>26</v>
      </c>
      <c r="I142" s="44" t="s">
        <v>48</v>
      </c>
      <c r="J142" s="45" t="s">
        <v>384</v>
      </c>
      <c r="K142" s="46" t="s">
        <v>59</v>
      </c>
      <c r="L142" s="47" t="s">
        <v>2525</v>
      </c>
      <c r="M142" s="48" t="s">
        <v>2526</v>
      </c>
      <c r="N142" s="49"/>
      <c r="O142" s="50" t="s">
        <v>3173</v>
      </c>
      <c r="P142" s="50"/>
      <c r="Q142" s="59"/>
      <c r="R142" s="13"/>
    </row>
    <row r="143" spans="1:18" ht="18" thickBot="1" x14ac:dyDescent="0.35">
      <c r="A143" s="9" t="s">
        <v>11</v>
      </c>
      <c r="B143" s="28">
        <f>IF(ISBLANK(A143),0,INDEX(txtstylestab[],MATCH(A143,txtstylestab[style_Name],0),1))</f>
        <v>2</v>
      </c>
      <c r="C143" s="28">
        <f t="shared" si="9"/>
        <v>2</v>
      </c>
      <c r="D143" s="28">
        <f t="shared" si="10"/>
        <v>16</v>
      </c>
      <c r="E143" s="28">
        <f t="shared" si="11"/>
        <v>0</v>
      </c>
      <c r="F143" s="54" t="str">
        <f t="shared" si="12"/>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9"/>
        <v>2</v>
      </c>
      <c r="D144" s="28">
        <f t="shared" si="10"/>
        <v>16</v>
      </c>
      <c r="E144" s="28">
        <f t="shared" si="11"/>
        <v>0</v>
      </c>
      <c r="F144" s="59" t="str">
        <f t="shared" si="12"/>
        <v/>
      </c>
      <c r="G144" s="42" t="s">
        <v>82</v>
      </c>
      <c r="H144" s="43" t="s">
        <v>83</v>
      </c>
      <c r="I144" s="44" t="s">
        <v>84</v>
      </c>
      <c r="J144" s="45" t="s">
        <v>85</v>
      </c>
      <c r="K144" s="46" t="s">
        <v>86</v>
      </c>
      <c r="L144" s="47" t="s">
        <v>2398</v>
      </c>
      <c r="M144" s="48" t="s">
        <v>2333</v>
      </c>
      <c r="N144" s="49"/>
      <c r="O144" s="50" t="s">
        <v>3166</v>
      </c>
      <c r="P144" s="50"/>
      <c r="Q144" s="59"/>
      <c r="R144" s="13"/>
    </row>
    <row r="145" spans="1:18" ht="105" x14ac:dyDescent="0.25">
      <c r="A145" s="9" t="s">
        <v>21</v>
      </c>
      <c r="B145" s="28">
        <f>IF(ISBLANK(A145),0,INDEX(txtstylestab[],MATCH(A145,txtstylestab[style_Name],0),1))</f>
        <v>0</v>
      </c>
      <c r="C145" s="28">
        <f t="shared" si="9"/>
        <v>2</v>
      </c>
      <c r="D145" s="28">
        <f t="shared" si="10"/>
        <v>16</v>
      </c>
      <c r="E145" s="28">
        <f t="shared" si="11"/>
        <v>0</v>
      </c>
      <c r="F145" s="59" t="str">
        <f t="shared" si="12"/>
        <v/>
      </c>
      <c r="G145" s="42" t="s">
        <v>2006</v>
      </c>
      <c r="H145" s="43" t="s">
        <v>2007</v>
      </c>
      <c r="I145" s="44" t="s">
        <v>2008</v>
      </c>
      <c r="J145" s="45" t="s">
        <v>2009</v>
      </c>
      <c r="K145" s="46" t="s">
        <v>2328</v>
      </c>
      <c r="L145" s="47" t="s">
        <v>2905</v>
      </c>
      <c r="M145" s="48" t="s">
        <v>2906</v>
      </c>
      <c r="N145" s="49"/>
      <c r="O145" s="50" t="s">
        <v>3210</v>
      </c>
      <c r="P145" s="59"/>
      <c r="Q145" s="59"/>
      <c r="R145" s="13"/>
    </row>
    <row r="146" spans="1:18" x14ac:dyDescent="0.25">
      <c r="A146" s="9" t="s">
        <v>22</v>
      </c>
      <c r="B146" s="28">
        <f>IF(ISBLANK(A146),0,INDEX(txtstylestab[],MATCH(A146,txtstylestab[style_Name],0),1))</f>
        <v>4</v>
      </c>
      <c r="C146" s="28">
        <f t="shared" si="9"/>
        <v>2</v>
      </c>
      <c r="D146" s="28">
        <f t="shared" si="10"/>
        <v>16</v>
      </c>
      <c r="E146" s="28">
        <f t="shared" si="11"/>
        <v>0</v>
      </c>
      <c r="F146" s="56" t="str">
        <f t="shared" si="12"/>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9"/>
        <v>2</v>
      </c>
      <c r="D147" s="28">
        <f t="shared" si="10"/>
        <v>16</v>
      </c>
      <c r="E147" s="28">
        <f t="shared" si="11"/>
        <v>0</v>
      </c>
      <c r="F147" s="59" t="str">
        <f t="shared" si="12"/>
        <v/>
      </c>
      <c r="G147" s="42" t="s">
        <v>2010</v>
      </c>
      <c r="H147" s="43" t="s">
        <v>2011</v>
      </c>
      <c r="I147" s="44" t="s">
        <v>2012</v>
      </c>
      <c r="J147" s="45" t="s">
        <v>2013</v>
      </c>
      <c r="K147" s="46" t="s">
        <v>2014</v>
      </c>
      <c r="L147" s="47" t="s">
        <v>2901</v>
      </c>
      <c r="M147" s="48" t="s">
        <v>2902</v>
      </c>
      <c r="N147" s="49"/>
      <c r="O147" s="50" t="s">
        <v>3208</v>
      </c>
      <c r="P147" s="59"/>
      <c r="Q147" s="59"/>
      <c r="R147" s="13"/>
    </row>
    <row r="148" spans="1:18" x14ac:dyDescent="0.25">
      <c r="A148" s="9" t="s">
        <v>22</v>
      </c>
      <c r="B148" s="28">
        <f>IF(ISBLANK(A148),0,INDEX(txtstylestab[],MATCH(A148,txtstylestab[style_Name],0),1))</f>
        <v>4</v>
      </c>
      <c r="C148" s="28">
        <f t="shared" si="9"/>
        <v>2</v>
      </c>
      <c r="D148" s="28">
        <f t="shared" si="10"/>
        <v>16</v>
      </c>
      <c r="E148" s="28">
        <f t="shared" si="11"/>
        <v>0</v>
      </c>
      <c r="F148" s="56" t="str">
        <f t="shared" si="12"/>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9"/>
        <v>2</v>
      </c>
      <c r="D149" s="28">
        <f t="shared" si="10"/>
        <v>16</v>
      </c>
      <c r="E149" s="28">
        <f t="shared" si="11"/>
        <v>0</v>
      </c>
      <c r="F149" s="59" t="str">
        <f t="shared" si="12"/>
        <v/>
      </c>
      <c r="G149" s="42" t="s">
        <v>2015</v>
      </c>
      <c r="H149" s="43" t="s">
        <v>2016</v>
      </c>
      <c r="I149" s="44" t="s">
        <v>2017</v>
      </c>
      <c r="J149" s="45" t="s">
        <v>2018</v>
      </c>
      <c r="K149" s="46" t="s">
        <v>2019</v>
      </c>
      <c r="L149" s="47" t="s">
        <v>2903</v>
      </c>
      <c r="M149" s="48" t="s">
        <v>2904</v>
      </c>
      <c r="N149" s="49"/>
      <c r="O149" s="50" t="s">
        <v>3209</v>
      </c>
      <c r="P149" s="59"/>
      <c r="Q149" s="59"/>
      <c r="R149" s="13"/>
    </row>
    <row r="150" spans="1:18" x14ac:dyDescent="0.25">
      <c r="A150" s="9" t="s">
        <v>21</v>
      </c>
      <c r="B150" s="28">
        <f>IF(ISBLANK(A150),0,INDEX(txtstylestab[],MATCH(A150,txtstylestab[style_Name],0),1))</f>
        <v>0</v>
      </c>
      <c r="C150" s="28">
        <f t="shared" si="9"/>
        <v>2</v>
      </c>
      <c r="D150" s="28">
        <f t="shared" si="10"/>
        <v>16</v>
      </c>
      <c r="E150" s="28">
        <f t="shared" si="11"/>
        <v>0</v>
      </c>
      <c r="F150" s="59" t="str">
        <f t="shared" si="12"/>
        <v/>
      </c>
      <c r="G150" s="42" t="s">
        <v>685</v>
      </c>
      <c r="H150" s="43" t="s">
        <v>26</v>
      </c>
      <c r="I150" s="44" t="s">
        <v>48</v>
      </c>
      <c r="J150" s="45" t="s">
        <v>384</v>
      </c>
      <c r="K150" s="46" t="s">
        <v>59</v>
      </c>
      <c r="L150" s="47" t="s">
        <v>2525</v>
      </c>
      <c r="M150" s="48" t="s">
        <v>2526</v>
      </c>
      <c r="N150" s="49"/>
      <c r="O150" s="50" t="s">
        <v>3173</v>
      </c>
      <c r="P150" s="50"/>
      <c r="Q150" s="59"/>
      <c r="R150" s="13"/>
    </row>
    <row r="151" spans="1:18" ht="18" thickBot="1" x14ac:dyDescent="0.35">
      <c r="A151" s="9" t="s">
        <v>11</v>
      </c>
      <c r="B151" s="28">
        <f>IF(ISBLANK(A151),0,INDEX(txtstylestab[],MATCH(A151,txtstylestab[style_Name],0),1))</f>
        <v>2</v>
      </c>
      <c r="C151" s="28">
        <f t="shared" si="9"/>
        <v>2</v>
      </c>
      <c r="D151" s="28">
        <f t="shared" si="10"/>
        <v>17</v>
      </c>
      <c r="E151" s="28">
        <f t="shared" si="11"/>
        <v>0</v>
      </c>
      <c r="F151" s="54" t="str">
        <f t="shared" si="12"/>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9"/>
        <v>2</v>
      </c>
      <c r="D152" s="28">
        <f t="shared" si="10"/>
        <v>17</v>
      </c>
      <c r="E152" s="28">
        <f t="shared" si="11"/>
        <v>0</v>
      </c>
      <c r="F152" s="59" t="str">
        <f t="shared" si="12"/>
        <v/>
      </c>
      <c r="G152" s="42" t="s">
        <v>82</v>
      </c>
      <c r="H152" s="43" t="s">
        <v>83</v>
      </c>
      <c r="I152" s="44" t="s">
        <v>84</v>
      </c>
      <c r="J152" s="45" t="s">
        <v>85</v>
      </c>
      <c r="K152" s="46" t="s">
        <v>86</v>
      </c>
      <c r="L152" s="47" t="s">
        <v>2398</v>
      </c>
      <c r="M152" s="48" t="s">
        <v>2333</v>
      </c>
      <c r="N152" s="49"/>
      <c r="O152" s="50" t="s">
        <v>3166</v>
      </c>
      <c r="P152" s="50"/>
      <c r="Q152" s="59"/>
      <c r="R152" s="13"/>
    </row>
    <row r="153" spans="1:18" ht="45" x14ac:dyDescent="0.25">
      <c r="A153" s="9" t="s">
        <v>21</v>
      </c>
      <c r="B153" s="28">
        <f>IF(ISBLANK(A153),0,INDEX(txtstylestab[],MATCH(A153,txtstylestab[style_Name],0),1))</f>
        <v>0</v>
      </c>
      <c r="C153" s="28">
        <f t="shared" si="9"/>
        <v>2</v>
      </c>
      <c r="D153" s="28">
        <f t="shared" si="10"/>
        <v>17</v>
      </c>
      <c r="E153" s="28">
        <f t="shared" si="11"/>
        <v>0</v>
      </c>
      <c r="F153" s="59" t="str">
        <f t="shared" si="12"/>
        <v/>
      </c>
      <c r="G153" s="42" t="s">
        <v>1071</v>
      </c>
      <c r="H153" s="43" t="s">
        <v>2265</v>
      </c>
      <c r="I153" s="44" t="s">
        <v>1748</v>
      </c>
      <c r="J153" s="45" t="s">
        <v>1072</v>
      </c>
      <c r="K153" s="46" t="s">
        <v>1073</v>
      </c>
      <c r="L153" s="47" t="s">
        <v>2907</v>
      </c>
      <c r="M153" s="48" t="s">
        <v>2912</v>
      </c>
      <c r="N153" s="49"/>
      <c r="O153" s="50" t="s">
        <v>3205</v>
      </c>
      <c r="P153" s="59"/>
      <c r="Q153" s="59"/>
      <c r="R153" s="13"/>
    </row>
    <row r="154" spans="1:18" ht="75" x14ac:dyDescent="0.25">
      <c r="A154" s="9" t="s">
        <v>21</v>
      </c>
      <c r="B154" s="28">
        <f>IF(ISBLANK(A154),0,INDEX(txtstylestab[],MATCH(A154,txtstylestab[style_Name],0),1))</f>
        <v>0</v>
      </c>
      <c r="C154" s="28">
        <f t="shared" si="9"/>
        <v>2</v>
      </c>
      <c r="D154" s="28">
        <f t="shared" si="10"/>
        <v>17</v>
      </c>
      <c r="E154" s="28">
        <f t="shared" si="11"/>
        <v>0</v>
      </c>
      <c r="F154" s="59" t="str">
        <f t="shared" si="12"/>
        <v/>
      </c>
      <c r="G154" s="42" t="s">
        <v>1074</v>
      </c>
      <c r="H154" s="43" t="s">
        <v>1075</v>
      </c>
      <c r="I154" s="44" t="s">
        <v>1076</v>
      </c>
      <c r="J154" s="45" t="s">
        <v>1077</v>
      </c>
      <c r="K154" s="46" t="s">
        <v>1078</v>
      </c>
      <c r="L154" s="47" t="s">
        <v>2908</v>
      </c>
      <c r="M154" s="48" t="s">
        <v>2909</v>
      </c>
      <c r="N154" s="49"/>
      <c r="O154" s="50" t="s">
        <v>3206</v>
      </c>
      <c r="P154" s="59"/>
      <c r="Q154" s="59"/>
      <c r="R154" s="13"/>
    </row>
    <row r="155" spans="1:18" ht="60" x14ac:dyDescent="0.25">
      <c r="A155" s="9" t="s">
        <v>21</v>
      </c>
      <c r="B155" s="28">
        <f>IF(ISBLANK(A155),0,INDEX(txtstylestab[],MATCH(A155,txtstylestab[style_Name],0),1))</f>
        <v>0</v>
      </c>
      <c r="C155" s="28">
        <f t="shared" si="9"/>
        <v>2</v>
      </c>
      <c r="D155" s="28">
        <f t="shared" si="10"/>
        <v>17</v>
      </c>
      <c r="E155" s="28">
        <f t="shared" si="11"/>
        <v>0</v>
      </c>
      <c r="F155" s="59" t="str">
        <f t="shared" si="12"/>
        <v/>
      </c>
      <c r="G155" s="42" t="s">
        <v>1079</v>
      </c>
      <c r="H155" s="43" t="s">
        <v>1080</v>
      </c>
      <c r="I155" s="44" t="s">
        <v>1081</v>
      </c>
      <c r="J155" s="45" t="s">
        <v>1082</v>
      </c>
      <c r="K155" s="46" t="s">
        <v>1083</v>
      </c>
      <c r="L155" s="47" t="s">
        <v>2910</v>
      </c>
      <c r="M155" s="48" t="s">
        <v>2911</v>
      </c>
      <c r="N155" s="49"/>
      <c r="O155" s="50" t="s">
        <v>3207</v>
      </c>
      <c r="P155" s="59"/>
      <c r="Q155" s="59"/>
      <c r="R155" s="13"/>
    </row>
    <row r="156" spans="1:18" x14ac:dyDescent="0.25">
      <c r="A156" s="9" t="s">
        <v>21</v>
      </c>
      <c r="B156" s="28">
        <f>IF(ISBLANK(A156),0,INDEX(txtstylestab[],MATCH(A156,txtstylestab[style_Name],0),1))</f>
        <v>0</v>
      </c>
      <c r="C156" s="28">
        <f t="shared" si="9"/>
        <v>2</v>
      </c>
      <c r="D156" s="28">
        <f t="shared" si="10"/>
        <v>17</v>
      </c>
      <c r="E156" s="28">
        <f t="shared" si="11"/>
        <v>0</v>
      </c>
      <c r="F156" s="59" t="str">
        <f t="shared" si="12"/>
        <v/>
      </c>
      <c r="G156" s="42" t="s">
        <v>6</v>
      </c>
      <c r="H156" s="43" t="s">
        <v>26</v>
      </c>
      <c r="I156" s="44" t="s">
        <v>48</v>
      </c>
      <c r="J156" s="45" t="s">
        <v>54</v>
      </c>
      <c r="K156" s="46" t="s">
        <v>59</v>
      </c>
      <c r="L156" s="47" t="s">
        <v>2525</v>
      </c>
      <c r="M156" s="48" t="s">
        <v>2526</v>
      </c>
      <c r="N156" s="49"/>
      <c r="O156" s="50" t="s">
        <v>3173</v>
      </c>
      <c r="P156" s="50"/>
      <c r="Q156" s="59"/>
      <c r="R156" s="13"/>
    </row>
    <row r="157" spans="1:18" ht="18" thickBot="1" x14ac:dyDescent="0.35">
      <c r="A157" s="9" t="s">
        <v>11</v>
      </c>
      <c r="B157" s="28">
        <f>IF(ISBLANK(A157),0,INDEX(txtstylestab[],MATCH(A157,txtstylestab[style_Name],0),1))</f>
        <v>2</v>
      </c>
      <c r="C157" s="28">
        <f t="shared" si="9"/>
        <v>2</v>
      </c>
      <c r="D157" s="28">
        <f t="shared" si="10"/>
        <v>18</v>
      </c>
      <c r="E157" s="28">
        <f t="shared" si="11"/>
        <v>0</v>
      </c>
      <c r="F157" s="54" t="str">
        <f t="shared" si="12"/>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9"/>
        <v>2</v>
      </c>
      <c r="D158" s="28">
        <f t="shared" si="10"/>
        <v>18</v>
      </c>
      <c r="E158" s="28">
        <f t="shared" si="11"/>
        <v>1</v>
      </c>
      <c r="F158" s="55" t="str">
        <f t="shared" si="12"/>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9"/>
        <v>2</v>
      </c>
      <c r="D159" s="28">
        <f t="shared" si="10"/>
        <v>18</v>
      </c>
      <c r="E159" s="28">
        <f t="shared" si="11"/>
        <v>1</v>
      </c>
      <c r="F159" s="59" t="str">
        <f t="shared" si="12"/>
        <v/>
      </c>
      <c r="G159" s="42" t="s">
        <v>82</v>
      </c>
      <c r="H159" s="43" t="s">
        <v>83</v>
      </c>
      <c r="I159" s="44" t="s">
        <v>84</v>
      </c>
      <c r="J159" s="45" t="s">
        <v>85</v>
      </c>
      <c r="K159" s="46" t="s">
        <v>86</v>
      </c>
      <c r="L159" s="47" t="s">
        <v>2398</v>
      </c>
      <c r="M159" s="48" t="s">
        <v>2333</v>
      </c>
      <c r="N159" s="49"/>
      <c r="O159" s="50" t="s">
        <v>3166</v>
      </c>
      <c r="P159" s="50"/>
      <c r="Q159" s="59"/>
      <c r="R159" s="13"/>
    </row>
    <row r="160" spans="1:18" ht="75" x14ac:dyDescent="0.25">
      <c r="A160" s="9" t="s">
        <v>21</v>
      </c>
      <c r="B160" s="28">
        <f>IF(ISBLANK(A160),0,INDEX(txtstylestab[],MATCH(A160,txtstylestab[style_Name],0),1))</f>
        <v>0</v>
      </c>
      <c r="C160" s="28">
        <f t="shared" si="9"/>
        <v>2</v>
      </c>
      <c r="D160" s="28">
        <f t="shared" si="10"/>
        <v>18</v>
      </c>
      <c r="E160" s="28">
        <f t="shared" si="11"/>
        <v>1</v>
      </c>
      <c r="F160" s="59" t="str">
        <f t="shared" si="12"/>
        <v/>
      </c>
      <c r="G160" s="42" t="s">
        <v>1086</v>
      </c>
      <c r="H160" s="43" t="s">
        <v>1087</v>
      </c>
      <c r="I160" s="44" t="s">
        <v>1648</v>
      </c>
      <c r="J160" s="45" t="s">
        <v>1088</v>
      </c>
      <c r="K160" s="46" t="s">
        <v>1089</v>
      </c>
      <c r="L160" s="47" t="s">
        <v>2913</v>
      </c>
      <c r="M160" s="48" t="s">
        <v>2914</v>
      </c>
      <c r="N160" s="49"/>
      <c r="O160" s="50" t="s">
        <v>3204</v>
      </c>
      <c r="P160" s="59"/>
      <c r="Q160" s="59"/>
      <c r="R160" s="13"/>
    </row>
    <row r="161" spans="1:18" ht="45" x14ac:dyDescent="0.25">
      <c r="A161" s="9" t="s">
        <v>21</v>
      </c>
      <c r="B161" s="28">
        <f>IF(ISBLANK(A161),0,INDEX(txtstylestab[],MATCH(A161,txtstylestab[style_Name],0),1))</f>
        <v>0</v>
      </c>
      <c r="C161" s="28">
        <f t="shared" si="9"/>
        <v>2</v>
      </c>
      <c r="D161" s="28">
        <f t="shared" si="10"/>
        <v>18</v>
      </c>
      <c r="E161" s="28">
        <f t="shared" si="11"/>
        <v>1</v>
      </c>
      <c r="F161" s="59" t="str">
        <f t="shared" si="12"/>
        <v/>
      </c>
      <c r="G161" s="42" t="s">
        <v>536</v>
      </c>
      <c r="H161" s="43" t="s">
        <v>537</v>
      </c>
      <c r="I161" s="44" t="s">
        <v>503</v>
      </c>
      <c r="J161" s="45" t="s">
        <v>504</v>
      </c>
      <c r="K161" s="46" t="s">
        <v>1031</v>
      </c>
      <c r="L161" s="47" t="s">
        <v>2915</v>
      </c>
      <c r="M161" s="48" t="s">
        <v>2916</v>
      </c>
      <c r="N161" s="49"/>
      <c r="O161" s="50" t="s">
        <v>3203</v>
      </c>
      <c r="P161" s="59"/>
      <c r="Q161" s="59"/>
      <c r="R161" s="13"/>
    </row>
    <row r="162" spans="1:18" x14ac:dyDescent="0.25">
      <c r="A162" s="9" t="s">
        <v>21</v>
      </c>
      <c r="B162" s="28">
        <f>IF(ISBLANK(A162),0,INDEX(txtstylestab[],MATCH(A162,txtstylestab[style_Name],0),1))</f>
        <v>0</v>
      </c>
      <c r="C162" s="28">
        <f t="shared" si="9"/>
        <v>2</v>
      </c>
      <c r="D162" s="28">
        <f t="shared" si="10"/>
        <v>18</v>
      </c>
      <c r="E162" s="28">
        <f t="shared" si="11"/>
        <v>1</v>
      </c>
      <c r="F162" s="59" t="str">
        <f t="shared" si="12"/>
        <v/>
      </c>
      <c r="G162" s="42" t="s">
        <v>6</v>
      </c>
      <c r="H162" s="43" t="s">
        <v>26</v>
      </c>
      <c r="I162" s="44" t="s">
        <v>48</v>
      </c>
      <c r="J162" s="45" t="s">
        <v>54</v>
      </c>
      <c r="K162" s="46" t="s">
        <v>59</v>
      </c>
      <c r="L162" s="47" t="s">
        <v>2525</v>
      </c>
      <c r="M162" s="48" t="s">
        <v>2526</v>
      </c>
      <c r="N162" s="49"/>
      <c r="O162" s="50" t="s">
        <v>3173</v>
      </c>
      <c r="P162" s="50"/>
      <c r="Q162" s="59"/>
      <c r="R162" s="13"/>
    </row>
    <row r="163" spans="1:18" ht="15.75" thickBot="1" x14ac:dyDescent="0.3">
      <c r="A163" s="9" t="s">
        <v>12</v>
      </c>
      <c r="B163" s="28">
        <f>IF(ISBLANK(A163),0,INDEX(txtstylestab[],MATCH(A163,txtstylestab[style_Name],0),1))</f>
        <v>3</v>
      </c>
      <c r="C163" s="28">
        <f t="shared" si="9"/>
        <v>2</v>
      </c>
      <c r="D163" s="28">
        <f t="shared" si="10"/>
        <v>18</v>
      </c>
      <c r="E163" s="28">
        <f t="shared" si="11"/>
        <v>2</v>
      </c>
      <c r="F163" s="55" t="str">
        <f t="shared" si="12"/>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9"/>
        <v>2</v>
      </c>
      <c r="D164" s="28">
        <f t="shared" si="10"/>
        <v>18</v>
      </c>
      <c r="E164" s="28">
        <f t="shared" si="11"/>
        <v>2</v>
      </c>
      <c r="F164" s="59" t="str">
        <f t="shared" si="12"/>
        <v/>
      </c>
      <c r="G164" s="42" t="s">
        <v>82</v>
      </c>
      <c r="H164" s="43" t="s">
        <v>83</v>
      </c>
      <c r="I164" s="44" t="s">
        <v>84</v>
      </c>
      <c r="J164" s="45" t="s">
        <v>1091</v>
      </c>
      <c r="K164" s="46" t="s">
        <v>86</v>
      </c>
      <c r="L164" s="47" t="s">
        <v>2398</v>
      </c>
      <c r="M164" s="48" t="s">
        <v>2333</v>
      </c>
      <c r="N164" s="49"/>
      <c r="O164" s="50" t="s">
        <v>3166</v>
      </c>
      <c r="P164" s="50"/>
      <c r="Q164" s="59"/>
      <c r="R164" s="13"/>
    </row>
    <row r="165" spans="1:18" ht="60" x14ac:dyDescent="0.25">
      <c r="A165" s="9" t="s">
        <v>21</v>
      </c>
      <c r="B165" s="28">
        <f>IF(ISBLANK(A165),0,INDEX(txtstylestab[],MATCH(A165,txtstylestab[style_Name],0),1))</f>
        <v>0</v>
      </c>
      <c r="C165" s="28">
        <f t="shared" si="9"/>
        <v>2</v>
      </c>
      <c r="D165" s="28">
        <f t="shared" si="10"/>
        <v>18</v>
      </c>
      <c r="E165" s="28">
        <f t="shared" si="11"/>
        <v>2</v>
      </c>
      <c r="F165" s="59" t="str">
        <f t="shared" si="12"/>
        <v/>
      </c>
      <c r="G165" s="42" t="s">
        <v>2020</v>
      </c>
      <c r="H165" s="43" t="s">
        <v>2021</v>
      </c>
      <c r="I165" s="44" t="s">
        <v>2022</v>
      </c>
      <c r="J165" s="45" t="s">
        <v>2023</v>
      </c>
      <c r="K165" s="46" t="s">
        <v>2024</v>
      </c>
      <c r="L165" s="47" t="s">
        <v>2917</v>
      </c>
      <c r="M165" s="48" t="s">
        <v>2918</v>
      </c>
      <c r="N165" s="49"/>
      <c r="O165" s="50" t="s">
        <v>3200</v>
      </c>
      <c r="P165" s="59"/>
      <c r="Q165" s="59"/>
      <c r="R165" s="13"/>
    </row>
    <row r="166" spans="1:18" ht="135" x14ac:dyDescent="0.25">
      <c r="A166" s="9" t="s">
        <v>14</v>
      </c>
      <c r="B166" s="28">
        <f>IF(ISBLANK(A166),0,INDEX(txtstylestab[],MATCH(A166,txtstylestab[style_Name],0),1))</f>
        <v>6</v>
      </c>
      <c r="C166" s="28">
        <f t="shared" si="9"/>
        <v>2</v>
      </c>
      <c r="D166" s="28">
        <f t="shared" si="10"/>
        <v>18</v>
      </c>
      <c r="E166" s="28">
        <f t="shared" si="11"/>
        <v>2</v>
      </c>
      <c r="F166" s="59" t="str">
        <f t="shared" si="12"/>
        <v/>
      </c>
      <c r="G166" s="42" t="s">
        <v>1092</v>
      </c>
      <c r="H166" s="43" t="s">
        <v>1093</v>
      </c>
      <c r="I166" s="44" t="s">
        <v>2301</v>
      </c>
      <c r="J166" s="45" t="s">
        <v>2025</v>
      </c>
      <c r="K166" s="46" t="s">
        <v>2026</v>
      </c>
      <c r="L166" s="47" t="s">
        <v>2919</v>
      </c>
      <c r="M166" s="48" t="s">
        <v>2920</v>
      </c>
      <c r="N166" s="49"/>
      <c r="O166" s="50" t="s">
        <v>3201</v>
      </c>
      <c r="P166" s="59"/>
      <c r="Q166" s="59"/>
      <c r="R166" s="13"/>
    </row>
    <row r="167" spans="1:18" ht="90" x14ac:dyDescent="0.25">
      <c r="A167" s="9" t="s">
        <v>14</v>
      </c>
      <c r="B167" s="28">
        <f>IF(ISBLANK(A167),0,INDEX(txtstylestab[],MATCH(A167,txtstylestab[style_Name],0),1))</f>
        <v>6</v>
      </c>
      <c r="C167" s="28">
        <f t="shared" si="9"/>
        <v>2</v>
      </c>
      <c r="D167" s="28">
        <f t="shared" si="10"/>
        <v>18</v>
      </c>
      <c r="E167" s="28">
        <f t="shared" si="11"/>
        <v>2</v>
      </c>
      <c r="F167" s="59" t="str">
        <f t="shared" si="12"/>
        <v/>
      </c>
      <c r="G167" s="42" t="s">
        <v>1094</v>
      </c>
      <c r="H167" s="43" t="s">
        <v>1095</v>
      </c>
      <c r="I167" s="44" t="s">
        <v>1096</v>
      </c>
      <c r="J167" s="45" t="s">
        <v>1097</v>
      </c>
      <c r="K167" s="46" t="s">
        <v>1098</v>
      </c>
      <c r="L167" s="47" t="s">
        <v>2921</v>
      </c>
      <c r="M167" s="48" t="s">
        <v>2922</v>
      </c>
      <c r="N167" s="49"/>
      <c r="O167" s="50" t="s">
        <v>3202</v>
      </c>
      <c r="P167" s="59"/>
      <c r="Q167" s="59"/>
      <c r="R167" s="13"/>
    </row>
    <row r="168" spans="1:18" ht="45" x14ac:dyDescent="0.25">
      <c r="A168" s="9" t="s">
        <v>21</v>
      </c>
      <c r="B168" s="28">
        <f>IF(ISBLANK(A168),0,INDEX(txtstylestab[],MATCH(A168,txtstylestab[style_Name],0),1))</f>
        <v>0</v>
      </c>
      <c r="C168" s="28">
        <f t="shared" si="9"/>
        <v>2</v>
      </c>
      <c r="D168" s="28">
        <f t="shared" si="10"/>
        <v>18</v>
      </c>
      <c r="E168" s="28">
        <f t="shared" si="11"/>
        <v>2</v>
      </c>
      <c r="F168" s="59" t="str">
        <f t="shared" si="12"/>
        <v/>
      </c>
      <c r="G168" s="42" t="s">
        <v>536</v>
      </c>
      <c r="H168" s="43" t="s">
        <v>537</v>
      </c>
      <c r="I168" s="44" t="s">
        <v>503</v>
      </c>
      <c r="J168" s="45" t="s">
        <v>504</v>
      </c>
      <c r="K168" s="46" t="s">
        <v>538</v>
      </c>
      <c r="L168" s="47" t="s">
        <v>2915</v>
      </c>
      <c r="M168" s="48" t="s">
        <v>2916</v>
      </c>
      <c r="N168" s="49"/>
      <c r="O168" s="50" t="s">
        <v>3203</v>
      </c>
      <c r="P168" s="59"/>
      <c r="Q168" s="59"/>
      <c r="R168" s="13"/>
    </row>
    <row r="169" spans="1:18" x14ac:dyDescent="0.25">
      <c r="A169" s="9" t="s">
        <v>21</v>
      </c>
      <c r="B169" s="28">
        <f>IF(ISBLANK(A169),0,INDEX(txtstylestab[],MATCH(A169,txtstylestab[style_Name],0),1))</f>
        <v>0</v>
      </c>
      <c r="C169" s="28">
        <f t="shared" si="9"/>
        <v>2</v>
      </c>
      <c r="D169" s="28">
        <f t="shared" si="10"/>
        <v>18</v>
      </c>
      <c r="E169" s="28">
        <f t="shared" si="11"/>
        <v>2</v>
      </c>
      <c r="F169" s="59" t="str">
        <f t="shared" si="12"/>
        <v/>
      </c>
      <c r="G169" s="42" t="s">
        <v>6</v>
      </c>
      <c r="H169" s="43" t="s">
        <v>26</v>
      </c>
      <c r="I169" s="44" t="s">
        <v>48</v>
      </c>
      <c r="J169" s="45" t="s">
        <v>54</v>
      </c>
      <c r="K169" s="46" t="s">
        <v>59</v>
      </c>
      <c r="L169" s="47" t="s">
        <v>2525</v>
      </c>
      <c r="M169" s="48" t="s">
        <v>2526</v>
      </c>
      <c r="N169" s="49"/>
      <c r="O169" s="50" t="s">
        <v>3173</v>
      </c>
      <c r="P169" s="50"/>
      <c r="Q169" s="59"/>
      <c r="R169" s="13"/>
    </row>
    <row r="170" spans="1:18" ht="18" thickBot="1" x14ac:dyDescent="0.35">
      <c r="A170" s="9" t="s">
        <v>11</v>
      </c>
      <c r="B170" s="28">
        <f>IF(ISBLANK(A170),0,INDEX(txtstylestab[],MATCH(A170,txtstylestab[style_Name],0),1))</f>
        <v>2</v>
      </c>
      <c r="C170" s="28">
        <f t="shared" si="9"/>
        <v>2</v>
      </c>
      <c r="D170" s="28">
        <f t="shared" si="10"/>
        <v>19</v>
      </c>
      <c r="E170" s="28">
        <f t="shared" si="11"/>
        <v>0</v>
      </c>
      <c r="F170" s="54" t="str">
        <f t="shared" si="12"/>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9"/>
        <v>2</v>
      </c>
      <c r="D171" s="28">
        <f t="shared" si="10"/>
        <v>19</v>
      </c>
      <c r="E171" s="28">
        <f t="shared" si="11"/>
        <v>0</v>
      </c>
      <c r="F171" s="59" t="str">
        <f t="shared" si="12"/>
        <v/>
      </c>
      <c r="G171" s="42" t="s">
        <v>82</v>
      </c>
      <c r="H171" s="43" t="s">
        <v>83</v>
      </c>
      <c r="I171" s="44" t="s">
        <v>84</v>
      </c>
      <c r="J171" s="45" t="s">
        <v>1091</v>
      </c>
      <c r="K171" s="46" t="s">
        <v>86</v>
      </c>
      <c r="L171" s="47" t="s">
        <v>2398</v>
      </c>
      <c r="M171" s="48" t="s">
        <v>2333</v>
      </c>
      <c r="N171" s="49"/>
      <c r="O171" s="50" t="s">
        <v>3166</v>
      </c>
      <c r="P171" s="50"/>
      <c r="Q171" s="59"/>
      <c r="R171" s="13"/>
    </row>
    <row r="172" spans="1:18" ht="135" x14ac:dyDescent="0.25">
      <c r="A172" s="9" t="s">
        <v>21</v>
      </c>
      <c r="B172" s="28">
        <f>IF(ISBLANK(A172),0,INDEX(txtstylestab[],MATCH(A172,txtstylestab[style_Name],0),1))</f>
        <v>0</v>
      </c>
      <c r="C172" s="28">
        <f t="shared" si="9"/>
        <v>2</v>
      </c>
      <c r="D172" s="28">
        <f t="shared" si="10"/>
        <v>19</v>
      </c>
      <c r="E172" s="28">
        <f t="shared" si="11"/>
        <v>0</v>
      </c>
      <c r="F172" s="59" t="str">
        <f t="shared" si="12"/>
        <v/>
      </c>
      <c r="G172" s="42" t="s">
        <v>1100</v>
      </c>
      <c r="H172" s="43" t="s">
        <v>2150</v>
      </c>
      <c r="I172" s="44" t="s">
        <v>1749</v>
      </c>
      <c r="J172" s="45" t="s">
        <v>1101</v>
      </c>
      <c r="K172" s="46" t="s">
        <v>1750</v>
      </c>
      <c r="L172" s="47" t="s">
        <v>2923</v>
      </c>
      <c r="M172" s="48" t="s">
        <v>2924</v>
      </c>
      <c r="N172" s="49"/>
      <c r="O172" s="50" t="s">
        <v>3351</v>
      </c>
      <c r="P172" s="59"/>
      <c r="Q172" s="59"/>
      <c r="R172" s="13"/>
    </row>
    <row r="173" spans="1:18" ht="45" x14ac:dyDescent="0.25">
      <c r="A173" s="9" t="s">
        <v>21</v>
      </c>
      <c r="B173" s="28">
        <f>IF(ISBLANK(A173),0,INDEX(txtstylestab[],MATCH(A173,txtstylestab[style_Name],0),1))</f>
        <v>0</v>
      </c>
      <c r="C173" s="28">
        <f t="shared" si="9"/>
        <v>2</v>
      </c>
      <c r="D173" s="28">
        <f t="shared" si="10"/>
        <v>19</v>
      </c>
      <c r="E173" s="28">
        <f t="shared" si="11"/>
        <v>0</v>
      </c>
      <c r="F173" s="59" t="str">
        <f t="shared" si="12"/>
        <v/>
      </c>
      <c r="G173" s="42" t="s">
        <v>536</v>
      </c>
      <c r="H173" s="43" t="s">
        <v>537</v>
      </c>
      <c r="I173" s="44" t="s">
        <v>503</v>
      </c>
      <c r="J173" s="45" t="s">
        <v>504</v>
      </c>
      <c r="K173" s="46" t="s">
        <v>538</v>
      </c>
      <c r="L173" s="47" t="s">
        <v>2915</v>
      </c>
      <c r="M173" s="48" t="s">
        <v>2916</v>
      </c>
      <c r="N173" s="49"/>
      <c r="O173" s="50" t="s">
        <v>3183</v>
      </c>
      <c r="P173" s="59"/>
      <c r="Q173" s="59"/>
      <c r="R173" s="13"/>
    </row>
    <row r="174" spans="1:18" x14ac:dyDescent="0.25">
      <c r="A174" s="9" t="s">
        <v>21</v>
      </c>
      <c r="B174" s="28">
        <f>IF(ISBLANK(A174),0,INDEX(txtstylestab[],MATCH(A174,txtstylestab[style_Name],0),1))</f>
        <v>0</v>
      </c>
      <c r="C174" s="28">
        <f t="shared" si="9"/>
        <v>2</v>
      </c>
      <c r="D174" s="28">
        <f t="shared" si="10"/>
        <v>19</v>
      </c>
      <c r="E174" s="28">
        <f t="shared" si="11"/>
        <v>0</v>
      </c>
      <c r="F174" s="59" t="str">
        <f t="shared" si="12"/>
        <v/>
      </c>
      <c r="G174" s="42" t="s">
        <v>6</v>
      </c>
      <c r="H174" s="43" t="s">
        <v>26</v>
      </c>
      <c r="I174" s="44" t="s">
        <v>48</v>
      </c>
      <c r="J174" s="45" t="s">
        <v>54</v>
      </c>
      <c r="K174" s="46" t="s">
        <v>59</v>
      </c>
      <c r="L174" s="47" t="s">
        <v>2525</v>
      </c>
      <c r="M174" s="48" t="s">
        <v>2526</v>
      </c>
      <c r="N174" s="49"/>
      <c r="O174" s="50" t="s">
        <v>3173</v>
      </c>
      <c r="P174" s="50"/>
      <c r="Q174" s="59"/>
      <c r="R174" s="13"/>
    </row>
    <row r="175" spans="1:18" ht="18" thickBot="1" x14ac:dyDescent="0.35">
      <c r="A175" s="9" t="s">
        <v>11</v>
      </c>
      <c r="B175" s="28">
        <f>IF(ISBLANK(A175),0,INDEX(txtstylestab[],MATCH(A175,txtstylestab[style_Name],0),1))</f>
        <v>2</v>
      </c>
      <c r="C175" s="28">
        <f t="shared" si="9"/>
        <v>2</v>
      </c>
      <c r="D175" s="28">
        <f t="shared" si="10"/>
        <v>20</v>
      </c>
      <c r="E175" s="28">
        <f t="shared" si="11"/>
        <v>0</v>
      </c>
      <c r="F175" s="54" t="str">
        <f t="shared" si="12"/>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9"/>
        <v>2</v>
      </c>
      <c r="D176" s="28">
        <f t="shared" si="10"/>
        <v>20</v>
      </c>
      <c r="E176" s="28">
        <f t="shared" si="11"/>
        <v>0</v>
      </c>
      <c r="F176" s="59" t="str">
        <f t="shared" si="12"/>
        <v/>
      </c>
      <c r="G176" s="42" t="s">
        <v>82</v>
      </c>
      <c r="H176" s="43" t="s">
        <v>863</v>
      </c>
      <c r="I176" s="44" t="s">
        <v>84</v>
      </c>
      <c r="J176" s="45" t="s">
        <v>85</v>
      </c>
      <c r="K176" s="46" t="s">
        <v>86</v>
      </c>
      <c r="L176" s="47" t="s">
        <v>2398</v>
      </c>
      <c r="M176" s="48" t="s">
        <v>2333</v>
      </c>
      <c r="N176" s="49"/>
      <c r="O176" s="50" t="s">
        <v>3166</v>
      </c>
      <c r="P176" s="50"/>
      <c r="Q176" s="59"/>
      <c r="R176" s="13"/>
    </row>
    <row r="177" spans="1:18" ht="45" x14ac:dyDescent="0.25">
      <c r="A177" s="9" t="s">
        <v>21</v>
      </c>
      <c r="B177" s="28">
        <f>IF(ISBLANK(A177),0,INDEX(txtstylestab[],MATCH(A177,txtstylestab[style_Name],0),1))</f>
        <v>0</v>
      </c>
      <c r="C177" s="28">
        <f t="shared" si="9"/>
        <v>2</v>
      </c>
      <c r="D177" s="28">
        <f t="shared" si="10"/>
        <v>20</v>
      </c>
      <c r="E177" s="28">
        <f t="shared" si="11"/>
        <v>0</v>
      </c>
      <c r="F177" s="59" t="str">
        <f t="shared" si="12"/>
        <v/>
      </c>
      <c r="G177" s="42" t="s">
        <v>2027</v>
      </c>
      <c r="H177" s="43" t="s">
        <v>2028</v>
      </c>
      <c r="I177" s="44" t="s">
        <v>2029</v>
      </c>
      <c r="J177" s="45" t="s">
        <v>2030</v>
      </c>
      <c r="K177" s="46" t="s">
        <v>2031</v>
      </c>
      <c r="L177" s="47" t="s">
        <v>2925</v>
      </c>
      <c r="M177" s="48" t="s">
        <v>2928</v>
      </c>
      <c r="N177" s="49"/>
      <c r="O177" s="50" t="s">
        <v>3196</v>
      </c>
      <c r="P177" s="59"/>
      <c r="Q177" s="59"/>
      <c r="R177" s="13"/>
    </row>
    <row r="178" spans="1:18" ht="30" x14ac:dyDescent="0.25">
      <c r="A178" s="9" t="s">
        <v>14</v>
      </c>
      <c r="B178" s="28">
        <f>IF(ISBLANK(A178),0,INDEX(txtstylestab[],MATCH(A178,txtstylestab[style_Name],0),1))</f>
        <v>6</v>
      </c>
      <c r="C178" s="28">
        <f t="shared" si="9"/>
        <v>2</v>
      </c>
      <c r="D178" s="28">
        <f t="shared" si="10"/>
        <v>20</v>
      </c>
      <c r="E178" s="28">
        <f t="shared" si="11"/>
        <v>0</v>
      </c>
      <c r="F178" s="59" t="str">
        <f t="shared" si="12"/>
        <v/>
      </c>
      <c r="G178" s="42" t="s">
        <v>1103</v>
      </c>
      <c r="H178" s="43" t="s">
        <v>1104</v>
      </c>
      <c r="I178" s="44" t="s">
        <v>1105</v>
      </c>
      <c r="J178" s="45" t="s">
        <v>1106</v>
      </c>
      <c r="K178" s="46" t="s">
        <v>1107</v>
      </c>
      <c r="L178" s="47" t="s">
        <v>2926</v>
      </c>
      <c r="M178" s="48" t="s">
        <v>2930</v>
      </c>
      <c r="N178" s="49"/>
      <c r="O178" s="50" t="s">
        <v>3198</v>
      </c>
      <c r="P178" s="59"/>
      <c r="Q178" s="59"/>
      <c r="R178" s="13"/>
    </row>
    <row r="179" spans="1:18" ht="45" x14ac:dyDescent="0.25">
      <c r="A179" s="9" t="s">
        <v>14</v>
      </c>
      <c r="B179" s="28">
        <f>IF(ISBLANK(A179),0,INDEX(txtstylestab[],MATCH(A179,txtstylestab[style_Name],0),1))</f>
        <v>6</v>
      </c>
      <c r="C179" s="28">
        <f t="shared" si="9"/>
        <v>2</v>
      </c>
      <c r="D179" s="28">
        <f t="shared" si="10"/>
        <v>20</v>
      </c>
      <c r="E179" s="28">
        <f t="shared" si="11"/>
        <v>0</v>
      </c>
      <c r="F179" s="59" t="str">
        <f t="shared" si="12"/>
        <v/>
      </c>
      <c r="G179" s="42" t="s">
        <v>1108</v>
      </c>
      <c r="H179" s="43" t="s">
        <v>1109</v>
      </c>
      <c r="I179" s="44" t="s">
        <v>1751</v>
      </c>
      <c r="J179" s="45" t="s">
        <v>1110</v>
      </c>
      <c r="K179" s="46" t="s">
        <v>1111</v>
      </c>
      <c r="L179" s="47" t="s">
        <v>2927</v>
      </c>
      <c r="M179" s="48" t="s">
        <v>2929</v>
      </c>
      <c r="N179" s="49"/>
      <c r="O179" s="50" t="s">
        <v>3197</v>
      </c>
      <c r="P179" s="59"/>
      <c r="Q179" s="59"/>
      <c r="R179" s="13"/>
    </row>
    <row r="180" spans="1:18" x14ac:dyDescent="0.25">
      <c r="A180" s="9" t="s">
        <v>21</v>
      </c>
      <c r="B180" s="28">
        <f>IF(ISBLANK(A180),0,INDEX(txtstylestab[],MATCH(A180,txtstylestab[style_Name],0),1))</f>
        <v>0</v>
      </c>
      <c r="C180" s="28">
        <f t="shared" si="9"/>
        <v>2</v>
      </c>
      <c r="D180" s="28">
        <f t="shared" si="10"/>
        <v>20</v>
      </c>
      <c r="E180" s="28">
        <f t="shared" si="11"/>
        <v>0</v>
      </c>
      <c r="F180" s="59" t="str">
        <f t="shared" si="12"/>
        <v/>
      </c>
      <c r="G180" s="42"/>
      <c r="H180" s="43"/>
      <c r="I180" s="44"/>
      <c r="J180" s="45"/>
      <c r="K180" s="46"/>
      <c r="L180" s="47"/>
      <c r="M180" s="48"/>
      <c r="N180" s="49"/>
      <c r="O180" s="50" t="s">
        <v>3199</v>
      </c>
      <c r="P180" s="59"/>
      <c r="Q180" s="59"/>
      <c r="R180" s="13"/>
    </row>
    <row r="181" spans="1:18" ht="45" x14ac:dyDescent="0.25">
      <c r="A181" s="9" t="s">
        <v>21</v>
      </c>
      <c r="B181" s="28">
        <f>IF(ISBLANK(A181),0,INDEX(txtstylestab[],MATCH(A181,txtstylestab[style_Name],0),1))</f>
        <v>0</v>
      </c>
      <c r="C181" s="28">
        <f t="shared" si="9"/>
        <v>2</v>
      </c>
      <c r="D181" s="28">
        <f t="shared" si="10"/>
        <v>20</v>
      </c>
      <c r="E181" s="28">
        <f t="shared" si="11"/>
        <v>0</v>
      </c>
      <c r="F181" s="59" t="str">
        <f t="shared" si="12"/>
        <v/>
      </c>
      <c r="G181" s="42" t="s">
        <v>536</v>
      </c>
      <c r="H181" s="43" t="s">
        <v>537</v>
      </c>
      <c r="I181" s="44" t="s">
        <v>503</v>
      </c>
      <c r="J181" s="45" t="s">
        <v>504</v>
      </c>
      <c r="K181" s="46" t="s">
        <v>538</v>
      </c>
      <c r="L181" s="47" t="s">
        <v>2915</v>
      </c>
      <c r="M181" s="48" t="s">
        <v>2916</v>
      </c>
      <c r="N181" s="49"/>
      <c r="O181" s="50" t="s">
        <v>3183</v>
      </c>
      <c r="P181" s="59"/>
      <c r="Q181" s="59"/>
      <c r="R181" s="13"/>
    </row>
    <row r="182" spans="1:18" x14ac:dyDescent="0.25">
      <c r="A182" s="9" t="s">
        <v>21</v>
      </c>
      <c r="B182" s="28">
        <f>IF(ISBLANK(A182),0,INDEX(txtstylestab[],MATCH(A182,txtstylestab[style_Name],0),1))</f>
        <v>0</v>
      </c>
      <c r="C182" s="28">
        <f t="shared" si="9"/>
        <v>2</v>
      </c>
      <c r="D182" s="28">
        <f t="shared" si="10"/>
        <v>20</v>
      </c>
      <c r="E182" s="28">
        <f t="shared" si="11"/>
        <v>0</v>
      </c>
      <c r="F182" s="59" t="str">
        <f t="shared" si="12"/>
        <v/>
      </c>
      <c r="G182" s="42" t="s">
        <v>6</v>
      </c>
      <c r="H182" s="43" t="s">
        <v>26</v>
      </c>
      <c r="I182" s="44" t="s">
        <v>48</v>
      </c>
      <c r="J182" s="45" t="s">
        <v>384</v>
      </c>
      <c r="K182" s="46" t="s">
        <v>59</v>
      </c>
      <c r="L182" s="47" t="s">
        <v>2525</v>
      </c>
      <c r="M182" s="48" t="s">
        <v>2526</v>
      </c>
      <c r="N182" s="49"/>
      <c r="O182" s="50" t="s">
        <v>3173</v>
      </c>
      <c r="P182" s="50"/>
      <c r="Q182" s="59"/>
      <c r="R182" s="13"/>
    </row>
    <row r="183" spans="1:18" ht="18" thickBot="1" x14ac:dyDescent="0.35">
      <c r="A183" s="9" t="s">
        <v>11</v>
      </c>
      <c r="B183" s="28">
        <f>IF(ISBLANK(A183),0,INDEX(txtstylestab[],MATCH(A183,txtstylestab[style_Name],0),1))</f>
        <v>2</v>
      </c>
      <c r="C183" s="28">
        <f t="shared" si="9"/>
        <v>2</v>
      </c>
      <c r="D183" s="28">
        <f t="shared" si="10"/>
        <v>21</v>
      </c>
      <c r="E183" s="28">
        <f t="shared" si="11"/>
        <v>0</v>
      </c>
      <c r="F183" s="54" t="str">
        <f t="shared" si="12"/>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9"/>
        <v>2</v>
      </c>
      <c r="D184" s="28">
        <f t="shared" si="10"/>
        <v>21</v>
      </c>
      <c r="E184" s="28">
        <f t="shared" si="11"/>
        <v>0</v>
      </c>
      <c r="F184" s="59" t="str">
        <f t="shared" si="12"/>
        <v/>
      </c>
      <c r="G184" s="42" t="s">
        <v>82</v>
      </c>
      <c r="H184" s="43" t="s">
        <v>83</v>
      </c>
      <c r="I184" s="44" t="s">
        <v>84</v>
      </c>
      <c r="J184" s="45" t="s">
        <v>809</v>
      </c>
      <c r="K184" s="46" t="s">
        <v>86</v>
      </c>
      <c r="L184" s="47" t="s">
        <v>2398</v>
      </c>
      <c r="M184" s="48" t="s">
        <v>2333</v>
      </c>
      <c r="N184" s="49"/>
      <c r="O184" s="50" t="s">
        <v>3166</v>
      </c>
      <c r="P184" s="50"/>
      <c r="Q184" s="59"/>
      <c r="R184" s="13"/>
    </row>
    <row r="185" spans="1:18" ht="75" x14ac:dyDescent="0.25">
      <c r="A185" s="9" t="s">
        <v>21</v>
      </c>
      <c r="B185" s="28">
        <f>IF(ISBLANK(A185),0,INDEX(txtstylestab[],MATCH(A185,txtstylestab[style_Name],0),1))</f>
        <v>0</v>
      </c>
      <c r="C185" s="28">
        <f t="shared" si="9"/>
        <v>2</v>
      </c>
      <c r="D185" s="28">
        <f t="shared" si="10"/>
        <v>21</v>
      </c>
      <c r="E185" s="28">
        <f t="shared" si="11"/>
        <v>0</v>
      </c>
      <c r="F185" s="59" t="str">
        <f t="shared" si="12"/>
        <v/>
      </c>
      <c r="G185" s="42" t="s">
        <v>1113</v>
      </c>
      <c r="H185" s="43" t="s">
        <v>1114</v>
      </c>
      <c r="I185" s="44" t="s">
        <v>1115</v>
      </c>
      <c r="J185" s="45" t="s">
        <v>1116</v>
      </c>
      <c r="K185" s="46" t="s">
        <v>1117</v>
      </c>
      <c r="L185" s="47" t="s">
        <v>2931</v>
      </c>
      <c r="M185" s="48" t="s">
        <v>2932</v>
      </c>
      <c r="N185" s="49"/>
      <c r="O185" s="50" t="s">
        <v>3195</v>
      </c>
      <c r="P185" s="59"/>
      <c r="Q185" s="59"/>
      <c r="R185" s="13"/>
    </row>
    <row r="186" spans="1:18" x14ac:dyDescent="0.25">
      <c r="A186" s="9" t="s">
        <v>21</v>
      </c>
      <c r="B186" s="28">
        <f>IF(ISBLANK(A186),0,INDEX(txtstylestab[],MATCH(A186,txtstylestab[style_Name],0),1))</f>
        <v>0</v>
      </c>
      <c r="C186" s="28">
        <f t="shared" si="9"/>
        <v>2</v>
      </c>
      <c r="D186" s="28">
        <f t="shared" si="10"/>
        <v>21</v>
      </c>
      <c r="E186" s="28">
        <f t="shared" si="11"/>
        <v>0</v>
      </c>
      <c r="F186" s="59" t="str">
        <f t="shared" si="12"/>
        <v/>
      </c>
      <c r="G186" s="42" t="s">
        <v>6</v>
      </c>
      <c r="H186" s="43" t="s">
        <v>26</v>
      </c>
      <c r="I186" s="44" t="s">
        <v>48</v>
      </c>
      <c r="J186" s="45" t="s">
        <v>384</v>
      </c>
      <c r="K186" s="46" t="s">
        <v>59</v>
      </c>
      <c r="L186" s="47" t="s">
        <v>2525</v>
      </c>
      <c r="M186" s="48" t="s">
        <v>2526</v>
      </c>
      <c r="N186" s="49"/>
      <c r="O186" s="50" t="s">
        <v>3173</v>
      </c>
      <c r="P186" s="50"/>
      <c r="Q186" s="59"/>
      <c r="R186" s="13"/>
    </row>
    <row r="187" spans="1:18" ht="18" thickBot="1" x14ac:dyDescent="0.35">
      <c r="A187" s="9" t="s">
        <v>11</v>
      </c>
      <c r="B187" s="28">
        <f>IF(ISBLANK(A187),0,INDEX(txtstylestab[],MATCH(A187,txtstylestab[style_Name],0),1))</f>
        <v>2</v>
      </c>
      <c r="C187" s="28">
        <f t="shared" si="9"/>
        <v>2</v>
      </c>
      <c r="D187" s="28">
        <f t="shared" si="10"/>
        <v>22</v>
      </c>
      <c r="E187" s="28">
        <f t="shared" si="11"/>
        <v>0</v>
      </c>
      <c r="F187" s="54" t="str">
        <f t="shared" si="12"/>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9"/>
        <v>2</v>
      </c>
      <c r="D188" s="28">
        <f t="shared" si="10"/>
        <v>22</v>
      </c>
      <c r="E188" s="28">
        <f t="shared" si="11"/>
        <v>0</v>
      </c>
      <c r="F188" s="59" t="str">
        <f t="shared" si="12"/>
        <v/>
      </c>
      <c r="G188" s="42" t="s">
        <v>82</v>
      </c>
      <c r="H188" s="43" t="s">
        <v>83</v>
      </c>
      <c r="I188" s="44" t="s">
        <v>84</v>
      </c>
      <c r="J188" s="45" t="s">
        <v>85</v>
      </c>
      <c r="K188" s="46" t="s">
        <v>86</v>
      </c>
      <c r="L188" s="47" t="s">
        <v>2398</v>
      </c>
      <c r="M188" s="48" t="s">
        <v>2333</v>
      </c>
      <c r="N188" s="49"/>
      <c r="O188" s="50" t="s">
        <v>3166</v>
      </c>
      <c r="P188" s="59"/>
      <c r="Q188" s="59"/>
      <c r="R188" s="13"/>
    </row>
    <row r="189" spans="1:18" ht="30" x14ac:dyDescent="0.25">
      <c r="A189" s="9" t="s">
        <v>21</v>
      </c>
      <c r="B189" s="28">
        <f>IF(ISBLANK(A189),0,INDEX(txtstylestab[],MATCH(A189,txtstylestab[style_Name],0),1))</f>
        <v>0</v>
      </c>
      <c r="C189" s="28">
        <f t="shared" si="9"/>
        <v>2</v>
      </c>
      <c r="D189" s="28">
        <f t="shared" si="10"/>
        <v>22</v>
      </c>
      <c r="E189" s="28">
        <f t="shared" si="11"/>
        <v>0</v>
      </c>
      <c r="F189" s="59" t="str">
        <f t="shared" si="12"/>
        <v/>
      </c>
      <c r="G189" s="42" t="s">
        <v>1119</v>
      </c>
      <c r="H189" s="43" t="s">
        <v>1120</v>
      </c>
      <c r="I189" s="44" t="s">
        <v>1121</v>
      </c>
      <c r="J189" s="45" t="s">
        <v>1122</v>
      </c>
      <c r="K189" s="46" t="s">
        <v>1123</v>
      </c>
      <c r="L189" s="47" t="s">
        <v>2933</v>
      </c>
      <c r="M189" s="48" t="s">
        <v>2934</v>
      </c>
      <c r="N189" s="49"/>
      <c r="O189" s="50" t="s">
        <v>3193</v>
      </c>
      <c r="P189" s="59"/>
      <c r="Q189" s="59"/>
      <c r="R189" s="13"/>
    </row>
    <row r="190" spans="1:18" ht="60" x14ac:dyDescent="0.25">
      <c r="A190" s="9" t="s">
        <v>21</v>
      </c>
      <c r="B190" s="28">
        <f>IF(ISBLANK(A190),0,INDEX(txtstylestab[],MATCH(A190,txtstylestab[style_Name],0),1))</f>
        <v>0</v>
      </c>
      <c r="C190" s="28">
        <f t="shared" si="9"/>
        <v>2</v>
      </c>
      <c r="D190" s="28">
        <f t="shared" si="10"/>
        <v>22</v>
      </c>
      <c r="E190" s="28">
        <f t="shared" si="11"/>
        <v>0</v>
      </c>
      <c r="F190" s="59" t="str">
        <f t="shared" si="12"/>
        <v/>
      </c>
      <c r="G190" s="42" t="s">
        <v>1124</v>
      </c>
      <c r="H190" s="43" t="s">
        <v>1125</v>
      </c>
      <c r="I190" s="44" t="s">
        <v>1126</v>
      </c>
      <c r="J190" s="45" t="s">
        <v>1127</v>
      </c>
      <c r="K190" s="46" t="s">
        <v>1128</v>
      </c>
      <c r="L190" s="47" t="s">
        <v>2933</v>
      </c>
      <c r="M190" s="48" t="s">
        <v>2935</v>
      </c>
      <c r="N190" s="49"/>
      <c r="O190" s="50" t="s">
        <v>3194</v>
      </c>
      <c r="P190" s="59"/>
      <c r="Q190" s="59"/>
      <c r="R190" s="13"/>
    </row>
    <row r="191" spans="1:18" ht="30" x14ac:dyDescent="0.25">
      <c r="A191" s="9" t="s">
        <v>21</v>
      </c>
      <c r="B191" s="28">
        <f>IF(ISBLANK(A191),0,INDEX(txtstylestab[],MATCH(A191,txtstylestab[style_Name],0),1))</f>
        <v>0</v>
      </c>
      <c r="C191" s="28">
        <f t="shared" si="9"/>
        <v>2</v>
      </c>
      <c r="D191" s="28">
        <f t="shared" si="10"/>
        <v>22</v>
      </c>
      <c r="E191" s="28">
        <f t="shared" si="11"/>
        <v>0</v>
      </c>
      <c r="F191" s="59" t="str">
        <f t="shared" si="12"/>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9"/>
        <v>2</v>
      </c>
      <c r="D192" s="28">
        <f t="shared" si="10"/>
        <v>22</v>
      </c>
      <c r="E192" s="28">
        <f t="shared" si="11"/>
        <v>0</v>
      </c>
      <c r="F192" s="59" t="str">
        <f t="shared" si="12"/>
        <v/>
      </c>
      <c r="G192" s="42" t="s">
        <v>6</v>
      </c>
      <c r="H192" s="43" t="s">
        <v>26</v>
      </c>
      <c r="I192" s="44" t="s">
        <v>48</v>
      </c>
      <c r="J192" s="45" t="s">
        <v>384</v>
      </c>
      <c r="K192" s="46" t="s">
        <v>59</v>
      </c>
      <c r="L192" s="47" t="s">
        <v>2525</v>
      </c>
      <c r="M192" s="48" t="s">
        <v>2526</v>
      </c>
      <c r="N192" s="49"/>
      <c r="O192" s="50" t="s">
        <v>3173</v>
      </c>
      <c r="P192" s="59"/>
      <c r="Q192" s="59"/>
      <c r="R192" s="13"/>
    </row>
    <row r="193" spans="1:18" ht="18" thickBot="1" x14ac:dyDescent="0.35">
      <c r="A193" s="9" t="s">
        <v>11</v>
      </c>
      <c r="B193" s="28">
        <f>IF(ISBLANK(A193),0,INDEX(txtstylestab[],MATCH(A193,txtstylestab[style_Name],0),1))</f>
        <v>2</v>
      </c>
      <c r="C193" s="28">
        <f t="shared" si="9"/>
        <v>2</v>
      </c>
      <c r="D193" s="28">
        <f t="shared" si="10"/>
        <v>23</v>
      </c>
      <c r="E193" s="28">
        <f t="shared" si="11"/>
        <v>0</v>
      </c>
      <c r="F193" s="54" t="str">
        <f t="shared" si="12"/>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9"/>
        <v>2</v>
      </c>
      <c r="D194" s="28">
        <f t="shared" si="10"/>
        <v>23</v>
      </c>
      <c r="E194" s="28">
        <f t="shared" si="11"/>
        <v>0</v>
      </c>
      <c r="F194" s="59" t="str">
        <f t="shared" si="12"/>
        <v/>
      </c>
      <c r="G194" s="42" t="s">
        <v>82</v>
      </c>
      <c r="H194" s="43" t="s">
        <v>863</v>
      </c>
      <c r="I194" s="44" t="s">
        <v>84</v>
      </c>
      <c r="J194" s="45" t="s">
        <v>85</v>
      </c>
      <c r="K194" s="46" t="s">
        <v>86</v>
      </c>
      <c r="L194" s="47" t="s">
        <v>2398</v>
      </c>
      <c r="M194" s="48" t="s">
        <v>2333</v>
      </c>
      <c r="N194" s="49"/>
      <c r="O194" s="50" t="s">
        <v>3166</v>
      </c>
      <c r="P194" s="59"/>
      <c r="Q194" s="59"/>
      <c r="R194" s="13"/>
    </row>
    <row r="195" spans="1:18" ht="75" x14ac:dyDescent="0.25">
      <c r="A195" s="9" t="s">
        <v>21</v>
      </c>
      <c r="B195" s="28">
        <f>IF(ISBLANK(A195),0,INDEX(txtstylestab[],MATCH(A195,txtstylestab[style_Name],0),1))</f>
        <v>0</v>
      </c>
      <c r="C195" s="28">
        <f t="shared" si="9"/>
        <v>2</v>
      </c>
      <c r="D195" s="28">
        <f t="shared" si="10"/>
        <v>23</v>
      </c>
      <c r="E195" s="28">
        <f t="shared" si="11"/>
        <v>0</v>
      </c>
      <c r="F195" s="59" t="str">
        <f t="shared" si="12"/>
        <v/>
      </c>
      <c r="G195" s="42" t="s">
        <v>1135</v>
      </c>
      <c r="H195" s="43" t="s">
        <v>1136</v>
      </c>
      <c r="I195" s="44" t="s">
        <v>1649</v>
      </c>
      <c r="J195" s="45" t="s">
        <v>1590</v>
      </c>
      <c r="K195" s="46" t="s">
        <v>1591</v>
      </c>
      <c r="L195" s="47" t="s">
        <v>2938</v>
      </c>
      <c r="M195" s="48" t="s">
        <v>2939</v>
      </c>
      <c r="N195" s="49"/>
      <c r="O195" s="50" t="s">
        <v>3186</v>
      </c>
      <c r="P195" s="59"/>
      <c r="Q195" s="59"/>
      <c r="R195" s="13"/>
    </row>
    <row r="196" spans="1:18" ht="105" x14ac:dyDescent="0.25">
      <c r="A196" s="9" t="s">
        <v>21</v>
      </c>
      <c r="B196" s="28">
        <f>IF(ISBLANK(A196),0,INDEX(txtstylestab[],MATCH(A196,txtstylestab[style_Name],0),1))</f>
        <v>0</v>
      </c>
      <c r="C196" s="28">
        <f t="shared" ref="C196:C246" si="13">IF(B196=1,C195+1,C195)</f>
        <v>2</v>
      </c>
      <c r="D196" s="28">
        <f t="shared" ref="D196:D246" si="14">IF(B196=1,0,IF(B196=2,D195+1,IF(AND(B196=3,D195=0),1,D195)))</f>
        <v>23</v>
      </c>
      <c r="E196" s="28">
        <f t="shared" ref="E196:E246" si="15">IF(OR(B196=1,B196=2),0,IF(B196=3,E195+1,E195))</f>
        <v>0</v>
      </c>
      <c r="F196" s="59" t="str">
        <f t="shared" ref="F196:F246" si="16">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3187</v>
      </c>
      <c r="P196" s="59"/>
      <c r="Q196" s="59"/>
      <c r="R196" s="13"/>
    </row>
    <row r="197" spans="1:18" ht="75" x14ac:dyDescent="0.25">
      <c r="A197" s="9" t="s">
        <v>21</v>
      </c>
      <c r="B197" s="28">
        <f>IF(ISBLANK(A197),0,INDEX(txtstylestab[],MATCH(A197,txtstylestab[style_Name],0),1))</f>
        <v>0</v>
      </c>
      <c r="C197" s="28">
        <f t="shared" si="13"/>
        <v>2</v>
      </c>
      <c r="D197" s="28">
        <f t="shared" si="14"/>
        <v>23</v>
      </c>
      <c r="E197" s="28">
        <f t="shared" si="15"/>
        <v>0</v>
      </c>
      <c r="F197" s="59" t="str">
        <f t="shared" si="16"/>
        <v/>
      </c>
      <c r="G197" s="42" t="s">
        <v>1140</v>
      </c>
      <c r="H197" s="43" t="s">
        <v>1141</v>
      </c>
      <c r="I197" s="44" t="s">
        <v>1593</v>
      </c>
      <c r="J197" s="45" t="s">
        <v>1142</v>
      </c>
      <c r="K197" s="46" t="s">
        <v>1143</v>
      </c>
      <c r="L197" s="47" t="s">
        <v>2942</v>
      </c>
      <c r="M197" s="48" t="s">
        <v>2942</v>
      </c>
      <c r="N197" s="49"/>
      <c r="O197" s="50" t="s">
        <v>3188</v>
      </c>
      <c r="P197" s="59"/>
      <c r="Q197" s="59"/>
      <c r="R197" s="13"/>
    </row>
    <row r="198" spans="1:18" x14ac:dyDescent="0.25">
      <c r="A198" s="9" t="s">
        <v>22</v>
      </c>
      <c r="B198" s="28">
        <f>IF(ISBLANK(A198),0,INDEX(txtstylestab[],MATCH(A198,txtstylestab[style_Name],0),1))</f>
        <v>4</v>
      </c>
      <c r="C198" s="28">
        <f t="shared" si="13"/>
        <v>2</v>
      </c>
      <c r="D198" s="28">
        <f t="shared" si="14"/>
        <v>23</v>
      </c>
      <c r="E198" s="28">
        <f t="shared" si="15"/>
        <v>0</v>
      </c>
      <c r="F198" s="56" t="str">
        <f t="shared" si="16"/>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3"/>
        <v>2</v>
      </c>
      <c r="D199" s="28">
        <f t="shared" si="14"/>
        <v>23</v>
      </c>
      <c r="E199" s="28">
        <f t="shared" si="15"/>
        <v>0</v>
      </c>
      <c r="F199" s="59" t="str">
        <f t="shared" si="16"/>
        <v/>
      </c>
      <c r="G199" s="42" t="s">
        <v>1144</v>
      </c>
      <c r="H199" s="43" t="s">
        <v>1145</v>
      </c>
      <c r="I199" s="44" t="s">
        <v>1146</v>
      </c>
      <c r="J199" s="45" t="s">
        <v>1594</v>
      </c>
      <c r="K199" s="46" t="s">
        <v>1595</v>
      </c>
      <c r="L199" s="47" t="s">
        <v>2943</v>
      </c>
      <c r="M199" s="48" t="s">
        <v>2944</v>
      </c>
      <c r="N199" s="49"/>
      <c r="O199" s="50" t="s">
        <v>3189</v>
      </c>
      <c r="P199" s="59"/>
      <c r="Q199" s="59"/>
      <c r="R199" s="13"/>
    </row>
    <row r="200" spans="1:18" ht="90" x14ac:dyDescent="0.25">
      <c r="A200" s="9" t="s">
        <v>21</v>
      </c>
      <c r="B200" s="28">
        <f>IF(ISBLANK(A200),0,INDEX(txtstylestab[],MATCH(A200,txtstylestab[style_Name],0),1))</f>
        <v>0</v>
      </c>
      <c r="C200" s="28">
        <f t="shared" si="13"/>
        <v>2</v>
      </c>
      <c r="D200" s="28">
        <f t="shared" si="14"/>
        <v>23</v>
      </c>
      <c r="E200" s="28">
        <f t="shared" si="15"/>
        <v>0</v>
      </c>
      <c r="F200" s="59" t="str">
        <f t="shared" si="16"/>
        <v/>
      </c>
      <c r="G200" s="42" t="s">
        <v>1147</v>
      </c>
      <c r="H200" s="43" t="s">
        <v>1148</v>
      </c>
      <c r="I200" s="44" t="s">
        <v>1752</v>
      </c>
      <c r="J200" s="45" t="s">
        <v>1596</v>
      </c>
      <c r="K200" s="46" t="s">
        <v>1707</v>
      </c>
      <c r="L200" s="47" t="s">
        <v>2945</v>
      </c>
      <c r="M200" s="48" t="s">
        <v>2946</v>
      </c>
      <c r="N200" s="49"/>
      <c r="O200" s="50" t="s">
        <v>3190</v>
      </c>
      <c r="P200" s="59"/>
      <c r="Q200" s="59"/>
      <c r="R200" s="13"/>
    </row>
    <row r="201" spans="1:18" ht="60" x14ac:dyDescent="0.25">
      <c r="A201" s="9" t="s">
        <v>21</v>
      </c>
      <c r="B201" s="28">
        <f>IF(ISBLANK(A201),0,INDEX(txtstylestab[],MATCH(A201,txtstylestab[style_Name],0),1))</f>
        <v>0</v>
      </c>
      <c r="C201" s="28">
        <f t="shared" si="13"/>
        <v>2</v>
      </c>
      <c r="D201" s="28">
        <f t="shared" si="14"/>
        <v>23</v>
      </c>
      <c r="E201" s="28">
        <f t="shared" si="15"/>
        <v>0</v>
      </c>
      <c r="F201" s="59" t="str">
        <f t="shared" si="16"/>
        <v/>
      </c>
      <c r="G201" s="42" t="s">
        <v>1149</v>
      </c>
      <c r="H201" s="43" t="s">
        <v>1150</v>
      </c>
      <c r="I201" s="44" t="s">
        <v>1650</v>
      </c>
      <c r="J201" s="45" t="s">
        <v>1597</v>
      </c>
      <c r="K201" s="46" t="s">
        <v>1708</v>
      </c>
      <c r="L201" s="47" t="s">
        <v>2947</v>
      </c>
      <c r="M201" s="48" t="s">
        <v>2948</v>
      </c>
      <c r="N201" s="49"/>
      <c r="O201" s="50" t="s">
        <v>3191</v>
      </c>
      <c r="P201" s="59"/>
      <c r="Q201" s="59"/>
      <c r="R201" s="13"/>
    </row>
    <row r="202" spans="1:18" x14ac:dyDescent="0.25">
      <c r="A202" s="9" t="s">
        <v>22</v>
      </c>
      <c r="B202" s="28">
        <f>IF(ISBLANK(A202),0,INDEX(txtstylestab[],MATCH(A202,txtstylestab[style_Name],0),1))</f>
        <v>4</v>
      </c>
      <c r="C202" s="28">
        <f t="shared" si="13"/>
        <v>2</v>
      </c>
      <c r="D202" s="28">
        <f t="shared" si="14"/>
        <v>23</v>
      </c>
      <c r="E202" s="28">
        <f t="shared" si="15"/>
        <v>0</v>
      </c>
      <c r="F202" s="56" t="str">
        <f t="shared" si="16"/>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3"/>
        <v>2</v>
      </c>
      <c r="D203" s="28">
        <f t="shared" si="14"/>
        <v>23</v>
      </c>
      <c r="E203" s="28">
        <f t="shared" si="15"/>
        <v>0</v>
      </c>
      <c r="F203" s="59" t="str">
        <f t="shared" si="16"/>
        <v/>
      </c>
      <c r="G203" s="42" t="s">
        <v>1152</v>
      </c>
      <c r="H203" s="43" t="s">
        <v>1153</v>
      </c>
      <c r="I203" s="44" t="s">
        <v>1154</v>
      </c>
      <c r="J203" s="45" t="s">
        <v>1598</v>
      </c>
      <c r="K203" s="46" t="s">
        <v>1599</v>
      </c>
      <c r="L203" s="47" t="s">
        <v>2949</v>
      </c>
      <c r="M203" s="48" t="s">
        <v>2950</v>
      </c>
      <c r="N203" s="49"/>
      <c r="O203" s="50" t="s">
        <v>3192</v>
      </c>
      <c r="P203" s="59"/>
      <c r="Q203" s="59"/>
      <c r="R203" s="13"/>
    </row>
    <row r="204" spans="1:18" x14ac:dyDescent="0.25">
      <c r="A204" s="9" t="s">
        <v>21</v>
      </c>
      <c r="B204" s="28">
        <f>IF(ISBLANK(A204),0,INDEX(txtstylestab[],MATCH(A204,txtstylestab[style_Name],0),1))</f>
        <v>0</v>
      </c>
      <c r="C204" s="28">
        <f t="shared" si="13"/>
        <v>2</v>
      </c>
      <c r="D204" s="28">
        <f t="shared" si="14"/>
        <v>23</v>
      </c>
      <c r="E204" s="28">
        <f t="shared" si="15"/>
        <v>0</v>
      </c>
      <c r="F204" s="59" t="str">
        <f t="shared" si="16"/>
        <v/>
      </c>
      <c r="G204" s="42" t="s">
        <v>6</v>
      </c>
      <c r="H204" s="43" t="s">
        <v>26</v>
      </c>
      <c r="I204" s="44" t="s">
        <v>48</v>
      </c>
      <c r="J204" s="45" t="s">
        <v>54</v>
      </c>
      <c r="K204" s="46" t="s">
        <v>59</v>
      </c>
      <c r="L204" s="47" t="s">
        <v>2525</v>
      </c>
      <c r="M204" s="48" t="s">
        <v>2526</v>
      </c>
      <c r="N204" s="49"/>
      <c r="O204" s="50" t="s">
        <v>3173</v>
      </c>
      <c r="P204" s="50"/>
      <c r="Q204" s="59"/>
      <c r="R204" s="13"/>
    </row>
    <row r="205" spans="1:18" ht="18" thickBot="1" x14ac:dyDescent="0.35">
      <c r="A205" s="9" t="s">
        <v>11</v>
      </c>
      <c r="B205" s="28">
        <f>IF(ISBLANK(A205),0,INDEX(txtstylestab[],MATCH(A205,txtstylestab[style_Name],0),1))</f>
        <v>2</v>
      </c>
      <c r="C205" s="28">
        <f t="shared" si="13"/>
        <v>2</v>
      </c>
      <c r="D205" s="28">
        <f t="shared" si="14"/>
        <v>24</v>
      </c>
      <c r="E205" s="28">
        <f t="shared" si="15"/>
        <v>0</v>
      </c>
      <c r="F205" s="54" t="str">
        <f t="shared" si="16"/>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3"/>
        <v>2</v>
      </c>
      <c r="D206" s="28">
        <f t="shared" si="14"/>
        <v>24</v>
      </c>
      <c r="E206" s="28">
        <f t="shared" si="15"/>
        <v>0</v>
      </c>
      <c r="F206" s="59" t="str">
        <f t="shared" si="16"/>
        <v/>
      </c>
      <c r="G206" s="42" t="s">
        <v>82</v>
      </c>
      <c r="H206" s="43" t="s">
        <v>863</v>
      </c>
      <c r="I206" s="44" t="s">
        <v>84</v>
      </c>
      <c r="J206" s="45" t="s">
        <v>85</v>
      </c>
      <c r="K206" s="46" t="s">
        <v>86</v>
      </c>
      <c r="L206" s="47" t="s">
        <v>2398</v>
      </c>
      <c r="M206" s="48" t="s">
        <v>2333</v>
      </c>
      <c r="N206" s="49"/>
      <c r="O206" s="50" t="s">
        <v>3166</v>
      </c>
      <c r="P206" s="59"/>
      <c r="Q206" s="59"/>
      <c r="R206" s="13"/>
    </row>
    <row r="207" spans="1:18" x14ac:dyDescent="0.25">
      <c r="A207" s="9" t="s">
        <v>22</v>
      </c>
      <c r="B207" s="28">
        <f>IF(ISBLANK(A207),0,INDEX(txtstylestab[],MATCH(A207,txtstylestab[style_Name],0),1))</f>
        <v>4</v>
      </c>
      <c r="C207" s="28">
        <f t="shared" si="13"/>
        <v>2</v>
      </c>
      <c r="D207" s="28">
        <f t="shared" si="14"/>
        <v>24</v>
      </c>
      <c r="E207" s="28">
        <f t="shared" si="15"/>
        <v>0</v>
      </c>
      <c r="F207" s="56" t="str">
        <f t="shared" si="16"/>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3"/>
        <v>2</v>
      </c>
      <c r="D208" s="28">
        <f t="shared" si="14"/>
        <v>24</v>
      </c>
      <c r="E208" s="28">
        <f t="shared" si="15"/>
        <v>0</v>
      </c>
      <c r="F208" s="59" t="str">
        <f t="shared" si="16"/>
        <v/>
      </c>
      <c r="G208" s="42" t="s">
        <v>1157</v>
      </c>
      <c r="H208" s="43" t="s">
        <v>2137</v>
      </c>
      <c r="I208" s="44" t="s">
        <v>1651</v>
      </c>
      <c r="J208" s="45" t="s">
        <v>1158</v>
      </c>
      <c r="K208" s="46" t="s">
        <v>1159</v>
      </c>
      <c r="L208" s="47" t="s">
        <v>2952</v>
      </c>
      <c r="M208" s="48" t="s">
        <v>2951</v>
      </c>
      <c r="N208" s="49"/>
      <c r="O208" s="50" t="s">
        <v>3184</v>
      </c>
      <c r="P208" s="59"/>
      <c r="Q208" s="59"/>
      <c r="R208" s="13"/>
    </row>
    <row r="209" spans="1:18" x14ac:dyDescent="0.25">
      <c r="A209" s="9" t="s">
        <v>21</v>
      </c>
      <c r="B209" s="28">
        <f>IF(ISBLANK(A209),0,INDEX(txtstylestab[],MATCH(A209,txtstylestab[style_Name],0),1))</f>
        <v>0</v>
      </c>
      <c r="C209" s="28">
        <f t="shared" si="13"/>
        <v>2</v>
      </c>
      <c r="D209" s="28">
        <f t="shared" si="14"/>
        <v>24</v>
      </c>
      <c r="E209" s="28">
        <f t="shared" si="15"/>
        <v>0</v>
      </c>
      <c r="F209" s="59" t="str">
        <f t="shared" si="16"/>
        <v/>
      </c>
      <c r="G209" s="42" t="s">
        <v>6</v>
      </c>
      <c r="H209" s="43" t="s">
        <v>26</v>
      </c>
      <c r="I209" s="44" t="s">
        <v>48</v>
      </c>
      <c r="J209" s="45" t="s">
        <v>54</v>
      </c>
      <c r="K209" s="46" t="s">
        <v>59</v>
      </c>
      <c r="L209" s="47" t="s">
        <v>2525</v>
      </c>
      <c r="M209" s="48" t="s">
        <v>2526</v>
      </c>
      <c r="N209" s="49"/>
      <c r="O209" s="50" t="s">
        <v>3173</v>
      </c>
      <c r="P209" s="59"/>
      <c r="Q209" s="59"/>
      <c r="R209" s="13"/>
    </row>
    <row r="210" spans="1:18" x14ac:dyDescent="0.25">
      <c r="A210" s="9" t="s">
        <v>22</v>
      </c>
      <c r="B210" s="28">
        <f>IF(ISBLANK(A210),0,INDEX(txtstylestab[],MATCH(A210,txtstylestab[style_Name],0),1))</f>
        <v>4</v>
      </c>
      <c r="C210" s="28">
        <f t="shared" si="13"/>
        <v>2</v>
      </c>
      <c r="D210" s="28">
        <f t="shared" si="14"/>
        <v>24</v>
      </c>
      <c r="E210" s="28">
        <f t="shared" si="15"/>
        <v>0</v>
      </c>
      <c r="F210" s="56" t="str">
        <f t="shared" si="16"/>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3"/>
        <v>2</v>
      </c>
      <c r="D211" s="28">
        <f t="shared" si="14"/>
        <v>24</v>
      </c>
      <c r="E211" s="28">
        <f t="shared" si="15"/>
        <v>0</v>
      </c>
      <c r="F211" s="59" t="str">
        <f t="shared" si="16"/>
        <v/>
      </c>
      <c r="G211" s="42" t="s">
        <v>1600</v>
      </c>
      <c r="H211" s="43" t="s">
        <v>2138</v>
      </c>
      <c r="I211" s="44" t="s">
        <v>1652</v>
      </c>
      <c r="J211" s="45" t="s">
        <v>1161</v>
      </c>
      <c r="K211" s="46" t="s">
        <v>1162</v>
      </c>
      <c r="L211" s="47" t="s">
        <v>2953</v>
      </c>
      <c r="M211" s="48" t="s">
        <v>2954</v>
      </c>
      <c r="N211" s="49"/>
      <c r="O211" s="50" t="s">
        <v>3185</v>
      </c>
      <c r="P211" s="59"/>
      <c r="Q211" s="59"/>
      <c r="R211" s="13"/>
    </row>
    <row r="212" spans="1:18" x14ac:dyDescent="0.25">
      <c r="A212" s="9" t="s">
        <v>21</v>
      </c>
      <c r="B212" s="28">
        <f>IF(ISBLANK(A212),0,INDEX(txtstylestab[],MATCH(A212,txtstylestab[style_Name],0),1))</f>
        <v>0</v>
      </c>
      <c r="C212" s="28">
        <f t="shared" si="13"/>
        <v>2</v>
      </c>
      <c r="D212" s="28">
        <f t="shared" si="14"/>
        <v>24</v>
      </c>
      <c r="E212" s="28">
        <f t="shared" si="15"/>
        <v>0</v>
      </c>
      <c r="F212" s="59" t="str">
        <f t="shared" si="16"/>
        <v/>
      </c>
      <c r="G212" s="42" t="s">
        <v>6</v>
      </c>
      <c r="H212" s="43" t="s">
        <v>26</v>
      </c>
      <c r="I212" s="44" t="s">
        <v>48</v>
      </c>
      <c r="J212" s="45" t="s">
        <v>54</v>
      </c>
      <c r="K212" s="46" t="s">
        <v>59</v>
      </c>
      <c r="L212" s="47" t="s">
        <v>2525</v>
      </c>
      <c r="M212" s="48" t="s">
        <v>2526</v>
      </c>
      <c r="N212" s="49"/>
      <c r="O212" s="50" t="s">
        <v>3173</v>
      </c>
      <c r="P212" s="50"/>
      <c r="Q212" s="59"/>
      <c r="R212" s="13"/>
    </row>
    <row r="213" spans="1:18" ht="18" thickBot="1" x14ac:dyDescent="0.35">
      <c r="A213" s="9" t="s">
        <v>11</v>
      </c>
      <c r="B213" s="28">
        <f>IF(ISBLANK(A213),0,INDEX(txtstylestab[],MATCH(A213,txtstylestab[style_Name],0),1))</f>
        <v>2</v>
      </c>
      <c r="C213" s="28">
        <f t="shared" si="13"/>
        <v>2</v>
      </c>
      <c r="D213" s="28">
        <f t="shared" si="14"/>
        <v>25</v>
      </c>
      <c r="E213" s="28">
        <f t="shared" si="15"/>
        <v>0</v>
      </c>
      <c r="F213" s="54" t="str">
        <f t="shared" si="16"/>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3"/>
        <v>2</v>
      </c>
      <c r="D214" s="28">
        <f t="shared" si="14"/>
        <v>25</v>
      </c>
      <c r="E214" s="28">
        <f t="shared" si="15"/>
        <v>0</v>
      </c>
      <c r="F214" s="59" t="str">
        <f t="shared" si="16"/>
        <v/>
      </c>
      <c r="G214" s="42" t="s">
        <v>344</v>
      </c>
      <c r="H214" s="43" t="s">
        <v>863</v>
      </c>
      <c r="I214" s="44" t="s">
        <v>84</v>
      </c>
      <c r="J214" s="45" t="s">
        <v>1091</v>
      </c>
      <c r="K214" s="46" t="s">
        <v>86</v>
      </c>
      <c r="L214" s="47" t="s">
        <v>2398</v>
      </c>
      <c r="M214" s="48" t="s">
        <v>2333</v>
      </c>
      <c r="N214" s="49"/>
      <c r="O214" s="50" t="s">
        <v>3166</v>
      </c>
      <c r="P214" s="59"/>
      <c r="Q214" s="59"/>
      <c r="R214" s="13"/>
    </row>
    <row r="215" spans="1:18" ht="60" x14ac:dyDescent="0.25">
      <c r="A215" s="9" t="s">
        <v>21</v>
      </c>
      <c r="B215" s="28">
        <f>IF(ISBLANK(A215),0,INDEX(txtstylestab[],MATCH(A215,txtstylestab[style_Name],0),1))</f>
        <v>0</v>
      </c>
      <c r="C215" s="28">
        <f t="shared" si="13"/>
        <v>2</v>
      </c>
      <c r="D215" s="28">
        <f t="shared" si="14"/>
        <v>25</v>
      </c>
      <c r="E215" s="28">
        <f t="shared" si="15"/>
        <v>0</v>
      </c>
      <c r="F215" s="59" t="str">
        <f t="shared" si="16"/>
        <v/>
      </c>
      <c r="G215" s="42" t="s">
        <v>2033</v>
      </c>
      <c r="H215" s="43" t="s">
        <v>2034</v>
      </c>
      <c r="I215" s="44" t="s">
        <v>2035</v>
      </c>
      <c r="J215" s="45" t="s">
        <v>2036</v>
      </c>
      <c r="K215" s="46" t="s">
        <v>2037</v>
      </c>
      <c r="L215" s="47" t="s">
        <v>2993</v>
      </c>
      <c r="M215" s="48" t="s">
        <v>2960</v>
      </c>
      <c r="N215" s="49"/>
      <c r="O215" s="50" t="s">
        <v>3181</v>
      </c>
      <c r="P215" s="59"/>
      <c r="Q215" s="59"/>
      <c r="R215" s="13"/>
    </row>
    <row r="216" spans="1:18" ht="45" x14ac:dyDescent="0.25">
      <c r="A216" s="9" t="s">
        <v>21</v>
      </c>
      <c r="B216" s="28">
        <f>IF(ISBLANK(A216),0,INDEX(txtstylestab[],MATCH(A216,txtstylestab[style_Name],0),1))</f>
        <v>0</v>
      </c>
      <c r="C216" s="28">
        <f t="shared" si="13"/>
        <v>2</v>
      </c>
      <c r="D216" s="28">
        <f t="shared" si="14"/>
        <v>25</v>
      </c>
      <c r="E216" s="28">
        <f t="shared" si="15"/>
        <v>0</v>
      </c>
      <c r="F216" s="59" t="str">
        <f t="shared" si="16"/>
        <v/>
      </c>
      <c r="G216" s="42" t="s">
        <v>2049</v>
      </c>
      <c r="H216" s="43" t="s">
        <v>2050</v>
      </c>
      <c r="I216" s="44" t="s">
        <v>2042</v>
      </c>
      <c r="J216" s="45" t="s">
        <v>2044</v>
      </c>
      <c r="K216" s="46" t="s">
        <v>2046</v>
      </c>
      <c r="L216" s="47" t="s">
        <v>2810</v>
      </c>
      <c r="M216" s="48" t="s">
        <v>2961</v>
      </c>
      <c r="N216" s="49"/>
      <c r="O216" s="50" t="s">
        <v>3177</v>
      </c>
      <c r="P216" s="59"/>
      <c r="Q216" s="59"/>
      <c r="R216" s="13"/>
    </row>
    <row r="217" spans="1:18" ht="30" x14ac:dyDescent="0.25">
      <c r="A217" s="9" t="s">
        <v>21</v>
      </c>
      <c r="B217" s="28">
        <f>IF(ISBLANK(A217),0,INDEX(txtstylestab[],MATCH(A217,txtstylestab[style_Name],0),1))</f>
        <v>0</v>
      </c>
      <c r="C217" s="28">
        <f t="shared" si="13"/>
        <v>2</v>
      </c>
      <c r="D217" s="28">
        <f t="shared" si="14"/>
        <v>25</v>
      </c>
      <c r="E217" s="28">
        <f t="shared" si="15"/>
        <v>0</v>
      </c>
      <c r="F217" s="59" t="str">
        <f t="shared" si="16"/>
        <v/>
      </c>
      <c r="G217" s="42" t="s">
        <v>2039</v>
      </c>
      <c r="H217" s="43" t="s">
        <v>2041</v>
      </c>
      <c r="I217" s="44" t="s">
        <v>2043</v>
      </c>
      <c r="J217" s="45" t="s">
        <v>2045</v>
      </c>
      <c r="K217" s="46" t="s">
        <v>2047</v>
      </c>
      <c r="L217" s="47" t="s">
        <v>2955</v>
      </c>
      <c r="M217" s="48" t="s">
        <v>2962</v>
      </c>
      <c r="N217" s="49"/>
      <c r="O217" s="50" t="s">
        <v>3178</v>
      </c>
      <c r="P217" s="59"/>
      <c r="Q217" s="59"/>
      <c r="R217" s="13"/>
    </row>
    <row r="218" spans="1:18" ht="45" x14ac:dyDescent="0.25">
      <c r="A218" s="9" t="s">
        <v>21</v>
      </c>
      <c r="B218" s="28">
        <f>IF(ISBLANK(A218),0,INDEX(txtstylestab[],MATCH(A218,txtstylestab[style_Name],0),1))</f>
        <v>0</v>
      </c>
      <c r="C218" s="28">
        <f t="shared" si="13"/>
        <v>2</v>
      </c>
      <c r="D218" s="28">
        <f t="shared" si="14"/>
        <v>25</v>
      </c>
      <c r="E218" s="28">
        <f t="shared" si="15"/>
        <v>0</v>
      </c>
      <c r="F218" s="59" t="str">
        <f t="shared" si="16"/>
        <v/>
      </c>
      <c r="G218" s="42" t="s">
        <v>1166</v>
      </c>
      <c r="H218" s="43" t="s">
        <v>1167</v>
      </c>
      <c r="I218" s="44" t="s">
        <v>1168</v>
      </c>
      <c r="J218" s="45" t="s">
        <v>1169</v>
      </c>
      <c r="K218" s="46" t="s">
        <v>1170</v>
      </c>
      <c r="L218" s="47" t="s">
        <v>2956</v>
      </c>
      <c r="M218" s="48" t="s">
        <v>2957</v>
      </c>
      <c r="N218" s="49"/>
      <c r="O218" s="50" t="s">
        <v>3179</v>
      </c>
      <c r="P218" s="59"/>
      <c r="Q218" s="59"/>
      <c r="R218" s="13"/>
    </row>
    <row r="219" spans="1:18" ht="45" x14ac:dyDescent="0.25">
      <c r="A219" s="9" t="s">
        <v>21</v>
      </c>
      <c r="B219" s="28">
        <f>IF(ISBLANK(A219),0,INDEX(txtstylestab[],MATCH(A219,txtstylestab[style_Name],0),1))</f>
        <v>0</v>
      </c>
      <c r="C219" s="28">
        <f t="shared" si="13"/>
        <v>2</v>
      </c>
      <c r="D219" s="28">
        <f t="shared" si="14"/>
        <v>25</v>
      </c>
      <c r="E219" s="28">
        <f t="shared" si="15"/>
        <v>0</v>
      </c>
      <c r="F219" s="59" t="str">
        <f t="shared" si="16"/>
        <v/>
      </c>
      <c r="G219" s="42" t="s">
        <v>1171</v>
      </c>
      <c r="H219" s="43" t="s">
        <v>1172</v>
      </c>
      <c r="I219" s="44" t="s">
        <v>1173</v>
      </c>
      <c r="J219" s="45" t="s">
        <v>1709</v>
      </c>
      <c r="K219" s="46" t="s">
        <v>1174</v>
      </c>
      <c r="L219" s="47" t="s">
        <v>2964</v>
      </c>
      <c r="M219" s="48" t="s">
        <v>2963</v>
      </c>
      <c r="N219" s="49"/>
      <c r="O219" s="50" t="s">
        <v>3180</v>
      </c>
      <c r="P219" s="59"/>
      <c r="Q219" s="59"/>
      <c r="R219" s="13"/>
    </row>
    <row r="220" spans="1:18" ht="75" x14ac:dyDescent="0.25">
      <c r="A220" s="9" t="s">
        <v>21</v>
      </c>
      <c r="B220" s="28">
        <f>IF(ISBLANK(A220),0,INDEX(txtstylestab[],MATCH(A220,txtstylestab[style_Name],0),1))</f>
        <v>0</v>
      </c>
      <c r="C220" s="28">
        <f t="shared" si="13"/>
        <v>2</v>
      </c>
      <c r="D220" s="28">
        <f t="shared" si="14"/>
        <v>25</v>
      </c>
      <c r="E220" s="28">
        <f t="shared" si="15"/>
        <v>0</v>
      </c>
      <c r="F220" s="59" t="str">
        <f t="shared" si="16"/>
        <v/>
      </c>
      <c r="G220" s="42" t="s">
        <v>1175</v>
      </c>
      <c r="H220" s="43" t="s">
        <v>2048</v>
      </c>
      <c r="I220" s="44" t="s">
        <v>1176</v>
      </c>
      <c r="J220" s="45" t="s">
        <v>1177</v>
      </c>
      <c r="K220" s="46" t="s">
        <v>1731</v>
      </c>
      <c r="L220" s="47" t="s">
        <v>2958</v>
      </c>
      <c r="M220" s="48" t="s">
        <v>2959</v>
      </c>
      <c r="N220" s="49"/>
      <c r="O220" s="50" t="s">
        <v>3182</v>
      </c>
      <c r="P220" s="59"/>
      <c r="Q220" s="59"/>
      <c r="R220" s="13"/>
    </row>
    <row r="221" spans="1:18" ht="45" x14ac:dyDescent="0.25">
      <c r="A221" s="9" t="s">
        <v>21</v>
      </c>
      <c r="B221" s="28">
        <f>IF(ISBLANK(A221),0,INDEX(txtstylestab[],MATCH(A221,txtstylestab[style_Name],0),1))</f>
        <v>0</v>
      </c>
      <c r="C221" s="28">
        <f t="shared" si="13"/>
        <v>2</v>
      </c>
      <c r="D221" s="28">
        <f t="shared" si="14"/>
        <v>25</v>
      </c>
      <c r="E221" s="28">
        <f t="shared" si="15"/>
        <v>0</v>
      </c>
      <c r="F221" s="59" t="str">
        <f t="shared" si="16"/>
        <v/>
      </c>
      <c r="G221" s="42" t="s">
        <v>536</v>
      </c>
      <c r="H221" s="43" t="s">
        <v>537</v>
      </c>
      <c r="I221" s="44" t="s">
        <v>503</v>
      </c>
      <c r="J221" s="45" t="s">
        <v>504</v>
      </c>
      <c r="K221" s="46" t="s">
        <v>538</v>
      </c>
      <c r="L221" s="47" t="s">
        <v>2915</v>
      </c>
      <c r="M221" s="48" t="s">
        <v>2916</v>
      </c>
      <c r="N221" s="49"/>
      <c r="O221" s="50" t="s">
        <v>3183</v>
      </c>
      <c r="P221" s="59"/>
      <c r="Q221" s="59"/>
      <c r="R221" s="13"/>
    </row>
    <row r="222" spans="1:18" ht="30" x14ac:dyDescent="0.25">
      <c r="A222" s="9" t="s">
        <v>21</v>
      </c>
      <c r="B222" s="28">
        <f>IF(ISBLANK(A222),0,INDEX(txtstylestab[],MATCH(A222,txtstylestab[style_Name],0),1))</f>
        <v>0</v>
      </c>
      <c r="C222" s="28">
        <f t="shared" si="13"/>
        <v>2</v>
      </c>
      <c r="D222" s="28">
        <f t="shared" si="14"/>
        <v>25</v>
      </c>
      <c r="E222" s="28">
        <f t="shared" si="15"/>
        <v>0</v>
      </c>
      <c r="F222" s="59" t="str">
        <f t="shared" si="16"/>
        <v/>
      </c>
      <c r="G222" s="42" t="s">
        <v>562</v>
      </c>
      <c r="H222" s="43" t="s">
        <v>26</v>
      </c>
      <c r="I222" s="44" t="s">
        <v>48</v>
      </c>
      <c r="J222" s="45" t="s">
        <v>54</v>
      </c>
      <c r="K222" s="46" t="s">
        <v>59</v>
      </c>
      <c r="L222" s="47" t="s">
        <v>2525</v>
      </c>
      <c r="M222" s="48" t="s">
        <v>2526</v>
      </c>
      <c r="N222" s="49"/>
      <c r="O222" s="50" t="s">
        <v>3173</v>
      </c>
      <c r="P222" s="59"/>
      <c r="Q222" s="59"/>
      <c r="R222" s="13"/>
    </row>
    <row r="223" spans="1:18" ht="18" thickBot="1" x14ac:dyDescent="0.35">
      <c r="A223" s="9" t="s">
        <v>11</v>
      </c>
      <c r="B223" s="28">
        <f>IF(ISBLANK(A223),0,INDEX(txtstylestab[],MATCH(A223,txtstylestab[style_Name],0),1))</f>
        <v>2</v>
      </c>
      <c r="C223" s="28">
        <f t="shared" si="13"/>
        <v>2</v>
      </c>
      <c r="D223" s="28">
        <f t="shared" si="14"/>
        <v>26</v>
      </c>
      <c r="E223" s="28">
        <f t="shared" si="15"/>
        <v>0</v>
      </c>
      <c r="F223" s="54" t="str">
        <f t="shared" si="16"/>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3"/>
        <v>2</v>
      </c>
      <c r="D224" s="28">
        <f t="shared" si="14"/>
        <v>26</v>
      </c>
      <c r="E224" s="28">
        <f t="shared" si="15"/>
        <v>0</v>
      </c>
      <c r="F224" s="59" t="str">
        <f t="shared" si="16"/>
        <v/>
      </c>
      <c r="G224" s="42" t="s">
        <v>82</v>
      </c>
      <c r="H224" s="43" t="s">
        <v>83</v>
      </c>
      <c r="I224" s="44" t="s">
        <v>84</v>
      </c>
      <c r="J224" s="45" t="s">
        <v>85</v>
      </c>
      <c r="K224" s="46" t="s">
        <v>86</v>
      </c>
      <c r="L224" s="47" t="s">
        <v>2398</v>
      </c>
      <c r="M224" s="48" t="s">
        <v>2333</v>
      </c>
      <c r="N224" s="49"/>
      <c r="O224" s="50" t="s">
        <v>3166</v>
      </c>
      <c r="P224" s="59"/>
      <c r="Q224" s="59"/>
      <c r="R224" s="13"/>
    </row>
    <row r="225" spans="1:18" ht="60" x14ac:dyDescent="0.25">
      <c r="A225" s="9" t="s">
        <v>21</v>
      </c>
      <c r="B225" s="28">
        <f>IF(ISBLANK(A225),0,INDEX(txtstylestab[],MATCH(A225,txtstylestab[style_Name],0),1))</f>
        <v>0</v>
      </c>
      <c r="C225" s="28">
        <f t="shared" si="13"/>
        <v>2</v>
      </c>
      <c r="D225" s="28">
        <f t="shared" si="14"/>
        <v>26</v>
      </c>
      <c r="E225" s="28">
        <f t="shared" si="15"/>
        <v>0</v>
      </c>
      <c r="F225" s="59" t="str">
        <f t="shared" si="16"/>
        <v/>
      </c>
      <c r="G225" s="42" t="s">
        <v>1179</v>
      </c>
      <c r="H225" s="43" t="s">
        <v>1180</v>
      </c>
      <c r="I225" s="44" t="s">
        <v>1181</v>
      </c>
      <c r="J225" s="45" t="s">
        <v>1182</v>
      </c>
      <c r="K225" s="46" t="s">
        <v>1183</v>
      </c>
      <c r="L225" s="47"/>
      <c r="M225" s="48"/>
      <c r="N225" s="49"/>
      <c r="O225" s="50" t="s">
        <v>3174</v>
      </c>
      <c r="P225" s="59"/>
      <c r="Q225" s="59"/>
      <c r="R225" s="13"/>
    </row>
    <row r="226" spans="1:18" ht="30" x14ac:dyDescent="0.25">
      <c r="A226" s="9" t="s">
        <v>21</v>
      </c>
      <c r="B226" s="28">
        <f>IF(ISBLANK(A226),0,INDEX(txtstylestab[],MATCH(A226,txtstylestab[style_Name],0),1))</f>
        <v>0</v>
      </c>
      <c r="C226" s="28">
        <f t="shared" si="13"/>
        <v>2</v>
      </c>
      <c r="D226" s="28">
        <f t="shared" si="14"/>
        <v>26</v>
      </c>
      <c r="E226" s="28">
        <f t="shared" si="15"/>
        <v>0</v>
      </c>
      <c r="F226" s="59" t="str">
        <f t="shared" si="16"/>
        <v/>
      </c>
      <c r="G226" s="42" t="s">
        <v>1184</v>
      </c>
      <c r="H226" s="43" t="s">
        <v>1185</v>
      </c>
      <c r="I226" s="44" t="s">
        <v>1186</v>
      </c>
      <c r="J226" s="45" t="s">
        <v>1187</v>
      </c>
      <c r="K226" s="46" t="s">
        <v>1188</v>
      </c>
      <c r="L226" s="47"/>
      <c r="M226" s="48"/>
      <c r="N226" s="49"/>
      <c r="O226" s="50" t="s">
        <v>3175</v>
      </c>
      <c r="P226" s="59"/>
      <c r="Q226" s="59"/>
      <c r="R226" s="13"/>
    </row>
    <row r="227" spans="1:18" ht="45" x14ac:dyDescent="0.25">
      <c r="A227" s="9" t="s">
        <v>21</v>
      </c>
      <c r="B227" s="28">
        <f>IF(ISBLANK(A227),0,INDEX(txtstylestab[],MATCH(A227,txtstylestab[style_Name],0),1))</f>
        <v>0</v>
      </c>
      <c r="C227" s="28">
        <f t="shared" si="13"/>
        <v>2</v>
      </c>
      <c r="D227" s="28">
        <f t="shared" si="14"/>
        <v>26</v>
      </c>
      <c r="E227" s="28">
        <f t="shared" si="15"/>
        <v>0</v>
      </c>
      <c r="F227" s="59" t="str">
        <f t="shared" si="16"/>
        <v/>
      </c>
      <c r="G227" s="42" t="s">
        <v>536</v>
      </c>
      <c r="H227" s="43" t="s">
        <v>537</v>
      </c>
      <c r="I227" s="44" t="s">
        <v>503</v>
      </c>
      <c r="J227" s="45" t="s">
        <v>504</v>
      </c>
      <c r="K227" s="46" t="s">
        <v>538</v>
      </c>
      <c r="L227" s="47"/>
      <c r="M227" s="48"/>
      <c r="N227" s="49"/>
      <c r="O227" s="50" t="s">
        <v>3176</v>
      </c>
      <c r="P227" s="59"/>
      <c r="Q227" s="59"/>
      <c r="R227" s="13"/>
    </row>
    <row r="228" spans="1:18" x14ac:dyDescent="0.25">
      <c r="A228" s="9" t="s">
        <v>21</v>
      </c>
      <c r="B228" s="28">
        <f>IF(ISBLANK(A228),0,INDEX(txtstylestab[],MATCH(A228,txtstylestab[style_Name],0),1))</f>
        <v>0</v>
      </c>
      <c r="C228" s="28">
        <f t="shared" si="13"/>
        <v>2</v>
      </c>
      <c r="D228" s="28">
        <f t="shared" si="14"/>
        <v>26</v>
      </c>
      <c r="E228" s="28">
        <f t="shared" si="15"/>
        <v>0</v>
      </c>
      <c r="F228" s="59" t="str">
        <f t="shared" si="16"/>
        <v/>
      </c>
      <c r="G228" s="42" t="s">
        <v>6</v>
      </c>
      <c r="H228" s="43" t="s">
        <v>26</v>
      </c>
      <c r="I228" s="44" t="s">
        <v>48</v>
      </c>
      <c r="J228" s="45" t="s">
        <v>384</v>
      </c>
      <c r="K228" s="46" t="s">
        <v>59</v>
      </c>
      <c r="L228" s="47" t="s">
        <v>2525</v>
      </c>
      <c r="M228" s="48" t="s">
        <v>2526</v>
      </c>
      <c r="N228" s="49"/>
      <c r="O228" s="50" t="s">
        <v>3173</v>
      </c>
      <c r="P228" s="59"/>
      <c r="Q228" s="59"/>
      <c r="R228" s="13"/>
    </row>
    <row r="229" spans="1:18" x14ac:dyDescent="0.25">
      <c r="A229" s="9" t="s">
        <v>13</v>
      </c>
      <c r="B229" s="28">
        <f>IF(ISBLANK(A229),0,INDEX(txtstylestab[],MATCH(A229,txtstylestab[style_Name],0),1))</f>
        <v>7</v>
      </c>
      <c r="C229" s="28">
        <f t="shared" si="13"/>
        <v>2</v>
      </c>
      <c r="D229" s="28">
        <f t="shared" si="14"/>
        <v>26</v>
      </c>
      <c r="E229" s="28">
        <f t="shared" si="15"/>
        <v>0</v>
      </c>
      <c r="F229" s="78" t="str">
        <f t="shared" si="16"/>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3"/>
        <v>2</v>
      </c>
      <c r="D230" s="28">
        <f t="shared" si="14"/>
        <v>27</v>
      </c>
      <c r="E230" s="28">
        <f t="shared" si="15"/>
        <v>0</v>
      </c>
      <c r="F230" s="54" t="str">
        <f t="shared" si="16"/>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3"/>
        <v>2</v>
      </c>
      <c r="D231" s="28">
        <f t="shared" si="14"/>
        <v>27</v>
      </c>
      <c r="E231" s="28">
        <f t="shared" si="15"/>
        <v>0</v>
      </c>
      <c r="F231" s="59" t="str">
        <f t="shared" si="16"/>
        <v/>
      </c>
      <c r="G231" s="42" t="s">
        <v>82</v>
      </c>
      <c r="H231" s="43" t="s">
        <v>83</v>
      </c>
      <c r="I231" s="44" t="s">
        <v>84</v>
      </c>
      <c r="J231" s="45" t="s">
        <v>85</v>
      </c>
      <c r="K231" s="46" t="s">
        <v>86</v>
      </c>
      <c r="L231" s="47" t="s">
        <v>2398</v>
      </c>
      <c r="M231" s="48" t="s">
        <v>2333</v>
      </c>
      <c r="N231" s="49"/>
      <c r="O231" s="50" t="s">
        <v>3166</v>
      </c>
      <c r="P231" s="59"/>
      <c r="Q231" s="59"/>
      <c r="R231" s="13"/>
    </row>
    <row r="232" spans="1:18" ht="105" x14ac:dyDescent="0.25">
      <c r="A232" s="9" t="s">
        <v>21</v>
      </c>
      <c r="B232" s="28">
        <f>IF(ISBLANK(A232),0,INDEX(txtstylestab[],MATCH(A232,txtstylestab[style_Name],0),1))</f>
        <v>0</v>
      </c>
      <c r="C232" s="28">
        <f t="shared" si="13"/>
        <v>2</v>
      </c>
      <c r="D232" s="28">
        <f t="shared" si="14"/>
        <v>27</v>
      </c>
      <c r="E232" s="28">
        <f t="shared" si="15"/>
        <v>0</v>
      </c>
      <c r="F232" s="59" t="str">
        <f t="shared" si="16"/>
        <v/>
      </c>
      <c r="G232" s="42" t="s">
        <v>1190</v>
      </c>
      <c r="H232" s="43" t="s">
        <v>1191</v>
      </c>
      <c r="I232" s="44" t="s">
        <v>1653</v>
      </c>
      <c r="J232" s="45" t="s">
        <v>1192</v>
      </c>
      <c r="K232" s="46" t="s">
        <v>1193</v>
      </c>
      <c r="L232" s="47" t="s">
        <v>2965</v>
      </c>
      <c r="M232" s="48" t="s">
        <v>2966</v>
      </c>
      <c r="N232" s="49"/>
      <c r="O232" s="50" t="s">
        <v>3171</v>
      </c>
      <c r="P232" s="59"/>
      <c r="Q232" s="59"/>
      <c r="R232" s="13"/>
    </row>
    <row r="233" spans="1:18" ht="45" x14ac:dyDescent="0.25">
      <c r="A233" s="9" t="s">
        <v>21</v>
      </c>
      <c r="B233" s="28">
        <f>IF(ISBLANK(A233),0,INDEX(txtstylestab[],MATCH(A233,txtstylestab[style_Name],0),1))</f>
        <v>0</v>
      </c>
      <c r="C233" s="28">
        <f t="shared" si="13"/>
        <v>2</v>
      </c>
      <c r="D233" s="28">
        <f t="shared" si="14"/>
        <v>27</v>
      </c>
      <c r="E233" s="28">
        <f t="shared" si="15"/>
        <v>0</v>
      </c>
      <c r="F233" s="59" t="str">
        <f t="shared" si="16"/>
        <v/>
      </c>
      <c r="G233" s="42" t="s">
        <v>1194</v>
      </c>
      <c r="H233" s="43" t="s">
        <v>1195</v>
      </c>
      <c r="I233" s="44" t="s">
        <v>1196</v>
      </c>
      <c r="J233" s="45" t="s">
        <v>1197</v>
      </c>
      <c r="K233" s="46" t="s">
        <v>1198</v>
      </c>
      <c r="L233" s="47" t="s">
        <v>2967</v>
      </c>
      <c r="M233" s="48" t="s">
        <v>2968</v>
      </c>
      <c r="N233" s="49"/>
      <c r="O233" s="50" t="s">
        <v>3172</v>
      </c>
      <c r="P233" s="59"/>
      <c r="Q233" s="59"/>
      <c r="R233" s="13"/>
    </row>
    <row r="234" spans="1:18" x14ac:dyDescent="0.25">
      <c r="A234" s="9" t="s">
        <v>21</v>
      </c>
      <c r="B234" s="28">
        <f>IF(ISBLANK(A234),0,INDEX(txtstylestab[],MATCH(A234,txtstylestab[style_Name],0),1))</f>
        <v>0</v>
      </c>
      <c r="C234" s="28">
        <f t="shared" si="13"/>
        <v>2</v>
      </c>
      <c r="D234" s="28">
        <f t="shared" si="14"/>
        <v>27</v>
      </c>
      <c r="E234" s="28">
        <f t="shared" si="15"/>
        <v>0</v>
      </c>
      <c r="F234" s="59" t="str">
        <f t="shared" si="16"/>
        <v/>
      </c>
      <c r="G234" s="42" t="s">
        <v>6</v>
      </c>
      <c r="H234" s="43" t="s">
        <v>26</v>
      </c>
      <c r="I234" s="44" t="s">
        <v>48</v>
      </c>
      <c r="J234" s="45" t="s">
        <v>384</v>
      </c>
      <c r="K234" s="46" t="s">
        <v>59</v>
      </c>
      <c r="L234" s="47" t="s">
        <v>2525</v>
      </c>
      <c r="M234" s="48" t="s">
        <v>2526</v>
      </c>
      <c r="N234" s="49"/>
      <c r="O234" s="50" t="s">
        <v>3173</v>
      </c>
      <c r="P234" s="59"/>
      <c r="Q234" s="59"/>
      <c r="R234" s="13"/>
    </row>
    <row r="235" spans="1:18" ht="18" thickBot="1" x14ac:dyDescent="0.35">
      <c r="A235" s="9" t="s">
        <v>11</v>
      </c>
      <c r="B235" s="28">
        <f>IF(ISBLANK(A235),0,INDEX(txtstylestab[],MATCH(A235,txtstylestab[style_Name],0),1))</f>
        <v>2</v>
      </c>
      <c r="C235" s="28">
        <f t="shared" si="13"/>
        <v>2</v>
      </c>
      <c r="D235" s="28">
        <f t="shared" si="14"/>
        <v>28</v>
      </c>
      <c r="E235" s="28">
        <f t="shared" si="15"/>
        <v>0</v>
      </c>
      <c r="F235" s="54" t="str">
        <f t="shared" si="16"/>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3"/>
        <v>2</v>
      </c>
      <c r="D236" s="28">
        <f t="shared" si="14"/>
        <v>28</v>
      </c>
      <c r="E236" s="28">
        <f t="shared" si="15"/>
        <v>0</v>
      </c>
      <c r="F236" s="59" t="str">
        <f t="shared" si="16"/>
        <v/>
      </c>
      <c r="G236" s="42" t="s">
        <v>82</v>
      </c>
      <c r="H236" s="43" t="s">
        <v>852</v>
      </c>
      <c r="I236" s="44" t="s">
        <v>84</v>
      </c>
      <c r="J236" s="45" t="s">
        <v>85</v>
      </c>
      <c r="K236" s="46" t="s">
        <v>86</v>
      </c>
      <c r="L236" s="47" t="s">
        <v>2398</v>
      </c>
      <c r="M236" s="48" t="s">
        <v>2333</v>
      </c>
      <c r="N236" s="49"/>
      <c r="O236" s="50" t="s">
        <v>3166</v>
      </c>
      <c r="P236" s="59"/>
      <c r="Q236" s="59"/>
      <c r="R236" s="13"/>
    </row>
    <row r="237" spans="1:18" ht="75" x14ac:dyDescent="0.25">
      <c r="A237" s="9" t="s">
        <v>21</v>
      </c>
      <c r="B237" s="28">
        <f>IF(ISBLANK(A237),0,INDEX(txtstylestab[],MATCH(A237,txtstylestab[style_Name],0),1))</f>
        <v>0</v>
      </c>
      <c r="C237" s="28">
        <f t="shared" si="13"/>
        <v>2</v>
      </c>
      <c r="D237" s="28">
        <f t="shared" si="14"/>
        <v>28</v>
      </c>
      <c r="E237" s="28">
        <f t="shared" si="15"/>
        <v>0</v>
      </c>
      <c r="F237" s="59" t="str">
        <f t="shared" si="16"/>
        <v/>
      </c>
      <c r="G237" s="42" t="s">
        <v>1200</v>
      </c>
      <c r="H237" s="43" t="s">
        <v>1201</v>
      </c>
      <c r="I237" s="44" t="s">
        <v>1655</v>
      </c>
      <c r="J237" s="45" t="s">
        <v>1202</v>
      </c>
      <c r="K237" s="46" t="s">
        <v>1203</v>
      </c>
      <c r="L237" s="47" t="s">
        <v>2969</v>
      </c>
      <c r="M237" s="48" t="s">
        <v>2970</v>
      </c>
      <c r="N237" s="49"/>
      <c r="O237" s="50" t="s">
        <v>3169</v>
      </c>
      <c r="P237" s="59"/>
      <c r="Q237" s="59"/>
      <c r="R237" s="13"/>
    </row>
    <row r="238" spans="1:18" ht="45" x14ac:dyDescent="0.25">
      <c r="A238" s="9" t="s">
        <v>21</v>
      </c>
      <c r="B238" s="28">
        <f>IF(ISBLANK(A238),0,INDEX(txtstylestab[],MATCH(A238,txtstylestab[style_Name],0),1))</f>
        <v>0</v>
      </c>
      <c r="C238" s="28">
        <f t="shared" si="13"/>
        <v>2</v>
      </c>
      <c r="D238" s="28">
        <f t="shared" si="14"/>
        <v>28</v>
      </c>
      <c r="E238" s="28">
        <f t="shared" si="15"/>
        <v>0</v>
      </c>
      <c r="F238" s="59" t="str">
        <f t="shared" si="16"/>
        <v/>
      </c>
      <c r="G238" s="42" t="s">
        <v>1204</v>
      </c>
      <c r="H238" s="43" t="s">
        <v>1205</v>
      </c>
      <c r="I238" s="44" t="s">
        <v>1654</v>
      </c>
      <c r="J238" s="45" t="s">
        <v>1206</v>
      </c>
      <c r="K238" s="46" t="s">
        <v>1207</v>
      </c>
      <c r="L238" s="47" t="s">
        <v>2971</v>
      </c>
      <c r="M238" s="48" t="s">
        <v>2972</v>
      </c>
      <c r="N238" s="49"/>
      <c r="O238" s="50" t="s">
        <v>3170</v>
      </c>
      <c r="P238" s="59"/>
      <c r="Q238" s="59"/>
      <c r="R238" s="13"/>
    </row>
    <row r="239" spans="1:18" x14ac:dyDescent="0.25">
      <c r="A239" s="9" t="s">
        <v>21</v>
      </c>
      <c r="B239" s="28">
        <f>IF(ISBLANK(A239),0,INDEX(txtstylestab[],MATCH(A239,txtstylestab[style_Name],0),1))</f>
        <v>0</v>
      </c>
      <c r="C239" s="28">
        <f t="shared" si="13"/>
        <v>2</v>
      </c>
      <c r="D239" s="28">
        <f t="shared" si="14"/>
        <v>28</v>
      </c>
      <c r="E239" s="28">
        <f t="shared" si="15"/>
        <v>0</v>
      </c>
      <c r="F239" s="59" t="str">
        <f t="shared" si="16"/>
        <v/>
      </c>
      <c r="G239" s="42" t="s">
        <v>6</v>
      </c>
      <c r="H239" s="43" t="s">
        <v>26</v>
      </c>
      <c r="I239" s="44" t="s">
        <v>48</v>
      </c>
      <c r="J239" s="45" t="s">
        <v>384</v>
      </c>
      <c r="K239" s="46" t="s">
        <v>59</v>
      </c>
      <c r="L239" s="47" t="s">
        <v>2525</v>
      </c>
      <c r="M239" s="48" t="s">
        <v>2526</v>
      </c>
      <c r="N239" s="49"/>
      <c r="O239" s="50" t="s">
        <v>3173</v>
      </c>
      <c r="P239" s="59"/>
      <c r="Q239" s="59"/>
      <c r="R239" s="13"/>
    </row>
    <row r="240" spans="1:18" ht="18" thickBot="1" x14ac:dyDescent="0.35">
      <c r="A240" s="9" t="s">
        <v>11</v>
      </c>
      <c r="B240" s="28">
        <f>IF(ISBLANK(A240),0,INDEX(txtstylestab[],MATCH(A240,txtstylestab[style_Name],0),1))</f>
        <v>2</v>
      </c>
      <c r="C240" s="28">
        <f t="shared" si="13"/>
        <v>2</v>
      </c>
      <c r="D240" s="28">
        <f t="shared" si="14"/>
        <v>29</v>
      </c>
      <c r="E240" s="28">
        <f t="shared" si="15"/>
        <v>0</v>
      </c>
      <c r="F240" s="54" t="str">
        <f t="shared" si="16"/>
        <v>2.29.</v>
      </c>
      <c r="G240" s="54" t="s">
        <v>3148</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3"/>
        <v>2</v>
      </c>
      <c r="D241" s="28">
        <f t="shared" si="14"/>
        <v>29</v>
      </c>
      <c r="E241" s="28">
        <f t="shared" si="15"/>
        <v>0</v>
      </c>
      <c r="F241" s="59" t="str">
        <f t="shared" si="16"/>
        <v/>
      </c>
      <c r="G241" s="42" t="s">
        <v>82</v>
      </c>
      <c r="H241" s="43" t="s">
        <v>83</v>
      </c>
      <c r="I241" s="44" t="s">
        <v>84</v>
      </c>
      <c r="J241" s="45" t="s">
        <v>85</v>
      </c>
      <c r="K241" s="46" t="s">
        <v>3155</v>
      </c>
      <c r="L241" s="47" t="s">
        <v>3159</v>
      </c>
      <c r="M241" s="48" t="s">
        <v>3160</v>
      </c>
      <c r="N241" s="49"/>
      <c r="O241" s="50" t="s">
        <v>3166</v>
      </c>
      <c r="P241" s="59"/>
      <c r="Q241" s="59"/>
      <c r="R241" s="13"/>
    </row>
    <row r="242" spans="1:18" ht="120" x14ac:dyDescent="0.25">
      <c r="A242" s="9" t="s">
        <v>21</v>
      </c>
      <c r="B242" s="28">
        <f>IF(ISBLANK(A242),0,INDEX(txtstylestab[],MATCH(A242,txtstylestab[style_Name],0),1))</f>
        <v>0</v>
      </c>
      <c r="C242" s="28">
        <f t="shared" si="13"/>
        <v>2</v>
      </c>
      <c r="D242" s="28">
        <f t="shared" si="14"/>
        <v>29</v>
      </c>
      <c r="E242" s="28">
        <f t="shared" si="15"/>
        <v>0</v>
      </c>
      <c r="F242" s="59" t="str">
        <f t="shared" si="16"/>
        <v/>
      </c>
      <c r="G242" s="42" t="s">
        <v>3149</v>
      </c>
      <c r="H242" s="43" t="s">
        <v>3151</v>
      </c>
      <c r="I242" s="44" t="s">
        <v>3153</v>
      </c>
      <c r="J242" s="45" t="s">
        <v>3158</v>
      </c>
      <c r="K242" s="46" t="s">
        <v>3156</v>
      </c>
      <c r="L242" s="47" t="s">
        <v>3162</v>
      </c>
      <c r="M242" s="48" t="s">
        <v>3161</v>
      </c>
      <c r="N242" s="49"/>
      <c r="O242" s="50" t="s">
        <v>3167</v>
      </c>
      <c r="P242" s="59"/>
      <c r="Q242" s="59"/>
      <c r="R242" s="13"/>
    </row>
    <row r="243" spans="1:18" ht="30" x14ac:dyDescent="0.25">
      <c r="A243" s="9" t="s">
        <v>21</v>
      </c>
      <c r="B243" s="28">
        <f>IF(ISBLANK(A243),0,INDEX(txtstylestab[],MATCH(A243,txtstylestab[style_Name],0),1))</f>
        <v>0</v>
      </c>
      <c r="C243" s="28">
        <f t="shared" si="13"/>
        <v>2</v>
      </c>
      <c r="D243" s="28">
        <f t="shared" si="14"/>
        <v>29</v>
      </c>
      <c r="E243" s="28">
        <f t="shared" si="15"/>
        <v>0</v>
      </c>
      <c r="F243" s="59" t="str">
        <f t="shared" si="16"/>
        <v/>
      </c>
      <c r="G243" s="42" t="s">
        <v>3150</v>
      </c>
      <c r="H243" s="43" t="s">
        <v>3152</v>
      </c>
      <c r="I243" s="44" t="s">
        <v>3154</v>
      </c>
      <c r="J243" s="45" t="s">
        <v>54</v>
      </c>
      <c r="K243" s="46" t="s">
        <v>3157</v>
      </c>
      <c r="L243" s="47" t="s">
        <v>3163</v>
      </c>
      <c r="M243" s="48" t="s">
        <v>3164</v>
      </c>
      <c r="N243" s="49"/>
      <c r="O243" s="50" t="s">
        <v>3168</v>
      </c>
      <c r="P243" s="59"/>
      <c r="Q243" s="59"/>
      <c r="R243" s="13"/>
    </row>
    <row r="244" spans="1:18" x14ac:dyDescent="0.25">
      <c r="A244" s="9" t="s">
        <v>21</v>
      </c>
      <c r="B244" s="28">
        <f>IF(ISBLANK(A244),0,INDEX(txtstylestab[],MATCH(A244,txtstylestab[style_Name],0),1))</f>
        <v>0</v>
      </c>
      <c r="C244" s="28">
        <f t="shared" si="13"/>
        <v>2</v>
      </c>
      <c r="D244" s="28">
        <f t="shared" si="14"/>
        <v>29</v>
      </c>
      <c r="E244" s="28">
        <f t="shared" si="15"/>
        <v>0</v>
      </c>
      <c r="F244" s="59" t="str">
        <f t="shared" si="16"/>
        <v/>
      </c>
      <c r="G244" s="42"/>
      <c r="H244" s="43"/>
      <c r="I244" s="44"/>
      <c r="J244" s="45"/>
      <c r="K244" s="46"/>
      <c r="L244" s="47"/>
      <c r="M244" s="48"/>
      <c r="N244" s="49"/>
      <c r="O244" s="49"/>
      <c r="P244" s="50"/>
      <c r="Q244" s="59"/>
      <c r="R244" s="13"/>
    </row>
    <row r="245" spans="1:18" x14ac:dyDescent="0.25">
      <c r="A245" s="9" t="s">
        <v>21</v>
      </c>
      <c r="B245" s="28">
        <f>IF(ISBLANK(A245),0,INDEX(txtstylestab[],MATCH(A245,txtstylestab[style_Name],0),1))</f>
        <v>0</v>
      </c>
      <c r="C245" s="28">
        <f t="shared" si="13"/>
        <v>2</v>
      </c>
      <c r="D245" s="28">
        <f t="shared" si="14"/>
        <v>29</v>
      </c>
      <c r="E245" s="28">
        <f t="shared" si="15"/>
        <v>0</v>
      </c>
      <c r="F245" s="59" t="str">
        <f t="shared" si="16"/>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3"/>
        <v>2</v>
      </c>
      <c r="D246" s="28">
        <f t="shared" si="14"/>
        <v>29</v>
      </c>
      <c r="E246" s="28">
        <f t="shared" si="15"/>
        <v>0</v>
      </c>
      <c r="F246" s="30" t="str">
        <f t="shared" si="16"/>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4:Q24 G57:Q57 G245:Q267 L268:Q268 G36:Q36 G28:J28 G7:H7 L7:Q7 G1:Q4 H64:K199 L65:Q65 G64:G244 G5:K6 G8:K15 N8:Q15 G17:K23 N17:Q23 G27:K27 G29:K35 G26:Q26 G25:K25 N25:Q25 G37:K42 G49:K54 G56:K56 G58:K62 L70:Q71 N66:Q69 L77:Q77 N72:Q76 L79:Q81 N78:Q78 L85:Q85 N82:Q84 L90:Q94 N86:Q89 L105:Q105 L110:Q110 L116:Q116 L120:Q120 L126:Q127 L139:Q139 L143:Q143 L151:Q151 L157:Q158 L163:Q163 L170:Q170 L175:Q175 L183:Q183 L187:Q187 L193:Q193 N188:Q192 L198:Q198 N194:Q197 H202:Q202 N199:Q201 H205:Q205 H203:K204 H213:Q213 H206:K212 H223:Q223 H214:K222 N214:Q222 H225:Q227 H224:K224 N224:Q224 H229:Q230 H228:K228 N228:Q228 H235:Q235 H231:K234 N231:Q234 H236:K244 N236:Q244 N206:Q212 N203:Q204 N184:Q186 N176:Q182 N171:Q174 N164:Q169 N159:Q162 N152:Q156 N144:Q150 N140:Q142 N128:Q138 N121:Q123 N117:Q119 N111:Q115 N95:Q104 N106:Q109 N58:Q62 N64:Q64 N49:Q54 N56:Q56 G43:Q48 N37:Q42 N27:Q35 N5:Q6 G269:Q1048576 N125:Q125 N124 P124:Q124">
    <cfRule type="expression" dxfId="169" priority="66">
      <formula>($B1=6)</formula>
    </cfRule>
  </conditionalFormatting>
  <conditionalFormatting sqref="H200:J201">
    <cfRule type="expression" dxfId="168" priority="58">
      <formula>($B200=6)</formula>
    </cfRule>
  </conditionalFormatting>
  <conditionalFormatting sqref="G16:K16 N16:Q16">
    <cfRule type="expression" dxfId="167" priority="57">
      <formula>($B16=6)</formula>
    </cfRule>
  </conditionalFormatting>
  <conditionalFormatting sqref="G55:K55 N55:Q55">
    <cfRule type="expression" dxfId="166" priority="56">
      <formula>($B55=6)</formula>
    </cfRule>
  </conditionalFormatting>
  <conditionalFormatting sqref="G63:K63 N63:Q63">
    <cfRule type="expression" dxfId="165" priority="55">
      <formula>($B63=6)</formula>
    </cfRule>
  </conditionalFormatting>
  <conditionalFormatting sqref="K28">
    <cfRule type="expression" dxfId="164" priority="103">
      <formula>($B268=6)</formula>
    </cfRule>
  </conditionalFormatting>
  <conditionalFormatting sqref="I7:K7">
    <cfRule type="expression" dxfId="163" priority="53">
      <formula>($B7=6)</formula>
    </cfRule>
  </conditionalFormatting>
  <conditionalFormatting sqref="L5:M6">
    <cfRule type="expression" dxfId="162" priority="52">
      <formula>($B5=6)</formula>
    </cfRule>
  </conditionalFormatting>
  <conditionalFormatting sqref="L8:M8">
    <cfRule type="expression" dxfId="161" priority="51">
      <formula>($B8=6)</formula>
    </cfRule>
  </conditionalFormatting>
  <conditionalFormatting sqref="L9:M16">
    <cfRule type="expression" dxfId="160" priority="50">
      <formula>($B9=6)</formula>
    </cfRule>
  </conditionalFormatting>
  <conditionalFormatting sqref="L17:M18">
    <cfRule type="expression" dxfId="159" priority="49">
      <formula>($B17=6)</formula>
    </cfRule>
  </conditionalFormatting>
  <conditionalFormatting sqref="L19:M23">
    <cfRule type="expression" dxfId="158" priority="48">
      <formula>($B19=6)</formula>
    </cfRule>
  </conditionalFormatting>
  <conditionalFormatting sqref="L236:M244">
    <cfRule type="expression" dxfId="157" priority="2">
      <formula>($B236=6)</formula>
    </cfRule>
  </conditionalFormatting>
  <conditionalFormatting sqref="L27:M27">
    <cfRule type="expression" dxfId="156" priority="47">
      <formula>($B27=6)</formula>
    </cfRule>
  </conditionalFormatting>
  <conditionalFormatting sqref="L28:M28">
    <cfRule type="expression" dxfId="155" priority="46">
      <formula>($B28=6)</formula>
    </cfRule>
  </conditionalFormatting>
  <conditionalFormatting sqref="L29:M35">
    <cfRule type="expression" dxfId="154" priority="45">
      <formula>($B29=6)</formula>
    </cfRule>
  </conditionalFormatting>
  <conditionalFormatting sqref="L25:M25">
    <cfRule type="expression" dxfId="153" priority="44">
      <formula>($B25=6)</formula>
    </cfRule>
  </conditionalFormatting>
  <conditionalFormatting sqref="L37:M42">
    <cfRule type="expression" dxfId="152" priority="43">
      <formula>($B37=6)</formula>
    </cfRule>
  </conditionalFormatting>
  <conditionalFormatting sqref="L49:M53 L55:M56">
    <cfRule type="expression" dxfId="151" priority="42">
      <formula>($B49=6)</formula>
    </cfRule>
  </conditionalFormatting>
  <conditionalFormatting sqref="M54">
    <cfRule type="expression" dxfId="150" priority="40">
      <formula>($B54=6)</formula>
    </cfRule>
  </conditionalFormatting>
  <conditionalFormatting sqref="L54">
    <cfRule type="expression" dxfId="149" priority="41">
      <formula>($B54=6)</formula>
    </cfRule>
  </conditionalFormatting>
  <conditionalFormatting sqref="L58:M58 L64:M64 L60:M60 L62:M62 M61">
    <cfRule type="expression" dxfId="148" priority="39">
      <formula>($B58=6)</formula>
    </cfRule>
  </conditionalFormatting>
  <conditionalFormatting sqref="L63">
    <cfRule type="expression" dxfId="147" priority="38">
      <formula>($B63=6)</formula>
    </cfRule>
  </conditionalFormatting>
  <conditionalFormatting sqref="M63">
    <cfRule type="expression" dxfId="146" priority="37">
      <formula>($B63=6)</formula>
    </cfRule>
  </conditionalFormatting>
  <conditionalFormatting sqref="L66:M67 L69:M69">
    <cfRule type="expression" dxfId="145" priority="36">
      <formula>($B66=6)</formula>
    </cfRule>
  </conditionalFormatting>
  <conditionalFormatting sqref="L68">
    <cfRule type="expression" dxfId="144" priority="35">
      <formula>($B68=6)</formula>
    </cfRule>
  </conditionalFormatting>
  <conditionalFormatting sqref="M68">
    <cfRule type="expression" dxfId="143" priority="34">
      <formula>($B68=6)</formula>
    </cfRule>
  </conditionalFormatting>
  <conditionalFormatting sqref="L72:M76">
    <cfRule type="expression" dxfId="142" priority="33">
      <formula>($B72=6)</formula>
    </cfRule>
  </conditionalFormatting>
  <conditionalFormatting sqref="L78:M78">
    <cfRule type="expression" dxfId="141" priority="32">
      <formula>($B78=6)</formula>
    </cfRule>
  </conditionalFormatting>
  <conditionalFormatting sqref="L82:M84">
    <cfRule type="expression" dxfId="140" priority="31">
      <formula>($B82=6)</formula>
    </cfRule>
  </conditionalFormatting>
  <conditionalFormatting sqref="L86:M89">
    <cfRule type="expression" dxfId="139" priority="30">
      <formula>($B86=6)</formula>
    </cfRule>
  </conditionalFormatting>
  <conditionalFormatting sqref="L95:M97">
    <cfRule type="expression" dxfId="138" priority="29">
      <formula>($B95=6)</formula>
    </cfRule>
  </conditionalFormatting>
  <conditionalFormatting sqref="L98:M104">
    <cfRule type="expression" dxfId="137" priority="28">
      <formula>($B98=6)</formula>
    </cfRule>
  </conditionalFormatting>
  <conditionalFormatting sqref="L106:M109">
    <cfRule type="expression" dxfId="136" priority="27">
      <formula>($B106=6)</formula>
    </cfRule>
  </conditionalFormatting>
  <conditionalFormatting sqref="L111:M115">
    <cfRule type="expression" dxfId="135" priority="26">
      <formula>($B111=6)</formula>
    </cfRule>
  </conditionalFormatting>
  <conditionalFormatting sqref="L117:M119">
    <cfRule type="expression" dxfId="134" priority="25">
      <formula>($B117=6)</formula>
    </cfRule>
  </conditionalFormatting>
  <conditionalFormatting sqref="L121:M125">
    <cfRule type="expression" dxfId="133" priority="24">
      <formula>($B121=6)</formula>
    </cfRule>
  </conditionalFormatting>
  <conditionalFormatting sqref="L128:M138">
    <cfRule type="expression" dxfId="132" priority="23">
      <formula>($B128=6)</formula>
    </cfRule>
  </conditionalFormatting>
  <conditionalFormatting sqref="L140:M142">
    <cfRule type="expression" dxfId="131" priority="22">
      <formula>($B140=6)</formula>
    </cfRule>
  </conditionalFormatting>
  <conditionalFormatting sqref="L144:M150">
    <cfRule type="expression" dxfId="130" priority="21">
      <formula>($B144=6)</formula>
    </cfRule>
  </conditionalFormatting>
  <conditionalFormatting sqref="L152:M156">
    <cfRule type="expression" dxfId="129" priority="20">
      <formula>($B152=6)</formula>
    </cfRule>
  </conditionalFormatting>
  <conditionalFormatting sqref="L159:M162">
    <cfRule type="expression" dxfId="128" priority="19">
      <formula>($B159=6)</formula>
    </cfRule>
  </conditionalFormatting>
  <conditionalFormatting sqref="L164:M165 M166 L167:M169">
    <cfRule type="expression" dxfId="127" priority="18">
      <formula>($B164=6)</formula>
    </cfRule>
  </conditionalFormatting>
  <conditionalFormatting sqref="L166">
    <cfRule type="expression" dxfId="126" priority="17">
      <formula>($B166=6)</formula>
    </cfRule>
  </conditionalFormatting>
  <conditionalFormatting sqref="L171:M174">
    <cfRule type="expression" dxfId="125" priority="16">
      <formula>($B171=6)</formula>
    </cfRule>
  </conditionalFormatting>
  <conditionalFormatting sqref="L176:M182">
    <cfRule type="expression" dxfId="124" priority="15">
      <formula>($B176=6)</formula>
    </cfRule>
  </conditionalFormatting>
  <conditionalFormatting sqref="L184:M186">
    <cfRule type="expression" dxfId="123" priority="14">
      <formula>($B184=6)</formula>
    </cfRule>
  </conditionalFormatting>
  <conditionalFormatting sqref="L188:M192">
    <cfRule type="expression" dxfId="122" priority="13">
      <formula>($B188=6)</formula>
    </cfRule>
  </conditionalFormatting>
  <conditionalFormatting sqref="L194:M197">
    <cfRule type="expression" dxfId="121" priority="12">
      <formula>($B194=6)</formula>
    </cfRule>
  </conditionalFormatting>
  <conditionalFormatting sqref="L199:M201">
    <cfRule type="expression" dxfId="120" priority="11">
      <formula>($B199=6)</formula>
    </cfRule>
  </conditionalFormatting>
  <conditionalFormatting sqref="L203:M204">
    <cfRule type="expression" dxfId="119" priority="10">
      <formula>($B203=6)</formula>
    </cfRule>
  </conditionalFormatting>
  <conditionalFormatting sqref="L206:M212">
    <cfRule type="expression" dxfId="118" priority="9">
      <formula>($B206=6)</formula>
    </cfRule>
  </conditionalFormatting>
  <conditionalFormatting sqref="L214:M222">
    <cfRule type="expression" dxfId="117" priority="8">
      <formula>($B214=6)</formula>
    </cfRule>
  </conditionalFormatting>
  <conditionalFormatting sqref="L231:M231">
    <cfRule type="expression" dxfId="116" priority="7">
      <formula>($B231=6)</formula>
    </cfRule>
  </conditionalFormatting>
  <conditionalFormatting sqref="L224:M224">
    <cfRule type="expression" dxfId="115" priority="6">
      <formula>($B224=6)</formula>
    </cfRule>
  </conditionalFormatting>
  <conditionalFormatting sqref="L228:M228">
    <cfRule type="expression" dxfId="114" priority="5">
      <formula>($B228=6)</formula>
    </cfRule>
  </conditionalFormatting>
  <conditionalFormatting sqref="L234:M234">
    <cfRule type="expression" dxfId="113" priority="4">
      <formula>($B234=6)</formula>
    </cfRule>
  </conditionalFormatting>
  <conditionalFormatting sqref="L232:M233">
    <cfRule type="expression" dxfId="112" priority="3">
      <formula>($B232=6)</formula>
    </cfRule>
  </conditionalFormatting>
  <conditionalFormatting sqref="O124">
    <cfRule type="expression" dxfId="111" priority="1">
      <formula>($B124=6)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2" activePane="bottomLeft" state="frozen"/>
      <selection pane="bottomLeft" activeCell="M12" sqref="M12"/>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 t="shared" ref="F3" si="0">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1">IF(B4=1,C3+1,C3)</f>
        <v>3</v>
      </c>
      <c r="D4" s="28">
        <f t="shared" ref="D4:D67" si="2">IF(B4=1,0,IF(B4=2,D3+1,IF(AND(B4=3,D3=0),1,D3)))</f>
        <v>0</v>
      </c>
      <c r="E4" s="28">
        <f t="shared" ref="E4:E67" si="3">IF(OR(B4=1,B4=2),0,IF(B4=3,E3+1,E3))</f>
        <v>0</v>
      </c>
      <c r="F4" s="60" t="str">
        <f t="shared" ref="F4:F67" si="4">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1"/>
        <v>3</v>
      </c>
      <c r="D5" s="28">
        <f t="shared" si="2"/>
        <v>0</v>
      </c>
      <c r="E5" s="28">
        <f t="shared" si="3"/>
        <v>0</v>
      </c>
      <c r="F5" s="60" t="str">
        <f t="shared" si="4"/>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1"/>
        <v>3</v>
      </c>
      <c r="D6" s="28">
        <f t="shared" si="2"/>
        <v>0</v>
      </c>
      <c r="E6" s="28">
        <f t="shared" si="3"/>
        <v>0</v>
      </c>
      <c r="F6" s="60" t="str">
        <f t="shared" si="4"/>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1"/>
        <v>3</v>
      </c>
      <c r="D7" s="28">
        <f t="shared" si="2"/>
        <v>1</v>
      </c>
      <c r="E7" s="28">
        <f t="shared" si="3"/>
        <v>0</v>
      </c>
      <c r="F7" s="54" t="str">
        <f t="shared" si="4"/>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1"/>
        <v>3</v>
      </c>
      <c r="D8" s="28">
        <f t="shared" si="2"/>
        <v>1</v>
      </c>
      <c r="E8" s="28">
        <f t="shared" si="3"/>
        <v>0</v>
      </c>
      <c r="F8" s="59" t="str">
        <f t="shared" si="4"/>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1"/>
        <v>3</v>
      </c>
      <c r="D9" s="28">
        <f t="shared" si="2"/>
        <v>1</v>
      </c>
      <c r="E9" s="28">
        <f t="shared" si="3"/>
        <v>0</v>
      </c>
      <c r="F9" s="59" t="str">
        <f t="shared" si="4"/>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1"/>
        <v>3</v>
      </c>
      <c r="D10" s="28">
        <f t="shared" si="2"/>
        <v>1</v>
      </c>
      <c r="E10" s="28">
        <f t="shared" si="3"/>
        <v>0</v>
      </c>
      <c r="F10" s="59" t="str">
        <f t="shared" si="4"/>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1"/>
        <v>3</v>
      </c>
      <c r="D11" s="28">
        <f t="shared" si="2"/>
        <v>1</v>
      </c>
      <c r="E11" s="28">
        <f t="shared" si="3"/>
        <v>0</v>
      </c>
      <c r="F11" s="59" t="str">
        <f t="shared" si="4"/>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1"/>
        <v>3</v>
      </c>
      <c r="D12" s="28">
        <f t="shared" si="2"/>
        <v>1</v>
      </c>
      <c r="E12" s="28">
        <f t="shared" si="3"/>
        <v>0</v>
      </c>
      <c r="F12" s="59" t="str">
        <f t="shared" si="4"/>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1"/>
        <v>3</v>
      </c>
      <c r="D13" s="28">
        <f t="shared" si="2"/>
        <v>1</v>
      </c>
      <c r="E13" s="28">
        <f t="shared" si="3"/>
        <v>0</v>
      </c>
      <c r="F13" s="59" t="str">
        <f t="shared" si="4"/>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1"/>
        <v>3</v>
      </c>
      <c r="D14" s="28">
        <f t="shared" si="2"/>
        <v>1</v>
      </c>
      <c r="E14" s="28">
        <f t="shared" si="3"/>
        <v>0</v>
      </c>
      <c r="F14" s="59" t="str">
        <f t="shared" si="4"/>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1"/>
        <v>3</v>
      </c>
      <c r="D15" s="28">
        <f t="shared" si="2"/>
        <v>1</v>
      </c>
      <c r="E15" s="28">
        <f t="shared" si="3"/>
        <v>0</v>
      </c>
      <c r="F15" s="59" t="str">
        <f t="shared" si="4"/>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1"/>
        <v>3</v>
      </c>
      <c r="D16" s="28">
        <f t="shared" si="2"/>
        <v>1</v>
      </c>
      <c r="E16" s="28">
        <f t="shared" si="3"/>
        <v>0</v>
      </c>
      <c r="F16" s="59" t="str">
        <f t="shared" si="4"/>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1"/>
        <v>3</v>
      </c>
      <c r="D17" s="28">
        <f t="shared" si="2"/>
        <v>1</v>
      </c>
      <c r="E17" s="28">
        <f t="shared" si="3"/>
        <v>0</v>
      </c>
      <c r="F17" s="59" t="str">
        <f t="shared" si="4"/>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1"/>
        <v>3</v>
      </c>
      <c r="D18" s="28">
        <f t="shared" si="2"/>
        <v>1</v>
      </c>
      <c r="E18" s="28">
        <f t="shared" si="3"/>
        <v>0</v>
      </c>
      <c r="F18" s="59" t="str">
        <f t="shared" si="4"/>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1"/>
        <v>3</v>
      </c>
      <c r="D19" s="28">
        <f t="shared" si="2"/>
        <v>1</v>
      </c>
      <c r="E19" s="28">
        <f t="shared" si="3"/>
        <v>0</v>
      </c>
      <c r="F19" s="59" t="str">
        <f t="shared" si="4"/>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1"/>
        <v>3</v>
      </c>
      <c r="D20" s="28">
        <f t="shared" si="2"/>
        <v>1</v>
      </c>
      <c r="E20" s="28">
        <f t="shared" si="3"/>
        <v>0</v>
      </c>
      <c r="F20" s="59" t="str">
        <f t="shared" si="4"/>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1"/>
        <v>3</v>
      </c>
      <c r="D21" s="28">
        <f t="shared" si="2"/>
        <v>1</v>
      </c>
      <c r="E21" s="28">
        <f t="shared" si="3"/>
        <v>0</v>
      </c>
      <c r="F21" s="59" t="str">
        <f t="shared" si="4"/>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1"/>
        <v>3</v>
      </c>
      <c r="D22" s="28">
        <f t="shared" si="2"/>
        <v>1</v>
      </c>
      <c r="E22" s="28">
        <f t="shared" si="3"/>
        <v>0</v>
      </c>
      <c r="F22" s="59" t="str">
        <f t="shared" si="4"/>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1"/>
        <v>3</v>
      </c>
      <c r="D23" s="28">
        <f t="shared" si="2"/>
        <v>1</v>
      </c>
      <c r="E23" s="28">
        <f t="shared" si="3"/>
        <v>0</v>
      </c>
      <c r="F23" s="60" t="str">
        <f t="shared" si="4"/>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1"/>
        <v>3</v>
      </c>
      <c r="D24" s="28">
        <f t="shared" si="2"/>
        <v>1</v>
      </c>
      <c r="E24" s="28">
        <f t="shared" si="3"/>
        <v>0</v>
      </c>
      <c r="F24" s="60" t="str">
        <f t="shared" si="4"/>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1"/>
        <v>3</v>
      </c>
      <c r="D25" s="28">
        <f t="shared" si="2"/>
        <v>2</v>
      </c>
      <c r="E25" s="28">
        <f t="shared" si="3"/>
        <v>0</v>
      </c>
      <c r="F25" s="54" t="str">
        <f t="shared" si="4"/>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1"/>
        <v>3</v>
      </c>
      <c r="D26" s="28">
        <f t="shared" si="2"/>
        <v>2</v>
      </c>
      <c r="E26" s="28">
        <f t="shared" si="3"/>
        <v>0</v>
      </c>
      <c r="F26" s="56" t="str">
        <f t="shared" si="4"/>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1"/>
        <v>3</v>
      </c>
      <c r="D27" s="28">
        <f t="shared" si="2"/>
        <v>2</v>
      </c>
      <c r="E27" s="28">
        <f t="shared" si="3"/>
        <v>0</v>
      </c>
      <c r="F27" s="59" t="str">
        <f t="shared" si="4"/>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1"/>
        <v>3</v>
      </c>
      <c r="D28" s="28">
        <f t="shared" si="2"/>
        <v>2</v>
      </c>
      <c r="E28" s="28">
        <f t="shared" si="3"/>
        <v>0</v>
      </c>
      <c r="F28" s="59" t="str">
        <f t="shared" si="4"/>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1"/>
        <v>3</v>
      </c>
      <c r="D29" s="28">
        <f t="shared" si="2"/>
        <v>2</v>
      </c>
      <c r="E29" s="28">
        <f t="shared" si="3"/>
        <v>0</v>
      </c>
      <c r="F29" s="59" t="str">
        <f t="shared" si="4"/>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1"/>
        <v>3</v>
      </c>
      <c r="D30" s="28">
        <f t="shared" si="2"/>
        <v>2</v>
      </c>
      <c r="E30" s="28">
        <f t="shared" si="3"/>
        <v>0</v>
      </c>
      <c r="F30" s="59" t="str">
        <f t="shared" si="4"/>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1"/>
        <v>3</v>
      </c>
      <c r="D31" s="28">
        <f t="shared" si="2"/>
        <v>2</v>
      </c>
      <c r="E31" s="28">
        <f t="shared" si="3"/>
        <v>0</v>
      </c>
      <c r="F31" s="59" t="str">
        <f t="shared" si="4"/>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1"/>
        <v>3</v>
      </c>
      <c r="D32" s="28">
        <f t="shared" si="2"/>
        <v>2</v>
      </c>
      <c r="E32" s="28">
        <f t="shared" si="3"/>
        <v>0</v>
      </c>
      <c r="F32" s="60" t="str">
        <f t="shared" si="4"/>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1"/>
        <v>3</v>
      </c>
      <c r="D33" s="28">
        <f t="shared" si="2"/>
        <v>2</v>
      </c>
      <c r="E33" s="28">
        <f t="shared" si="3"/>
        <v>0</v>
      </c>
      <c r="F33" s="59" t="str">
        <f t="shared" si="4"/>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1"/>
        <v>3</v>
      </c>
      <c r="D34" s="28">
        <f t="shared" si="2"/>
        <v>2</v>
      </c>
      <c r="E34" s="28">
        <f t="shared" si="3"/>
        <v>0</v>
      </c>
      <c r="F34" s="59" t="str">
        <f t="shared" si="4"/>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1"/>
        <v>3</v>
      </c>
      <c r="D35" s="28">
        <f t="shared" si="2"/>
        <v>2</v>
      </c>
      <c r="E35" s="28">
        <f t="shared" si="3"/>
        <v>0</v>
      </c>
      <c r="F35" s="59" t="str">
        <f t="shared" si="4"/>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1"/>
        <v>3</v>
      </c>
      <c r="D36" s="28">
        <f t="shared" si="2"/>
        <v>2</v>
      </c>
      <c r="E36" s="28">
        <f t="shared" si="3"/>
        <v>0</v>
      </c>
      <c r="F36" s="59" t="str">
        <f t="shared" si="4"/>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1"/>
        <v>3</v>
      </c>
      <c r="D37" s="28">
        <f t="shared" si="2"/>
        <v>2</v>
      </c>
      <c r="E37" s="28">
        <f t="shared" si="3"/>
        <v>0</v>
      </c>
      <c r="F37" s="59" t="str">
        <f t="shared" si="4"/>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1"/>
        <v>3</v>
      </c>
      <c r="D38" s="28">
        <f t="shared" si="2"/>
        <v>2</v>
      </c>
      <c r="E38" s="28">
        <f t="shared" si="3"/>
        <v>0</v>
      </c>
      <c r="F38" s="59" t="str">
        <f t="shared" si="4"/>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1"/>
        <v>3</v>
      </c>
      <c r="D39" s="28">
        <f t="shared" si="2"/>
        <v>2</v>
      </c>
      <c r="E39" s="28">
        <f t="shared" si="3"/>
        <v>0</v>
      </c>
      <c r="F39" s="59" t="str">
        <f t="shared" si="4"/>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1"/>
        <v>3</v>
      </c>
      <c r="D40" s="28">
        <f t="shared" si="2"/>
        <v>2</v>
      </c>
      <c r="E40" s="28">
        <f t="shared" si="3"/>
        <v>0</v>
      </c>
      <c r="F40" s="59" t="str">
        <f t="shared" si="4"/>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1"/>
        <v>3</v>
      </c>
      <c r="D41" s="28">
        <f t="shared" si="2"/>
        <v>3</v>
      </c>
      <c r="E41" s="28">
        <f t="shared" si="3"/>
        <v>0</v>
      </c>
      <c r="F41" s="54" t="str">
        <f t="shared" si="4"/>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1"/>
        <v>3</v>
      </c>
      <c r="D42" s="28">
        <f t="shared" si="2"/>
        <v>3</v>
      </c>
      <c r="E42" s="28">
        <f t="shared" si="3"/>
        <v>0</v>
      </c>
      <c r="F42" s="56" t="str">
        <f t="shared" si="4"/>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1"/>
        <v>3</v>
      </c>
      <c r="D43" s="28">
        <f t="shared" si="2"/>
        <v>3</v>
      </c>
      <c r="E43" s="28">
        <f t="shared" si="3"/>
        <v>0</v>
      </c>
      <c r="F43" s="59" t="str">
        <f t="shared" si="4"/>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1"/>
        <v>3</v>
      </c>
      <c r="D44" s="28">
        <f t="shared" si="2"/>
        <v>3</v>
      </c>
      <c r="E44" s="28">
        <f t="shared" si="3"/>
        <v>0</v>
      </c>
      <c r="F44" s="59" t="str">
        <f t="shared" si="4"/>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1"/>
        <v>3</v>
      </c>
      <c r="D45" s="28">
        <f t="shared" si="2"/>
        <v>3</v>
      </c>
      <c r="E45" s="28">
        <f t="shared" si="3"/>
        <v>0</v>
      </c>
      <c r="F45" s="59" t="str">
        <f t="shared" si="4"/>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1"/>
        <v>3</v>
      </c>
      <c r="D46" s="28">
        <f t="shared" si="2"/>
        <v>3</v>
      </c>
      <c r="E46" s="28">
        <f t="shared" si="3"/>
        <v>0</v>
      </c>
      <c r="F46" s="59" t="str">
        <f t="shared" si="4"/>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1"/>
        <v>3</v>
      </c>
      <c r="D47" s="28">
        <f t="shared" si="2"/>
        <v>3</v>
      </c>
      <c r="E47" s="28">
        <f t="shared" si="3"/>
        <v>0</v>
      </c>
      <c r="F47" s="59" t="str">
        <f t="shared" si="4"/>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1"/>
        <v>3</v>
      </c>
      <c r="D48" s="28">
        <f t="shared" si="2"/>
        <v>3</v>
      </c>
      <c r="E48" s="28">
        <f t="shared" si="3"/>
        <v>0</v>
      </c>
      <c r="F48" s="59" t="str">
        <f t="shared" si="4"/>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1"/>
        <v>3</v>
      </c>
      <c r="D49" s="28">
        <f t="shared" si="2"/>
        <v>3</v>
      </c>
      <c r="E49" s="28">
        <f t="shared" si="3"/>
        <v>0</v>
      </c>
      <c r="F49" s="56" t="str">
        <f t="shared" si="4"/>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1"/>
        <v>3</v>
      </c>
      <c r="D50" s="28">
        <f t="shared" si="2"/>
        <v>3</v>
      </c>
      <c r="E50" s="28">
        <f t="shared" si="3"/>
        <v>0</v>
      </c>
      <c r="F50" s="59" t="str">
        <f t="shared" si="4"/>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1"/>
        <v>3</v>
      </c>
      <c r="D51" s="28">
        <f t="shared" si="2"/>
        <v>3</v>
      </c>
      <c r="E51" s="28">
        <f t="shared" si="3"/>
        <v>0</v>
      </c>
      <c r="F51" s="59" t="str">
        <f t="shared" si="4"/>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1"/>
        <v>3</v>
      </c>
      <c r="D52" s="28">
        <f t="shared" si="2"/>
        <v>3</v>
      </c>
      <c r="E52" s="28">
        <f t="shared" si="3"/>
        <v>0</v>
      </c>
      <c r="F52" s="56" t="str">
        <f t="shared" si="4"/>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1"/>
        <v>3</v>
      </c>
      <c r="D53" s="28">
        <f t="shared" si="2"/>
        <v>3</v>
      </c>
      <c r="E53" s="28">
        <f t="shared" si="3"/>
        <v>0</v>
      </c>
      <c r="F53" s="59" t="str">
        <f t="shared" si="4"/>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1"/>
        <v>3</v>
      </c>
      <c r="D54" s="28">
        <f t="shared" si="2"/>
        <v>3</v>
      </c>
      <c r="E54" s="28">
        <f t="shared" si="3"/>
        <v>0</v>
      </c>
      <c r="F54" s="56" t="str">
        <f t="shared" si="4"/>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1"/>
        <v>3</v>
      </c>
      <c r="D55" s="28">
        <f t="shared" si="2"/>
        <v>3</v>
      </c>
      <c r="E55" s="28">
        <f t="shared" si="3"/>
        <v>0</v>
      </c>
      <c r="F55" s="59" t="str">
        <f t="shared" si="4"/>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1"/>
        <v>3</v>
      </c>
      <c r="D56" s="28">
        <f t="shared" si="2"/>
        <v>3</v>
      </c>
      <c r="E56" s="28">
        <f t="shared" si="3"/>
        <v>0</v>
      </c>
      <c r="F56" s="59" t="str">
        <f t="shared" si="4"/>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1"/>
        <v>3</v>
      </c>
      <c r="D57" s="28">
        <f t="shared" si="2"/>
        <v>3</v>
      </c>
      <c r="E57" s="28">
        <f t="shared" si="3"/>
        <v>0</v>
      </c>
      <c r="F57" s="59" t="str">
        <f t="shared" si="4"/>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1"/>
        <v>3</v>
      </c>
      <c r="D58" s="28">
        <f t="shared" si="2"/>
        <v>3</v>
      </c>
      <c r="E58" s="28">
        <f t="shared" si="3"/>
        <v>0</v>
      </c>
      <c r="F58" s="59" t="str">
        <f t="shared" si="4"/>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1"/>
        <v>3</v>
      </c>
      <c r="D59" s="28">
        <f t="shared" si="2"/>
        <v>3</v>
      </c>
      <c r="E59" s="28">
        <f t="shared" si="3"/>
        <v>0</v>
      </c>
      <c r="F59" s="59" t="str">
        <f t="shared" si="4"/>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1"/>
        <v>3</v>
      </c>
      <c r="D60" s="28">
        <f t="shared" si="2"/>
        <v>3</v>
      </c>
      <c r="E60" s="28">
        <f t="shared" si="3"/>
        <v>0</v>
      </c>
      <c r="F60" s="59" t="str">
        <f t="shared" si="4"/>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1"/>
        <v>3</v>
      </c>
      <c r="D61" s="28">
        <f t="shared" si="2"/>
        <v>3</v>
      </c>
      <c r="E61" s="28">
        <f t="shared" si="3"/>
        <v>0</v>
      </c>
      <c r="F61" s="59" t="str">
        <f t="shared" si="4"/>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1"/>
        <v>3</v>
      </c>
      <c r="D62" s="28">
        <f t="shared" si="2"/>
        <v>3</v>
      </c>
      <c r="E62" s="28">
        <f t="shared" si="3"/>
        <v>0</v>
      </c>
      <c r="F62" s="56" t="str">
        <f t="shared" si="4"/>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1"/>
        <v>3</v>
      </c>
      <c r="D63" s="28">
        <f t="shared" si="2"/>
        <v>3</v>
      </c>
      <c r="E63" s="28">
        <f t="shared" si="3"/>
        <v>0</v>
      </c>
      <c r="F63" s="59" t="str">
        <f t="shared" si="4"/>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1"/>
        <v>3</v>
      </c>
      <c r="D64" s="28">
        <f t="shared" si="2"/>
        <v>3</v>
      </c>
      <c r="E64" s="28">
        <f t="shared" si="3"/>
        <v>0</v>
      </c>
      <c r="F64" s="59" t="str">
        <f t="shared" si="4"/>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1"/>
        <v>3</v>
      </c>
      <c r="D65" s="28">
        <f t="shared" si="2"/>
        <v>3</v>
      </c>
      <c r="E65" s="28">
        <f t="shared" si="3"/>
        <v>0</v>
      </c>
      <c r="F65" s="59" t="str">
        <f t="shared" si="4"/>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1"/>
        <v>3</v>
      </c>
      <c r="D66" s="28">
        <f t="shared" si="2"/>
        <v>3</v>
      </c>
      <c r="E66" s="28">
        <f t="shared" si="3"/>
        <v>0</v>
      </c>
      <c r="F66" s="56" t="str">
        <f t="shared" si="4"/>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1"/>
        <v>3</v>
      </c>
      <c r="D67" s="28">
        <f t="shared" si="2"/>
        <v>3</v>
      </c>
      <c r="E67" s="28">
        <f t="shared" si="3"/>
        <v>0</v>
      </c>
      <c r="F67" s="59" t="str">
        <f t="shared" si="4"/>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5">IF(B68=1,C67+1,C67)</f>
        <v>3</v>
      </c>
      <c r="D68" s="28">
        <f t="shared" ref="D68:D131" si="6">IF(B68=1,0,IF(B68=2,D67+1,IF(AND(B68=3,D67=0),1,D67)))</f>
        <v>3</v>
      </c>
      <c r="E68" s="28">
        <f t="shared" ref="E68:E131" si="7">IF(OR(B68=1,B68=2),0,IF(B68=3,E67+1,E67))</f>
        <v>0</v>
      </c>
      <c r="F68" s="59" t="str">
        <f t="shared" ref="F68:F131" si="8">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5"/>
        <v>3</v>
      </c>
      <c r="D69" s="28">
        <f t="shared" si="6"/>
        <v>3</v>
      </c>
      <c r="E69" s="28">
        <f t="shared" si="7"/>
        <v>0</v>
      </c>
      <c r="F69" s="59" t="str">
        <f t="shared" si="8"/>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5"/>
        <v>3</v>
      </c>
      <c r="D70" s="28">
        <f t="shared" si="6"/>
        <v>3</v>
      </c>
      <c r="E70" s="28">
        <f t="shared" si="7"/>
        <v>0</v>
      </c>
      <c r="F70" s="56" t="str">
        <f t="shared" si="8"/>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5"/>
        <v>3</v>
      </c>
      <c r="D71" s="28">
        <f t="shared" si="6"/>
        <v>3</v>
      </c>
      <c r="E71" s="28">
        <f t="shared" si="7"/>
        <v>0</v>
      </c>
      <c r="F71" s="59" t="str">
        <f t="shared" si="8"/>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5"/>
        <v>3</v>
      </c>
      <c r="D72" s="28">
        <f t="shared" si="6"/>
        <v>3</v>
      </c>
      <c r="E72" s="28">
        <f t="shared" si="7"/>
        <v>0</v>
      </c>
      <c r="F72" s="59" t="str">
        <f t="shared" si="8"/>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5"/>
        <v>3</v>
      </c>
      <c r="D73" s="28">
        <f t="shared" si="6"/>
        <v>3</v>
      </c>
      <c r="E73" s="28">
        <f t="shared" si="7"/>
        <v>0</v>
      </c>
      <c r="F73" s="56" t="str">
        <f t="shared" si="8"/>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5"/>
        <v>3</v>
      </c>
      <c r="D74" s="28">
        <f t="shared" si="6"/>
        <v>3</v>
      </c>
      <c r="E74" s="28">
        <f t="shared" si="7"/>
        <v>0</v>
      </c>
      <c r="F74" s="59" t="str">
        <f t="shared" si="8"/>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5"/>
        <v>3</v>
      </c>
      <c r="D75" s="28">
        <f t="shared" si="6"/>
        <v>3</v>
      </c>
      <c r="E75" s="28">
        <f t="shared" si="7"/>
        <v>0</v>
      </c>
      <c r="F75" s="59" t="str">
        <f t="shared" si="8"/>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5"/>
        <v>3</v>
      </c>
      <c r="D76" s="28">
        <f t="shared" si="6"/>
        <v>3</v>
      </c>
      <c r="E76" s="28">
        <f t="shared" si="7"/>
        <v>0</v>
      </c>
      <c r="F76" s="59" t="str">
        <f t="shared" si="8"/>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5"/>
        <v>3</v>
      </c>
      <c r="D77" s="28">
        <f t="shared" si="6"/>
        <v>3</v>
      </c>
      <c r="E77" s="28">
        <f t="shared" si="7"/>
        <v>0</v>
      </c>
      <c r="F77" s="59" t="str">
        <f t="shared" si="8"/>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5"/>
        <v>3</v>
      </c>
      <c r="D78" s="28">
        <f t="shared" si="6"/>
        <v>3</v>
      </c>
      <c r="E78" s="28">
        <f t="shared" si="7"/>
        <v>0</v>
      </c>
      <c r="F78" s="59" t="str">
        <f t="shared" si="8"/>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5"/>
        <v>3</v>
      </c>
      <c r="D79" s="28">
        <f t="shared" si="6"/>
        <v>3</v>
      </c>
      <c r="E79" s="28">
        <f t="shared" si="7"/>
        <v>0</v>
      </c>
      <c r="F79" s="59" t="str">
        <f t="shared" si="8"/>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5"/>
        <v>3</v>
      </c>
      <c r="D80" s="28">
        <f t="shared" si="6"/>
        <v>3</v>
      </c>
      <c r="E80" s="28">
        <f t="shared" si="7"/>
        <v>0</v>
      </c>
      <c r="F80" s="59" t="str">
        <f t="shared" si="8"/>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5"/>
        <v>3</v>
      </c>
      <c r="D81" s="28">
        <f t="shared" si="6"/>
        <v>3</v>
      </c>
      <c r="E81" s="28">
        <f t="shared" si="7"/>
        <v>0</v>
      </c>
      <c r="F81" s="59" t="str">
        <f t="shared" si="8"/>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5"/>
        <v>3</v>
      </c>
      <c r="D82" s="28">
        <f t="shared" si="6"/>
        <v>3</v>
      </c>
      <c r="E82" s="28">
        <f t="shared" si="7"/>
        <v>0</v>
      </c>
      <c r="F82" s="56" t="str">
        <f t="shared" si="8"/>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5"/>
        <v>3</v>
      </c>
      <c r="D83" s="28">
        <f t="shared" si="6"/>
        <v>3</v>
      </c>
      <c r="E83" s="28">
        <f t="shared" si="7"/>
        <v>0</v>
      </c>
      <c r="F83" s="59" t="str">
        <f t="shared" si="8"/>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5"/>
        <v>3</v>
      </c>
      <c r="D84" s="28">
        <f t="shared" si="6"/>
        <v>3</v>
      </c>
      <c r="E84" s="28">
        <f t="shared" si="7"/>
        <v>0</v>
      </c>
      <c r="F84" s="59" t="str">
        <f t="shared" si="8"/>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5"/>
        <v>3</v>
      </c>
      <c r="D85" s="28">
        <f t="shared" si="6"/>
        <v>3</v>
      </c>
      <c r="E85" s="28">
        <f t="shared" si="7"/>
        <v>0</v>
      </c>
      <c r="F85" s="56" t="str">
        <f t="shared" si="8"/>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5"/>
        <v>3</v>
      </c>
      <c r="D86" s="28">
        <f t="shared" si="6"/>
        <v>3</v>
      </c>
      <c r="E86" s="28">
        <f t="shared" si="7"/>
        <v>0</v>
      </c>
      <c r="F86" s="59" t="str">
        <f t="shared" si="8"/>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5"/>
        <v>3</v>
      </c>
      <c r="D87" s="28">
        <f t="shared" si="6"/>
        <v>3</v>
      </c>
      <c r="E87" s="28">
        <f t="shared" si="7"/>
        <v>0</v>
      </c>
      <c r="F87" s="56" t="str">
        <f t="shared" si="8"/>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5"/>
        <v>3</v>
      </c>
      <c r="D88" s="28">
        <f t="shared" si="6"/>
        <v>3</v>
      </c>
      <c r="E88" s="28">
        <f t="shared" si="7"/>
        <v>0</v>
      </c>
      <c r="F88" s="59" t="str">
        <f t="shared" si="8"/>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5"/>
        <v>3</v>
      </c>
      <c r="D89" s="28">
        <f t="shared" si="6"/>
        <v>3</v>
      </c>
      <c r="E89" s="28">
        <f t="shared" si="7"/>
        <v>0</v>
      </c>
      <c r="F89" s="56" t="str">
        <f t="shared" si="8"/>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5"/>
        <v>3</v>
      </c>
      <c r="D90" s="28">
        <f t="shared" si="6"/>
        <v>3</v>
      </c>
      <c r="E90" s="28">
        <f t="shared" si="7"/>
        <v>0</v>
      </c>
      <c r="F90" s="59" t="str">
        <f t="shared" si="8"/>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5"/>
        <v>3</v>
      </c>
      <c r="D91" s="28">
        <f t="shared" si="6"/>
        <v>3</v>
      </c>
      <c r="E91" s="28">
        <f t="shared" si="7"/>
        <v>0</v>
      </c>
      <c r="F91" s="56" t="str">
        <f t="shared" si="8"/>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5"/>
        <v>3</v>
      </c>
      <c r="D92" s="28">
        <f t="shared" si="6"/>
        <v>3</v>
      </c>
      <c r="E92" s="28">
        <f t="shared" si="7"/>
        <v>0</v>
      </c>
      <c r="F92" s="59" t="str">
        <f t="shared" si="8"/>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5"/>
        <v>3</v>
      </c>
      <c r="D93" s="28">
        <f t="shared" si="6"/>
        <v>3</v>
      </c>
      <c r="E93" s="28">
        <f t="shared" si="7"/>
        <v>0</v>
      </c>
      <c r="F93" s="59" t="str">
        <f t="shared" si="8"/>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5"/>
        <v>3</v>
      </c>
      <c r="D94" s="28">
        <f t="shared" si="6"/>
        <v>3</v>
      </c>
      <c r="E94" s="28">
        <f t="shared" si="7"/>
        <v>0</v>
      </c>
      <c r="F94" s="59" t="str">
        <f t="shared" si="8"/>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5"/>
        <v>3</v>
      </c>
      <c r="D95" s="28">
        <f t="shared" si="6"/>
        <v>3</v>
      </c>
      <c r="E95" s="28">
        <f t="shared" si="7"/>
        <v>0</v>
      </c>
      <c r="F95" s="59" t="str">
        <f t="shared" si="8"/>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5"/>
        <v>3</v>
      </c>
      <c r="D96" s="28">
        <f t="shared" si="6"/>
        <v>3</v>
      </c>
      <c r="E96" s="28">
        <f t="shared" si="7"/>
        <v>0</v>
      </c>
      <c r="F96" s="59" t="str">
        <f t="shared" si="8"/>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5"/>
        <v>3</v>
      </c>
      <c r="D97" s="28">
        <f t="shared" si="6"/>
        <v>3</v>
      </c>
      <c r="E97" s="28">
        <f t="shared" si="7"/>
        <v>0</v>
      </c>
      <c r="F97" s="59" t="str">
        <f t="shared" si="8"/>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5"/>
        <v>3</v>
      </c>
      <c r="D98" s="28">
        <f t="shared" si="6"/>
        <v>3</v>
      </c>
      <c r="E98" s="28">
        <f t="shared" si="7"/>
        <v>0</v>
      </c>
      <c r="F98" s="59" t="str">
        <f t="shared" si="8"/>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5"/>
        <v>3</v>
      </c>
      <c r="D99" s="28">
        <f t="shared" si="6"/>
        <v>3</v>
      </c>
      <c r="E99" s="28">
        <f t="shared" si="7"/>
        <v>0</v>
      </c>
      <c r="F99" s="56" t="str">
        <f t="shared" si="8"/>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5"/>
        <v>3</v>
      </c>
      <c r="D100" s="28">
        <f t="shared" si="6"/>
        <v>3</v>
      </c>
      <c r="E100" s="28">
        <f t="shared" si="7"/>
        <v>0</v>
      </c>
      <c r="F100" s="59" t="str">
        <f t="shared" si="8"/>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5"/>
        <v>3</v>
      </c>
      <c r="D101" s="28">
        <f t="shared" si="6"/>
        <v>3</v>
      </c>
      <c r="E101" s="28">
        <f t="shared" si="7"/>
        <v>0</v>
      </c>
      <c r="F101" s="59" t="str">
        <f t="shared" si="8"/>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5"/>
        <v>3</v>
      </c>
      <c r="D102" s="28">
        <f t="shared" si="6"/>
        <v>3</v>
      </c>
      <c r="E102" s="28">
        <f t="shared" si="7"/>
        <v>0</v>
      </c>
      <c r="F102" s="56" t="str">
        <f t="shared" si="8"/>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5"/>
        <v>3</v>
      </c>
      <c r="D103" s="28">
        <f t="shared" si="6"/>
        <v>3</v>
      </c>
      <c r="E103" s="28">
        <f t="shared" si="7"/>
        <v>0</v>
      </c>
      <c r="F103" s="59" t="str">
        <f t="shared" si="8"/>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5"/>
        <v>3</v>
      </c>
      <c r="D104" s="28">
        <f t="shared" si="6"/>
        <v>4</v>
      </c>
      <c r="E104" s="28">
        <f t="shared" si="7"/>
        <v>0</v>
      </c>
      <c r="F104" s="54" t="str">
        <f t="shared" si="8"/>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5"/>
        <v>3</v>
      </c>
      <c r="D105" s="28">
        <f t="shared" si="6"/>
        <v>4</v>
      </c>
      <c r="E105" s="28">
        <f t="shared" si="7"/>
        <v>0</v>
      </c>
      <c r="F105" s="59" t="str">
        <f t="shared" si="8"/>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5"/>
        <v>3</v>
      </c>
      <c r="D106" s="28">
        <f t="shared" si="6"/>
        <v>4</v>
      </c>
      <c r="E106" s="28">
        <f t="shared" si="7"/>
        <v>0</v>
      </c>
      <c r="F106" s="59" t="str">
        <f t="shared" si="8"/>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5"/>
        <v>3</v>
      </c>
      <c r="D107" s="28">
        <f t="shared" si="6"/>
        <v>4</v>
      </c>
      <c r="E107" s="28">
        <f t="shared" si="7"/>
        <v>0</v>
      </c>
      <c r="F107" s="59" t="str">
        <f t="shared" si="8"/>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5"/>
        <v>3</v>
      </c>
      <c r="D108" s="28">
        <f t="shared" si="6"/>
        <v>4</v>
      </c>
      <c r="E108" s="28">
        <f t="shared" si="7"/>
        <v>0</v>
      </c>
      <c r="F108" s="59" t="str">
        <f t="shared" si="8"/>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5"/>
        <v>3</v>
      </c>
      <c r="D109" s="28">
        <f t="shared" si="6"/>
        <v>4</v>
      </c>
      <c r="E109" s="28">
        <f t="shared" si="7"/>
        <v>0</v>
      </c>
      <c r="F109" s="59" t="str">
        <f t="shared" si="8"/>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5"/>
        <v>3</v>
      </c>
      <c r="D110" s="28">
        <f t="shared" si="6"/>
        <v>4</v>
      </c>
      <c r="E110" s="28">
        <f t="shared" si="7"/>
        <v>0</v>
      </c>
      <c r="F110" s="56" t="str">
        <f t="shared" si="8"/>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5"/>
        <v>3</v>
      </c>
      <c r="D111" s="28">
        <f t="shared" si="6"/>
        <v>4</v>
      </c>
      <c r="E111" s="28">
        <f t="shared" si="7"/>
        <v>0</v>
      </c>
      <c r="F111" s="59" t="str">
        <f t="shared" si="8"/>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5"/>
        <v>3</v>
      </c>
      <c r="D112" s="28">
        <f t="shared" si="6"/>
        <v>4</v>
      </c>
      <c r="E112" s="28">
        <f t="shared" si="7"/>
        <v>0</v>
      </c>
      <c r="F112" s="59" t="str">
        <f t="shared" si="8"/>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5"/>
        <v>3</v>
      </c>
      <c r="D113" s="28">
        <f t="shared" si="6"/>
        <v>5</v>
      </c>
      <c r="E113" s="28">
        <f t="shared" si="7"/>
        <v>0</v>
      </c>
      <c r="F113" s="54" t="str">
        <f t="shared" si="8"/>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5"/>
        <v>3</v>
      </c>
      <c r="D114" s="28">
        <f t="shared" si="6"/>
        <v>5</v>
      </c>
      <c r="E114" s="28">
        <f t="shared" si="7"/>
        <v>0</v>
      </c>
      <c r="F114" s="59" t="str">
        <f t="shared" si="8"/>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5"/>
        <v>3</v>
      </c>
      <c r="D115" s="28">
        <f t="shared" si="6"/>
        <v>5</v>
      </c>
      <c r="E115" s="28">
        <f t="shared" si="7"/>
        <v>0</v>
      </c>
      <c r="F115" s="59" t="str">
        <f t="shared" si="8"/>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5"/>
        <v>3</v>
      </c>
      <c r="D116" s="28">
        <f t="shared" si="6"/>
        <v>5</v>
      </c>
      <c r="E116" s="28">
        <f t="shared" si="7"/>
        <v>0</v>
      </c>
      <c r="F116" s="59" t="str">
        <f t="shared" si="8"/>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5"/>
        <v>3</v>
      </c>
      <c r="D117" s="28">
        <f t="shared" si="6"/>
        <v>5</v>
      </c>
      <c r="E117" s="28">
        <f t="shared" si="7"/>
        <v>0</v>
      </c>
      <c r="F117" s="59" t="str">
        <f t="shared" si="8"/>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5"/>
        <v>3</v>
      </c>
      <c r="D118" s="28">
        <f t="shared" si="6"/>
        <v>5</v>
      </c>
      <c r="E118" s="28">
        <f t="shared" si="7"/>
        <v>0</v>
      </c>
      <c r="F118" s="59" t="str">
        <f t="shared" si="8"/>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5"/>
        <v>3</v>
      </c>
      <c r="D119" s="28">
        <f t="shared" si="6"/>
        <v>5</v>
      </c>
      <c r="E119" s="28">
        <f t="shared" si="7"/>
        <v>0</v>
      </c>
      <c r="F119" s="59" t="str">
        <f t="shared" si="8"/>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5"/>
        <v>3</v>
      </c>
      <c r="D120" s="28">
        <f t="shared" si="6"/>
        <v>5</v>
      </c>
      <c r="E120" s="28">
        <f t="shared" si="7"/>
        <v>0</v>
      </c>
      <c r="F120" s="59" t="str">
        <f t="shared" si="8"/>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5"/>
        <v>3</v>
      </c>
      <c r="D121" s="28">
        <f t="shared" si="6"/>
        <v>5</v>
      </c>
      <c r="E121" s="28">
        <f t="shared" si="7"/>
        <v>0</v>
      </c>
      <c r="F121" s="59" t="str">
        <f t="shared" si="8"/>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5"/>
        <v>3</v>
      </c>
      <c r="D122" s="28">
        <f t="shared" si="6"/>
        <v>5</v>
      </c>
      <c r="E122" s="28">
        <f t="shared" si="7"/>
        <v>0</v>
      </c>
      <c r="F122" s="59" t="str">
        <f t="shared" si="8"/>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5"/>
        <v>3</v>
      </c>
      <c r="D123" s="28">
        <f t="shared" si="6"/>
        <v>5</v>
      </c>
      <c r="E123" s="28">
        <f t="shared" si="7"/>
        <v>0</v>
      </c>
      <c r="F123" s="59" t="str">
        <f t="shared" si="8"/>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5"/>
        <v>3</v>
      </c>
      <c r="D124" s="28">
        <f t="shared" si="6"/>
        <v>6</v>
      </c>
      <c r="E124" s="28">
        <f t="shared" si="7"/>
        <v>0</v>
      </c>
      <c r="F124" s="54" t="str">
        <f t="shared" si="8"/>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5"/>
        <v>3</v>
      </c>
      <c r="D125" s="28">
        <f t="shared" si="6"/>
        <v>6</v>
      </c>
      <c r="E125" s="28">
        <f t="shared" si="7"/>
        <v>0</v>
      </c>
      <c r="F125" s="56" t="str">
        <f t="shared" si="8"/>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5"/>
        <v>3</v>
      </c>
      <c r="D126" s="28">
        <f t="shared" si="6"/>
        <v>6</v>
      </c>
      <c r="E126" s="28">
        <f t="shared" si="7"/>
        <v>0</v>
      </c>
      <c r="F126" s="56" t="str">
        <f t="shared" si="8"/>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5"/>
        <v>3</v>
      </c>
      <c r="D127" s="28">
        <f t="shared" si="6"/>
        <v>6</v>
      </c>
      <c r="E127" s="28">
        <f t="shared" si="7"/>
        <v>0</v>
      </c>
      <c r="F127" s="59" t="str">
        <f t="shared" si="8"/>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5"/>
        <v>3</v>
      </c>
      <c r="D128" s="28">
        <f t="shared" si="6"/>
        <v>6</v>
      </c>
      <c r="E128" s="28">
        <f t="shared" si="7"/>
        <v>0</v>
      </c>
      <c r="F128" s="56" t="str">
        <f t="shared" si="8"/>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5"/>
        <v>3</v>
      </c>
      <c r="D129" s="28">
        <f t="shared" si="6"/>
        <v>6</v>
      </c>
      <c r="E129" s="28">
        <f t="shared" si="7"/>
        <v>0</v>
      </c>
      <c r="F129" s="56" t="str">
        <f t="shared" si="8"/>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5"/>
        <v>3</v>
      </c>
      <c r="D130" s="28">
        <f t="shared" si="6"/>
        <v>6</v>
      </c>
      <c r="E130" s="28">
        <f t="shared" si="7"/>
        <v>0</v>
      </c>
      <c r="F130" s="59" t="str">
        <f t="shared" si="8"/>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5"/>
        <v>3</v>
      </c>
      <c r="D131" s="28">
        <f t="shared" si="6"/>
        <v>6</v>
      </c>
      <c r="E131" s="28">
        <f t="shared" si="7"/>
        <v>0</v>
      </c>
      <c r="F131" s="56" t="str">
        <f t="shared" si="8"/>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9">IF(B132=1,C131+1,C131)</f>
        <v>3</v>
      </c>
      <c r="D132" s="28">
        <f t="shared" ref="D132:D190" si="10">IF(B132=1,0,IF(B132=2,D131+1,IF(AND(B132=3,D131=0),1,D131)))</f>
        <v>6</v>
      </c>
      <c r="E132" s="28">
        <f t="shared" ref="E132:E190" si="11">IF(OR(B132=1,B132=2),0,IF(B132=3,E131+1,E131))</f>
        <v>0</v>
      </c>
      <c r="F132" s="59" t="str">
        <f t="shared" ref="F132:F190" si="12">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9"/>
        <v>3</v>
      </c>
      <c r="D133" s="28">
        <f t="shared" si="10"/>
        <v>6</v>
      </c>
      <c r="E133" s="28">
        <f t="shared" si="11"/>
        <v>0</v>
      </c>
      <c r="F133" s="56" t="str">
        <f t="shared" si="12"/>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9"/>
        <v>3</v>
      </c>
      <c r="D134" s="28">
        <f t="shared" si="10"/>
        <v>6</v>
      </c>
      <c r="E134" s="28">
        <f t="shared" si="11"/>
        <v>0</v>
      </c>
      <c r="F134" s="59" t="str">
        <f t="shared" si="12"/>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9"/>
        <v>3</v>
      </c>
      <c r="D135" s="28">
        <f t="shared" si="10"/>
        <v>7</v>
      </c>
      <c r="E135" s="28">
        <f t="shared" si="11"/>
        <v>0</v>
      </c>
      <c r="F135" s="54" t="str">
        <f t="shared" si="12"/>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9"/>
        <v>3</v>
      </c>
      <c r="D136" s="28">
        <f t="shared" si="10"/>
        <v>7</v>
      </c>
      <c r="E136" s="28">
        <f t="shared" si="11"/>
        <v>0</v>
      </c>
      <c r="F136" s="59" t="str">
        <f t="shared" si="12"/>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9"/>
        <v>3</v>
      </c>
      <c r="D137" s="28">
        <f t="shared" si="10"/>
        <v>8</v>
      </c>
      <c r="E137" s="28">
        <f t="shared" si="11"/>
        <v>0</v>
      </c>
      <c r="F137" s="54" t="str">
        <f t="shared" si="12"/>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9"/>
        <v>3</v>
      </c>
      <c r="D138" s="28">
        <f t="shared" si="10"/>
        <v>8</v>
      </c>
      <c r="E138" s="28">
        <f t="shared" si="11"/>
        <v>0</v>
      </c>
      <c r="F138" s="59" t="str">
        <f t="shared" si="12"/>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9"/>
        <v>3</v>
      </c>
      <c r="D139" s="28">
        <f t="shared" si="10"/>
        <v>8</v>
      </c>
      <c r="E139" s="28">
        <f t="shared" si="11"/>
        <v>0</v>
      </c>
      <c r="F139" s="59" t="str">
        <f t="shared" si="12"/>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9"/>
        <v>3</v>
      </c>
      <c r="D140" s="28">
        <f t="shared" si="10"/>
        <v>8</v>
      </c>
      <c r="E140" s="28">
        <f t="shared" si="11"/>
        <v>0</v>
      </c>
      <c r="F140" s="60" t="str">
        <f t="shared" si="12"/>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9"/>
        <v>3</v>
      </c>
      <c r="D141" s="28">
        <f t="shared" si="10"/>
        <v>8</v>
      </c>
      <c r="E141" s="28">
        <f t="shared" si="11"/>
        <v>0</v>
      </c>
      <c r="F141" s="60" t="str">
        <f t="shared" si="12"/>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9"/>
        <v>3</v>
      </c>
      <c r="D142" s="28">
        <f t="shared" si="10"/>
        <v>8</v>
      </c>
      <c r="E142" s="28">
        <f t="shared" si="11"/>
        <v>0</v>
      </c>
      <c r="F142" s="60" t="str">
        <f t="shared" si="12"/>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9"/>
        <v>3</v>
      </c>
      <c r="D143" s="28">
        <f t="shared" si="10"/>
        <v>8</v>
      </c>
      <c r="E143" s="28">
        <f t="shared" si="11"/>
        <v>0</v>
      </c>
      <c r="F143" s="60" t="str">
        <f t="shared" si="12"/>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9"/>
        <v>3</v>
      </c>
      <c r="D144" s="28">
        <f t="shared" si="10"/>
        <v>8</v>
      </c>
      <c r="E144" s="28">
        <f t="shared" si="11"/>
        <v>0</v>
      </c>
      <c r="F144" s="60" t="str">
        <f t="shared" si="12"/>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9"/>
        <v>3</v>
      </c>
      <c r="D145" s="28">
        <f t="shared" si="10"/>
        <v>8</v>
      </c>
      <c r="E145" s="28">
        <f t="shared" si="11"/>
        <v>0</v>
      </c>
      <c r="F145" s="60" t="str">
        <f t="shared" si="12"/>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9"/>
        <v>3</v>
      </c>
      <c r="D146" s="28">
        <f t="shared" si="10"/>
        <v>8</v>
      </c>
      <c r="E146" s="28">
        <f t="shared" si="11"/>
        <v>0</v>
      </c>
      <c r="F146" s="60" t="str">
        <f t="shared" si="12"/>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9"/>
        <v>3</v>
      </c>
      <c r="D147" s="28">
        <f t="shared" si="10"/>
        <v>8</v>
      </c>
      <c r="E147" s="28">
        <f t="shared" si="11"/>
        <v>0</v>
      </c>
      <c r="F147" s="60" t="str">
        <f t="shared" si="12"/>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9"/>
        <v>3</v>
      </c>
      <c r="D148" s="28">
        <f t="shared" si="10"/>
        <v>8</v>
      </c>
      <c r="E148" s="28">
        <f t="shared" si="11"/>
        <v>0</v>
      </c>
      <c r="F148" s="60" t="str">
        <f t="shared" si="12"/>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9"/>
        <v>3</v>
      </c>
      <c r="D149" s="28">
        <f t="shared" si="10"/>
        <v>9</v>
      </c>
      <c r="E149" s="28">
        <f t="shared" si="11"/>
        <v>0</v>
      </c>
      <c r="F149" s="54" t="str">
        <f t="shared" si="12"/>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9"/>
        <v>3</v>
      </c>
      <c r="D150" s="28">
        <f t="shared" si="10"/>
        <v>9</v>
      </c>
      <c r="E150" s="28">
        <f t="shared" si="11"/>
        <v>0</v>
      </c>
      <c r="F150" s="56" t="str">
        <f t="shared" si="12"/>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9"/>
        <v>3</v>
      </c>
      <c r="D151" s="28">
        <f t="shared" si="10"/>
        <v>9</v>
      </c>
      <c r="E151" s="28">
        <f t="shared" si="11"/>
        <v>0</v>
      </c>
      <c r="F151" s="59" t="str">
        <f t="shared" si="12"/>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9"/>
        <v>3</v>
      </c>
      <c r="D152" s="28">
        <f t="shared" si="10"/>
        <v>9</v>
      </c>
      <c r="E152" s="28">
        <f t="shared" si="11"/>
        <v>0</v>
      </c>
      <c r="F152" s="59" t="str">
        <f t="shared" si="12"/>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9"/>
        <v>3</v>
      </c>
      <c r="D153" s="28">
        <f t="shared" si="10"/>
        <v>9</v>
      </c>
      <c r="E153" s="28">
        <f t="shared" si="11"/>
        <v>0</v>
      </c>
      <c r="F153" s="59" t="str">
        <f t="shared" si="12"/>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9"/>
        <v>3</v>
      </c>
      <c r="D154" s="28">
        <f t="shared" si="10"/>
        <v>9</v>
      </c>
      <c r="E154" s="28">
        <f t="shared" si="11"/>
        <v>0</v>
      </c>
      <c r="F154" s="59" t="str">
        <f t="shared" si="12"/>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9"/>
        <v>3</v>
      </c>
      <c r="D155" s="28">
        <f t="shared" si="10"/>
        <v>9</v>
      </c>
      <c r="E155" s="28">
        <f t="shared" si="11"/>
        <v>0</v>
      </c>
      <c r="F155" s="59" t="str">
        <f t="shared" si="12"/>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9"/>
        <v>3</v>
      </c>
      <c r="D156" s="28">
        <f t="shared" si="10"/>
        <v>9</v>
      </c>
      <c r="E156" s="28">
        <f t="shared" si="11"/>
        <v>0</v>
      </c>
      <c r="F156" s="59" t="str">
        <f t="shared" si="12"/>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9"/>
        <v>3</v>
      </c>
      <c r="D157" s="28">
        <f t="shared" si="10"/>
        <v>9</v>
      </c>
      <c r="E157" s="28">
        <f t="shared" si="11"/>
        <v>0</v>
      </c>
      <c r="F157" s="56" t="str">
        <f t="shared" si="12"/>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9"/>
        <v>3</v>
      </c>
      <c r="D158" s="28">
        <f t="shared" si="10"/>
        <v>9</v>
      </c>
      <c r="E158" s="28">
        <f t="shared" si="11"/>
        <v>0</v>
      </c>
      <c r="F158" s="59" t="str">
        <f t="shared" si="12"/>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9"/>
        <v>3</v>
      </c>
      <c r="D159" s="28">
        <f t="shared" si="10"/>
        <v>9</v>
      </c>
      <c r="E159" s="28">
        <f t="shared" si="11"/>
        <v>0</v>
      </c>
      <c r="F159" s="59" t="str">
        <f t="shared" si="12"/>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9"/>
        <v>3</v>
      </c>
      <c r="D160" s="28">
        <f t="shared" si="10"/>
        <v>9</v>
      </c>
      <c r="E160" s="28">
        <f t="shared" si="11"/>
        <v>0</v>
      </c>
      <c r="F160" s="59" t="str">
        <f t="shared" si="12"/>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9"/>
        <v>3</v>
      </c>
      <c r="D161" s="28">
        <f t="shared" si="10"/>
        <v>9</v>
      </c>
      <c r="E161" s="28">
        <f t="shared" si="11"/>
        <v>0</v>
      </c>
      <c r="F161" s="59" t="str">
        <f t="shared" si="12"/>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9"/>
        <v>3</v>
      </c>
      <c r="D162" s="28">
        <f t="shared" si="10"/>
        <v>9</v>
      </c>
      <c r="E162" s="28">
        <f t="shared" si="11"/>
        <v>0</v>
      </c>
      <c r="F162" s="59" t="str">
        <f t="shared" si="12"/>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9"/>
        <v>3</v>
      </c>
      <c r="D163" s="28">
        <f t="shared" si="10"/>
        <v>9</v>
      </c>
      <c r="E163" s="28">
        <f t="shared" si="11"/>
        <v>0</v>
      </c>
      <c r="F163" s="59" t="str">
        <f t="shared" si="12"/>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9"/>
        <v>3</v>
      </c>
      <c r="D164" s="28">
        <f t="shared" si="10"/>
        <v>9</v>
      </c>
      <c r="E164" s="28">
        <f t="shared" si="11"/>
        <v>0</v>
      </c>
      <c r="F164" s="60" t="str">
        <f t="shared" si="12"/>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9"/>
        <v>3</v>
      </c>
      <c r="D165" s="28">
        <f t="shared" si="10"/>
        <v>9</v>
      </c>
      <c r="E165" s="28">
        <f t="shared" si="11"/>
        <v>0</v>
      </c>
      <c r="F165" s="56" t="str">
        <f t="shared" si="12"/>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9"/>
        <v>3</v>
      </c>
      <c r="D166" s="28">
        <f t="shared" si="10"/>
        <v>9</v>
      </c>
      <c r="E166" s="28">
        <f t="shared" si="11"/>
        <v>0</v>
      </c>
      <c r="F166" s="56" t="str">
        <f t="shared" si="12"/>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9"/>
        <v>3</v>
      </c>
      <c r="D167" s="28">
        <f t="shared" si="10"/>
        <v>9</v>
      </c>
      <c r="E167" s="28">
        <f t="shared" si="11"/>
        <v>0</v>
      </c>
      <c r="F167" s="59" t="str">
        <f t="shared" si="12"/>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9"/>
        <v>3</v>
      </c>
      <c r="D168" s="28">
        <f t="shared" si="10"/>
        <v>9</v>
      </c>
      <c r="E168" s="28">
        <f t="shared" si="11"/>
        <v>0</v>
      </c>
      <c r="F168" s="59" t="str">
        <f t="shared" si="12"/>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9"/>
        <v>3</v>
      </c>
      <c r="D169" s="28">
        <f t="shared" si="10"/>
        <v>9</v>
      </c>
      <c r="E169" s="28">
        <f t="shared" si="11"/>
        <v>0</v>
      </c>
      <c r="F169" s="59" t="str">
        <f t="shared" si="12"/>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9"/>
        <v>3</v>
      </c>
      <c r="D170" s="28">
        <f t="shared" si="10"/>
        <v>9</v>
      </c>
      <c r="E170" s="28">
        <f t="shared" si="11"/>
        <v>0</v>
      </c>
      <c r="F170" s="59" t="str">
        <f t="shared" si="12"/>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9"/>
        <v>3</v>
      </c>
      <c r="D171" s="28">
        <f t="shared" si="10"/>
        <v>9</v>
      </c>
      <c r="E171" s="28">
        <f t="shared" si="11"/>
        <v>0</v>
      </c>
      <c r="F171" s="59" t="str">
        <f t="shared" si="12"/>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9"/>
        <v>3</v>
      </c>
      <c r="D172" s="28">
        <f t="shared" si="10"/>
        <v>9</v>
      </c>
      <c r="E172" s="28">
        <f t="shared" si="11"/>
        <v>0</v>
      </c>
      <c r="F172" s="59" t="str">
        <f t="shared" si="12"/>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9"/>
        <v>3</v>
      </c>
      <c r="D173" s="28">
        <f t="shared" si="10"/>
        <v>10</v>
      </c>
      <c r="E173" s="28">
        <f t="shared" si="11"/>
        <v>0</v>
      </c>
      <c r="F173" s="54" t="str">
        <f t="shared" si="12"/>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9"/>
        <v>3</v>
      </c>
      <c r="D174" s="28">
        <f t="shared" si="10"/>
        <v>10</v>
      </c>
      <c r="E174" s="28">
        <f t="shared" si="11"/>
        <v>0</v>
      </c>
      <c r="F174" s="59" t="str">
        <f t="shared" si="12"/>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9"/>
        <v>3</v>
      </c>
      <c r="D175" s="28">
        <f t="shared" si="10"/>
        <v>10</v>
      </c>
      <c r="E175" s="28">
        <f t="shared" si="11"/>
        <v>0</v>
      </c>
      <c r="F175" s="59" t="str">
        <f t="shared" si="12"/>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9"/>
        <v>3</v>
      </c>
      <c r="D176" s="28">
        <f t="shared" si="10"/>
        <v>10</v>
      </c>
      <c r="E176" s="28">
        <f t="shared" si="11"/>
        <v>0</v>
      </c>
      <c r="F176" s="59" t="str">
        <f t="shared" si="12"/>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9"/>
        <v>3</v>
      </c>
      <c r="D177" s="28">
        <f t="shared" si="10"/>
        <v>10</v>
      </c>
      <c r="E177" s="28">
        <f t="shared" si="11"/>
        <v>0</v>
      </c>
      <c r="F177" s="59" t="str">
        <f t="shared" si="12"/>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9"/>
        <v>3</v>
      </c>
      <c r="D178" s="28">
        <f t="shared" si="10"/>
        <v>10</v>
      </c>
      <c r="E178" s="28">
        <f t="shared" si="11"/>
        <v>0</v>
      </c>
      <c r="F178" s="59" t="str">
        <f t="shared" si="12"/>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9"/>
        <v>3</v>
      </c>
      <c r="D179" s="28">
        <f t="shared" si="10"/>
        <v>11</v>
      </c>
      <c r="E179" s="28">
        <f t="shared" si="11"/>
        <v>0</v>
      </c>
      <c r="F179" s="54" t="str">
        <f t="shared" si="12"/>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9"/>
        <v>3</v>
      </c>
      <c r="D180" s="28">
        <f t="shared" si="10"/>
        <v>11</v>
      </c>
      <c r="E180" s="28">
        <f t="shared" si="11"/>
        <v>0</v>
      </c>
      <c r="F180" s="59" t="str">
        <f t="shared" si="12"/>
        <v/>
      </c>
      <c r="G180" s="42" t="s">
        <v>82</v>
      </c>
      <c r="H180" s="43" t="s">
        <v>83</v>
      </c>
      <c r="I180" s="44" t="s">
        <v>84</v>
      </c>
      <c r="J180" s="45" t="s">
        <v>85</v>
      </c>
      <c r="K180" s="46" t="s">
        <v>86</v>
      </c>
      <c r="L180" s="47" t="s">
        <v>2398</v>
      </c>
      <c r="M180" s="48" t="s">
        <v>2333</v>
      </c>
      <c r="N180" s="49"/>
      <c r="O180" s="49"/>
      <c r="P180" s="50"/>
      <c r="Q180" s="59"/>
      <c r="R180" s="13"/>
    </row>
    <row r="181" spans="1:18" ht="30" x14ac:dyDescent="0.25">
      <c r="A181" s="9" t="s">
        <v>21</v>
      </c>
      <c r="B181" s="28">
        <f>IF(ISBLANK(A181),0,INDEX(txtstylestab[],MATCH(A181,txtstylestab[style_Name],0),1))</f>
        <v>0</v>
      </c>
      <c r="C181" s="28">
        <f t="shared" si="9"/>
        <v>3</v>
      </c>
      <c r="D181" s="28">
        <f t="shared" si="10"/>
        <v>11</v>
      </c>
      <c r="E181" s="28">
        <f t="shared" si="11"/>
        <v>0</v>
      </c>
      <c r="F181" s="59" t="str">
        <f t="shared" si="12"/>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9"/>
        <v>3</v>
      </c>
      <c r="D182" s="28">
        <f t="shared" si="10"/>
        <v>11</v>
      </c>
      <c r="E182" s="28">
        <f t="shared" si="11"/>
        <v>0</v>
      </c>
      <c r="F182" s="59" t="str">
        <f t="shared" si="12"/>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9"/>
        <v>3</v>
      </c>
      <c r="D183" s="28">
        <f t="shared" si="10"/>
        <v>12</v>
      </c>
      <c r="E183" s="28">
        <f t="shared" si="11"/>
        <v>0</v>
      </c>
      <c r="F183" s="54" t="str">
        <f t="shared" si="12"/>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9"/>
        <v>3</v>
      </c>
      <c r="D184" s="28">
        <f t="shared" si="10"/>
        <v>12</v>
      </c>
      <c r="E184" s="28">
        <f t="shared" si="11"/>
        <v>0</v>
      </c>
      <c r="F184" s="59" t="str">
        <f t="shared" si="12"/>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 t="shared" si="9"/>
        <v>3</v>
      </c>
      <c r="D185" s="28">
        <f t="shared" si="10"/>
        <v>12</v>
      </c>
      <c r="E185" s="28">
        <f t="shared" si="11"/>
        <v>0</v>
      </c>
      <c r="F185" s="59" t="str">
        <f t="shared" si="12"/>
        <v/>
      </c>
      <c r="G185" s="42" t="s">
        <v>1554</v>
      </c>
      <c r="H185" s="43" t="s">
        <v>1555</v>
      </c>
      <c r="I185" s="44" t="s">
        <v>1705</v>
      </c>
      <c r="J185" s="45" t="s">
        <v>1585</v>
      </c>
      <c r="K185" s="46" t="s">
        <v>1556</v>
      </c>
      <c r="L185" s="47" t="s">
        <v>3142</v>
      </c>
      <c r="M185" s="48" t="s">
        <v>3143</v>
      </c>
      <c r="N185" s="49"/>
      <c r="O185" s="49"/>
      <c r="P185" s="50"/>
      <c r="Q185" s="59"/>
      <c r="R185" s="13"/>
    </row>
    <row r="186" spans="1:18" ht="45" x14ac:dyDescent="0.25">
      <c r="A186" s="9" t="s">
        <v>14</v>
      </c>
      <c r="B186" s="28">
        <f>IF(ISBLANK(A186),0,INDEX(txtstylestab[],MATCH(A186,txtstylestab[style_Name],0),1))</f>
        <v>6</v>
      </c>
      <c r="C186" s="28">
        <f t="shared" si="9"/>
        <v>3</v>
      </c>
      <c r="D186" s="28">
        <f t="shared" si="10"/>
        <v>12</v>
      </c>
      <c r="E186" s="28">
        <f t="shared" si="11"/>
        <v>0</v>
      </c>
      <c r="F186" s="59" t="str">
        <f t="shared" si="12"/>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9"/>
        <v>3</v>
      </c>
      <c r="D187" s="28">
        <f t="shared" si="10"/>
        <v>12</v>
      </c>
      <c r="E187" s="28">
        <f t="shared" si="11"/>
        <v>0</v>
      </c>
      <c r="F187" s="59" t="str">
        <f t="shared" si="12"/>
        <v/>
      </c>
      <c r="G187" s="42"/>
      <c r="H187" s="43"/>
      <c r="I187" s="44"/>
      <c r="J187" s="45"/>
      <c r="K187" s="46"/>
      <c r="L187" s="47"/>
      <c r="M187" s="47"/>
      <c r="N187" s="48"/>
      <c r="O187" s="48"/>
      <c r="P187" s="49"/>
      <c r="Q187" s="50"/>
      <c r="R187" s="13"/>
    </row>
    <row r="188" spans="1:18" x14ac:dyDescent="0.25">
      <c r="A188" s="9" t="s">
        <v>21</v>
      </c>
      <c r="B188" s="28">
        <f>IF(ISBLANK(A188),0,INDEX(txtstylestab[],MATCH(A188,txtstylestab[style_Name],0),1))</f>
        <v>0</v>
      </c>
      <c r="C188" s="28">
        <f t="shared" si="9"/>
        <v>3</v>
      </c>
      <c r="D188" s="28">
        <f t="shared" si="10"/>
        <v>12</v>
      </c>
      <c r="E188" s="28">
        <f t="shared" si="11"/>
        <v>0</v>
      </c>
      <c r="F188" s="59" t="str">
        <f t="shared" si="12"/>
        <v/>
      </c>
      <c r="G188" s="42"/>
      <c r="H188" s="43"/>
      <c r="I188" s="44"/>
      <c r="J188" s="45"/>
      <c r="K188" s="46"/>
      <c r="L188" s="47"/>
      <c r="M188" s="47"/>
      <c r="N188" s="48"/>
      <c r="O188" s="48"/>
      <c r="P188" s="49"/>
      <c r="Q188" s="50"/>
      <c r="R188" s="13"/>
    </row>
    <row r="189" spans="1:18" x14ac:dyDescent="0.25">
      <c r="A189" s="9" t="s">
        <v>21</v>
      </c>
      <c r="B189" s="28">
        <f>IF(ISBLANK(A189),0,INDEX(txtstylestab[],MATCH(A189,txtstylestab[style_Name],0),1))</f>
        <v>0</v>
      </c>
      <c r="C189" s="28">
        <f t="shared" si="9"/>
        <v>3</v>
      </c>
      <c r="D189" s="28">
        <f t="shared" si="10"/>
        <v>12</v>
      </c>
      <c r="E189" s="28">
        <f t="shared" si="11"/>
        <v>0</v>
      </c>
      <c r="F189" s="59" t="str">
        <f t="shared" si="12"/>
        <v/>
      </c>
      <c r="G189" s="42"/>
      <c r="H189" s="43"/>
      <c r="I189" s="44"/>
      <c r="J189" s="45"/>
      <c r="K189" s="46"/>
      <c r="L189" s="47"/>
      <c r="M189" s="47"/>
      <c r="N189" s="48"/>
      <c r="O189" s="48"/>
      <c r="P189" s="49"/>
      <c r="Q189" s="50"/>
      <c r="R189" s="13"/>
    </row>
    <row r="190" spans="1:18" x14ac:dyDescent="0.25">
      <c r="A190" s="9" t="s">
        <v>21</v>
      </c>
      <c r="B190" s="28">
        <f>IF(ISBLANK(A190),0,INDEX(txtstylestab[],MATCH(A190,txtstylestab[style_Name],0),1))</f>
        <v>0</v>
      </c>
      <c r="C190" s="28">
        <f t="shared" si="9"/>
        <v>3</v>
      </c>
      <c r="D190" s="28">
        <f t="shared" si="10"/>
        <v>12</v>
      </c>
      <c r="E190" s="28">
        <f t="shared" si="11"/>
        <v>0</v>
      </c>
      <c r="F190" s="59" t="str">
        <f t="shared" si="12"/>
        <v/>
      </c>
      <c r="G190" s="42"/>
      <c r="H190" s="43"/>
      <c r="I190" s="44"/>
      <c r="J190" s="45"/>
      <c r="K190" s="46"/>
      <c r="L190" s="47"/>
      <c r="M190" s="47"/>
      <c r="N190" s="48"/>
      <c r="O190" s="48"/>
      <c r="P190" s="49"/>
      <c r="Q190" s="50"/>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sheetData>
  <sheetProtection formatCells="0" insertRows="0"/>
  <conditionalFormatting sqref="G182:G186 L164:Q166 G159:G179 G2:Q7 L42:Q42 H41:Q41 G1:L1 N1:Q1 G23:Q25 G8:K22 N8:Q22 G27:K40 N27:Q40 L54:Q54 N43:Q53 L66:Q66 N55:Q65 L73:Q73 N67:Q72 L91:Q91 G52:G73 N75:Q90 H42:K73 G75:K157 L75:M75 G74:Q74 G187:Q1048576 L104:Q104 N92:Q103 L113:Q113 N105:Q112 L124:Q126 N114:Q123 L128:Q129 N127:Q127 L131:Q131 N130:Q130 L133:Q133 N132:Q132 L135:Q135 N134:Q134 L137:Q137 N136:Q136 L140:Q150 N138:Q139 L157:Q157 N151:Q156 N159:Q163 L173:Q173 N167:Q172 L179:Q179 N174:Q178 N180:Q186">
    <cfRule type="expression" dxfId="90" priority="75">
      <formula>($B1=6)</formula>
    </cfRule>
  </conditionalFormatting>
  <conditionalFormatting sqref="G180:G181">
    <cfRule type="expression" dxfId="89" priority="74">
      <formula>($B180=6)</formula>
    </cfRule>
  </conditionalFormatting>
  <conditionalFormatting sqref="H182:K186 H159:K179">
    <cfRule type="expression" dxfId="88" priority="73">
      <formula>($B159=6)</formula>
    </cfRule>
  </conditionalFormatting>
  <conditionalFormatting sqref="H180:K181">
    <cfRule type="expression" dxfId="87" priority="72">
      <formula>($B180=6)</formula>
    </cfRule>
  </conditionalFormatting>
  <conditionalFormatting sqref="G158 N158:Q158">
    <cfRule type="expression" dxfId="86" priority="71">
      <formula>($B158=6)</formula>
    </cfRule>
  </conditionalFormatting>
  <conditionalFormatting sqref="H158:K158">
    <cfRule type="expression" dxfId="85" priority="70">
      <formula>($B158=6)</formula>
    </cfRule>
  </conditionalFormatting>
  <conditionalFormatting sqref="G26 L26:Q26">
    <cfRule type="expression" dxfId="84" priority="69">
      <formula>($B26=6)</formula>
    </cfRule>
  </conditionalFormatting>
  <conditionalFormatting sqref="H26:K26">
    <cfRule type="expression" dxfId="83" priority="68">
      <formula>($B26=6)</formula>
    </cfRule>
  </conditionalFormatting>
  <conditionalFormatting sqref="M80">
    <cfRule type="expression" dxfId="82" priority="41">
      <formula>($B80=6)</formula>
    </cfRule>
  </conditionalFormatting>
  <conditionalFormatting sqref="M1">
    <cfRule type="expression" dxfId="81" priority="63">
      <formula>($B1=6)</formula>
    </cfRule>
  </conditionalFormatting>
  <conditionalFormatting sqref="L9:M22">
    <cfRule type="expression" dxfId="80" priority="62">
      <formula>($B9=6)</formula>
    </cfRule>
  </conditionalFormatting>
  <conditionalFormatting sqref="L8">
    <cfRule type="expression" dxfId="79" priority="61">
      <formula>($B8=6)</formula>
    </cfRule>
  </conditionalFormatting>
  <conditionalFormatting sqref="M8">
    <cfRule type="expression" dxfId="78" priority="60">
      <formula>($B8=6)</formula>
    </cfRule>
  </conditionalFormatting>
  <conditionalFormatting sqref="L28:M40">
    <cfRule type="expression" dxfId="77" priority="59">
      <formula>($B28=6)</formula>
    </cfRule>
  </conditionalFormatting>
  <conditionalFormatting sqref="L27">
    <cfRule type="expression" dxfId="76" priority="58">
      <formula>($B27=6)</formula>
    </cfRule>
  </conditionalFormatting>
  <conditionalFormatting sqref="M27">
    <cfRule type="expression" dxfId="75" priority="57">
      <formula>($B27=6)</formula>
    </cfRule>
  </conditionalFormatting>
  <conditionalFormatting sqref="L43:M53">
    <cfRule type="expression" dxfId="74" priority="56">
      <formula>($B43=6)</formula>
    </cfRule>
  </conditionalFormatting>
  <conditionalFormatting sqref="L55:M65">
    <cfRule type="expression" dxfId="73" priority="55">
      <formula>($B55=6)</formula>
    </cfRule>
  </conditionalFormatting>
  <conditionalFormatting sqref="L67:M72">
    <cfRule type="expression" dxfId="72" priority="54">
      <formula>($B67=6)</formula>
    </cfRule>
  </conditionalFormatting>
  <conditionalFormatting sqref="L82:M90">
    <cfRule type="expression" dxfId="71" priority="53">
      <formula>($B82=6)</formula>
    </cfRule>
  </conditionalFormatting>
  <conditionalFormatting sqref="L76">
    <cfRule type="expression" dxfId="70" priority="52">
      <formula>($B76=6)</formula>
    </cfRule>
  </conditionalFormatting>
  <conditionalFormatting sqref="M76">
    <cfRule type="expression" dxfId="69" priority="51">
      <formula>($B76=6)</formula>
    </cfRule>
  </conditionalFormatting>
  <conditionalFormatting sqref="L77">
    <cfRule type="expression" dxfId="68" priority="50">
      <formula>($B77=6)</formula>
    </cfRule>
  </conditionalFormatting>
  <conditionalFormatting sqref="M77">
    <cfRule type="expression" dxfId="67" priority="49">
      <formula>($B77=6)</formula>
    </cfRule>
  </conditionalFormatting>
  <conditionalFormatting sqref="L78">
    <cfRule type="expression" dxfId="66" priority="48">
      <formula>($B78=6)</formula>
    </cfRule>
  </conditionalFormatting>
  <conditionalFormatting sqref="M78">
    <cfRule type="expression" dxfId="65" priority="47">
      <formula>($B78=6)</formula>
    </cfRule>
  </conditionalFormatting>
  <conditionalFormatting sqref="L79">
    <cfRule type="expression" dxfId="64" priority="46">
      <formula>($B79=6)</formula>
    </cfRule>
  </conditionalFormatting>
  <conditionalFormatting sqref="M79">
    <cfRule type="expression" dxfId="63" priority="45">
      <formula>($B79=6)</formula>
    </cfRule>
  </conditionalFormatting>
  <conditionalFormatting sqref="L81">
    <cfRule type="expression" dxfId="62" priority="44">
      <formula>($B81=6)</formula>
    </cfRule>
  </conditionalFormatting>
  <conditionalFormatting sqref="M81">
    <cfRule type="expression" dxfId="61" priority="43">
      <formula>($B81=6)</formula>
    </cfRule>
  </conditionalFormatting>
  <conditionalFormatting sqref="L80">
    <cfRule type="expression" dxfId="60" priority="42">
      <formula>($B80=6)</formula>
    </cfRule>
  </conditionalFormatting>
  <conditionalFormatting sqref="L92:M93 L99:M103">
    <cfRule type="expression" dxfId="59" priority="40">
      <formula>($B92=6)</formula>
    </cfRule>
  </conditionalFormatting>
  <conditionalFormatting sqref="L94">
    <cfRule type="expression" dxfId="58" priority="39">
      <formula>($B94=6)</formula>
    </cfRule>
  </conditionalFormatting>
  <conditionalFormatting sqref="M94">
    <cfRule type="expression" dxfId="57" priority="38">
      <formula>($B94=6)</formula>
    </cfRule>
  </conditionalFormatting>
  <conditionalFormatting sqref="L95">
    <cfRule type="expression" dxfId="56" priority="37">
      <formula>($B95=6)</formula>
    </cfRule>
  </conditionalFormatting>
  <conditionalFormatting sqref="M95">
    <cfRule type="expression" dxfId="55" priority="36">
      <formula>($B95=6)</formula>
    </cfRule>
  </conditionalFormatting>
  <conditionalFormatting sqref="L96">
    <cfRule type="expression" dxfId="54" priority="35">
      <formula>($B96=6)</formula>
    </cfRule>
  </conditionalFormatting>
  <conditionalFormatting sqref="M96">
    <cfRule type="expression" dxfId="53" priority="34">
      <formula>($B96=6)</formula>
    </cfRule>
  </conditionalFormatting>
  <conditionalFormatting sqref="L97">
    <cfRule type="expression" dxfId="52" priority="33">
      <formula>($B97=6)</formula>
    </cfRule>
  </conditionalFormatting>
  <conditionalFormatting sqref="M97">
    <cfRule type="expression" dxfId="51" priority="32">
      <formula>($B97=6)</formula>
    </cfRule>
  </conditionalFormatting>
  <conditionalFormatting sqref="L98">
    <cfRule type="expression" dxfId="50" priority="31">
      <formula>($B98=6)</formula>
    </cfRule>
  </conditionalFormatting>
  <conditionalFormatting sqref="M98">
    <cfRule type="expression" dxfId="49" priority="30">
      <formula>($B98=6)</formula>
    </cfRule>
  </conditionalFormatting>
  <conditionalFormatting sqref="L106:M106 L109:M112">
    <cfRule type="expression" dxfId="48" priority="29">
      <formula>($B106=6)</formula>
    </cfRule>
  </conditionalFormatting>
  <conditionalFormatting sqref="L105">
    <cfRule type="expression" dxfId="47" priority="28">
      <formula>($B105=6)</formula>
    </cfRule>
  </conditionalFormatting>
  <conditionalFormatting sqref="M105">
    <cfRule type="expression" dxfId="46" priority="27">
      <formula>($B105=6)</formula>
    </cfRule>
  </conditionalFormatting>
  <conditionalFormatting sqref="L107">
    <cfRule type="expression" dxfId="45" priority="26">
      <formula>($B107=6)</formula>
    </cfRule>
  </conditionalFormatting>
  <conditionalFormatting sqref="M107">
    <cfRule type="expression" dxfId="44" priority="25">
      <formula>($B107=6)</formula>
    </cfRule>
  </conditionalFormatting>
  <conditionalFormatting sqref="L108">
    <cfRule type="expression" dxfId="43" priority="24">
      <formula>($B108=6)</formula>
    </cfRule>
  </conditionalFormatting>
  <conditionalFormatting sqref="M108">
    <cfRule type="expression" dxfId="42" priority="23">
      <formula>($B108=6)</formula>
    </cfRule>
  </conditionalFormatting>
  <conditionalFormatting sqref="L114:M123">
    <cfRule type="expression" dxfId="41" priority="22">
      <formula>($B114=6)</formula>
    </cfRule>
  </conditionalFormatting>
  <conditionalFormatting sqref="L127:M127">
    <cfRule type="expression" dxfId="40" priority="21">
      <formula>($B127=6)</formula>
    </cfRule>
  </conditionalFormatting>
  <conditionalFormatting sqref="L130:M130">
    <cfRule type="expression" dxfId="39" priority="20">
      <formula>($B130=6)</formula>
    </cfRule>
  </conditionalFormatting>
  <conditionalFormatting sqref="L132:M132">
    <cfRule type="expression" dxfId="38" priority="19">
      <formula>($B132=6)</formula>
    </cfRule>
  </conditionalFormatting>
  <conditionalFormatting sqref="L134:M134">
    <cfRule type="expression" dxfId="37" priority="18">
      <formula>($B134=6)</formula>
    </cfRule>
  </conditionalFormatting>
  <conditionalFormatting sqref="L136:M136">
    <cfRule type="expression" dxfId="36" priority="17">
      <formula>($B136=6)</formula>
    </cfRule>
  </conditionalFormatting>
  <conditionalFormatting sqref="L138:M139">
    <cfRule type="expression" dxfId="35" priority="16">
      <formula>($B138=6)</formula>
    </cfRule>
  </conditionalFormatting>
  <conditionalFormatting sqref="L152:M156">
    <cfRule type="expression" dxfId="34" priority="15">
      <formula>($B152=6)</formula>
    </cfRule>
  </conditionalFormatting>
  <conditionalFormatting sqref="L151">
    <cfRule type="expression" dxfId="33" priority="14">
      <formula>($B151=6)</formula>
    </cfRule>
  </conditionalFormatting>
  <conditionalFormatting sqref="M151">
    <cfRule type="expression" dxfId="32" priority="13">
      <formula>($B151=6)</formula>
    </cfRule>
  </conditionalFormatting>
  <conditionalFormatting sqref="L159:M163">
    <cfRule type="expression" dxfId="31" priority="12">
      <formula>($B159=6)</formula>
    </cfRule>
  </conditionalFormatting>
  <conditionalFormatting sqref="L158">
    <cfRule type="expression" dxfId="30" priority="11">
      <formula>($B158=6)</formula>
    </cfRule>
  </conditionalFormatting>
  <conditionalFormatting sqref="M158">
    <cfRule type="expression" dxfId="29" priority="10">
      <formula>($B158=6)</formula>
    </cfRule>
  </conditionalFormatting>
  <conditionalFormatting sqref="L168:M172">
    <cfRule type="expression" dxfId="28" priority="9">
      <formula>($B168=6)</formula>
    </cfRule>
  </conditionalFormatting>
  <conditionalFormatting sqref="L167">
    <cfRule type="expression" dxfId="27" priority="8">
      <formula>($B167=6)</formula>
    </cfRule>
  </conditionalFormatting>
  <conditionalFormatting sqref="M167">
    <cfRule type="expression" dxfId="26" priority="7">
      <formula>($B167=6)</formula>
    </cfRule>
  </conditionalFormatting>
  <conditionalFormatting sqref="L175:M178">
    <cfRule type="expression" dxfId="25" priority="6">
      <formula>($B175=6)</formula>
    </cfRule>
  </conditionalFormatting>
  <conditionalFormatting sqref="L174">
    <cfRule type="expression" dxfId="24" priority="5">
      <formula>($B174=6)</formula>
    </cfRule>
  </conditionalFormatting>
  <conditionalFormatting sqref="M174">
    <cfRule type="expression" dxfId="23" priority="4">
      <formula>($B174=6)</formula>
    </cfRule>
  </conditionalFormatting>
  <conditionalFormatting sqref="L181:M186">
    <cfRule type="expression" dxfId="22" priority="3">
      <formula>($B181=6)</formula>
    </cfRule>
  </conditionalFormatting>
  <conditionalFormatting sqref="L180">
    <cfRule type="expression" dxfId="21" priority="2">
      <formula>($B180=6)</formula>
    </cfRule>
  </conditionalFormatting>
  <conditionalFormatting sqref="M180">
    <cfRule type="expression" dxfId="20" priority="1">
      <formula>($B180=6)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B10"/>
  <sheetViews>
    <sheetView workbookViewId="0">
      <selection activeCell="B6" sqref="B6"/>
    </sheetView>
  </sheetViews>
  <sheetFormatPr defaultRowHeight="15" x14ac:dyDescent="0.25"/>
  <cols>
    <col min="1" max="1" width="10.28515625" customWidth="1"/>
    <col min="2" max="2" width="33.140625" customWidth="1"/>
  </cols>
  <sheetData>
    <row r="1" spans="1:2" x14ac:dyDescent="0.25">
      <c r="A1" t="s">
        <v>8</v>
      </c>
      <c r="B1" t="s">
        <v>9</v>
      </c>
    </row>
    <row r="2" spans="1:2" x14ac:dyDescent="0.25">
      <c r="A2">
        <v>0</v>
      </c>
      <c r="B2" t="s">
        <v>21</v>
      </c>
    </row>
    <row r="3" spans="1:2" x14ac:dyDescent="0.25">
      <c r="A3">
        <v>1</v>
      </c>
      <c r="B3" t="s">
        <v>10</v>
      </c>
    </row>
    <row r="4" spans="1:2" x14ac:dyDescent="0.25">
      <c r="A4">
        <v>2</v>
      </c>
      <c r="B4" t="s">
        <v>11</v>
      </c>
    </row>
    <row r="5" spans="1:2" x14ac:dyDescent="0.25">
      <c r="A5">
        <v>3</v>
      </c>
      <c r="B5" t="s">
        <v>12</v>
      </c>
    </row>
    <row r="6" spans="1:2" x14ac:dyDescent="0.25">
      <c r="A6">
        <v>4</v>
      </c>
      <c r="B6" t="s">
        <v>22</v>
      </c>
    </row>
    <row r="7" spans="1:2" x14ac:dyDescent="0.25">
      <c r="A7">
        <v>5</v>
      </c>
      <c r="B7" t="s">
        <v>23</v>
      </c>
    </row>
    <row r="8" spans="1:2" x14ac:dyDescent="0.25">
      <c r="A8">
        <v>6</v>
      </c>
      <c r="B8" t="s">
        <v>14</v>
      </c>
    </row>
    <row r="9" spans="1:2" x14ac:dyDescent="0.25">
      <c r="A9">
        <v>7</v>
      </c>
      <c r="B9" t="s">
        <v>13</v>
      </c>
    </row>
    <row r="10" spans="1:2" x14ac:dyDescent="0.25">
      <c r="A10">
        <v>8</v>
      </c>
      <c r="B10" t="s">
        <v>15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1</vt:i4>
      </vt:variant>
    </vt:vector>
  </HeadingPairs>
  <TitlesOfParts>
    <vt:vector size="5" baseType="lpstr">
      <vt:lpstr>Основные</vt:lpstr>
      <vt:lpstr>Дополнительные</vt:lpstr>
      <vt:lpstr>Аварийные</vt:lpstr>
      <vt:lpstr>TxtStyles</vt:lpstr>
      <vt:lpstr>Аварийные!_Toc185218215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2016-02-25T18:29:25Z</dcterms:modified>
</cp:coreProperties>
</file>