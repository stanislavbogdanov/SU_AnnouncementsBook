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functionGroups builtInGroupCount="17"/>
  <calcPr calcId="145621"/>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71" i="1"/>
  <c r="C471" i="1"/>
  <c r="D471" i="1"/>
  <c r="E471" i="1"/>
  <c r="F471" i="1"/>
  <c r="B472" i="1"/>
  <c r="C472" i="1"/>
  <c r="D472" i="1"/>
  <c r="E472" i="1"/>
  <c r="F472" i="1"/>
  <c r="B3" i="1"/>
  <c r="C3" i="1"/>
  <c r="D3" i="1"/>
  <c r="F190" i="4"/>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E246" i="5"/>
  <c r="D246" i="5"/>
  <c r="C246" i="5"/>
  <c r="B246" i="5"/>
  <c r="F245" i="5"/>
  <c r="E245" i="5"/>
  <c r="D245" i="5"/>
  <c r="C245" i="5"/>
  <c r="B245" i="5"/>
  <c r="F244" i="5"/>
  <c r="E244" i="5"/>
  <c r="D244" i="5"/>
  <c r="C244" i="5"/>
  <c r="B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3" i="1"/>
  <c r="E3" i="1"/>
  <c r="B2" i="1"/>
  <c r="F2" i="1"/>
</calcChain>
</file>

<file path=xl/sharedStrings.xml><?xml version="1.0" encoding="utf-8"?>
<sst xmlns="http://schemas.openxmlformats.org/spreadsheetml/2006/main" count="6369" uniqueCount="3519">
  <si>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</si>
  <si>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</si>
  <si>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</si>
  <si>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</si>
  <si>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</si>
  <si>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</si>
  <si>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</si>
  <si>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</si>
  <si>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</si>
  <si>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</si>
  <si>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</si>
  <si>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</si>
  <si>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</si>
  <si>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</si>
  <si>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</si>
  <si>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</si>
  <si>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</si>
  <si>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</si>
  <si>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</si>
  <si>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</si>
  <si>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</si>
  <si>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</si>
  <si>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</si>
  <si>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</si>
  <si>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</si>
  <si>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</si>
  <si>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</si>
  <si>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</si>
  <si>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</si>
  <si>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</si>
  <si>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</si>
  <si>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</si>
  <si>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</si>
  <si>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</si>
  <si>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</si>
  <si>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</si>
  <si>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</si>
  <si>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</si>
  <si>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</si>
  <si>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</si>
  <si>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</si>
  <si>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</si>
  <si>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</si>
  <si>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</si>
  <si>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</si>
  <si>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</si>
  <si>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</si>
  <si>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</si>
  <si>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</si>
  <si>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</si>
  <si>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</si>
  <si>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</si>
  <si>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</si>
  <si>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</si>
  <si>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</si>
  <si>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</si>
  <si>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</si>
  <si>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</si>
  <si>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</si>
  <si>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</si>
  <si>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</si>
  <si>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</si>
  <si>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</si>
  <si>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</si>
  <si>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</si>
  <si>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</si>
  <si>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</si>
  <si>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</si>
  <si>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</si>
  <si>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</si>
  <si>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</si>
  <si>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</si>
  <si>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</si>
  <si>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</si>
  <si>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</si>
  <si>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</si>
  <si>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</si>
  <si>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</si>
  <si>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</si>
  <si>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</si>
  <si>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</si>
  <si>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</si>
  <si>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</si>
  <si>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</si>
  <si>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</si>
  <si>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</si>
  <si>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</si>
  <si>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</si>
  <si>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</si>
  <si>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</si>
  <si>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</si>
  <si>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</si>
  <si>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</si>
  <si>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</si>
  <si>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</si>
  <si>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</si>
  <si>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</si>
  <si>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</si>
  <si>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</si>
  <si>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</si>
  <si>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</si>
  <si>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</si>
  <si>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</si>
  <si>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</si>
  <si>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</si>
  <si>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</si>
  <si>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</si>
  <si>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</si>
  <si>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</si>
  <si>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</si>
  <si>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</si>
  <si>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</si>
  <si>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</si>
  <si>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</si>
  <si>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</si>
  <si>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</si>
  <si>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</si>
  <si>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</si>
  <si>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</si>
  <si>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</si>
  <si>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</si>
  <si>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</si>
  <si>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</si>
  <si>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</si>
  <si>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</si>
  <si>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</si>
  <si>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</si>
  <si>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</si>
  <si>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</si>
  <si>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</si>
  <si>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</si>
  <si>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</si>
  <si>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</si>
  <si>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</si>
  <si>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</si>
  <si>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</si>
  <si>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</si>
  <si>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</si>
  <si>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</si>
  <si>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</si>
  <si>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</si>
  <si>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</si>
  <si>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</si>
  <si>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</si>
  <si>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</si>
  <si>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</si>
  <si>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</si>
  <si>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</si>
  <si>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</si>
  <si>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</si>
  <si>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</si>
  <si>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</si>
  <si>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</si>
  <si>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</si>
  <si>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</si>
  <si>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</si>
  <si>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</si>
  <si>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</si>
  <si>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</si>
  <si>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</si>
  <si>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</si>
  <si>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</si>
  <si>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</si>
  <si>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</si>
  <si>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</si>
  <si>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</si>
  <si>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</si>
  <si>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</si>
  <si>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</si>
  <si>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</si>
  <si>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</si>
  <si>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</si>
  <si>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</si>
  <si>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</si>
  <si>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</si>
  <si>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</si>
  <si>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</si>
  <si>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</si>
  <si>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</si>
  <si>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</si>
  <si>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</si>
  <si>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</si>
  <si>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</si>
  <si>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</si>
  <si>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</si>
  <si>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</si>
  <si>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</si>
  <si>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</si>
  <si>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</si>
  <si>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</si>
  <si>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</si>
  <si>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</si>
  <si>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</si>
  <si>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</si>
  <si>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</si>
  <si>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</si>
  <si>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</si>
  <si>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</si>
  <si>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</si>
  <si>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</si>
  <si>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</si>
  <si>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</si>
  <si>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</si>
  <si>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</si>
  <si>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</si>
  <si>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</si>
  <si>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</si>
  <si>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</si>
  <si>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</si>
  <si>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</si>
  <si>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</si>
  <si>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</si>
  <si>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</si>
  <si>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</si>
  <si>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</si>
  <si>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</si>
  <si>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</si>
  <si>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</si>
  <si>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</si>
  <si>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</si>
  <si>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</si>
  <si>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</si>
  <si>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</si>
  <si>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</si>
  <si>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</si>
  <si>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</si>
  <si>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</si>
  <si>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</si>
  <si>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</si>
  <si>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</si>
  <si>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</si>
  <si>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</si>
  <si>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</si>
  <si>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</si>
  <si>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</si>
  <si>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</si>
  <si>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</si>
  <si>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</si>
  <si>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</si>
  <si>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</si>
  <si>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</si>
  <si>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</si>
  <si>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</si>
  <si>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</si>
  <si>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</si>
  <si>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</si>
  <si>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</si>
  <si>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</si>
  <si>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</si>
  <si>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</si>
  <si>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</si>
  <si>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</si>
  <si>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</si>
  <si>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</si>
  <si>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</si>
  <si>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</si>
  <si>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</si>
  <si>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</si>
  <si>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</si>
  <si>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</si>
  <si>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</si>
  <si>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</si>
  <si>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</si>
  <si>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</si>
  <si>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</si>
  <si>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</si>
  <si>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</si>
  <si>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</si>
  <si>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</si>
  <si>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</si>
  <si>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</si>
  <si>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</si>
  <si>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</si>
  <si>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</si>
  <si>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</si>
  <si>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</si>
  <si>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</si>
  <si>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</si>
  <si>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</si>
  <si>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</si>
  <si>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</si>
  <si>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</si>
  <si>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</si>
  <si>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</si>
  <si>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</si>
  <si>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</si>
  <si>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</si>
  <si>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</si>
  <si>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</si>
  <si>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</si>
  <si>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</si>
  <si>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</si>
  <si>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</si>
  <si>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</si>
  <si>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</si>
  <si>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</si>
  <si>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</si>
  <si>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</si>
  <si>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</si>
  <si>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</si>
  <si>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</si>
  <si>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</si>
  <si>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</si>
  <si>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</si>
  <si>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</si>
  <si>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</si>
  <si>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</si>
  <si>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</si>
  <si>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</si>
  <si>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</si>
  <si>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</si>
  <si>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</si>
  <si>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</si>
  <si>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</si>
  <si>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</si>
  <si>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</si>
  <si>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</si>
  <si>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</si>
  <si>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</si>
  <si>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</si>
  <si>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</si>
  <si>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</si>
  <si>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</si>
  <si>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</si>
  <si>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</si>
  <si>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</si>
  <si>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</si>
  <si>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</si>
  <si>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</si>
  <si>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</si>
  <si>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</si>
  <si>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</si>
  <si>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</si>
  <si>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</si>
  <si>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</si>
  <si>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</si>
  <si>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</si>
  <si>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</si>
  <si>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</si>
  <si>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</si>
  <si>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</si>
  <si>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</si>
  <si>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</si>
  <si>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</si>
  <si>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</si>
  <si>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</si>
  <si>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</si>
  <si>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</si>
  <si>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</si>
  <si>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</si>
  <si>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</si>
  <si>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</si>
  <si>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</si>
  <si>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</si>
  <si>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</si>
  <si>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</si>
  <si>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</si>
  <si>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</si>
  <si>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</si>
  <si>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</si>
  <si>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</si>
  <si>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</si>
  <si>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</si>
  <si>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</si>
  <si>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</si>
  <si>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</si>
  <si>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</si>
  <si>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</si>
  <si>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</si>
  <si>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</si>
  <si>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</si>
  <si>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</si>
  <si>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</si>
  <si>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</si>
  <si>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</si>
  <si>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</si>
  <si>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</si>
  <si>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</si>
  <si>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</si>
  <si>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</si>
  <si>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</si>
  <si>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</si>
  <si>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</si>
  <si>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</si>
  <si>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</si>
  <si>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</si>
  <si>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</si>
  <si>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</si>
  <si>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</si>
  <si>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</si>
  <si>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</si>
  <si>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</si>
  <si>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</si>
  <si>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</si>
  <si>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</si>
  <si>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</si>
  <si>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</si>
  <si>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</si>
  <si>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</si>
  <si>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</si>
  <si>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</si>
  <si>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</si>
  <si>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</si>
  <si>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</si>
  <si>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</si>
  <si>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</si>
  <si>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</si>
  <si>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</si>
  <si>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</si>
  <si>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</si>
  <si>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</si>
  <si>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</si>
  <si>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</si>
  <si>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</si>
  <si>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</si>
  <si>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</si>
  <si>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</si>
  <si>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</si>
  <si>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</si>
  <si>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</si>
  <si>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</si>
  <si>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</si>
  <si>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</si>
  <si>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</si>
  <si>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</si>
  <si>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</si>
  <si>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</si>
  <si>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</si>
  <si>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</si>
  <si>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</si>
  <si>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</si>
  <si>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</si>
  <si>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</si>
  <si>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</si>
  <si>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</si>
  <si>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</si>
  <si>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</si>
  <si>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</si>
  <si>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</si>
  <si>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</si>
  <si>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</si>
  <si>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</si>
  <si>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</si>
  <si>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</si>
  <si>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</si>
  <si>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</si>
  <si>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</si>
  <si>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</si>
  <si>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</si>
  <si>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</si>
  <si>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</si>
  <si>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</si>
  <si>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</si>
  <si>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</si>
  <si>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</si>
  <si>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</si>
  <si>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</si>
  <si>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</si>
  <si>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</si>
  <si>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</si>
  <si>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</si>
  <si>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</si>
  <si>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</si>
  <si>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</si>
  <si>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</si>
  <si>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</si>
  <si>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</si>
  <si>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</si>
  <si>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</si>
  <si>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</si>
  <si>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</si>
  <si>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</si>
  <si>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</si>
  <si>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</si>
  <si>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</si>
  <si>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</si>
  <si>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</si>
  <si>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</si>
  <si>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</si>
  <si>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</si>
  <si>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</si>
  <si>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</si>
  <si>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</si>
  <si>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</si>
  <si>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</si>
  <si>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</si>
  <si>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</si>
  <si>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</si>
  <si>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</si>
  <si>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</si>
  <si>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</si>
  <si>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</si>
  <si>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</si>
  <si>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</si>
  <si>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</si>
  <si>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</si>
  <si>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</si>
  <si>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</si>
  <si>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</si>
  <si>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</si>
  <si>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</si>
  <si>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</si>
  <si>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</si>
  <si>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</si>
  <si>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</si>
  <si>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</si>
  <si>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</si>
  <si>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</si>
  <si>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</si>
  <si>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</si>
  <si>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</si>
  <si>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</si>
  <si>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</si>
  <si>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</si>
  <si>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</si>
  <si>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</si>
  <si>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</si>
  <si>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</si>
  <si>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</si>
  <si>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</si>
  <si>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</si>
  <si>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</si>
  <si>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</si>
  <si>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</si>
  <si>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</si>
  <si>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</si>
  <si>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</si>
  <si>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</si>
  <si>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</si>
  <si>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</si>
  <si>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</si>
  <si>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</si>
  <si>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</si>
  <si>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</si>
  <si>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</si>
  <si>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</si>
  <si>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</si>
  <si>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</si>
  <si>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</si>
  <si>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</si>
  <si>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</si>
  <si>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</si>
  <si>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</si>
  <si>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</si>
  <si>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</si>
  <si>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</si>
  <si>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</si>
  <si>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</si>
  <si>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</si>
  <si>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</si>
  <si>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</si>
  <si>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</si>
  <si>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</si>
  <si>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</si>
  <si>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</si>
  <si>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</si>
  <si>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</si>
  <si>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</si>
  <si>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</si>
  <si>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</si>
  <si>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</si>
  <si>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</si>
  <si>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</si>
  <si>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</si>
  <si>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</si>
  <si>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</si>
  <si>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</si>
  <si>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</si>
  <si>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</si>
  <si>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</si>
  <si>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</si>
  <si>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</si>
  <si>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</si>
  <si>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</si>
  <si>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</si>
  <si>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</si>
  <si>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</si>
  <si>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</si>
  <si>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</si>
  <si>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</si>
  <si>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</si>
  <si>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</si>
  <si>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</si>
  <si>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</si>
  <si>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</si>
  <si>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</si>
  <si>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</si>
  <si>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</si>
  <si>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</si>
  <si>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</si>
  <si>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</si>
  <si>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</si>
  <si>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</si>
  <si>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</si>
  <si>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</si>
  <si>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</si>
  <si>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</si>
  <si>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</si>
  <si>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</si>
  <si>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</si>
  <si>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</si>
  <si>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</si>
  <si>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</si>
  <si>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</si>
  <si>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</si>
  <si>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</si>
  <si>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</si>
  <si>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</si>
  <si>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</si>
  <si>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</si>
  <si>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</si>
  <si>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</si>
  <si>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</si>
  <si>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</si>
  <si>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</si>
  <si>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</si>
  <si>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</si>
  <si>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</si>
  <si>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</si>
  <si>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</si>
  <si>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</si>
  <si>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</si>
  <si>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</si>
  <si>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</si>
  <si>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</si>
  <si>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</si>
  <si>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</si>
  <si>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</si>
  <si>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</si>
  <si>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</si>
  <si>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</si>
  <si>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</si>
  <si>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</si>
  <si>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</si>
  <si>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</si>
  <si>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</si>
  <si>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</si>
  <si>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</si>
  <si>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</si>
  <si>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</si>
  <si>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</si>
  <si>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</si>
  <si>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</si>
  <si>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</si>
  <si>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</si>
  <si>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</si>
  <si>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</si>
  <si>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</si>
  <si>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</si>
  <si>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</si>
  <si>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</si>
  <si>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</si>
  <si>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</si>
  <si>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</si>
  <si>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</si>
  <si>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</si>
  <si>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</si>
  <si>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</si>
  <si>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</si>
  <si>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</si>
  <si>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</si>
  <si>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</si>
  <si>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</si>
  <si>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</si>
  <si>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</si>
  <si>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</si>
  <si>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</si>
  <si>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</si>
  <si>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</si>
  <si>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</si>
  <si>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</si>
  <si>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</si>
  <si>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</si>
  <si>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</si>
  <si>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</si>
  <si>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</si>
  <si>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</si>
  <si>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</si>
  <si>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</si>
  <si>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</si>
  <si>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</si>
  <si>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</si>
  <si>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</si>
  <si>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</si>
  <si>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</si>
  <si>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</si>
  <si>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</si>
  <si>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</si>
  <si>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</si>
  <si>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</si>
  <si>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</si>
  <si>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</si>
  <si>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</si>
  <si>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</si>
  <si>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</si>
  <si>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</si>
  <si>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</si>
  <si>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</si>
  <si>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</si>
  <si>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</si>
  <si>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</si>
  <si>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</si>
  <si>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</si>
  <si>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</si>
  <si>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</si>
  <si>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</si>
  <si>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</si>
  <si>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</si>
  <si>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</si>
  <si>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</si>
  <si>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</si>
  <si>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</si>
  <si>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</si>
  <si>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</si>
  <si>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</si>
  <si>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</si>
  <si>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</si>
  <si>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</si>
  <si>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</si>
  <si>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</si>
  <si>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</si>
  <si>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</si>
  <si>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</si>
  <si>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</si>
  <si>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</si>
  <si>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</si>
  <si>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</si>
  <si>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</si>
  <si>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</si>
  <si>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</si>
  <si>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</si>
  <si>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</si>
  <si>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</si>
  <si>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</si>
  <si>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</si>
  <si>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</si>
  <si>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</si>
  <si>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</si>
  <si>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</si>
  <si>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</si>
  <si>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</si>
  <si>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</si>
  <si>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</si>
  <si>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</si>
  <si>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</si>
  <si>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</si>
  <si>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</si>
  <si>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</si>
  <si>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</si>
  <si>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</si>
  <si>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</si>
  <si>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</si>
  <si>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</si>
  <si>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</si>
  <si>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</si>
  <si>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</si>
  <si>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</si>
  <si>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</si>
  <si>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</si>
  <si>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</si>
  <si>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</si>
  <si>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</si>
  <si>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</si>
  <si>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</si>
  <si>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</si>
  <si>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</si>
  <si>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</si>
  <si>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</si>
  <si>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</si>
  <si>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</si>
  <si>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</si>
  <si>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</si>
  <si>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</si>
  <si>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</si>
  <si>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</si>
  <si>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</si>
  <si>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</si>
  <si>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</si>
  <si>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</si>
  <si>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</si>
  <si>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</si>
  <si>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</si>
  <si>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</si>
  <si>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</si>
  <si>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</si>
  <si>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</si>
  <si>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</si>
  <si>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</si>
  <si>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</si>
  <si>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</si>
  <si>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</si>
  <si>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</si>
  <si>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</si>
  <si>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</si>
  <si>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</si>
  <si>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</si>
  <si>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</si>
  <si>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</si>
  <si>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</si>
  <si>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</si>
  <si>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</si>
  <si>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</si>
  <si>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</si>
  <si>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</si>
  <si>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</si>
  <si>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</si>
  <si>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</si>
  <si>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</si>
  <si>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</si>
  <si>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</si>
  <si>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</si>
  <si>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</si>
  <si>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</si>
  <si>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</si>
  <si>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</si>
  <si>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</si>
  <si>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</si>
  <si>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</si>
  <si>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</si>
  <si>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</si>
  <si>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</si>
  <si>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</si>
  <si>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</si>
  <si>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</si>
  <si>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</si>
  <si>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</si>
  <si>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</si>
  <si>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</si>
  <si>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</si>
  <si>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</si>
  <si>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</si>
  <si>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</si>
  <si>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</si>
  <si>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</si>
  <si>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</si>
  <si>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</si>
  <si>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</si>
  <si>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</si>
  <si>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</si>
  <si>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</si>
  <si>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</si>
  <si>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</si>
  <si>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</si>
  <si>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</si>
  <si>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</si>
  <si>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</si>
  <si>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</si>
  <si>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</si>
  <si>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</si>
  <si>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</si>
  <si>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</si>
  <si>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</si>
  <si>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</si>
  <si>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</si>
  <si>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</si>
  <si>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</si>
  <si>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</si>
  <si>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</si>
  <si>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</si>
  <si>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</si>
  <si>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</si>
  <si>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</si>
  <si>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</si>
  <si>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</si>
  <si>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</si>
  <si>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</si>
  <si>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</si>
  <si>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</si>
  <si>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</si>
  <si>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</si>
  <si>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</si>
  <si>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</si>
  <si>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</si>
  <si>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</si>
  <si>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</si>
  <si>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</si>
  <si>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</si>
  <si>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</si>
  <si>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</si>
  <si>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</si>
  <si>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</si>
  <si>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</si>
  <si>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</si>
  <si>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</si>
  <si>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</si>
  <si>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</si>
  <si>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</si>
  <si>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</si>
  <si>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</si>
  <si>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</si>
  <si>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</si>
  <si>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</si>
  <si>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</si>
  <si>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</si>
  <si>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</si>
  <si>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</si>
  <si>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</si>
  <si>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</si>
  <si>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</si>
  <si>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</si>
  <si>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</si>
  <si>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</si>
  <si>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</si>
  <si>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</si>
  <si>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</si>
  <si>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</si>
  <si>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</si>
  <si>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</si>
  <si>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</si>
  <si>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</si>
  <si>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</si>
  <si>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</si>
  <si>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</si>
  <si>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</si>
  <si>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</si>
  <si>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</si>
  <si>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</si>
  <si>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</si>
  <si>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</si>
  <si>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</si>
  <si>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</si>
  <si>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</si>
  <si>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</si>
  <si>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</si>
  <si>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</si>
  <si>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</si>
  <si>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</si>
  <si>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</si>
  <si>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</si>
  <si>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</si>
  <si>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</si>
  <si>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</si>
  <si>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</si>
  <si>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</si>
  <si>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</si>
  <si>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</si>
  <si>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</si>
  <si>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</si>
  <si>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</si>
  <si>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</si>
  <si>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</si>
  <si>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</si>
  <si>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</si>
  <si>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</si>
  <si>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</si>
  <si>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</si>
  <si>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</si>
  <si>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</si>
  <si>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</si>
  <si>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</si>
  <si>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</si>
  <si>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</si>
  <si>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</si>
  <si>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</si>
  <si>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</si>
  <si>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</si>
  <si>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</si>
  <si>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</si>
  <si>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</si>
  <si>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</si>
  <si>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</si>
  <si>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</si>
  <si>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</si>
  <si>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</si>
  <si>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</si>
  <si>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</si>
  <si>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</si>
  <si>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</si>
  <si>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</si>
  <si>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</si>
  <si>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</si>
  <si>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</si>
  <si>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</si>
  <si>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</si>
  <si>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</si>
  <si>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</si>
  <si>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</si>
  <si>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</si>
  <si>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</si>
  <si>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</si>
  <si>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</si>
  <si>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</si>
  <si>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</si>
  <si>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</si>
  <si>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</si>
  <si>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</si>
  <si>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</si>
  <si>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</si>
  <si>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</si>
  <si>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</si>
  <si>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</si>
  <si>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</si>
  <si>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</si>
  <si>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</si>
  <si>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</si>
  <si>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</si>
  <si>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</si>
  <si>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</si>
  <si>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</si>
  <si>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</si>
  <si>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</si>
  <si>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</si>
  <si>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</si>
  <si>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</si>
  <si>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</si>
  <si>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</si>
  <si>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</si>
  <si>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</si>
  <si>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</si>
  <si>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</si>
  <si>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</si>
  <si>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</si>
  <si>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</si>
  <si>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</si>
  <si>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</si>
  <si>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</si>
  <si>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</si>
  <si>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</si>
  <si>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</si>
  <si>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</si>
  <si>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</si>
  <si>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</si>
  <si>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</si>
  <si>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</si>
  <si>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</si>
  <si>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</si>
  <si>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</si>
  <si>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</si>
  <si>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</si>
  <si>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</si>
  <si>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</si>
  <si>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</si>
  <si>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</si>
  <si>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</si>
  <si>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</si>
  <si>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</si>
  <si>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</si>
  <si>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</si>
  <si>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</si>
  <si>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</si>
  <si>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</si>
  <si>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</si>
  <si>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</si>
  <si>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</si>
  <si>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</si>
  <si>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</si>
  <si>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</si>
  <si>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</si>
  <si>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</si>
  <si>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</si>
  <si>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</si>
  <si>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</si>
  <si>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</si>
  <si>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</si>
  <si>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</si>
  <si>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</si>
  <si>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</si>
  <si>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</si>
  <si>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</si>
  <si>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</si>
  <si>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</si>
  <si>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</si>
  <si>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</si>
  <si>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</si>
  <si>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</si>
  <si>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</si>
  <si>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</si>
  <si>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</si>
  <si>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</si>
  <si>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</si>
  <si>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</si>
  <si>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</si>
  <si>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</si>
  <si>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</si>
  <si>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</si>
  <si>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</si>
  <si>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</si>
  <si>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</si>
  <si>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</si>
  <si>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</si>
  <si>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</si>
  <si>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</si>
  <si>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</si>
  <si>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</si>
  <si>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</si>
  <si>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</si>
  <si>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</si>
  <si>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</si>
  <si>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</si>
  <si>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</si>
  <si>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</si>
  <si>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</si>
  <si>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</si>
  <si>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</si>
  <si>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</si>
  <si>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</si>
  <si>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</si>
  <si>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</si>
  <si>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</si>
  <si>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</si>
  <si>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</si>
  <si>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</si>
  <si>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</si>
  <si>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</si>
  <si>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</si>
  <si>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</si>
  <si>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</si>
  <si>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</si>
  <si>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</si>
  <si>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</si>
  <si>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</si>
  <si>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</si>
  <si>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</si>
  <si>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</si>
  <si>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</si>
  <si>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</si>
  <si>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</si>
  <si>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</si>
  <si>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</si>
  <si>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</si>
  <si>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</si>
  <si>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</si>
  <si>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</si>
  <si>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</si>
  <si>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</si>
  <si>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</si>
  <si>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</si>
  <si>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</si>
  <si>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</si>
  <si>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</si>
  <si>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</si>
  <si>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</si>
  <si>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</si>
  <si>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</si>
  <si>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</si>
  <si>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</si>
  <si>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</si>
  <si>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</si>
  <si>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</si>
  <si>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</si>
  <si>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</si>
  <si>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</si>
  <si>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</si>
  <si>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</si>
  <si>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</si>
  <si>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</si>
  <si>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</si>
  <si>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</si>
  <si>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</si>
  <si>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</si>
  <si>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</si>
  <si>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</si>
  <si>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</si>
  <si>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</si>
  <si>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</si>
  <si>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</si>
  <si>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</si>
  <si>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</si>
  <si>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</si>
  <si>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</si>
  <si>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</si>
  <si>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</si>
  <si>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</si>
  <si>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</si>
  <si>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</si>
  <si>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</si>
  <si>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</si>
  <si>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</si>
  <si>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</si>
  <si>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</si>
  <si>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</si>
  <si>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</si>
  <si>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</si>
  <si>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</si>
  <si>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</si>
  <si>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</si>
  <si>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</si>
  <si>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</si>
  <si>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</si>
  <si>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</si>
  <si>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</si>
  <si>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</si>
  <si>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</si>
  <si>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</si>
  <si>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</si>
  <si>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</si>
  <si>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</si>
  <si>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</si>
  <si>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</si>
  <si>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</si>
  <si>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</si>
  <si>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</si>
  <si>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</si>
  <si>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</si>
  <si>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</si>
  <si>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</si>
  <si>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</si>
  <si>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</si>
  <si>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</si>
  <si>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</si>
  <si>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</si>
  <si>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</si>
  <si>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</si>
  <si>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</si>
  <si>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</si>
  <si>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</si>
  <si>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</si>
  <si>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</si>
  <si>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</si>
  <si>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</si>
  <si>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</si>
  <si>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</si>
  <si>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</si>
  <si>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</si>
  <si>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</si>
  <si>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</si>
  <si>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</si>
  <si>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</si>
  <si>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</si>
  <si>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</si>
  <si>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</si>
  <si>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</si>
  <si>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</si>
  <si>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</si>
  <si>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</si>
  <si>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</si>
  <si>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</si>
  <si>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</si>
  <si>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</si>
  <si>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</si>
  <si>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</si>
  <si>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</si>
  <si>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</si>
  <si>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</si>
  <si>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</si>
  <si>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</si>
  <si>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</si>
  <si>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</si>
  <si>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</si>
  <si>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</si>
  <si>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</si>
  <si>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</si>
  <si>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</si>
  <si>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</si>
  <si>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</si>
  <si>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</si>
  <si>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</si>
  <si>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</si>
  <si>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</si>
  <si>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</si>
  <si>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</si>
  <si>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</si>
  <si>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</si>
  <si>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</si>
  <si>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</si>
  <si>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</si>
  <si>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</si>
  <si>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</si>
  <si>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</si>
  <si>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</si>
  <si>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</si>
  <si>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</si>
  <si>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</si>
  <si>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</si>
  <si>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</si>
  <si>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</si>
  <si>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</si>
  <si>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</si>
  <si>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</si>
  <si>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</si>
  <si>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</si>
  <si>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</si>
  <si>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</si>
  <si>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</si>
  <si>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</si>
  <si>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</si>
  <si>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</si>
  <si>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</si>
  <si>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</si>
  <si>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</si>
  <si>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</si>
  <si>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</si>
  <si>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</si>
  <si>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</si>
  <si>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</si>
  <si>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</si>
  <si>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</si>
  <si>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</si>
  <si>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</si>
  <si>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</si>
  <si>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</si>
  <si>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</si>
  <si>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</si>
  <si>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</si>
  <si>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</si>
  <si>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</si>
  <si>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</si>
  <si>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</si>
  <si>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</si>
  <si>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</si>
  <si>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</si>
  <si>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</si>
  <si>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</si>
  <si>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</si>
  <si>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</si>
  <si>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</si>
  <si>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</si>
  <si>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</si>
  <si>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</si>
  <si>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</si>
  <si>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</si>
  <si>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</si>
  <si>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</si>
  <si>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</si>
  <si>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</si>
  <si>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</si>
  <si>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</si>
  <si>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</si>
  <si>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</si>
  <si>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</si>
  <si>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</si>
  <si>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</si>
  <si>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</si>
  <si>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</si>
  <si>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</si>
  <si>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</si>
  <si>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</si>
  <si>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</si>
  <si>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</si>
  <si>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</si>
  <si>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</si>
  <si>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</si>
  <si>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</si>
  <si>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</si>
  <si>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</si>
  <si>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</si>
  <si>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</si>
  <si>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</si>
  <si>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</si>
  <si>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</si>
  <si>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</si>
  <si>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</si>
  <si>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</si>
  <si>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</si>
  <si>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</si>
  <si>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</si>
  <si>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</si>
  <si>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</si>
  <si>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</si>
  <si>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</si>
  <si>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</si>
  <si>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</si>
  <si>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</si>
  <si>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</si>
  <si>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</si>
  <si>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</si>
  <si>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</si>
  <si>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</si>
  <si>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</si>
  <si>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</si>
  <si>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</si>
  <si>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</si>
  <si>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</si>
  <si>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</si>
  <si>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</si>
  <si>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</si>
  <si>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</si>
  <si>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</si>
  <si>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</si>
  <si>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</si>
  <si>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</si>
  <si>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</si>
  <si>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</si>
  <si>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</si>
  <si>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</si>
  <si>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</si>
  <si>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</si>
  <si>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</si>
  <si>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</si>
  <si>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</si>
  <si>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</si>
  <si>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</si>
  <si>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</si>
  <si>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</si>
  <si>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</si>
  <si>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</si>
  <si>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</si>
  <si>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</si>
  <si>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</si>
  <si>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</si>
  <si>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</si>
  <si>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</si>
  <si>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</si>
  <si>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</si>
  <si>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</si>
  <si>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</si>
  <si>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</si>
  <si>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</si>
  <si>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</si>
  <si>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</si>
  <si>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</si>
  <si>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</si>
  <si>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</si>
  <si>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</si>
  <si>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</si>
  <si>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</si>
  <si>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</si>
  <si>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</si>
  <si>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</si>
  <si>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</si>
  <si>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</si>
  <si>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</si>
  <si>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</si>
  <si>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</si>
  <si>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</si>
  <si>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</si>
  <si>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</si>
  <si>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</si>
  <si>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</si>
  <si>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</si>
  <si>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</si>
  <si>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</si>
  <si>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</si>
  <si>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</si>
  <si>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</si>
  <si>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</si>
  <si>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</si>
  <si>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</si>
  <si>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</si>
  <si>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</si>
  <si>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</si>
  <si>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</si>
  <si>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</si>
  <si>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</si>
  <si>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</si>
  <si>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</si>
  <si>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</si>
  <si>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</si>
  <si>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</si>
  <si>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</si>
  <si>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</si>
  <si>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</si>
  <si>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</si>
  <si>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</si>
  <si>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</si>
  <si>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</si>
  <si>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</si>
  <si>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</si>
  <si>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</si>
  <si>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</si>
  <si>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</si>
  <si>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</si>
  <si>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</si>
  <si>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</si>
  <si>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</si>
  <si>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</si>
  <si>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</si>
  <si>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</si>
  <si>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</si>
  <si>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</si>
  <si>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</si>
  <si>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</si>
  <si>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</si>
  <si>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</si>
  <si>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</si>
  <si>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</si>
  <si>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</si>
  <si>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</si>
  <si>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</si>
  <si>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</si>
  <si>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</si>
  <si>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</si>
  <si>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</si>
  <si>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</si>
  <si>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</si>
  <si>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</si>
  <si>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</si>
  <si>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</si>
  <si>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</si>
  <si>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</si>
  <si>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</si>
  <si>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</si>
  <si>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</si>
  <si>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</si>
  <si>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</si>
  <si>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</si>
  <si>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</si>
  <si>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</si>
  <si>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</si>
  <si>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</si>
  <si>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</si>
  <si>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</si>
  <si>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</si>
  <si>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</si>
  <si>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</si>
  <si>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</si>
  <si>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</si>
  <si>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</si>
  <si>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</si>
  <si>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</si>
  <si>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</si>
  <si>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</si>
  <si>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</si>
  <si>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</si>
  <si>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</si>
  <si>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</si>
  <si>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</si>
  <si>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</si>
  <si>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</si>
  <si>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</si>
  <si>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</si>
  <si>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</si>
  <si>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</si>
  <si>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</si>
  <si>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</si>
  <si>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</si>
  <si>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</si>
  <si>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</si>
  <si>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</si>
  <si>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</si>
  <si>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</si>
  <si>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</si>
  <si>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</si>
  <si>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</si>
  <si>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</si>
  <si>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</si>
  <si>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</si>
  <si>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</si>
  <si>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</si>
  <si>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</si>
  <si>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</si>
  <si>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</si>
  <si>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</si>
  <si>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</si>
  <si>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</si>
  <si>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</si>
  <si>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</si>
  <si>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</si>
  <si>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</si>
  <si>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</si>
  <si>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</si>
  <si>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</si>
  <si>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</si>
  <si>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</si>
  <si>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</si>
  <si>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</si>
  <si>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</si>
  <si>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</si>
  <si>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</si>
  <si>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</si>
  <si>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</si>
  <si>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</si>
  <si>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</si>
  <si>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</si>
  <si>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</si>
  <si>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</si>
  <si>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</si>
  <si>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</si>
  <si>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</si>
  <si>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</si>
  <si>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</si>
  <si>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</si>
  <si>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</si>
  <si>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</si>
  <si>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</si>
  <si>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</si>
  <si>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</si>
  <si>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</si>
  <si>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</si>
  <si>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</si>
  <si>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</si>
  <si>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</si>
  <si>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</si>
  <si>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</si>
  <si>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</si>
  <si>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</si>
  <si>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</si>
  <si>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</si>
  <si>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</si>
  <si>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</si>
  <si>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</si>
  <si>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</si>
  <si>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</si>
  <si>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</si>
  <si>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</si>
  <si>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</si>
  <si>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</si>
  <si>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</si>
  <si>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</si>
  <si>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</si>
  <si>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</si>
  <si>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</si>
  <si>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</si>
  <si>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</si>
  <si>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</si>
  <si>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</si>
  <si>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</si>
  <si>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</si>
  <si>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</si>
  <si>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</si>
  <si>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</si>
  <si>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</si>
  <si>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</si>
  <si>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</si>
  <si>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</si>
  <si>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</si>
  <si>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</si>
  <si>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</si>
  <si>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</si>
  <si>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</si>
  <si>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</si>
  <si>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</si>
  <si>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</si>
  <si>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</si>
  <si>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</si>
  <si>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</si>
  <si>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</si>
  <si>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</si>
  <si>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</si>
  <si>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</si>
  <si>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</si>
  <si>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</si>
  <si>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</si>
  <si>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</si>
  <si>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</si>
  <si>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</si>
  <si>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</si>
  <si>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</si>
  <si>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</si>
  <si>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</si>
  <si>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</si>
  <si>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</si>
  <si>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</si>
  <si>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</si>
  <si>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</si>
  <si>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</si>
  <si>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</si>
  <si>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</si>
  <si>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</si>
  <si>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</si>
  <si>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</si>
  <si>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</si>
  <si>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</si>
  <si>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</si>
  <si>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</si>
  <si>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</si>
  <si>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</si>
  <si>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</si>
  <si>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</si>
  <si>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</si>
  <si>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</si>
  <si>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</si>
  <si>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</si>
  <si>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</si>
  <si>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</si>
  <si>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</si>
  <si>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</si>
  <si>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</si>
  <si>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</si>
  <si>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</si>
  <si>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</si>
  <si>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</si>
  <si>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</si>
  <si>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</si>
  <si>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</si>
  <si>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</si>
  <si>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</si>
  <si>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</si>
  <si>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</si>
  <si>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</si>
  <si>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</si>
  <si>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</si>
  <si>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</si>
  <si>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</si>
  <si>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</si>
  <si>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</si>
  <si>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</si>
  <si>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</si>
  <si>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</si>
  <si>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</si>
  <si>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</si>
  <si>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</si>
  <si>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</si>
  <si>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</si>
  <si>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</si>
  <si>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</si>
  <si>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</si>
  <si>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</si>
  <si>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</si>
  <si>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</si>
  <si>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</si>
  <si>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</si>
  <si>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</si>
  <si>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</si>
  <si>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</si>
  <si>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</si>
  <si>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</si>
  <si>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</si>
  <si>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</si>
  <si>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</si>
  <si>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</si>
  <si>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</si>
  <si>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</si>
  <si>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</si>
  <si>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</si>
  <si>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</si>
  <si>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</si>
  <si>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</si>
  <si>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</si>
  <si>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</si>
  <si>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</si>
  <si>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</si>
  <si>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</si>
  <si>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</si>
  <si>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</si>
  <si>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</si>
  <si>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</si>
  <si>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</si>
  <si>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</si>
  <si>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</si>
  <si>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</si>
  <si>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</si>
  <si>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</si>
  <si>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</si>
  <si>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</si>
  <si>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</si>
  <si>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</si>
  <si>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</si>
  <si>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</si>
  <si>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</si>
  <si>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</si>
  <si>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</si>
  <si>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</si>
  <si>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</si>
  <si>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</si>
  <si>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</si>
  <si>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</si>
  <si>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</si>
  <si>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</si>
  <si>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</si>
  <si>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</si>
  <si>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</si>
  <si>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</si>
  <si>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</si>
  <si>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</si>
  <si>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</si>
  <si>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</si>
  <si>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</si>
  <si>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</si>
  <si>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</si>
  <si>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</si>
  <si>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</si>
  <si>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</si>
  <si>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</si>
  <si>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</si>
  <si>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</si>
  <si>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</si>
  <si>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</si>
  <si>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</si>
  <si>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</si>
  <si>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</si>
  <si>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</si>
  <si>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</si>
  <si>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</si>
  <si>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</si>
  <si>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</si>
  <si>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</si>
  <si>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</si>
  <si>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</si>
  <si>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</si>
  <si>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</si>
  <si>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</si>
  <si>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</si>
  <si>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</si>
  <si>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</si>
  <si>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</si>
  <si>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</si>
  <si>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</si>
  <si>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</si>
  <si>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</si>
  <si>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</si>
  <si>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</si>
  <si>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</si>
  <si>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</si>
  <si>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</si>
  <si>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</si>
  <si>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</si>
  <si>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</si>
  <si>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</si>
  <si>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</si>
  <si>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</si>
  <si>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</si>
  <si>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</si>
  <si>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</si>
  <si>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</si>
  <si>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</si>
  <si>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</si>
  <si>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</si>
  <si>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</si>
  <si>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</si>
  <si>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</si>
  <si>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</si>
  <si>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</si>
  <si>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</si>
  <si>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</si>
  <si>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</si>
  <si>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</si>
  <si>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</si>
  <si>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</si>
  <si>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</si>
  <si>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</si>
  <si>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</si>
  <si>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</si>
  <si>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</si>
  <si>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</si>
  <si>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</si>
  <si>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</si>
  <si>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</si>
  <si>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</si>
  <si>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</si>
  <si>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</si>
  <si>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</si>
  <si>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</si>
  <si>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</si>
  <si>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</si>
  <si>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</si>
  <si>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</si>
  <si>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</si>
  <si>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</si>
  <si>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</si>
  <si>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</si>
  <si>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</si>
  <si>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</si>
  <si>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</si>
  <si>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</si>
  <si>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</si>
  <si>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</si>
  <si>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</si>
  <si>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</si>
  <si>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</si>
  <si>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</si>
  <si>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</si>
  <si>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</si>
  <si>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</si>
  <si>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</si>
  <si>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</si>
  <si>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</si>
  <si>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</si>
  <si>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</si>
  <si>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</si>
  <si>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</si>
  <si>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</si>
  <si>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</si>
  <si>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</si>
  <si>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</si>
  <si>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</si>
  <si>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</si>
  <si>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</si>
  <si>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</si>
  <si>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</si>
  <si>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</si>
  <si>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</si>
  <si>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</si>
  <si>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</si>
  <si>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</si>
  <si>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</si>
  <si>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</si>
  <si>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</si>
  <si>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</si>
  <si>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</si>
  <si>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</si>
  <si>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</si>
  <si>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</si>
  <si>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</si>
  <si>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</si>
  <si>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</si>
  <si>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</si>
  <si>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</si>
  <si>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</si>
  <si>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</si>
  <si>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</si>
  <si>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</si>
  <si>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</si>
  <si>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</si>
  <si>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</si>
  <si>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</si>
  <si>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</si>
  <si>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</si>
  <si>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</si>
  <si>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</si>
  <si>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</si>
  <si>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</si>
  <si>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</si>
  <si>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</si>
  <si>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</si>
  <si>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</si>
  <si>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</si>
  <si>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</si>
  <si>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</si>
  <si>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</si>
  <si>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</si>
  <si>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</si>
  <si>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</si>
  <si>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</si>
  <si>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</si>
  <si>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</si>
  <si>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</si>
  <si>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</si>
  <si>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</si>
  <si>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</si>
  <si>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</si>
  <si>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</si>
  <si>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</si>
  <si>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</si>
  <si>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</si>
  <si>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</si>
  <si>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</si>
  <si>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</si>
  <si>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</si>
  <si>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</si>
  <si>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</si>
  <si>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</si>
  <si>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</si>
  <si>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</si>
  <si>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</si>
  <si>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</si>
  <si>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</si>
  <si>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</si>
  <si>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</si>
  <si>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</si>
  <si>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</si>
  <si>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</si>
  <si>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</si>
  <si>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</si>
  <si>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</si>
  <si>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</si>
  <si>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</si>
  <si>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</si>
  <si>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</si>
  <si>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</si>
  <si>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</si>
  <si>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</si>
  <si>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</si>
  <si>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</si>
  <si>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</si>
  <si>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</si>
  <si>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</si>
  <si>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</si>
  <si>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</si>
  <si>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</si>
  <si>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</si>
  <si>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</si>
  <si>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</si>
  <si>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</si>
  <si>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</si>
  <si>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</si>
  <si>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</si>
  <si>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</si>
  <si>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</si>
  <si>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</si>
  <si>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</si>
  <si>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</si>
  <si>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</si>
  <si>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</si>
  <si>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</si>
  <si>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</si>
  <si>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</si>
  <si>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</si>
  <si>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</si>
  <si>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</si>
  <si>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</si>
  <si>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</si>
  <si>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</si>
  <si>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</si>
  <si>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</si>
  <si>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</si>
  <si>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</si>
  <si>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</si>
  <si>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</si>
  <si>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</si>
  <si>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</si>
  <si>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</si>
  <si>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</si>
  <si>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</si>
  <si>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</si>
  <si>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</si>
  <si>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</si>
  <si>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</si>
  <si>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</si>
  <si>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</si>
  <si>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</si>
  <si>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</si>
  <si>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</si>
  <si>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</si>
  <si>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</si>
  <si>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</si>
  <si>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</si>
  <si>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</si>
  <si>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</si>
  <si>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</si>
  <si>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</si>
  <si>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</si>
  <si>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</si>
  <si>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</si>
  <si>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</si>
  <si>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</si>
  <si>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</si>
  <si>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</si>
  <si>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</si>
  <si>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</si>
  <si>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</si>
  <si>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</si>
  <si>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</si>
  <si>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</si>
  <si>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</si>
  <si>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</si>
  <si>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</si>
  <si>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</si>
  <si>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</si>
  <si>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</si>
  <si>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</si>
  <si>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</si>
  <si>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</si>
  <si>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</si>
  <si>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</si>
  <si>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</si>
  <si>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</si>
  <si>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</si>
  <si>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</si>
  <si>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</si>
  <si>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</si>
  <si>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</si>
  <si>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</si>
  <si>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</si>
  <si>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</si>
  <si>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</si>
  <si>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</si>
  <si>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</si>
  <si>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</si>
  <si>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</si>
  <si>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</si>
  <si>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</si>
  <si>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</si>
  <si>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</si>
  <si>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</si>
  <si>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</si>
  <si>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</si>
  <si>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</si>
  <si>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</si>
  <si>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</si>
  <si>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</si>
  <si>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</si>
  <si>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</si>
  <si>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</si>
  <si>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</si>
  <si>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</si>
  <si>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</si>
  <si>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</si>
  <si>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</si>
  <si>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</si>
  <si>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</si>
  <si>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</si>
  <si>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</si>
  <si>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</si>
  <si>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</si>
  <si>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</si>
  <si>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</si>
  <si>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</si>
  <si>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</si>
  <si>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</si>
  <si>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</si>
  <si>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</si>
  <si>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</si>
  <si>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</si>
  <si>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</si>
  <si>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</si>
  <si>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</si>
  <si>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</si>
  <si>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</si>
  <si>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</si>
  <si>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</si>
  <si>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</si>
  <si>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</si>
  <si>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</si>
  <si>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</si>
  <si>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</si>
  <si>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</si>
  <si>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</si>
  <si>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</si>
  <si>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</si>
  <si>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</si>
  <si>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</si>
  <si>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</si>
  <si>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</si>
  <si>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</si>
  <si>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</si>
  <si>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</si>
  <si>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</si>
  <si>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</si>
  <si>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</si>
  <si>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</si>
  <si>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</si>
  <si>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</si>
  <si>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</si>
  <si>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</si>
  <si>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</si>
  <si>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</si>
  <si>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</si>
  <si>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</si>
  <si>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</si>
  <si>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</si>
  <si>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</si>
  <si>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</si>
  <si>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</si>
  <si>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</si>
  <si>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</si>
  <si>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</si>
  <si>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</si>
  <si>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</si>
  <si>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</si>
  <si>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</si>
  <si>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</si>
  <si>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</si>
  <si>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</si>
  <si>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</si>
  <si>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</si>
  <si>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</si>
  <si>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</si>
  <si>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</si>
  <si>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</si>
  <si>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</si>
  <si>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</si>
  <si>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</si>
  <si>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</si>
  <si>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</si>
  <si>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</si>
  <si>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</si>
  <si>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</si>
  <si>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</si>
  <si>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</si>
  <si>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</si>
  <si>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</si>
  <si>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</si>
  <si>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</si>
  <si>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</si>
  <si>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</si>
  <si>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</si>
  <si>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</si>
  <si>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</si>
  <si>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</si>
  <si>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</si>
  <si>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</si>
  <si>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</si>
  <si>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</si>
  <si>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</si>
  <si>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</si>
  <si>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</si>
  <si>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</si>
  <si>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</si>
  <si>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</si>
  <si>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</si>
  <si>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</si>
  <si>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</si>
  <si>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</si>
  <si>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</si>
  <si>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</si>
  <si>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</si>
  <si>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</si>
  <si>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</si>
  <si>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</si>
  <si>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</si>
  <si>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</si>
  <si>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</si>
  <si>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</si>
  <si>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</si>
  <si>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</si>
  <si>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</si>
  <si>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</si>
  <si>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</si>
  <si>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</si>
  <si>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</si>
  <si>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</si>
  <si>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</si>
  <si>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</si>
  <si>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</si>
  <si>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</si>
  <si>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</si>
  <si>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</si>
  <si>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</si>
  <si>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</si>
  <si>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</si>
  <si>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</si>
  <si>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</si>
  <si>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</si>
  <si>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</si>
  <si>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</si>
  <si>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</si>
  <si>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</si>
  <si>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</si>
  <si>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</si>
  <si>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</si>
  <si>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</si>
  <si>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</si>
  <si>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</si>
  <si>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</si>
  <si>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</si>
  <si>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</si>
  <si>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</si>
  <si>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</si>
  <si>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</si>
  <si>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</si>
  <si>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</si>
  <si>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</si>
  <si>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</si>
  <si>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</si>
  <si>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</si>
  <si>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</si>
  <si>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</si>
  <si>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</si>
  <si>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</si>
  <si>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</si>
  <si>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</si>
  <si>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</si>
  <si>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</si>
  <si>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</si>
  <si>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</si>
  <si>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</si>
  <si>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</si>
  <si>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</si>
  <si>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</si>
  <si>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</si>
  <si>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</si>
  <si>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</si>
  <si>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</si>
  <si>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</si>
  <si>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</si>
  <si>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</si>
  <si>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</si>
  <si>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</si>
  <si>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</si>
  <si>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</si>
  <si>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</si>
  <si>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</si>
  <si>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</si>
  <si>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</si>
  <si>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</si>
  <si>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</si>
  <si>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</si>
  <si>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</si>
  <si>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</si>
  <si>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</si>
  <si>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</si>
  <si>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</si>
  <si>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</si>
  <si>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</si>
  <si>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</si>
  <si>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</si>
  <si>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</si>
  <si>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</si>
  <si>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</si>
  <si>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</si>
  <si>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</si>
  <si>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</si>
  <si>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</si>
  <si>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</si>
  <si>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</si>
  <si>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</si>
  <si>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</si>
  <si>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</si>
  <si>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</si>
  <si>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</si>
  <si>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</si>
  <si>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</si>
  <si>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</si>
  <si>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</si>
  <si>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</si>
  <si>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</si>
  <si>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</si>
  <si>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</si>
  <si>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</si>
  <si>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</si>
  <si>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</si>
  <si>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</si>
  <si>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</si>
  <si>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</si>
  <si>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</si>
  <si>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</si>
  <si>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</si>
  <si>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</si>
  <si>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</si>
  <si>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</si>
  <si>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</si>
  <si>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</si>
  <si>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</si>
  <si>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</si>
  <si>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</si>
  <si>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</si>
  <si>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</si>
  <si>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</si>
  <si>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</si>
  <si>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</si>
  <si>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</si>
  <si>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</si>
  <si>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</si>
  <si>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</si>
  <si>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</si>
  <si>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</si>
  <si>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</si>
  <si>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</si>
  <si>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</si>
  <si>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</si>
  <si>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</si>
  <si>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</si>
  <si>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</si>
  <si>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</si>
  <si>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</si>
  <si>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</si>
  <si>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</si>
  <si>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</si>
  <si>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</si>
  <si>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</si>
  <si>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</si>
  <si>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</si>
  <si>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</si>
  <si>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</si>
  <si>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</si>
  <si>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</si>
  <si>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</si>
  <si>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</si>
  <si>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</si>
  <si>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</si>
  <si>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</si>
  <si>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</si>
  <si>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</si>
  <si>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</si>
  <si>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</si>
  <si>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</si>
  <si>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</si>
  <si>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</si>
  <si>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</si>
  <si>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</si>
  <si>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</si>
  <si>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</si>
  <si>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</si>
  <si>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</si>
  <si>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</si>
  <si>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</si>
  <si>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</si>
  <si>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</si>
  <si>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</si>
  <si>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</si>
  <si>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</si>
  <si>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</si>
  <si>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</si>
  <si>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</si>
  <si>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</si>
  <si>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</si>
  <si>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</si>
  <si>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</si>
  <si>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</si>
  <si>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</si>
  <si>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</si>
  <si>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</si>
  <si>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</si>
  <si>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</si>
  <si>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</si>
  <si>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</si>
  <si>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</si>
  <si>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</si>
  <si>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</si>
  <si>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</si>
  <si>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</si>
  <si>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</si>
  <si>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</si>
  <si>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</si>
  <si>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</si>
  <si>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</si>
  <si>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</si>
  <si>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</si>
  <si>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</si>
  <si>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</si>
  <si>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</si>
  <si>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</si>
  <si>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</si>
  <si>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</si>
  <si>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</si>
  <si>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</si>
  <si>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</si>
  <si>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</si>
  <si>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</si>
  <si>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</si>
  <si>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</si>
  <si>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</si>
  <si>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</si>
  <si>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</si>
  <si>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</si>
  <si>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</si>
  <si>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</si>
  <si>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</si>
  <si>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</si>
  <si>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</si>
  <si>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</si>
  <si>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</si>
  <si>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</si>
  <si>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</si>
  <si>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</si>
  <si>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</si>
  <si>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</si>
  <si>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</si>
  <si>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</si>
  <si>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</si>
  <si>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</si>
  <si>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</si>
  <si>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</si>
  <si>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</si>
  <si>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</si>
  <si>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</si>
  <si>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</si>
  <si>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</si>
  <si>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</si>
  <si>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</si>
  <si>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</si>
  <si>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</si>
  <si>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</si>
  <si>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</si>
  <si>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</si>
  <si>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</si>
  <si>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</si>
  <si>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</si>
  <si>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</si>
  <si>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</si>
  <si>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</si>
  <si>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</si>
  <si>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</si>
  <si>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</si>
  <si>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</si>
  <si>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</si>
  <si>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</si>
  <si>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</si>
  <si>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</si>
  <si>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</si>
  <si>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</si>
  <si>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</si>
  <si>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</si>
  <si>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</si>
  <si>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</si>
  <si>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</si>
  <si>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</si>
  <si>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</si>
  <si>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</si>
  <si>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</si>
  <si>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</si>
  <si>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</si>
  <si>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</si>
  <si>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</si>
  <si>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</si>
  <si>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</si>
  <si>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</si>
  <si>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</si>
  <si>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</si>
  <si>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</si>
  <si>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</si>
  <si>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</si>
  <si>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</si>
  <si>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</si>
  <si>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</si>
  <si>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</si>
  <si>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</si>
  <si>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</si>
  <si>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</si>
  <si>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</si>
  <si>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</si>
  <si>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</si>
  <si>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</si>
  <si>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</si>
  <si>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</si>
  <si>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</si>
  <si>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</si>
  <si>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</si>
  <si>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</si>
  <si>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</si>
  <si>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</si>
  <si>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</si>
  <si>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</si>
  <si>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</si>
  <si>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</si>
  <si>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</si>
  <si>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</si>
  <si>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</si>
  <si>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</si>
  <si>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</si>
  <si>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</si>
  <si>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</si>
  <si>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</si>
  <si>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</si>
  <si>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</si>
  <si>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</si>
  <si>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</si>
  <si>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</si>
  <si>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</si>
  <si>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</si>
  <si>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</si>
  <si>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</si>
  <si>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</si>
  <si>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</si>
  <si>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</si>
  <si>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</si>
  <si>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</si>
  <si>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</si>
  <si>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</si>
  <si>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</si>
  <si>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</si>
  <si>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</si>
  <si>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</si>
  <si>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</si>
  <si>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</si>
  <si>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</si>
  <si>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</si>
  <si>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</si>
  <si>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</si>
  <si>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</si>
  <si>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</si>
  <si>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</si>
  <si>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</si>
  <si>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</si>
  <si>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</si>
  <si>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</si>
  <si>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</si>
  <si>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</si>
  <si>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</si>
  <si>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</si>
  <si>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</si>
  <si>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</si>
  <si>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</si>
  <si>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</si>
  <si>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</si>
  <si>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</si>
  <si>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</si>
  <si>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</si>
  <si>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</si>
  <si>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</si>
  <si>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</si>
  <si>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</si>
  <si>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</si>
  <si>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</si>
  <si>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</si>
  <si>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</si>
  <si>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</si>
  <si>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</si>
  <si>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</si>
  <si>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</si>
  <si>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</si>
  <si>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</si>
  <si>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</si>
  <si>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</si>
  <si>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</si>
  <si>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</si>
  <si>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</si>
  <si>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</si>
  <si>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</si>
  <si>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</si>
  <si>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</si>
  <si>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</si>
  <si>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</si>
  <si>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</si>
  <si>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</si>
  <si>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</si>
  <si>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</si>
  <si>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</si>
  <si>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</si>
  <si>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</si>
  <si>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</si>
  <si>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</si>
  <si>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</si>
  <si>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</si>
  <si>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</si>
  <si>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</si>
  <si>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</si>
  <si>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</si>
  <si>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</si>
  <si>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</si>
  <si>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</si>
  <si>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</si>
  <si>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</si>
  <si>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</si>
  <si>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</si>
  <si>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</si>
  <si>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</si>
  <si>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</si>
  <si>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</si>
  <si>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</si>
  <si>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</si>
  <si>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</si>
  <si>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</si>
  <si>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</si>
  <si>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</si>
  <si>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</si>
  <si>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</si>
  <si>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</si>
  <si>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</si>
  <si>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</si>
  <si>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</si>
  <si>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</si>
  <si>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</si>
  <si>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</si>
  <si>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</si>
  <si>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</si>
  <si>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</si>
  <si>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</si>
  <si>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</si>
  <si>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</si>
  <si>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</si>
  <si>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</si>
  <si>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</si>
  <si>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</si>
  <si>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</si>
  <si>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</si>
  <si>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</si>
  <si>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</si>
  <si>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</si>
  <si>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</si>
  <si>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</si>
  <si>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</si>
  <si>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</si>
  <si>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</si>
  <si>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</si>
  <si>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</si>
  <si>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</si>
  <si>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</si>
  <si>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</si>
  <si>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</si>
  <si>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</si>
  <si>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</si>
  <si>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</si>
  <si>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</si>
  <si>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</si>
  <si>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</si>
  <si>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</si>
  <si>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</si>
  <si>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</si>
  <si>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</si>
  <si>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</si>
  <si>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</si>
  <si>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</si>
  <si>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</si>
  <si>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</si>
  <si>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</si>
  <si>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</si>
  <si>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</si>
  <si>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</si>
  <si>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</si>
  <si>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</si>
  <si>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</si>
  <si>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</si>
  <si>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</si>
  <si>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</si>
  <si>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</si>
  <si>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</si>
  <si>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</si>
  <si>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</si>
  <si>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</si>
  <si>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</si>
  <si>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</si>
  <si>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</si>
  <si>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</si>
  <si>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</si>
  <si>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</si>
  <si>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</si>
  <si>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</si>
  <si>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</si>
  <si>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</si>
  <si>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</si>
  <si>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</si>
  <si>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</si>
  <si>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</si>
  <si>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</si>
  <si>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</si>
  <si>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</si>
  <si>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</si>
  <si>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</si>
  <si>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</si>
  <si>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</si>
  <si>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</si>
  <si>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</si>
  <si>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</si>
  <si>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</si>
  <si>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</si>
  <si>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</si>
  <si>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</si>
  <si>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</si>
  <si>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</si>
  <si>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</si>
  <si>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</si>
  <si>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</si>
  <si>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</si>
  <si>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</si>
  <si>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</si>
  <si>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</si>
  <si>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</si>
  <si>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</si>
  <si>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</si>
  <si>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</si>
  <si>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</si>
  <si>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</si>
  <si>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</si>
  <si>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</si>
  <si>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</si>
  <si>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</si>
  <si>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</si>
  <si>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</si>
  <si>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</si>
  <si>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</si>
  <si>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</si>
  <si>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</si>
  <si>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</si>
  <si>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</si>
  <si>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</si>
  <si>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</si>
  <si>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</si>
  <si>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</si>
  <si>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</si>
  <si>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</si>
  <si>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</si>
  <si>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</si>
  <si>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</si>
  <si>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</si>
  <si>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</si>
  <si>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</si>
  <si>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</si>
  <si>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</si>
  <si>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</si>
  <si>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</si>
  <si>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</si>
  <si>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</si>
  <si>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</si>
  <si>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</si>
  <si>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</si>
  <si>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</si>
  <si>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</si>
  <si>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</si>
  <si>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</si>
  <si>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</si>
  <si>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</si>
  <si>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</si>
  <si>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</si>
  <si>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</si>
  <si>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</si>
  <si>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</si>
  <si>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</si>
  <si>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</si>
  <si>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</si>
  <si>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</si>
  <si>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</si>
  <si>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</si>
  <si>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</si>
  <si>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</si>
  <si>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</si>
  <si>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</si>
  <si>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</si>
  <si>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</si>
  <si>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</si>
  <si>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</si>
  <si>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</si>
  <si>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</si>
  <si>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</si>
  <si>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</si>
  <si>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</si>
  <si>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</si>
  <si>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</si>
  <si>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</si>
  <si>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</si>
  <si>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</si>
  <si>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</si>
  <si>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</si>
  <si>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</si>
  <si>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</si>
  <si>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</si>
  <si>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</si>
  <si>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</si>
  <si>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</si>
  <si>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</si>
  <si>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</si>
  <si>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</si>
  <si>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</si>
  <si>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</si>
  <si>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</si>
  <si>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</si>
  <si>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</si>
  <si>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</si>
  <si>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</si>
  <si>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</si>
  <si>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</si>
  <si>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</si>
  <si>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</si>
  <si>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</si>
  <si>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</si>
  <si>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</si>
  <si>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</si>
  <si>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</si>
  <si>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</si>
  <si>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</si>
  <si>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</si>
  <si>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</si>
  <si>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</si>
  <si>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</si>
  <si>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</si>
  <si>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</si>
  <si>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</si>
  <si>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</si>
  <si>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</si>
  <si>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</si>
  <si>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</si>
  <si>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</si>
  <si>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</si>
  <si>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</si>
  <si>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</si>
  <si>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</si>
  <si>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</si>
  <si>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</si>
  <si>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</si>
  <si>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</si>
  <si>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</si>
  <si>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</si>
  <si>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</si>
  <si>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</si>
  <si>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</si>
  <si>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</si>
  <si>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</si>
  <si>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</si>
  <si>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</si>
  <si>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</si>
  <si>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</si>
  <si>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</si>
  <si>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</si>
  <si>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</si>
  <si>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</si>
  <si>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</si>
  <si>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</si>
  <si>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</si>
  <si>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</si>
  <si>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</si>
  <si>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</si>
  <si>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</si>
  <si>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</si>
  <si>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</si>
  <si>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</si>
  <si>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</si>
  <si>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</si>
  <si>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</si>
  <si>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</si>
  <si>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</si>
  <si>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</si>
  <si>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</si>
  <si>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</si>
  <si>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</si>
  <si>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</si>
  <si>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</si>
  <si>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</si>
  <si>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</si>
  <si>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</si>
  <si>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</si>
  <si>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</si>
  <si>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</si>
  <si>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</si>
  <si>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</si>
  <si>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</si>
  <si>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</si>
  <si>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</si>
  <si>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</si>
  <si>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</si>
  <si>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</si>
  <si>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</si>
  <si>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</si>
  <si>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</si>
  <si>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</si>
  <si>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</si>
  <si>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</si>
  <si>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</si>
  <si>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</si>
  <si>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</si>
  <si>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</si>
  <si>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</si>
  <si>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</si>
  <si>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</si>
  <si>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</si>
  <si>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</si>
  <si>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</si>
  <si>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</si>
  <si>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</si>
  <si>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</si>
  <si>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</si>
  <si>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</si>
  <si>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</si>
  <si>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</si>
  <si>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</si>
  <si>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</si>
  <si>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</si>
  <si>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</si>
  <si>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</si>
  <si>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</si>
  <si>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</si>
  <si>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</si>
  <si>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</si>
  <si>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</si>
  <si>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</si>
  <si>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</si>
  <si>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</si>
  <si>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</si>
  <si>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</si>
  <si>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</si>
  <si>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</si>
  <si>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</si>
  <si>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</si>
  <si>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</si>
  <si>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</si>
  <si>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</si>
  <si>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</si>
  <si>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</si>
  <si>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</si>
  <si>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</si>
  <si>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</si>
  <si>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</si>
  <si>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</si>
  <si>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</si>
  <si>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</si>
  <si>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</si>
  <si>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</si>
  <si>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</si>
  <si>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</si>
  <si>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</si>
  <si>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</si>
  <si>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</si>
  <si>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</si>
  <si>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</si>
  <si>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</si>
  <si>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</si>
  <si>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</si>
  <si>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</si>
  <si>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</si>
  <si>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</si>
  <si>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</si>
  <si>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</si>
  <si>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</si>
  <si>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</si>
  <si>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</si>
  <si>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</si>
  <si>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</si>
  <si>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</si>
  <si>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</si>
  <si>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</si>
  <si>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</si>
  <si>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</si>
  <si>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</si>
  <si>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</si>
  <si>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</si>
  <si>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</si>
  <si>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</si>
  <si>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</si>
  <si>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</si>
  <si>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</si>
  <si>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</si>
  <si>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</si>
  <si>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</si>
  <si>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</si>
  <si>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</si>
  <si>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</si>
  <si>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</si>
  <si>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</si>
  <si>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</si>
  <si>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</si>
  <si>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</si>
  <si>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</si>
  <si>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</si>
  <si>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</si>
  <si>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</si>
  <si>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</si>
  <si>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</si>
  <si>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</si>
  <si>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</si>
  <si>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</si>
  <si>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</si>
  <si>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</si>
  <si>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</si>
  <si>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</si>
  <si>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</si>
  <si>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</si>
  <si>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</si>
  <si>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</si>
  <si>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</si>
  <si>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</si>
  <si>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</si>
  <si>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</si>
  <si>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</si>
  <si>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</si>
  <si>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</si>
  <si>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</si>
  <si>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</si>
  <si>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</si>
  <si>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</si>
  <si>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</si>
  <si>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</si>
  <si>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</si>
  <si>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</si>
  <si>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</si>
  <si>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</si>
  <si>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</si>
  <si>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</si>
  <si>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</si>
  <si>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</si>
  <si>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</si>
  <si>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</si>
  <si>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</si>
  <si>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</si>
  <si>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</si>
  <si>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</si>
  <si>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</si>
  <si>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</si>
  <si>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</si>
  <si>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</si>
  <si>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</si>
  <si>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</si>
  <si>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</si>
  <si>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</si>
  <si>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</si>
  <si>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</si>
  <si>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</si>
  <si>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</si>
  <si>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</si>
  <si>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</si>
  <si>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</si>
  <si>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</si>
  <si>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</si>
  <si>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</si>
  <si>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</si>
  <si>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</si>
  <si>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</si>
  <si>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</si>
  <si>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</si>
  <si>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</si>
  <si>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</si>
  <si>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</si>
  <si>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</si>
  <si>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</si>
  <si>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</si>
  <si>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</si>
  <si>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</si>
  <si>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</si>
  <si>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</si>
  <si>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</si>
  <si>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</si>
  <si>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</si>
  <si>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</si>
  <si>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</si>
  <si>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</si>
  <si>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</si>
  <si>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</si>
  <si>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</si>
  <si>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</si>
  <si>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</si>
  <si>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</si>
  <si>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</si>
  <si>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</si>
  <si>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</si>
  <si>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</si>
  <si>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</si>
  <si>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</si>
  <si>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</si>
  <si>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</si>
  <si>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</si>
  <si>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</si>
  <si>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</si>
  <si>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</si>
  <si>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</si>
  <si>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</si>
  <si>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</si>
  <si>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</si>
  <si>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</si>
  <si>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</si>
  <si>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</si>
  <si>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</si>
  <si>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</si>
  <si>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</si>
  <si>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</si>
  <si>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</si>
  <si>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</si>
  <si>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</si>
  <si>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</si>
  <si>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</si>
  <si>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</si>
  <si>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</si>
  <si>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</si>
  <si>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</si>
  <si>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</si>
  <si>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</si>
  <si>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</si>
  <si>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</si>
  <si>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</si>
  <si>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</si>
  <si>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</si>
  <si>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</si>
  <si>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</si>
  <si>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</si>
  <si>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</si>
  <si>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</si>
  <si>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</si>
  <si>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</si>
  <si>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</si>
  <si>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</si>
  <si>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</si>
  <si>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</si>
  <si>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</si>
  <si>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</si>
  <si>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</si>
  <si>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</si>
  <si>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</si>
  <si>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</si>
  <si>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</si>
  <si>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</si>
  <si>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</si>
  <si>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</si>
  <si>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</si>
  <si>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</si>
  <si>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</si>
  <si>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</si>
  <si>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</si>
  <si>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</si>
  <si>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</si>
  <si>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</si>
  <si>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</si>
  <si>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</si>
  <si>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</si>
  <si>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</si>
  <si>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</si>
  <si>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</si>
  <si>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</si>
  <si>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</si>
  <si>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</si>
  <si>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</si>
  <si>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</si>
  <si>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</si>
  <si>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</si>
  <si>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</si>
  <si>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</si>
  <si>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</si>
  <si>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</si>
  <si>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</si>
  <si>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</si>
  <si>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</si>
  <si>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</si>
  <si>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</si>
  <si>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</si>
  <si>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</si>
  <si>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</si>
  <si>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</si>
  <si>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</si>
  <si>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</si>
  <si>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</si>
  <si>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</si>
  <si>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</si>
  <si>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</si>
  <si>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</si>
  <si>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</si>
  <si>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</si>
  <si>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</si>
  <si>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</si>
  <si>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</si>
  <si>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</si>
  <si>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</si>
  <si>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</si>
  <si>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</si>
  <si>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</si>
  <si>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</si>
  <si>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</si>
  <si>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</si>
  <si>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</si>
  <si>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</si>
  <si>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</si>
  <si>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</si>
  <si>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</si>
  <si>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</si>
  <si>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</si>
  <si>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</si>
  <si>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</si>
  <si>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</si>
  <si>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</si>
  <si>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</si>
  <si>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</si>
  <si>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</si>
  <si>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</si>
  <si>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</si>
  <si>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</si>
  <si>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</si>
  <si>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</si>
  <si>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</si>
  <si>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</si>
  <si>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</si>
  <si>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</si>
  <si>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</si>
  <si>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</si>
  <si>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</si>
  <si>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</si>
  <si>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</si>
  <si>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</si>
  <si>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</si>
  <si>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</si>
  <si>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</si>
  <si>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</si>
  <si>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</si>
  <si>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</si>
  <si>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</si>
  <si>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</si>
  <si>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</si>
  <si>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</si>
  <si>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</si>
  <si>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</si>
  <si>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</si>
  <si>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</si>
  <si>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</si>
  <si>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</si>
  <si>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</si>
  <si>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</si>
  <si>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</si>
  <si>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</si>
  <si>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</si>
  <si>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</si>
  <si>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</si>
  <si>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</si>
  <si>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</si>
  <si>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</si>
  <si>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</si>
  <si>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</si>
  <si>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</si>
  <si>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</si>
  <si>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</si>
  <si>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</si>
  <si>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</si>
  <si>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</si>
  <si>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</si>
  <si>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</si>
  <si>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</si>
  <si>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</si>
  <si>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</si>
  <si>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</si>
  <si>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</si>
  <si>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</si>
  <si>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</si>
  <si>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</si>
  <si>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</si>
  <si>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</si>
  <si>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</si>
  <si>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</si>
  <si>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</si>
  <si>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</si>
  <si>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</si>
  <si>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</si>
  <si>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</si>
  <si>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</si>
  <si>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</si>
  <si>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</si>
  <si>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</si>
  <si>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</si>
  <si>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</si>
  <si>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</si>
  <si>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</si>
  <si>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</si>
  <si>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</si>
  <si>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</si>
  <si>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</si>
  <si>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</si>
  <si>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</si>
  <si>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</si>
  <si>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</si>
  <si>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</si>
  <si>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</si>
  <si>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</si>
  <si>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</si>
  <si>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</si>
  <si>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</si>
  <si>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</si>
  <si>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</si>
  <si>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</si>
  <si>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</si>
  <si>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</si>
  <si>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</si>
  <si>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</si>
  <si>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</si>
  <si>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</si>
  <si>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</si>
  <si>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</si>
  <si>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</si>
  <si>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</si>
  <si>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</si>
  <si>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</si>
  <si>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</si>
  <si>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</si>
  <si>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</si>
  <si>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</si>
  <si>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</si>
  <si>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</si>
  <si>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</si>
  <si>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</si>
  <si>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</si>
  <si>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</si>
  <si>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</si>
  <si>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</si>
  <si>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</si>
  <si>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</si>
  <si>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</si>
  <si>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</si>
  <si>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</si>
  <si>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</si>
  <si>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</si>
  <si>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</si>
  <si>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</si>
  <si>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</si>
  <si>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</si>
  <si>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</si>
  <si>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</si>
  <si>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</si>
  <si>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</si>
  <si>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</si>
  <si>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</si>
  <si>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</si>
  <si>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</si>
  <si>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</si>
  <si>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</si>
  <si>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</si>
  <si>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</si>
  <si>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</si>
  <si>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</si>
  <si>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</si>
  <si>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</si>
  <si>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</si>
  <si>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</si>
  <si>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</si>
  <si>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</si>
  <si>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</si>
  <si>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</si>
  <si>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</si>
  <si>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</si>
  <si>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</si>
  <si>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</si>
  <si>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</si>
  <si>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</si>
  <si>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</si>
  <si>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</si>
  <si>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</si>
  <si>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</si>
  <si>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</si>
  <si>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</si>
  <si>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</si>
  <si>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</si>
  <si>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</si>
  <si>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</si>
  <si>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</si>
  <si>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</si>
  <si>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</si>
  <si>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</si>
  <si>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</si>
  <si>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</si>
  <si>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</si>
  <si>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</si>
  <si>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</si>
  <si>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</si>
  <si>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</si>
  <si>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</si>
  <si>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</si>
  <si>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</si>
  <si>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</si>
  <si>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</si>
  <si>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</si>
  <si>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</si>
  <si>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</si>
  <si>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</si>
  <si>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</si>
  <si>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</si>
  <si>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</si>
  <si>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</si>
  <si>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</si>
  <si>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</si>
  <si>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</si>
  <si>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</si>
  <si>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</si>
  <si>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</si>
  <si>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</si>
  <si>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</si>
  <si>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</si>
  <si>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</si>
  <si>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</si>
  <si>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</si>
  <si>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</si>
  <si>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</si>
  <si>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</si>
  <si>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</si>
  <si>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</si>
  <si>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</si>
  <si>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</si>
  <si>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</si>
  <si>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</si>
  <si>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</si>
  <si>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</si>
  <si>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</si>
  <si>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</si>
  <si>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</si>
  <si>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</si>
  <si>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</si>
  <si>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</si>
  <si>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</si>
  <si>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</si>
  <si>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</si>
  <si>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</si>
  <si>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</si>
  <si>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</si>
  <si>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</si>
  <si>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</si>
  <si>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</si>
  <si>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</si>
  <si>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</si>
  <si>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</si>
  <si>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</si>
  <si>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</si>
  <si>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</si>
  <si>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</si>
  <si>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</si>
  <si>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</si>
  <si>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</si>
  <si>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</si>
  <si>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</si>
  <si>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</si>
  <si>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</si>
  <si>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</si>
  <si>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</si>
  <si>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</si>
  <si>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</si>
  <si>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</si>
  <si>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</si>
  <si>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</si>
  <si>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</si>
  <si>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</si>
  <si>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</si>
  <si>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</si>
  <si>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</si>
  <si>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</si>
  <si>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</si>
  <si>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</si>
  <si>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</si>
  <si>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</si>
  <si>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</si>
  <si>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</si>
  <si>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</si>
  <si>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</si>
  <si>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</si>
  <si>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</si>
  <si>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</si>
  <si>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</si>
  <si>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</si>
  <si>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</si>
  <si>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</si>
  <si>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</si>
  <si>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</si>
  <si>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</si>
  <si>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</si>
  <si>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</si>
  <si>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</si>
  <si>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</si>
  <si>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</si>
  <si>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</si>
  <si>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</si>
  <si>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</si>
  <si>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</si>
  <si>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</si>
  <si>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</si>
  <si>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</si>
  <si>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</si>
  <si>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</si>
  <si>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</si>
  <si>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</si>
  <si>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</si>
  <si>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</si>
  <si>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</si>
  <si>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</si>
  <si>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</si>
  <si>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</si>
  <si>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</si>
  <si>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</si>
  <si>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</si>
  <si>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</si>
  <si>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</si>
  <si>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</si>
  <si>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</si>
  <si>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</si>
  <si>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</si>
  <si>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</si>
  <si>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</si>
  <si>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</si>
  <si>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</si>
  <si>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</si>
  <si>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</si>
  <si>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</si>
  <si>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</si>
  <si>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</si>
  <si>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</si>
  <si>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</si>
  <si>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</si>
  <si>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</si>
  <si>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</si>
  <si>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</si>
  <si>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</si>
  <si>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</si>
  <si>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</si>
  <si>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</si>
  <si>
    <t>We will appreciate your comments and feedback about the quality of our service.</t>
  </si>
  <si>
    <t>Huānyíng Nín liúxià bǎoguì yìjiàn hé jiànyì.</t>
  </si>
  <si>
    <t>На рейсах в/из Гонконга, Пекина, Шанхая, Гуанчжоу, Дубая, Стамбула</t>
  </si>
  <si>
    <t>Просим вас не оставлять без внимания свои ценные вещи и проездные документы.</t>
  </si>
  <si>
    <t>Please do not leave your valuables and travel documents unattended.</t>
  </si>
  <si>
    <t>请您不要忽视贵重物品和旅行证件。</t>
  </si>
  <si>
    <t>Qǐng nín bùyào hūshì guìzhòng wùpǐn hé lǚxíng zhèngjiàn.</t>
  </si>
  <si>
    <t>We kindly ask you to remain in your seats to allow medical personnel to get to the passenger who requires medical assistance. We will inform you as the disembarcation will be allowed.</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</si>
</sst>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2" totalsRowShown="0" headerRowDxfId="62" dataDxfId="61">
  <autoFilter ref="A1:R472"/>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40"/>
  <sheetViews>
    <sheetView tabSelected="1" zoomScale="90" zoomScaleNormal="90" workbookViewId="0">
      <pane ySplit="1" topLeftCell="A459" activePane="bottomLeft" state="frozen"/>
      <selection pane="bottomLeft" activeCell="G470" sqref="G470"/>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2331</v>
      </c>
      <c r="M6" s="48" t="s">
        <v>2332</v>
      </c>
      <c r="N6" s="49"/>
      <c r="O6" s="50" t="s">
        <v>3273</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2152</v>
      </c>
      <c r="H7" s="43" t="s">
        <v>2215</v>
      </c>
      <c r="I7" s="44" t="s">
        <v>2234</v>
      </c>
      <c r="J7" s="45" t="s">
        <v>2153</v>
      </c>
      <c r="K7" s="46" t="s">
        <v>2154</v>
      </c>
      <c r="L7" s="47" t="s">
        <v>2333</v>
      </c>
      <c r="M7" s="48" t="s">
        <v>2334</v>
      </c>
      <c r="N7" s="49"/>
      <c r="O7" s="50" t="s">
        <v>3274</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2165</v>
      </c>
      <c r="H8" s="43" t="s">
        <v>2166</v>
      </c>
      <c r="I8" s="44" t="s">
        <v>2167</v>
      </c>
      <c r="J8" s="45" t="s">
        <v>2168</v>
      </c>
      <c r="K8" s="46" t="s">
        <v>2169</v>
      </c>
      <c r="L8" s="47" t="s">
        <v>2335</v>
      </c>
      <c r="M8" s="48" t="s">
        <v>2336</v>
      </c>
      <c r="N8" s="49"/>
      <c r="O8" s="50" t="s">
        <v>3275</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1767</v>
      </c>
      <c r="H9" s="43" t="s">
        <v>2216</v>
      </c>
      <c r="I9" s="44" t="s">
        <v>2235</v>
      </c>
      <c r="J9" s="45" t="s">
        <v>2129</v>
      </c>
      <c r="K9" s="46" t="s">
        <v>2130</v>
      </c>
      <c r="L9" s="47" t="s">
        <v>2389</v>
      </c>
      <c r="M9" s="48" t="s">
        <v>2391</v>
      </c>
      <c r="N9" s="49"/>
      <c r="O9" s="50" t="s">
        <v>3276</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2337</v>
      </c>
      <c r="M10" s="48" t="s">
        <v>2350</v>
      </c>
      <c r="N10" s="49"/>
      <c r="O10" s="50" t="s">
        <v>3277</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2338</v>
      </c>
      <c r="M11" s="48" t="s">
        <v>2339</v>
      </c>
      <c r="N11" s="49"/>
      <c r="O11" s="50" t="s">
        <v>3278</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2340</v>
      </c>
      <c r="M12" s="48" t="s">
        <v>2341</v>
      </c>
      <c r="N12" s="49"/>
      <c r="O12" s="50" t="s">
        <v>3279</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2342</v>
      </c>
      <c r="M13" s="48" t="s">
        <v>2343</v>
      </c>
      <c r="N13" s="49"/>
      <c r="O13" s="50" t="s">
        <v>3280</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2181</v>
      </c>
      <c r="H14" s="43" t="s">
        <v>2182</v>
      </c>
      <c r="I14" s="44" t="s">
        <v>2183</v>
      </c>
      <c r="J14" s="45" t="s">
        <v>2184</v>
      </c>
      <c r="K14" s="46" t="s">
        <v>2185</v>
      </c>
      <c r="L14" s="47" t="s">
        <v>2344</v>
      </c>
      <c r="M14" s="48" t="s">
        <v>2345</v>
      </c>
      <c r="N14" s="49"/>
      <c r="O14" s="50" t="s">
        <v>3288</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1628</v>
      </c>
      <c r="J15" s="45" t="s">
        <v>52</v>
      </c>
      <c r="K15" s="46" t="s">
        <v>57</v>
      </c>
      <c r="L15" s="47" t="s">
        <v>2346</v>
      </c>
      <c r="M15" s="48" t="s">
        <v>2347</v>
      </c>
      <c r="N15" s="49"/>
      <c r="O15" s="50" t="s">
        <v>3281</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2348</v>
      </c>
      <c r="M16" s="48" t="s">
        <v>2349</v>
      </c>
      <c r="N16" s="49"/>
      <c r="O16" s="50" t="s">
        <v>3223</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2383</v>
      </c>
      <c r="M17" s="48" t="s">
        <v>2384</v>
      </c>
      <c r="N17" s="49"/>
      <c r="O17" s="50" t="s">
        <v>3168</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1999</v>
      </c>
      <c r="H19" s="43" t="s">
        <v>616</v>
      </c>
      <c r="I19" s="44" t="s">
        <v>618</v>
      </c>
      <c r="J19" s="45" t="s">
        <v>619</v>
      </c>
      <c r="K19" s="46" t="s">
        <v>60</v>
      </c>
      <c r="L19" s="47" t="s">
        <v>2351</v>
      </c>
      <c r="M19" s="48" t="s">
        <v>2393</v>
      </c>
      <c r="N19" s="49"/>
      <c r="O19" s="50" t="s">
        <v>3472</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2217</v>
      </c>
      <c r="I20" s="44" t="s">
        <v>2236</v>
      </c>
      <c r="J20" s="45" t="s">
        <v>398</v>
      </c>
      <c r="K20" s="46" t="s">
        <v>76</v>
      </c>
      <c r="L20" s="47" t="s">
        <v>2390</v>
      </c>
      <c r="M20" s="48" t="s">
        <v>2392</v>
      </c>
      <c r="N20" s="49"/>
      <c r="O20" s="50" t="s">
        <v>3282</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2282</v>
      </c>
      <c r="J21" s="45" t="s">
        <v>2281</v>
      </c>
      <c r="K21" s="46" t="s">
        <v>2170</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1904</v>
      </c>
      <c r="H22" s="43" t="s">
        <v>2131</v>
      </c>
      <c r="I22" s="44" t="s">
        <v>49</v>
      </c>
      <c r="J22" s="45" t="s">
        <v>399</v>
      </c>
      <c r="K22" s="46" t="s">
        <v>61</v>
      </c>
      <c r="L22" s="47" t="s">
        <v>2352</v>
      </c>
      <c r="M22" s="48" t="s">
        <v>2394</v>
      </c>
      <c r="N22" s="49"/>
      <c r="O22" s="50" t="s">
        <v>3283</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2353</v>
      </c>
      <c r="M23" s="48" t="s">
        <v>2395</v>
      </c>
      <c r="N23" s="49"/>
      <c r="O23" s="50" t="s">
        <v>3439</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2132</v>
      </c>
      <c r="H25" s="43" t="s">
        <v>2133</v>
      </c>
      <c r="I25" s="44" t="s">
        <v>2134</v>
      </c>
      <c r="J25" s="45" t="s">
        <v>1768</v>
      </c>
      <c r="K25" s="46" t="s">
        <v>2135</v>
      </c>
      <c r="L25" s="47" t="s">
        <v>2354</v>
      </c>
      <c r="M25" s="48" t="s">
        <v>2396</v>
      </c>
      <c r="N25" s="49"/>
      <c r="O25" s="50" t="s">
        <v>3284</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1769</v>
      </c>
      <c r="H26" s="43" t="s">
        <v>1770</v>
      </c>
      <c r="I26" s="44" t="s">
        <v>1790</v>
      </c>
      <c r="J26" s="45" t="s">
        <v>466</v>
      </c>
      <c r="K26" s="46" t="s">
        <v>1795</v>
      </c>
      <c r="L26" s="47" t="s">
        <v>2355</v>
      </c>
      <c r="M26" s="48" t="s">
        <v>2356</v>
      </c>
      <c r="N26" s="49"/>
      <c r="O26" s="50" t="s">
        <v>3476</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1773</v>
      </c>
      <c r="H27" s="43" t="s">
        <v>1774</v>
      </c>
      <c r="I27" s="44" t="s">
        <v>2193</v>
      </c>
      <c r="J27" s="45" t="s">
        <v>2328</v>
      </c>
      <c r="K27" s="46" t="s">
        <v>2192</v>
      </c>
      <c r="L27" s="47" t="s">
        <v>2357</v>
      </c>
      <c r="M27" s="48" t="s">
        <v>2358</v>
      </c>
      <c r="N27" s="49"/>
      <c r="O27" s="50" t="s">
        <v>3477</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1771</v>
      </c>
      <c r="I28" s="44" t="s">
        <v>1791</v>
      </c>
      <c r="J28" s="45" t="s">
        <v>400</v>
      </c>
      <c r="K28" s="46" t="s">
        <v>1796</v>
      </c>
      <c r="L28" s="47" t="s">
        <v>2359</v>
      </c>
      <c r="M28" s="48" t="s">
        <v>2360</v>
      </c>
      <c r="N28" s="49"/>
      <c r="O28" s="50" t="s">
        <v>3478</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1772</v>
      </c>
      <c r="I29" s="44" t="s">
        <v>1792</v>
      </c>
      <c r="J29" s="45" t="s">
        <v>401</v>
      </c>
      <c r="K29" s="46" t="s">
        <v>1797</v>
      </c>
      <c r="L29" s="47" t="s">
        <v>2361</v>
      </c>
      <c r="M29" s="48" t="s">
        <v>2362</v>
      </c>
      <c r="N29" s="49"/>
      <c r="O29" s="50" t="s">
        <v>3479</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1775</v>
      </c>
      <c r="I30" s="44" t="s">
        <v>1793</v>
      </c>
      <c r="J30" s="45" t="s">
        <v>402</v>
      </c>
      <c r="K30" s="46" t="s">
        <v>1794</v>
      </c>
      <c r="L30" s="47" t="s">
        <v>2363</v>
      </c>
      <c r="M30" s="48" t="s">
        <v>2364</v>
      </c>
      <c r="N30" s="49"/>
      <c r="O30" s="50" t="s">
        <v>3264</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1776</v>
      </c>
      <c r="H31" s="43" t="s">
        <v>1777</v>
      </c>
      <c r="I31" s="44" t="s">
        <v>2195</v>
      </c>
      <c r="J31" s="45" t="s">
        <v>2196</v>
      </c>
      <c r="K31" s="46" t="s">
        <v>2194</v>
      </c>
      <c r="L31" s="47" t="s">
        <v>2365</v>
      </c>
      <c r="M31" s="48" t="s">
        <v>2366</v>
      </c>
      <c r="N31" s="49"/>
      <c r="O31" s="50" t="s">
        <v>3267</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1778</v>
      </c>
      <c r="H32" s="43" t="s">
        <v>1779</v>
      </c>
      <c r="I32" s="44" t="s">
        <v>2197</v>
      </c>
      <c r="J32" s="45" t="s">
        <v>2198</v>
      </c>
      <c r="K32" s="46" t="s">
        <v>2301</v>
      </c>
      <c r="L32" s="47" t="s">
        <v>2367</v>
      </c>
      <c r="M32" s="48" t="s">
        <v>2368</v>
      </c>
      <c r="N32" s="49"/>
      <c r="O32" s="50" t="s">
        <v>3480</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1780</v>
      </c>
      <c r="I33" s="44" t="s">
        <v>1781</v>
      </c>
      <c r="J33" s="45" t="s">
        <v>403</v>
      </c>
      <c r="K33" s="46" t="s">
        <v>1782</v>
      </c>
      <c r="L33" s="47"/>
      <c r="M33" s="48" t="s">
        <v>2369</v>
      </c>
      <c r="N33" s="49"/>
      <c r="O33" s="50" t="s">
        <v>3173</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3471</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2283</v>
      </c>
      <c r="J35" s="45" t="s">
        <v>528</v>
      </c>
      <c r="K35" s="46" t="s">
        <v>63</v>
      </c>
      <c r="L35" s="47" t="s">
        <v>2370</v>
      </c>
      <c r="M35" s="48" t="s">
        <v>2371</v>
      </c>
      <c r="N35" s="49"/>
      <c r="O35" s="50" t="s">
        <v>3231</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2285</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2372</v>
      </c>
      <c r="M40" s="48" t="s">
        <v>2332</v>
      </c>
      <c r="N40" s="49"/>
      <c r="O40" s="50" t="s">
        <v>3161</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2385</v>
      </c>
      <c r="M41" s="48" t="s">
        <v>2386</v>
      </c>
      <c r="N41" s="49"/>
      <c r="O41" s="50" t="s">
        <v>3285</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2286</v>
      </c>
      <c r="J42" s="45" t="s">
        <v>529</v>
      </c>
      <c r="K42" s="46" t="s">
        <v>93</v>
      </c>
      <c r="L42" s="47" t="s">
        <v>2387</v>
      </c>
      <c r="M42" s="48" t="s">
        <v>2388</v>
      </c>
      <c r="N42" s="49"/>
      <c r="O42" s="50" t="s">
        <v>3286</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1783</v>
      </c>
      <c r="H43" s="43" t="s">
        <v>1784</v>
      </c>
      <c r="I43" s="44" t="s">
        <v>1785</v>
      </c>
      <c r="J43" s="45" t="s">
        <v>1786</v>
      </c>
      <c r="K43" s="46" t="s">
        <v>1787</v>
      </c>
      <c r="L43" s="47" t="s">
        <v>2373</v>
      </c>
      <c r="M43" s="48" t="s">
        <v>2374</v>
      </c>
      <c r="N43" s="49"/>
      <c r="O43" s="50" t="s">
        <v>3221</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975</v>
      </c>
      <c r="H44" s="43" t="s">
        <v>978</v>
      </c>
      <c r="I44" s="44" t="s">
        <v>980</v>
      </c>
      <c r="J44" s="45" t="s">
        <v>982</v>
      </c>
      <c r="K44" s="46" t="s">
        <v>1710</v>
      </c>
      <c r="L44" s="47" t="s">
        <v>2375</v>
      </c>
      <c r="M44" s="48" t="s">
        <v>2376</v>
      </c>
      <c r="N44" s="49"/>
      <c r="O44" s="50" t="s">
        <v>3222</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976</v>
      </c>
      <c r="H45" s="43" t="s">
        <v>979</v>
      </c>
      <c r="I45" s="44" t="s">
        <v>981</v>
      </c>
      <c r="J45" s="45" t="s">
        <v>983</v>
      </c>
      <c r="K45" s="46" t="s">
        <v>986</v>
      </c>
      <c r="L45" s="47" t="s">
        <v>2377</v>
      </c>
      <c r="M45" s="48" t="s">
        <v>2378</v>
      </c>
      <c r="N45" s="49"/>
      <c r="O45" s="50" t="s">
        <v>3223</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977</v>
      </c>
      <c r="H46" s="43" t="s">
        <v>978</v>
      </c>
      <c r="I46" s="44" t="s">
        <v>980</v>
      </c>
      <c r="J46" s="45" t="s">
        <v>984</v>
      </c>
      <c r="K46" s="46" t="s">
        <v>987</v>
      </c>
      <c r="L46" s="47" t="s">
        <v>2379</v>
      </c>
      <c r="M46" s="48" t="s">
        <v>2380</v>
      </c>
      <c r="N46" s="49"/>
      <c r="O46" s="50" t="s">
        <v>3224</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2213</v>
      </c>
      <c r="H47" s="43" t="s">
        <v>2214</v>
      </c>
      <c r="I47" s="44" t="s">
        <v>2237</v>
      </c>
      <c r="J47" s="45" t="s">
        <v>94</v>
      </c>
      <c r="K47" s="46" t="s">
        <v>1711</v>
      </c>
      <c r="L47" s="47" t="s">
        <v>2381</v>
      </c>
      <c r="M47" s="48" t="s">
        <v>2382</v>
      </c>
      <c r="N47" s="49"/>
      <c r="O47" s="50" t="s">
        <v>3287</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2383</v>
      </c>
      <c r="M48" s="48" t="s">
        <v>2384</v>
      </c>
      <c r="N48" s="49"/>
      <c r="O48" s="50" t="s">
        <v>3226</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1788</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2397</v>
      </c>
      <c r="M55" s="48" t="s">
        <v>2332</v>
      </c>
      <c r="N55" s="49"/>
      <c r="O55" s="50" t="s">
        <v>3161</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2398</v>
      </c>
      <c r="M56" s="48" t="s">
        <v>2399</v>
      </c>
      <c r="N56" s="49"/>
      <c r="O56" s="50" t="s">
        <v>3289</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2400</v>
      </c>
      <c r="M59" s="48" t="s">
        <v>2401</v>
      </c>
      <c r="N59" s="49"/>
      <c r="O59" s="50" t="s">
        <v>3290</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2402</v>
      </c>
      <c r="M60" s="48" t="s">
        <v>2403</v>
      </c>
      <c r="N60" s="49"/>
      <c r="O60" s="50" t="s">
        <v>3294</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2404</v>
      </c>
      <c r="M61" s="48" t="s">
        <v>2405</v>
      </c>
      <c r="N61" s="49"/>
      <c r="O61" s="50" t="s">
        <v>3298</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2406</v>
      </c>
      <c r="M62" s="48" t="s">
        <v>2407</v>
      </c>
      <c r="N62" s="49"/>
      <c r="O62" s="50" t="s">
        <v>3473</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2408</v>
      </c>
      <c r="M63" s="48" t="s">
        <v>2409</v>
      </c>
      <c r="N63" s="49"/>
      <c r="O63" s="50" t="s">
        <v>3300</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2410</v>
      </c>
      <c r="M64" s="48" t="s">
        <v>2411</v>
      </c>
      <c r="N64" s="49"/>
      <c r="O64" s="50" t="s">
        <v>3291</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2412</v>
      </c>
      <c r="M65" s="48" t="s">
        <v>2413</v>
      </c>
      <c r="N65" s="49"/>
      <c r="O65" s="50" t="s">
        <v>3292</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2414</v>
      </c>
      <c r="M66" s="48" t="s">
        <v>2415</v>
      </c>
      <c r="N66" s="49"/>
      <c r="O66" s="50" t="s">
        <v>3293</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2416</v>
      </c>
      <c r="M68" s="48" t="s">
        <v>2417</v>
      </c>
      <c r="N68" s="49"/>
      <c r="O68" s="50" t="s">
        <v>3295</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2402</v>
      </c>
      <c r="M69" s="48" t="s">
        <v>2403</v>
      </c>
      <c r="N69" s="49"/>
      <c r="O69" s="50" t="s">
        <v>3294</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2404</v>
      </c>
      <c r="M70" s="48" t="s">
        <v>2418</v>
      </c>
      <c r="N70" s="49"/>
      <c r="O70" s="50" t="s">
        <v>3298</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2419</v>
      </c>
      <c r="M71" s="48" t="s">
        <v>2420</v>
      </c>
      <c r="N71" s="49"/>
      <c r="O71" s="50" t="s">
        <v>3299</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2421</v>
      </c>
      <c r="M72" s="48" t="s">
        <v>2422</v>
      </c>
      <c r="N72" s="49"/>
      <c r="O72" s="50" t="s">
        <v>3473</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2408</v>
      </c>
      <c r="M73" s="48" t="s">
        <v>2423</v>
      </c>
      <c r="N73" s="49"/>
      <c r="O73" s="50" t="s">
        <v>3296</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2424</v>
      </c>
      <c r="M74" s="48" t="s">
        <v>2425</v>
      </c>
      <c r="N74" s="49"/>
      <c r="O74" s="50" t="s">
        <v>3291</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2426</v>
      </c>
      <c r="M75" s="48" t="s">
        <v>2413</v>
      </c>
      <c r="N75" s="49"/>
      <c r="O75" s="50" t="s">
        <v>3292</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2414</v>
      </c>
      <c r="M76" s="48" t="s">
        <v>2415</v>
      </c>
      <c r="N76" s="49"/>
      <c r="O76" s="50" t="s">
        <v>3293</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2427</v>
      </c>
      <c r="M78" s="48" t="s">
        <v>2428</v>
      </c>
      <c r="N78" s="49"/>
      <c r="O78" s="50" t="s">
        <v>3297</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2402</v>
      </c>
      <c r="M79" s="48" t="s">
        <v>2403</v>
      </c>
      <c r="N79" s="49"/>
      <c r="O79" s="50" t="s">
        <v>3294</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2404</v>
      </c>
      <c r="M80" s="48" t="s">
        <v>2429</v>
      </c>
      <c r="N80" s="49"/>
      <c r="O80" s="50" t="s">
        <v>3298</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2430</v>
      </c>
      <c r="M81" s="48" t="s">
        <v>2431</v>
      </c>
      <c r="N81" s="49"/>
      <c r="O81" s="50" t="s">
        <v>3303</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2421</v>
      </c>
      <c r="M82" s="48" t="s">
        <v>2422</v>
      </c>
      <c r="N82" s="49"/>
      <c r="O82" s="50" t="s">
        <v>3473</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2408</v>
      </c>
      <c r="M83" s="48" t="s">
        <v>2432</v>
      </c>
      <c r="N83" s="49"/>
      <c r="O83" s="50" t="s">
        <v>3300</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2424</v>
      </c>
      <c r="M84" s="48" t="s">
        <v>2433</v>
      </c>
      <c r="N84" s="49"/>
      <c r="O84" s="50" t="s">
        <v>3291</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2426</v>
      </c>
      <c r="M85" s="48" t="s">
        <v>2413</v>
      </c>
      <c r="N85" s="49"/>
      <c r="O85" s="50" t="s">
        <v>3292</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2434</v>
      </c>
      <c r="M86" s="48" t="s">
        <v>2415</v>
      </c>
      <c r="N86" s="49"/>
      <c r="O86" s="50" t="s">
        <v>3293</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2427</v>
      </c>
      <c r="M88" s="48" t="s">
        <v>2435</v>
      </c>
      <c r="N88" s="49"/>
      <c r="O88" s="50" t="s">
        <v>3297</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2402</v>
      </c>
      <c r="M89" s="48" t="s">
        <v>2403</v>
      </c>
      <c r="N89" s="49"/>
      <c r="O89" s="50" t="s">
        <v>3294</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2404</v>
      </c>
      <c r="M90" s="48" t="s">
        <v>2418</v>
      </c>
      <c r="N90" s="49"/>
      <c r="O90" s="50" t="s">
        <v>3298</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2436</v>
      </c>
      <c r="M91" s="48" t="s">
        <v>2437</v>
      </c>
      <c r="N91" s="49"/>
      <c r="O91" s="50" t="s">
        <v>3301</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2419</v>
      </c>
      <c r="M92" s="48" t="s">
        <v>2420</v>
      </c>
      <c r="N92" s="49"/>
      <c r="O92" s="50" t="s">
        <v>3302</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2421</v>
      </c>
      <c r="M93" s="48" t="s">
        <v>2438</v>
      </c>
      <c r="N93" s="49"/>
      <c r="O93" s="50" t="s">
        <v>3473</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2408</v>
      </c>
      <c r="M94" s="48" t="s">
        <v>2432</v>
      </c>
      <c r="N94" s="49"/>
      <c r="O94" s="50" t="s">
        <v>3300</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2424</v>
      </c>
      <c r="M95" s="48" t="s">
        <v>2425</v>
      </c>
      <c r="N95" s="49"/>
      <c r="O95" s="50" t="s">
        <v>3291</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2426</v>
      </c>
      <c r="M96" s="48" t="s">
        <v>2413</v>
      </c>
      <c r="N96" s="49"/>
      <c r="O96" s="50" t="s">
        <v>3292</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2414</v>
      </c>
      <c r="M97" s="48" t="s">
        <v>2415</v>
      </c>
      <c r="N97" s="49"/>
      <c r="O97" s="50" t="s">
        <v>3293</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2427</v>
      </c>
      <c r="M99" s="48" t="s">
        <v>2439</v>
      </c>
      <c r="N99" s="49"/>
      <c r="O99" s="50" t="s">
        <v>3297</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2402</v>
      </c>
      <c r="M100" s="48" t="s">
        <v>2403</v>
      </c>
      <c r="N100" s="49"/>
      <c r="O100" s="50" t="s">
        <v>3294</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2404</v>
      </c>
      <c r="M101" s="48" t="s">
        <v>2418</v>
      </c>
      <c r="N101" s="49"/>
      <c r="O101" s="50" t="s">
        <v>3304</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2436</v>
      </c>
      <c r="M102" s="48" t="s">
        <v>2437</v>
      </c>
      <c r="N102" s="49"/>
      <c r="O102" s="50" t="s">
        <v>3301</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2440</v>
      </c>
      <c r="M103" s="48" t="s">
        <v>2420</v>
      </c>
      <c r="N103" s="49"/>
      <c r="O103" s="50" t="s">
        <v>3305</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2421</v>
      </c>
      <c r="M104" s="48" t="s">
        <v>2422</v>
      </c>
      <c r="N104" s="49"/>
      <c r="O104" s="50" t="s">
        <v>3473</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2408</v>
      </c>
      <c r="M105" s="48" t="s">
        <v>2432</v>
      </c>
      <c r="N105" s="49"/>
      <c r="O105" s="50" t="s">
        <v>3300</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2424</v>
      </c>
      <c r="M106" s="48" t="s">
        <v>2425</v>
      </c>
      <c r="N106" s="49"/>
      <c r="O106" s="50" t="s">
        <v>3291</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2426</v>
      </c>
      <c r="M107" s="48" t="s">
        <v>2413</v>
      </c>
      <c r="N107" s="49"/>
      <c r="O107" s="50" t="s">
        <v>3292</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2414</v>
      </c>
      <c r="M108" s="48" t="s">
        <v>2415</v>
      </c>
      <c r="N108" s="49"/>
      <c r="O108" s="50" t="s">
        <v>3293</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1629</v>
      </c>
      <c r="J110" s="45" t="s">
        <v>214</v>
      </c>
      <c r="K110" s="46" t="s">
        <v>215</v>
      </c>
      <c r="L110" s="47" t="s">
        <v>2441</v>
      </c>
      <c r="M110" s="48" t="s">
        <v>2442</v>
      </c>
      <c r="N110" s="49"/>
      <c r="O110" s="50" t="s">
        <v>3306</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2443</v>
      </c>
      <c r="M112" s="48" t="s">
        <v>2444</v>
      </c>
      <c r="N112" s="49"/>
      <c r="O112" s="50" t="s">
        <v>3307</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2427</v>
      </c>
      <c r="M114" s="48" t="s">
        <v>2435</v>
      </c>
      <c r="N114" s="49"/>
      <c r="O114" s="50" t="s">
        <v>3297</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2402</v>
      </c>
      <c r="M115" s="48" t="s">
        <v>2403</v>
      </c>
      <c r="N115" s="49"/>
      <c r="O115" s="50" t="s">
        <v>3294</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2404</v>
      </c>
      <c r="M116" s="48" t="s">
        <v>2418</v>
      </c>
      <c r="N116" s="49"/>
      <c r="O116" s="50" t="s">
        <v>3304</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2430</v>
      </c>
      <c r="M117" s="48" t="s">
        <v>2431</v>
      </c>
      <c r="N117" s="49"/>
      <c r="O117" s="50" t="s">
        <v>3303</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2421</v>
      </c>
      <c r="M118" s="48" t="s">
        <v>2422</v>
      </c>
      <c r="N118" s="49"/>
      <c r="O118" s="50" t="s">
        <v>3473</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2408</v>
      </c>
      <c r="M119" s="48" t="s">
        <v>2432</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2424</v>
      </c>
      <c r="M120" s="48" t="s">
        <v>2433</v>
      </c>
      <c r="N120" s="49"/>
      <c r="O120" s="50" t="s">
        <v>3291</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2426</v>
      </c>
      <c r="M121" s="48" t="s">
        <v>2413</v>
      </c>
      <c r="N121" s="49"/>
      <c r="O121" s="50" t="s">
        <v>3292</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2434</v>
      </c>
      <c r="M122" s="48" t="s">
        <v>2415</v>
      </c>
      <c r="N122" s="49"/>
      <c r="O122" s="50" t="s">
        <v>3293</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1789</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2445</v>
      </c>
      <c r="M124" s="48" t="s">
        <v>2446</v>
      </c>
      <c r="N124" s="49"/>
      <c r="O124" s="50" t="s">
        <v>3308</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2402</v>
      </c>
      <c r="M125" s="48" t="s">
        <v>2447</v>
      </c>
      <c r="N125" s="49"/>
      <c r="O125" s="50" t="s">
        <v>3294</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2448</v>
      </c>
      <c r="M126" s="48" t="s">
        <v>2449</v>
      </c>
      <c r="N126" s="49"/>
      <c r="O126" s="50" t="s">
        <v>3309</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530</v>
      </c>
      <c r="J127" s="45" t="s">
        <v>241</v>
      </c>
      <c r="K127" s="46" t="s">
        <v>242</v>
      </c>
      <c r="L127" s="47" t="s">
        <v>2450</v>
      </c>
      <c r="M127" s="48" t="s">
        <v>2451</v>
      </c>
      <c r="N127" s="49"/>
      <c r="O127" s="50" t="s">
        <v>3299</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2452</v>
      </c>
      <c r="M128" s="48" t="s">
        <v>2453</v>
      </c>
      <c r="N128" s="49"/>
      <c r="O128" s="50" t="s">
        <v>3474</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2408</v>
      </c>
      <c r="M129" s="48" t="s">
        <v>2423</v>
      </c>
      <c r="N129" s="49"/>
      <c r="O129" s="50" t="s">
        <v>3300</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2424</v>
      </c>
      <c r="M130" s="48" t="s">
        <v>2425</v>
      </c>
      <c r="N130" s="49"/>
      <c r="O130" s="50" t="s">
        <v>3291</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2426</v>
      </c>
      <c r="M131" s="48" t="s">
        <v>2413</v>
      </c>
      <c r="N131" s="49"/>
      <c r="O131" s="50" t="s">
        <v>3292</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2414</v>
      </c>
      <c r="M132" s="48" t="s">
        <v>2415</v>
      </c>
      <c r="N132" s="49"/>
      <c r="O132" s="50" t="s">
        <v>3293</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1630</v>
      </c>
      <c r="J134" s="45" t="s">
        <v>405</v>
      </c>
      <c r="K134" s="46" t="s">
        <v>253</v>
      </c>
      <c r="L134" s="47" t="s">
        <v>2454</v>
      </c>
      <c r="M134" s="48" t="s">
        <v>2455</v>
      </c>
      <c r="N134" s="49"/>
      <c r="O134" s="50" t="s">
        <v>3310</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2456</v>
      </c>
      <c r="M136" s="48" t="s">
        <v>2457</v>
      </c>
      <c r="N136" s="49"/>
      <c r="O136" s="50" t="s">
        <v>3311</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2458</v>
      </c>
      <c r="M137" s="48" t="s">
        <v>2459</v>
      </c>
      <c r="N137" s="49"/>
      <c r="O137" s="50" t="s">
        <v>3312</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2460</v>
      </c>
      <c r="M138" s="48" t="s">
        <v>2461</v>
      </c>
      <c r="N138" s="49"/>
      <c r="O138" s="50" t="s">
        <v>3313</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2462</v>
      </c>
      <c r="M139" s="48" t="s">
        <v>2463</v>
      </c>
      <c r="N139" s="49"/>
      <c r="O139" s="50" t="s">
        <v>3314</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2238</v>
      </c>
      <c r="J141" s="45" t="s">
        <v>278</v>
      </c>
      <c r="K141" s="46" t="s">
        <v>279</v>
      </c>
      <c r="L141" s="47" t="s">
        <v>2464</v>
      </c>
      <c r="M141" s="48" t="s">
        <v>2465</v>
      </c>
      <c r="N141" s="49"/>
      <c r="O141" s="50" t="s">
        <v>3315</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2466</v>
      </c>
      <c r="M142" s="48" t="s">
        <v>2467</v>
      </c>
      <c r="N142" s="49"/>
      <c r="O142" s="50" t="s">
        <v>3316</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2468</v>
      </c>
      <c r="M143" s="48" t="s">
        <v>2469</v>
      </c>
      <c r="N143" s="49"/>
      <c r="O143" s="50" t="s">
        <v>3317</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2470</v>
      </c>
      <c r="M144" s="48" t="s">
        <v>2471</v>
      </c>
      <c r="N144" s="49"/>
      <c r="O144" s="50" t="s">
        <v>3318</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2472</v>
      </c>
      <c r="M147" s="48" t="s">
        <v>2473</v>
      </c>
      <c r="N147" s="49"/>
      <c r="O147" s="50" t="s">
        <v>3319</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2474</v>
      </c>
      <c r="M149" s="48" t="s">
        <v>2475</v>
      </c>
      <c r="N149" s="49"/>
      <c r="O149" s="50" t="s">
        <v>3320</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2476</v>
      </c>
      <c r="M150" s="48" t="s">
        <v>2477</v>
      </c>
      <c r="N150" s="49"/>
      <c r="O150" s="50" t="s">
        <v>3321</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2478</v>
      </c>
      <c r="M151" s="48" t="s">
        <v>2479</v>
      </c>
      <c r="N151" s="49"/>
      <c r="O151" s="50" t="s">
        <v>3322</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2480</v>
      </c>
      <c r="M152" s="48" t="s">
        <v>2481</v>
      </c>
      <c r="N152" s="49"/>
      <c r="O152" s="50" t="s">
        <v>3323</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1631</v>
      </c>
      <c r="J153" s="45" t="s">
        <v>325</v>
      </c>
      <c r="K153" s="46" t="s">
        <v>326</v>
      </c>
      <c r="L153" s="47" t="s">
        <v>2482</v>
      </c>
      <c r="M153" s="48" t="s">
        <v>2483</v>
      </c>
      <c r="N153" s="49"/>
      <c r="O153" s="50" t="s">
        <v>3324</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2484</v>
      </c>
      <c r="M154" s="48" t="s">
        <v>2485</v>
      </c>
      <c r="N154" s="49"/>
      <c r="O154" s="50" t="s">
        <v>3325</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2486</v>
      </c>
      <c r="M155" s="48" t="s">
        <v>2487</v>
      </c>
      <c r="N155" s="49"/>
      <c r="O155" s="50" t="s">
        <v>3326</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2488</v>
      </c>
      <c r="M157" s="48" t="s">
        <v>2489</v>
      </c>
      <c r="N157" s="49"/>
      <c r="O157" s="50" t="s">
        <v>3327</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2490</v>
      </c>
      <c r="M158" s="48" t="s">
        <v>2491</v>
      </c>
      <c r="N158" s="49"/>
      <c r="O158" s="50" t="s">
        <v>3168</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2397</v>
      </c>
      <c r="M160" s="48" t="s">
        <v>2332</v>
      </c>
      <c r="N160" s="49"/>
      <c r="O160" s="50" t="s">
        <v>3161</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2492</v>
      </c>
      <c r="M161" s="48" t="s">
        <v>2493</v>
      </c>
      <c r="N161" s="49"/>
      <c r="O161" s="50" t="s">
        <v>3328</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1712</v>
      </c>
      <c r="L162" s="47" t="s">
        <v>2494</v>
      </c>
      <c r="M162" s="48" t="s">
        <v>2495</v>
      </c>
      <c r="N162" s="49"/>
      <c r="O162" s="50" t="s">
        <v>3329</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2496</v>
      </c>
      <c r="M163" s="48" t="s">
        <v>2497</v>
      </c>
      <c r="N163" s="49"/>
      <c r="O163" s="50" t="s">
        <v>3330</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2498</v>
      </c>
      <c r="M164" s="48" t="s">
        <v>2499</v>
      </c>
      <c r="N164" s="49"/>
      <c r="O164" s="50" t="s">
        <v>3331</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2500</v>
      </c>
      <c r="M165" s="48" t="s">
        <v>2501</v>
      </c>
      <c r="N165" s="49"/>
      <c r="O165" s="50" t="s">
        <v>3332</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2502</v>
      </c>
      <c r="M166" s="48" t="s">
        <v>2503</v>
      </c>
      <c r="N166" s="49"/>
      <c r="O166" s="50" t="s">
        <v>3333</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2504</v>
      </c>
      <c r="M167" s="48" t="s">
        <v>2505</v>
      </c>
      <c r="N167" s="49"/>
      <c r="O167" s="50" t="s">
        <v>3334</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2155</v>
      </c>
      <c r="H168" s="43" t="s">
        <v>2156</v>
      </c>
      <c r="I168" s="44" t="s">
        <v>2157</v>
      </c>
      <c r="J168" s="45" t="s">
        <v>2158</v>
      </c>
      <c r="K168" s="46" t="s">
        <v>2159</v>
      </c>
      <c r="L168" s="47" t="s">
        <v>2507</v>
      </c>
      <c r="M168" s="48" t="s">
        <v>2509</v>
      </c>
      <c r="N168" s="49"/>
      <c r="O168" s="50" t="s">
        <v>3335</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2171</v>
      </c>
      <c r="H169" s="43" t="s">
        <v>2172</v>
      </c>
      <c r="I169" s="44" t="s">
        <v>2173</v>
      </c>
      <c r="J169" s="45" t="s">
        <v>2174</v>
      </c>
      <c r="K169" s="46" t="s">
        <v>2175</v>
      </c>
      <c r="L169" s="47" t="s">
        <v>2508</v>
      </c>
      <c r="M169" s="48" t="s">
        <v>2510</v>
      </c>
      <c r="N169" s="49"/>
      <c r="O169" s="50" t="s">
        <v>3475</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2186</v>
      </c>
      <c r="H170" s="43" t="s">
        <v>2187</v>
      </c>
      <c r="I170" s="44" t="s">
        <v>2188</v>
      </c>
      <c r="J170" s="45" t="s">
        <v>2189</v>
      </c>
      <c r="K170" s="46" t="s">
        <v>2190</v>
      </c>
      <c r="L170" s="47" t="s">
        <v>2511</v>
      </c>
      <c r="M170" s="48" t="s">
        <v>2512</v>
      </c>
      <c r="N170" s="49"/>
      <c r="O170" s="50" t="s">
        <v>3336</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2513</v>
      </c>
      <c r="M172" s="48" t="s">
        <v>2506</v>
      </c>
      <c r="N172" s="49"/>
      <c r="O172" s="50" t="s">
        <v>3337</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3168</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2397</v>
      </c>
      <c r="M175" s="48" t="s">
        <v>2332</v>
      </c>
      <c r="N175" s="49"/>
      <c r="O175" s="50" t="s">
        <v>3161</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2514</v>
      </c>
      <c r="M176" s="48" t="s">
        <v>2515</v>
      </c>
      <c r="N176" s="49"/>
      <c r="O176" s="50" t="s">
        <v>3338</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2516</v>
      </c>
      <c r="M177" s="48" t="s">
        <v>2517</v>
      </c>
      <c r="N177" s="49"/>
      <c r="O177" s="50" t="s">
        <v>3339</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2490</v>
      </c>
      <c r="M178" s="48" t="s">
        <v>2491</v>
      </c>
      <c r="N178" s="49"/>
      <c r="O178" s="50" t="s">
        <v>3168</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2397</v>
      </c>
      <c r="M180" s="48" t="s">
        <v>2332</v>
      </c>
      <c r="N180" s="49"/>
      <c r="O180" s="50" t="s">
        <v>3161</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2518</v>
      </c>
      <c r="M181" s="48" t="s">
        <v>2519</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3341</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1798</v>
      </c>
      <c r="H183" s="43" t="s">
        <v>419</v>
      </c>
      <c r="I183" s="44" t="s">
        <v>1632</v>
      </c>
      <c r="J183" s="45" t="s">
        <v>420</v>
      </c>
      <c r="K183" s="46" t="s">
        <v>421</v>
      </c>
      <c r="L183" s="47" t="s">
        <v>2520</v>
      </c>
      <c r="M183" s="48" t="s">
        <v>2526</v>
      </c>
      <c r="N183" s="49"/>
      <c r="O183" s="50" t="s">
        <v>3340</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2521</v>
      </c>
      <c r="M184" s="48" t="s">
        <v>2517</v>
      </c>
      <c r="N184" s="49"/>
      <c r="O184" s="50" t="s">
        <v>3339</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535</v>
      </c>
      <c r="H185" s="43" t="s">
        <v>536</v>
      </c>
      <c r="I185" s="44" t="s">
        <v>2199</v>
      </c>
      <c r="J185" s="45" t="s">
        <v>504</v>
      </c>
      <c r="K185" s="46" t="s">
        <v>537</v>
      </c>
      <c r="L185" s="47" t="s">
        <v>2522</v>
      </c>
      <c r="M185" s="48" t="s">
        <v>2523</v>
      </c>
      <c r="N185" s="49"/>
      <c r="O185" s="50" t="s">
        <v>3239</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531</v>
      </c>
      <c r="H186" s="43" t="s">
        <v>26</v>
      </c>
      <c r="I186" s="44" t="s">
        <v>48</v>
      </c>
      <c r="J186" s="45" t="s">
        <v>384</v>
      </c>
      <c r="K186" s="46" t="s">
        <v>59</v>
      </c>
      <c r="L186" s="47" t="s">
        <v>2524</v>
      </c>
      <c r="M186" s="48" t="s">
        <v>2525</v>
      </c>
      <c r="N186" s="49"/>
      <c r="O186" s="50" t="s">
        <v>3168</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2397</v>
      </c>
      <c r="M188" s="48" t="s">
        <v>2332</v>
      </c>
      <c r="N188" s="49"/>
      <c r="O188" s="50" t="s">
        <v>3161</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2527</v>
      </c>
      <c r="M189" s="48" t="s">
        <v>2528</v>
      </c>
      <c r="N189" s="49"/>
      <c r="O189" s="50" t="s">
        <v>3328</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1619</v>
      </c>
      <c r="K190" s="46" t="s">
        <v>431</v>
      </c>
      <c r="L190" s="47" t="s">
        <v>2529</v>
      </c>
      <c r="M190" s="48" t="s">
        <v>2530</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2536</v>
      </c>
      <c r="M191" s="48" t="s">
        <v>2533</v>
      </c>
      <c r="N191" s="49"/>
      <c r="O191" s="50" t="s">
        <v>3342</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2537</v>
      </c>
      <c r="M192" s="48" t="s">
        <v>2534</v>
      </c>
      <c r="N192" s="49"/>
      <c r="O192" s="50" t="s">
        <v>3330</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2538</v>
      </c>
      <c r="M193" s="48" t="s">
        <v>2535</v>
      </c>
      <c r="N193" s="49"/>
      <c r="O193" s="50" t="s">
        <v>3343</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2531</v>
      </c>
      <c r="M194" s="48" t="s">
        <v>2532</v>
      </c>
      <c r="N194" s="49"/>
      <c r="O194" s="50" t="s">
        <v>3344</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2370</v>
      </c>
      <c r="M195" s="48" t="s">
        <v>2371</v>
      </c>
      <c r="N195" s="49"/>
      <c r="O195" s="50" t="s">
        <v>3226</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2397</v>
      </c>
      <c r="M199" s="48" t="s">
        <v>2539</v>
      </c>
      <c r="N199" s="49"/>
      <c r="O199" s="50" t="s">
        <v>3161</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2540</v>
      </c>
      <c r="M200" s="48" t="s">
        <v>2541</v>
      </c>
      <c r="N200" s="49"/>
      <c r="O200" s="50" t="s">
        <v>3440</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1799</v>
      </c>
      <c r="H202" s="43" t="s">
        <v>1800</v>
      </c>
      <c r="I202" s="44" t="s">
        <v>1801</v>
      </c>
      <c r="J202" s="45" t="s">
        <v>468</v>
      </c>
      <c r="K202" s="46" t="s">
        <v>1802</v>
      </c>
      <c r="L202" s="47" t="s">
        <v>2550</v>
      </c>
      <c r="M202" s="48" t="s">
        <v>2551</v>
      </c>
      <c r="N202" s="49"/>
      <c r="O202" s="50" t="s">
        <v>3486</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1803</v>
      </c>
      <c r="H203" s="43" t="s">
        <v>1804</v>
      </c>
      <c r="I203" s="44" t="s">
        <v>1805</v>
      </c>
      <c r="J203" s="45" t="s">
        <v>1806</v>
      </c>
      <c r="K203" s="46" t="s">
        <v>1807</v>
      </c>
      <c r="L203" s="47" t="s">
        <v>2552</v>
      </c>
      <c r="M203" s="48" t="s">
        <v>2553</v>
      </c>
      <c r="N203" s="49"/>
      <c r="O203" s="50" t="s">
        <v>3481</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1808</v>
      </c>
      <c r="H204" s="43" t="s">
        <v>1810</v>
      </c>
      <c r="I204" s="44" t="s">
        <v>1812</v>
      </c>
      <c r="J204" s="45" t="s">
        <v>1814</v>
      </c>
      <c r="K204" s="46" t="s">
        <v>1816</v>
      </c>
      <c r="L204" s="47" t="s">
        <v>2542</v>
      </c>
      <c r="M204" s="48" t="s">
        <v>2543</v>
      </c>
      <c r="N204" s="49"/>
      <c r="O204" s="50" t="s">
        <v>3482</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1809</v>
      </c>
      <c r="H205" s="43" t="s">
        <v>1811</v>
      </c>
      <c r="I205" s="44" t="s">
        <v>1813</v>
      </c>
      <c r="J205" s="45" t="s">
        <v>1815</v>
      </c>
      <c r="K205" s="46" t="s">
        <v>1817</v>
      </c>
      <c r="L205" s="47" t="s">
        <v>2544</v>
      </c>
      <c r="M205" s="48" t="s">
        <v>2547</v>
      </c>
      <c r="N205" s="49"/>
      <c r="O205" s="50" t="s">
        <v>3483</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1818</v>
      </c>
      <c r="H206" s="43" t="s">
        <v>1819</v>
      </c>
      <c r="I206" s="44" t="s">
        <v>1820</v>
      </c>
      <c r="J206" s="45" t="s">
        <v>1821</v>
      </c>
      <c r="K206" s="46" t="s">
        <v>1822</v>
      </c>
      <c r="L206" s="47" t="s">
        <v>2545</v>
      </c>
      <c r="M206" s="48" t="s">
        <v>2546</v>
      </c>
      <c r="N206" s="49"/>
      <c r="O206" s="50" t="s">
        <v>3484</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3485</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1823</v>
      </c>
      <c r="H209" s="43" t="s">
        <v>1824</v>
      </c>
      <c r="I209" s="44" t="s">
        <v>1825</v>
      </c>
      <c r="J209" s="45" t="s">
        <v>1826</v>
      </c>
      <c r="K209" s="46" t="s">
        <v>1827</v>
      </c>
      <c r="L209" s="47" t="s">
        <v>2554</v>
      </c>
      <c r="M209" s="48" t="s">
        <v>2555</v>
      </c>
      <c r="N209" s="49"/>
      <c r="O209" s="50" t="s">
        <v>3489</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1808</v>
      </c>
      <c r="H210" s="43" t="s">
        <v>1810</v>
      </c>
      <c r="I210" s="44" t="s">
        <v>1812</v>
      </c>
      <c r="J210" s="45" t="s">
        <v>1814</v>
      </c>
      <c r="K210" s="46" t="s">
        <v>1816</v>
      </c>
      <c r="L210" s="47" t="s">
        <v>2542</v>
      </c>
      <c r="M210" s="48" t="s">
        <v>2543</v>
      </c>
      <c r="N210" s="49"/>
      <c r="O210" s="50" t="s">
        <v>3482</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1809</v>
      </c>
      <c r="H211" s="43" t="s">
        <v>1811</v>
      </c>
      <c r="I211" s="44" t="s">
        <v>1813</v>
      </c>
      <c r="J211" s="45" t="s">
        <v>1815</v>
      </c>
      <c r="K211" s="46" t="s">
        <v>1817</v>
      </c>
      <c r="L211" s="47" t="s">
        <v>2544</v>
      </c>
      <c r="M211" s="48" t="s">
        <v>2547</v>
      </c>
      <c r="N211" s="49"/>
      <c r="O211" s="50" t="s">
        <v>3483</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2545</v>
      </c>
      <c r="M212" s="48" t="s">
        <v>2546</v>
      </c>
      <c r="N212" s="49"/>
      <c r="O212" s="50" t="s">
        <v>3484</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1828</v>
      </c>
      <c r="H213" s="43" t="s">
        <v>1829</v>
      </c>
      <c r="I213" s="44" t="s">
        <v>1830</v>
      </c>
      <c r="J213" s="45" t="s">
        <v>475</v>
      </c>
      <c r="K213" s="46" t="s">
        <v>1831</v>
      </c>
      <c r="L213" s="47" t="s">
        <v>2556</v>
      </c>
      <c r="M213" s="48" t="s">
        <v>2557</v>
      </c>
      <c r="N213" s="49"/>
      <c r="O213" s="50" t="s">
        <v>3487</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1832</v>
      </c>
      <c r="H214" s="43" t="s">
        <v>1833</v>
      </c>
      <c r="I214" s="44" t="s">
        <v>1834</v>
      </c>
      <c r="J214" s="45" t="s">
        <v>2200</v>
      </c>
      <c r="K214" s="46" t="s">
        <v>1835</v>
      </c>
      <c r="L214" s="47" t="s">
        <v>2548</v>
      </c>
      <c r="M214" s="48" t="s">
        <v>2549</v>
      </c>
      <c r="N214" s="49"/>
      <c r="O214" s="50" t="s">
        <v>3481</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1808</v>
      </c>
      <c r="H215" s="43" t="s">
        <v>1810</v>
      </c>
      <c r="I215" s="44" t="s">
        <v>1812</v>
      </c>
      <c r="J215" s="45" t="s">
        <v>1814</v>
      </c>
      <c r="K215" s="46" t="s">
        <v>1816</v>
      </c>
      <c r="L215" s="47" t="s">
        <v>2542</v>
      </c>
      <c r="M215" s="48" t="s">
        <v>2543</v>
      </c>
      <c r="N215" s="49"/>
      <c r="O215" s="50" t="s">
        <v>3482</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1809</v>
      </c>
      <c r="H216" s="43" t="s">
        <v>1811</v>
      </c>
      <c r="I216" s="44" t="s">
        <v>1813</v>
      </c>
      <c r="J216" s="45" t="s">
        <v>1815</v>
      </c>
      <c r="K216" s="46" t="s">
        <v>1817</v>
      </c>
      <c r="L216" s="47" t="s">
        <v>2544</v>
      </c>
      <c r="M216" s="48" t="s">
        <v>2547</v>
      </c>
      <c r="N216" s="49"/>
      <c r="O216" s="50" t="s">
        <v>3483</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1818</v>
      </c>
      <c r="H217" s="43" t="s">
        <v>1819</v>
      </c>
      <c r="I217" s="44" t="s">
        <v>1820</v>
      </c>
      <c r="J217" s="45" t="s">
        <v>1821</v>
      </c>
      <c r="K217" s="46" t="s">
        <v>1822</v>
      </c>
      <c r="L217" s="47" t="s">
        <v>2545</v>
      </c>
      <c r="M217" s="48" t="s">
        <v>2546</v>
      </c>
      <c r="N217" s="49"/>
      <c r="O217" s="50" t="s">
        <v>3484</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3488</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2218</v>
      </c>
      <c r="I222" s="44" t="s">
        <v>2239</v>
      </c>
      <c r="J222" s="45" t="s">
        <v>480</v>
      </c>
      <c r="K222" s="46" t="s">
        <v>2274</v>
      </c>
      <c r="L222" s="47" t="s">
        <v>2558</v>
      </c>
      <c r="M222" s="48" t="s">
        <v>2559</v>
      </c>
      <c r="N222" s="49"/>
      <c r="O222" s="50" t="s">
        <v>3349</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1633</v>
      </c>
      <c r="J223" s="45" t="s">
        <v>483</v>
      </c>
      <c r="K223" s="46" t="s">
        <v>484</v>
      </c>
      <c r="L223" s="47" t="s">
        <v>2560</v>
      </c>
      <c r="M223" s="48" t="s">
        <v>2561</v>
      </c>
      <c r="N223" s="49"/>
      <c r="O223" s="50" t="s">
        <v>3347</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2219</v>
      </c>
      <c r="I225" s="44" t="s">
        <v>2221</v>
      </c>
      <c r="J225" s="45" t="s">
        <v>532</v>
      </c>
      <c r="K225" s="46" t="s">
        <v>1713</v>
      </c>
      <c r="L225" s="47" t="s">
        <v>2562</v>
      </c>
      <c r="M225" s="48" t="s">
        <v>2563</v>
      </c>
      <c r="N225" s="49"/>
      <c r="O225" s="50" t="s">
        <v>3348</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2220</v>
      </c>
      <c r="I226" s="44" t="s">
        <v>2240</v>
      </c>
      <c r="J226" s="45" t="s">
        <v>488</v>
      </c>
      <c r="K226" s="46" t="s">
        <v>489</v>
      </c>
      <c r="L226" s="47" t="s">
        <v>2564</v>
      </c>
      <c r="M226" s="48" t="s">
        <v>2565</v>
      </c>
      <c r="N226" s="49"/>
      <c r="O226" s="50" t="s">
        <v>3350</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2320</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2222</v>
      </c>
      <c r="I230" s="44" t="s">
        <v>2241</v>
      </c>
      <c r="J230" s="45" t="s">
        <v>493</v>
      </c>
      <c r="K230" s="46" t="s">
        <v>494</v>
      </c>
      <c r="L230" s="47" t="s">
        <v>2566</v>
      </c>
      <c r="M230" s="48" t="s">
        <v>2567</v>
      </c>
      <c r="N230" s="49"/>
      <c r="O230" s="50" t="s">
        <v>3351</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2568</v>
      </c>
      <c r="M232" s="48" t="s">
        <v>2569</v>
      </c>
      <c r="N232" s="49"/>
      <c r="O232" s="50" t="s">
        <v>3352</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2522</v>
      </c>
      <c r="M233" s="48" t="s">
        <v>2523</v>
      </c>
      <c r="N233" s="49"/>
      <c r="O233" s="50" t="s">
        <v>3353</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t="str">
        <f t="shared" si="15"/>
        <v/>
      </c>
      <c r="G234" s="53" t="s">
        <v>3513</v>
      </c>
      <c r="H234" s="53"/>
      <c r="I234" s="53"/>
      <c r="J234" s="53"/>
      <c r="K234" s="53"/>
      <c r="L234" s="53"/>
      <c r="M234" s="53"/>
      <c r="N234" s="53"/>
      <c r="O234" s="53"/>
      <c r="P234" s="53"/>
      <c r="Q234" s="53"/>
      <c r="R234" s="13"/>
    </row>
    <row r="235" spans="1:18" ht="45" x14ac:dyDescent="0.25">
      <c r="A235" s="9" t="s">
        <v>21</v>
      </c>
      <c r="B235" s="28">
        <f>IF(ISBLANK(A235),0,INDEX(txtstylestab[],MATCH(A235,txtstylestab[style_Name],0),1))</f>
        <v>0</v>
      </c>
      <c r="C235" s="28">
        <f t="shared" si="12"/>
        <v>1</v>
      </c>
      <c r="D235" s="28">
        <f t="shared" si="13"/>
        <v>9</v>
      </c>
      <c r="E235" s="28">
        <f t="shared" si="14"/>
        <v>0</v>
      </c>
      <c r="F235" t="str">
        <f t="shared" si="15"/>
        <v/>
      </c>
      <c r="G235" s="42" t="s">
        <v>3514</v>
      </c>
      <c r="H235" s="43" t="s">
        <v>3515</v>
      </c>
      <c r="I235" s="44"/>
      <c r="J235" s="45"/>
      <c r="K235" s="46"/>
      <c r="L235" s="47" t="s">
        <v>3516</v>
      </c>
      <c r="M235" s="48" t="s">
        <v>3517</v>
      </c>
      <c r="N235" s="49"/>
      <c r="O235" s="50"/>
      <c r="P235" s="90"/>
      <c r="Q235" s="48"/>
      <c r="R235" s="13"/>
    </row>
    <row r="236" spans="1:18" x14ac:dyDescent="0.25">
      <c r="A236" s="9" t="s">
        <v>22</v>
      </c>
      <c r="B236" s="28">
        <f>IF(ISBLANK(A236),0,INDEX(txtstylestab[],MATCH(A236,txtstylestab[style_Name],0),1))</f>
        <v>4</v>
      </c>
      <c r="C236" s="28">
        <f t="shared" si="12"/>
        <v>1</v>
      </c>
      <c r="D236" s="28">
        <f t="shared" si="13"/>
        <v>9</v>
      </c>
      <c r="E236" s="28">
        <f t="shared" si="14"/>
        <v>0</v>
      </c>
      <c r="F236" t="str">
        <f t="shared" si="15"/>
        <v/>
      </c>
      <c r="G236" s="53" t="s">
        <v>506</v>
      </c>
      <c r="H236" s="53"/>
      <c r="I236" s="53"/>
      <c r="J236" s="53"/>
      <c r="K236" s="53"/>
      <c r="L236" s="53"/>
      <c r="M236" s="53"/>
      <c r="N236" s="53"/>
      <c r="O236" s="53"/>
      <c r="P236" s="53"/>
      <c r="Q236" s="53"/>
      <c r="R236" s="13"/>
    </row>
    <row r="237" spans="1:18" ht="75" x14ac:dyDescent="0.25">
      <c r="A237" s="9" t="s">
        <v>21</v>
      </c>
      <c r="B237" s="28">
        <f>IF(ISBLANK(A237),0,INDEX(txtstylestab[],MATCH(A237,txtstylestab[style_Name],0),1))</f>
        <v>0</v>
      </c>
      <c r="C237" s="28">
        <f t="shared" si="12"/>
        <v>1</v>
      </c>
      <c r="D237" s="28">
        <f t="shared" si="13"/>
        <v>9</v>
      </c>
      <c r="E237" s="28">
        <f t="shared" si="14"/>
        <v>0</v>
      </c>
      <c r="F237" t="str">
        <f t="shared" si="15"/>
        <v/>
      </c>
      <c r="G237" s="42" t="s">
        <v>507</v>
      </c>
      <c r="H237" s="43" t="s">
        <v>3511</v>
      </c>
      <c r="I237" s="44" t="s">
        <v>508</v>
      </c>
      <c r="J237" s="45" t="s">
        <v>509</v>
      </c>
      <c r="K237" s="46" t="s">
        <v>510</v>
      </c>
      <c r="L237" s="47" t="s">
        <v>2570</v>
      </c>
      <c r="M237" s="48" t="s">
        <v>3512</v>
      </c>
      <c r="N237" s="49"/>
      <c r="O237" s="50" t="s">
        <v>3354</v>
      </c>
      <c r="P237" s="90"/>
      <c r="Q237" s="48"/>
      <c r="R237" s="13"/>
    </row>
    <row r="238" spans="1:18" x14ac:dyDescent="0.25">
      <c r="A238" s="9" t="s">
        <v>21</v>
      </c>
      <c r="B238" s="28">
        <f>IF(ISBLANK(A238),0,INDEX(txtstylestab[],MATCH(A238,txtstylestab[style_Name],0),1))</f>
        <v>0</v>
      </c>
      <c r="C238" s="28">
        <f t="shared" si="12"/>
        <v>1</v>
      </c>
      <c r="D238" s="28">
        <f t="shared" si="13"/>
        <v>9</v>
      </c>
      <c r="E238" s="28">
        <f t="shared" si="14"/>
        <v>0</v>
      </c>
      <c r="F238" t="str">
        <f t="shared" si="15"/>
        <v/>
      </c>
      <c r="G238" s="42" t="s">
        <v>6</v>
      </c>
      <c r="H238" s="43" t="s">
        <v>26</v>
      </c>
      <c r="I238" s="44" t="s">
        <v>48</v>
      </c>
      <c r="J238" s="45" t="s">
        <v>54</v>
      </c>
      <c r="K238" s="46" t="s">
        <v>59</v>
      </c>
      <c r="L238" s="47" t="s">
        <v>2524</v>
      </c>
      <c r="M238" s="48" t="s">
        <v>2491</v>
      </c>
      <c r="N238" s="49"/>
      <c r="O238" s="50" t="s">
        <v>3168</v>
      </c>
      <c r="P238" s="90"/>
      <c r="Q238" s="48"/>
      <c r="R238" s="13"/>
    </row>
    <row r="239" spans="1:18" ht="18" thickBot="1" x14ac:dyDescent="0.35">
      <c r="A239" s="9" t="s">
        <v>11</v>
      </c>
      <c r="B239" s="28">
        <f>IF(ISBLANK(A239),0,INDEX(txtstylestab[],MATCH(A239,txtstylestab[style_Name],0),1))</f>
        <v>2</v>
      </c>
      <c r="C239" s="28">
        <f t="shared" si="12"/>
        <v>1</v>
      </c>
      <c r="D239" s="28">
        <f t="shared" si="13"/>
        <v>10</v>
      </c>
      <c r="E239" s="28">
        <f t="shared" si="14"/>
        <v>0</v>
      </c>
      <c r="F239" s="54" t="str">
        <f t="shared" si="15"/>
        <v>1.10.</v>
      </c>
      <c r="G239" s="54" t="s">
        <v>511</v>
      </c>
      <c r="H239" s="54"/>
      <c r="I239" s="54"/>
      <c r="J239" s="54"/>
      <c r="K239" s="54"/>
      <c r="L239" s="54"/>
      <c r="M239" s="54"/>
      <c r="N239" s="54"/>
      <c r="O239" s="54"/>
      <c r="P239" s="54"/>
      <c r="Q239" s="54"/>
      <c r="R239" s="13"/>
    </row>
    <row r="240" spans="1:18" ht="15.75" thickTop="1" x14ac:dyDescent="0.25">
      <c r="A240" s="9" t="s">
        <v>21</v>
      </c>
      <c r="B240" s="28">
        <f>IF(ISBLANK(A240),0,INDEX(txtstylestab[],MATCH(A240,txtstylestab[style_Name],0),1))</f>
        <v>0</v>
      </c>
      <c r="C240" s="28">
        <f t="shared" si="12"/>
        <v>1</v>
      </c>
      <c r="D240" s="28">
        <f t="shared" si="13"/>
        <v>10</v>
      </c>
      <c r="E240" s="28">
        <f t="shared" si="14"/>
        <v>0</v>
      </c>
      <c r="F240" s="59" t="str">
        <f t="shared" si="15"/>
        <v/>
      </c>
      <c r="G240" s="42" t="s">
        <v>82</v>
      </c>
      <c r="H240" s="43" t="s">
        <v>83</v>
      </c>
      <c r="I240" s="44" t="s">
        <v>84</v>
      </c>
      <c r="J240" s="45" t="s">
        <v>85</v>
      </c>
      <c r="K240" s="46" t="s">
        <v>86</v>
      </c>
      <c r="L240" s="47" t="s">
        <v>2397</v>
      </c>
      <c r="M240" s="48" t="s">
        <v>2539</v>
      </c>
      <c r="N240" s="49"/>
      <c r="O240" s="50" t="s">
        <v>3161</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512</v>
      </c>
      <c r="H241" s="43" t="s">
        <v>2142</v>
      </c>
      <c r="I241" s="44" t="s">
        <v>2242</v>
      </c>
      <c r="J241" s="45" t="s">
        <v>513</v>
      </c>
      <c r="K241" s="46" t="s">
        <v>514</v>
      </c>
      <c r="L241" s="47" t="s">
        <v>2571</v>
      </c>
      <c r="M241" s="48" t="s">
        <v>2572</v>
      </c>
      <c r="N241" s="49"/>
      <c r="O241" s="50" t="s">
        <v>3357</v>
      </c>
      <c r="P241" s="59"/>
      <c r="Q241" s="59"/>
      <c r="R241" s="13"/>
    </row>
    <row r="242" spans="1:18" ht="60" x14ac:dyDescent="0.25">
      <c r="A242" s="9" t="s">
        <v>21</v>
      </c>
      <c r="B242" s="28">
        <f>IF(ISBLANK(A242),0,INDEX(txtstylestab[],MATCH(A242,txtstylestab[style_Name],0),1))</f>
        <v>0</v>
      </c>
      <c r="C242" s="28">
        <f t="shared" si="12"/>
        <v>1</v>
      </c>
      <c r="D242" s="28">
        <f t="shared" si="13"/>
        <v>10</v>
      </c>
      <c r="E242" s="28">
        <f t="shared" si="14"/>
        <v>0</v>
      </c>
      <c r="F242" s="59" t="str">
        <f t="shared" si="15"/>
        <v/>
      </c>
      <c r="G242" s="42" t="s">
        <v>515</v>
      </c>
      <c r="H242" s="43" t="s">
        <v>516</v>
      </c>
      <c r="I242" s="44" t="s">
        <v>517</v>
      </c>
      <c r="J242" s="45" t="s">
        <v>518</v>
      </c>
      <c r="K242" s="46" t="s">
        <v>519</v>
      </c>
      <c r="L242" s="47" t="s">
        <v>2573</v>
      </c>
      <c r="M242" s="48" t="s">
        <v>2574</v>
      </c>
      <c r="N242" s="49"/>
      <c r="O242" s="50" t="s">
        <v>3355</v>
      </c>
      <c r="P242" s="59"/>
      <c r="Q242" s="59"/>
      <c r="R242" s="13"/>
    </row>
    <row r="243" spans="1:18" ht="60" x14ac:dyDescent="0.25">
      <c r="A243" s="9" t="s">
        <v>21</v>
      </c>
      <c r="B243" s="28">
        <f>IF(ISBLANK(A243),0,INDEX(txtstylestab[],MATCH(A243,txtstylestab[style_Name],0),1))</f>
        <v>0</v>
      </c>
      <c r="C243" s="28">
        <f t="shared" si="12"/>
        <v>1</v>
      </c>
      <c r="D243" s="28">
        <f t="shared" si="13"/>
        <v>10</v>
      </c>
      <c r="E243" s="28">
        <f t="shared" si="14"/>
        <v>0</v>
      </c>
      <c r="F243" s="59" t="str">
        <f t="shared" si="15"/>
        <v/>
      </c>
      <c r="G243" s="42" t="s">
        <v>520</v>
      </c>
      <c r="H243" s="43" t="s">
        <v>2232</v>
      </c>
      <c r="I243" s="44" t="s">
        <v>2243</v>
      </c>
      <c r="J243" s="45" t="s">
        <v>521</v>
      </c>
      <c r="K243" s="46" t="s">
        <v>522</v>
      </c>
      <c r="L243" s="47" t="s">
        <v>2575</v>
      </c>
      <c r="M243" s="48" t="s">
        <v>2576</v>
      </c>
      <c r="N243" s="49"/>
      <c r="O243" s="50" t="s">
        <v>3358</v>
      </c>
      <c r="P243" s="59"/>
      <c r="Q243" s="59"/>
      <c r="R243" s="13"/>
    </row>
    <row r="244" spans="1:18" ht="90" x14ac:dyDescent="0.25">
      <c r="A244" s="9" t="s">
        <v>21</v>
      </c>
      <c r="B244" s="28">
        <f>IF(ISBLANK(A244),0,INDEX(txtstylestab[],MATCH(A244,txtstylestab[style_Name],0),1))</f>
        <v>0</v>
      </c>
      <c r="C244" s="28">
        <f t="shared" si="12"/>
        <v>1</v>
      </c>
      <c r="D244" s="28">
        <f t="shared" si="13"/>
        <v>10</v>
      </c>
      <c r="E244" s="28">
        <f t="shared" si="14"/>
        <v>0</v>
      </c>
      <c r="F244" s="59" t="str">
        <f t="shared" si="15"/>
        <v/>
      </c>
      <c r="G244" s="42" t="s">
        <v>2160</v>
      </c>
      <c r="H244" s="43" t="s">
        <v>2161</v>
      </c>
      <c r="I244" s="44" t="s">
        <v>2162</v>
      </c>
      <c r="J244" s="45" t="s">
        <v>2163</v>
      </c>
      <c r="K244" s="46" t="s">
        <v>2164</v>
      </c>
      <c r="L244" s="47" t="s">
        <v>2580</v>
      </c>
      <c r="M244" s="48" t="s">
        <v>2577</v>
      </c>
      <c r="N244" s="49"/>
      <c r="O244" s="50" t="s">
        <v>3356</v>
      </c>
      <c r="P244" s="59"/>
      <c r="Q244" s="59"/>
      <c r="R244" s="13"/>
    </row>
    <row r="245" spans="1:18" ht="105" x14ac:dyDescent="0.25">
      <c r="A245" s="9" t="s">
        <v>21</v>
      </c>
      <c r="B245" s="28">
        <f>IF(ISBLANK(A245),0,INDEX(txtstylestab[],MATCH(A245,txtstylestab[style_Name],0),1))</f>
        <v>0</v>
      </c>
      <c r="C245" s="28">
        <f t="shared" si="12"/>
        <v>1</v>
      </c>
      <c r="D245" s="28">
        <f t="shared" si="13"/>
        <v>10</v>
      </c>
      <c r="E245" s="28">
        <f t="shared" si="14"/>
        <v>0</v>
      </c>
      <c r="F245" s="59" t="str">
        <f t="shared" si="15"/>
        <v/>
      </c>
      <c r="G245" s="42" t="s">
        <v>2176</v>
      </c>
      <c r="H245" s="43" t="s">
        <v>2177</v>
      </c>
      <c r="I245" s="44" t="s">
        <v>2178</v>
      </c>
      <c r="J245" s="45" t="s">
        <v>2179</v>
      </c>
      <c r="K245" s="46" t="s">
        <v>2180</v>
      </c>
      <c r="L245" s="47" t="s">
        <v>2579</v>
      </c>
      <c r="M245" s="48" t="s">
        <v>2578</v>
      </c>
      <c r="N245" s="49"/>
      <c r="O245" s="50"/>
      <c r="P245" s="59"/>
      <c r="Q245" s="59"/>
      <c r="R245" s="13"/>
    </row>
    <row r="246" spans="1:18" x14ac:dyDescent="0.25">
      <c r="A246" s="9" t="s">
        <v>21</v>
      </c>
      <c r="B246" s="28">
        <f>IF(ISBLANK(A246),0,INDEX(txtstylestab[],MATCH(A246,txtstylestab[style_Name],0),1))</f>
        <v>0</v>
      </c>
      <c r="C246" s="28">
        <f t="shared" si="12"/>
        <v>1</v>
      </c>
      <c r="D246" s="28">
        <f t="shared" si="13"/>
        <v>10</v>
      </c>
      <c r="E246" s="28">
        <f t="shared" si="14"/>
        <v>0</v>
      </c>
      <c r="F246" s="59" t="str">
        <f t="shared" si="15"/>
        <v/>
      </c>
      <c r="G246" s="42" t="s">
        <v>6</v>
      </c>
      <c r="H246" s="43" t="s">
        <v>96</v>
      </c>
      <c r="I246" s="44" t="s">
        <v>48</v>
      </c>
      <c r="J246" s="45" t="s">
        <v>54</v>
      </c>
      <c r="K246" s="46" t="s">
        <v>59</v>
      </c>
      <c r="L246" s="47" t="s">
        <v>2524</v>
      </c>
      <c r="M246" s="48" t="s">
        <v>2491</v>
      </c>
      <c r="N246" s="49"/>
      <c r="O246" s="50" t="s">
        <v>3168</v>
      </c>
      <c r="P246" s="59"/>
      <c r="Q246" s="59"/>
      <c r="R246" s="13"/>
    </row>
    <row r="247" spans="1:18" ht="18" thickBot="1" x14ac:dyDescent="0.35">
      <c r="A247" s="9" t="s">
        <v>11</v>
      </c>
      <c r="B247" s="28">
        <f>IF(ISBLANK(A247),0,INDEX(txtstylestab[],MATCH(A247,txtstylestab[style_Name],0),1))</f>
        <v>2</v>
      </c>
      <c r="C247" s="28">
        <f t="shared" si="12"/>
        <v>1</v>
      </c>
      <c r="D247" s="28">
        <f t="shared" si="13"/>
        <v>11</v>
      </c>
      <c r="E247" s="28">
        <f t="shared" si="14"/>
        <v>0</v>
      </c>
      <c r="F247" s="54" t="str">
        <f t="shared" si="15"/>
        <v>1.11.</v>
      </c>
      <c r="G247" s="54" t="s">
        <v>523</v>
      </c>
      <c r="H247" s="54"/>
      <c r="I247" s="54"/>
      <c r="J247" s="54"/>
      <c r="K247" s="54"/>
      <c r="L247" s="54"/>
      <c r="M247" s="54"/>
      <c r="N247" s="54"/>
      <c r="O247" s="54"/>
      <c r="P247" s="54"/>
      <c r="Q247" s="54"/>
      <c r="R247" s="13"/>
    </row>
    <row r="248" spans="1:18" ht="15.75" thickTop="1" x14ac:dyDescent="0.25">
      <c r="A248" s="9" t="s">
        <v>21</v>
      </c>
      <c r="B248" s="28">
        <f>IF(ISBLANK(A248),0,INDEX(txtstylestab[],MATCH(A248,txtstylestab[style_Name],0),1))</f>
        <v>0</v>
      </c>
      <c r="C248" s="28">
        <f t="shared" si="12"/>
        <v>1</v>
      </c>
      <c r="D248" s="28">
        <f t="shared" si="13"/>
        <v>11</v>
      </c>
      <c r="E248" s="28">
        <f t="shared" si="14"/>
        <v>0</v>
      </c>
      <c r="F248" s="59" t="str">
        <f t="shared" si="15"/>
        <v/>
      </c>
      <c r="G248" s="42" t="s">
        <v>82</v>
      </c>
      <c r="H248" s="43" t="s">
        <v>83</v>
      </c>
      <c r="I248" s="44" t="s">
        <v>84</v>
      </c>
      <c r="J248" s="45" t="s">
        <v>85</v>
      </c>
      <c r="K248" s="46" t="s">
        <v>86</v>
      </c>
      <c r="L248" s="47" t="s">
        <v>2397</v>
      </c>
      <c r="M248" s="48" t="s">
        <v>2539</v>
      </c>
      <c r="N248" s="48"/>
      <c r="O248" s="48"/>
      <c r="P248" s="49"/>
      <c r="Q248" s="50"/>
      <c r="R248" s="13"/>
    </row>
    <row r="249" spans="1:18" ht="105" x14ac:dyDescent="0.25">
      <c r="A249" s="9" t="s">
        <v>21</v>
      </c>
      <c r="B249" s="28">
        <f>IF(ISBLANK(A249),0,INDEX(txtstylestab[],MATCH(A249,txtstylestab[style_Name],0),1))</f>
        <v>0</v>
      </c>
      <c r="C249" s="28">
        <f t="shared" si="12"/>
        <v>1</v>
      </c>
      <c r="D249" s="28">
        <f t="shared" si="13"/>
        <v>11</v>
      </c>
      <c r="E249" s="28">
        <f t="shared" si="14"/>
        <v>0</v>
      </c>
      <c r="F249" s="59" t="str">
        <f t="shared" si="15"/>
        <v/>
      </c>
      <c r="G249" s="42" t="s">
        <v>524</v>
      </c>
      <c r="H249" s="43" t="s">
        <v>2223</v>
      </c>
      <c r="I249" s="44" t="s">
        <v>2244</v>
      </c>
      <c r="J249" s="45" t="s">
        <v>525</v>
      </c>
      <c r="K249" s="46" t="s">
        <v>526</v>
      </c>
      <c r="L249" s="47" t="s">
        <v>2581</v>
      </c>
      <c r="M249" s="48" t="s">
        <v>2582</v>
      </c>
      <c r="N249" s="49"/>
      <c r="O249" s="49"/>
      <c r="P249" s="50"/>
      <c r="Q249" s="59"/>
      <c r="R249" s="13"/>
    </row>
    <row r="250" spans="1:18" x14ac:dyDescent="0.25">
      <c r="A250" s="9" t="s">
        <v>21</v>
      </c>
      <c r="B250" s="28">
        <f>IF(ISBLANK(A250),0,INDEX(txtstylestab[],MATCH(A250,txtstylestab[style_Name],0),1))</f>
        <v>0</v>
      </c>
      <c r="C250" s="28">
        <f t="shared" si="12"/>
        <v>1</v>
      </c>
      <c r="D250" s="28">
        <f t="shared" si="13"/>
        <v>11</v>
      </c>
      <c r="E250" s="28">
        <f t="shared" si="14"/>
        <v>0</v>
      </c>
      <c r="F250" s="59" t="str">
        <f t="shared" si="15"/>
        <v/>
      </c>
      <c r="G250" s="42" t="s">
        <v>6</v>
      </c>
      <c r="H250" s="43" t="s">
        <v>96</v>
      </c>
      <c r="I250" s="44" t="s">
        <v>48</v>
      </c>
      <c r="J250" s="45" t="s">
        <v>54</v>
      </c>
      <c r="K250" s="46" t="s">
        <v>59</v>
      </c>
      <c r="L250" s="47" t="s">
        <v>2490</v>
      </c>
      <c r="M250" s="48" t="s">
        <v>2525</v>
      </c>
      <c r="N250" s="49"/>
      <c r="O250" s="49"/>
      <c r="P250" s="50"/>
      <c r="Q250" s="59"/>
      <c r="R250" s="13"/>
    </row>
    <row r="251" spans="1:18" ht="15.75" thickBot="1" x14ac:dyDescent="0.3">
      <c r="A251" s="9" t="s">
        <v>12</v>
      </c>
      <c r="B251" s="28">
        <f>IF(ISBLANK(A251),0,INDEX(txtstylestab[],MATCH(A251,txtstylestab[style_Name],0),1))</f>
        <v>3</v>
      </c>
      <c r="C251" s="28">
        <f t="shared" si="12"/>
        <v>1</v>
      </c>
      <c r="D251" s="28">
        <f t="shared" si="13"/>
        <v>11</v>
      </c>
      <c r="E251" s="28">
        <f t="shared" si="14"/>
        <v>1</v>
      </c>
      <c r="F251" s="55" t="str">
        <f t="shared" si="15"/>
        <v>1.11.1.</v>
      </c>
      <c r="G251" s="55" t="s">
        <v>527</v>
      </c>
      <c r="H251" s="55"/>
      <c r="I251" s="55"/>
      <c r="J251" s="55"/>
      <c r="K251" s="55"/>
      <c r="L251" s="55"/>
      <c r="M251" s="55"/>
      <c r="N251" s="55"/>
      <c r="O251" s="55"/>
      <c r="P251" s="55"/>
      <c r="Q251" s="55"/>
      <c r="R251" s="13"/>
    </row>
    <row r="252" spans="1:18" x14ac:dyDescent="0.25">
      <c r="A252" s="9" t="s">
        <v>21</v>
      </c>
      <c r="B252" s="28">
        <f>IF(ISBLANK(A252),0,INDEX(txtstylestab[],MATCH(A252,txtstylestab[style_Name],0),1))</f>
        <v>0</v>
      </c>
      <c r="C252" s="28">
        <f t="shared" si="12"/>
        <v>1</v>
      </c>
      <c r="D252" s="28">
        <f t="shared" si="13"/>
        <v>11</v>
      </c>
      <c r="E252" s="28">
        <f t="shared" si="14"/>
        <v>1</v>
      </c>
      <c r="F252" s="59" t="str">
        <f t="shared" si="15"/>
        <v/>
      </c>
      <c r="G252" s="42" t="s">
        <v>82</v>
      </c>
      <c r="H252" s="43" t="s">
        <v>83</v>
      </c>
      <c r="I252" s="44" t="s">
        <v>84</v>
      </c>
      <c r="J252" s="45" t="s">
        <v>85</v>
      </c>
      <c r="K252" s="46" t="s">
        <v>86</v>
      </c>
      <c r="L252" s="47" t="s">
        <v>2397</v>
      </c>
      <c r="M252" s="48" t="s">
        <v>2539</v>
      </c>
      <c r="N252" s="49"/>
      <c r="O252" s="49"/>
      <c r="P252" s="50"/>
      <c r="Q252" s="59"/>
      <c r="R252" s="13"/>
    </row>
    <row r="253" spans="1:18" ht="75" x14ac:dyDescent="0.25">
      <c r="A253" s="9" t="s">
        <v>21</v>
      </c>
      <c r="B253" s="28">
        <f>IF(ISBLANK(A253),0,INDEX(txtstylestab[],MATCH(A253,txtstylestab[style_Name],0),1))</f>
        <v>0</v>
      </c>
      <c r="C253" s="28">
        <f t="shared" si="12"/>
        <v>1</v>
      </c>
      <c r="D253" s="28">
        <f t="shared" si="13"/>
        <v>11</v>
      </c>
      <c r="E253" s="28">
        <f t="shared" si="14"/>
        <v>1</v>
      </c>
      <c r="F253" s="59" t="str">
        <f t="shared" si="15"/>
        <v/>
      </c>
      <c r="G253" s="42" t="s">
        <v>533</v>
      </c>
      <c r="H253" s="43" t="s">
        <v>534</v>
      </c>
      <c r="I253" s="44" t="s">
        <v>498</v>
      </c>
      <c r="J253" s="45" t="s">
        <v>499</v>
      </c>
      <c r="K253" s="46" t="s">
        <v>500</v>
      </c>
      <c r="L253" s="47" t="s">
        <v>2568</v>
      </c>
      <c r="M253" s="48" t="s">
        <v>2569</v>
      </c>
      <c r="N253" s="49"/>
      <c r="O253" s="49"/>
      <c r="P253" s="50"/>
      <c r="Q253" s="59"/>
      <c r="R253" s="13"/>
    </row>
    <row r="254" spans="1:18" ht="45" x14ac:dyDescent="0.25">
      <c r="A254" s="9" t="s">
        <v>21</v>
      </c>
      <c r="B254" s="28">
        <f>IF(ISBLANK(A254),0,INDEX(txtstylestab[],MATCH(A254,txtstylestab[style_Name],0),1))</f>
        <v>0</v>
      </c>
      <c r="C254" s="28">
        <f t="shared" si="12"/>
        <v>1</v>
      </c>
      <c r="D254" s="28">
        <f t="shared" si="13"/>
        <v>11</v>
      </c>
      <c r="E254" s="28">
        <f t="shared" si="14"/>
        <v>1</v>
      </c>
      <c r="F254" s="59" t="str">
        <f t="shared" si="15"/>
        <v/>
      </c>
      <c r="G254" s="42" t="s">
        <v>535</v>
      </c>
      <c r="H254" s="43" t="s">
        <v>536</v>
      </c>
      <c r="I254" s="44" t="s">
        <v>503</v>
      </c>
      <c r="J254" s="45" t="s">
        <v>504</v>
      </c>
      <c r="K254" s="46" t="s">
        <v>537</v>
      </c>
      <c r="L254" s="47" t="s">
        <v>2522</v>
      </c>
      <c r="M254" s="48" t="s">
        <v>2523</v>
      </c>
      <c r="N254" s="49"/>
      <c r="O254" s="49"/>
      <c r="P254" s="50"/>
      <c r="Q254" s="59"/>
      <c r="R254" s="13"/>
    </row>
    <row r="255" spans="1:18" x14ac:dyDescent="0.25">
      <c r="A255" s="9" t="s">
        <v>21</v>
      </c>
      <c r="B255" s="28">
        <f>IF(ISBLANK(A255),0,INDEX(txtstylestab[],MATCH(A255,txtstylestab[style_Name],0),1))</f>
        <v>0</v>
      </c>
      <c r="C255" s="28">
        <f t="shared" si="12"/>
        <v>1</v>
      </c>
      <c r="D255" s="28">
        <f t="shared" si="13"/>
        <v>11</v>
      </c>
      <c r="E255" s="28">
        <f t="shared" si="14"/>
        <v>1</v>
      </c>
      <c r="F255" s="59" t="str">
        <f t="shared" si="15"/>
        <v/>
      </c>
      <c r="G255" s="42" t="s">
        <v>6</v>
      </c>
      <c r="H255" s="43" t="s">
        <v>26</v>
      </c>
      <c r="I255" s="44" t="s">
        <v>48</v>
      </c>
      <c r="J255" s="45" t="s">
        <v>54</v>
      </c>
      <c r="K255" s="46" t="s">
        <v>59</v>
      </c>
      <c r="L255" s="47" t="s">
        <v>2490</v>
      </c>
      <c r="M255" s="48" t="s">
        <v>2525</v>
      </c>
      <c r="N255" s="48"/>
      <c r="O255" s="48"/>
      <c r="P255" s="49"/>
      <c r="Q255" s="50"/>
      <c r="R255" s="13"/>
    </row>
    <row r="256" spans="1:18" ht="18" thickBot="1" x14ac:dyDescent="0.35">
      <c r="A256" s="9" t="s">
        <v>11</v>
      </c>
      <c r="B256" s="28">
        <f>IF(ISBLANK(A256),0,INDEX(txtstylestab[],MATCH(A256,txtstylestab[style_Name],0),1))</f>
        <v>2</v>
      </c>
      <c r="C256" s="28">
        <f t="shared" si="12"/>
        <v>1</v>
      </c>
      <c r="D256" s="28">
        <f t="shared" si="13"/>
        <v>12</v>
      </c>
      <c r="E256" s="28">
        <f t="shared" si="14"/>
        <v>0</v>
      </c>
      <c r="F256" s="54" t="str">
        <f t="shared" si="15"/>
        <v>1.12.</v>
      </c>
      <c r="G256" s="54" t="s">
        <v>538</v>
      </c>
      <c r="H256" s="54"/>
      <c r="I256" s="54"/>
      <c r="J256" s="54"/>
      <c r="K256" s="54"/>
      <c r="L256" s="54"/>
      <c r="M256" s="54"/>
      <c r="N256" s="54"/>
      <c r="O256" s="54"/>
      <c r="P256" s="54"/>
      <c r="Q256" s="54"/>
      <c r="R256" s="13"/>
    </row>
    <row r="257" spans="1:18" ht="16.5" thickTop="1" thickBot="1" x14ac:dyDescent="0.3">
      <c r="A257" s="9" t="s">
        <v>12</v>
      </c>
      <c r="B257" s="28">
        <f>IF(ISBLANK(A257),0,INDEX(txtstylestab[],MATCH(A257,txtstylestab[style_Name],0),1))</f>
        <v>3</v>
      </c>
      <c r="C257" s="28">
        <f t="shared" si="12"/>
        <v>1</v>
      </c>
      <c r="D257" s="28">
        <f t="shared" si="13"/>
        <v>12</v>
      </c>
      <c r="E257" s="28">
        <f t="shared" si="14"/>
        <v>1</v>
      </c>
      <c r="F257" s="55" t="str">
        <f t="shared" si="15"/>
        <v>1.12.1.</v>
      </c>
      <c r="G257" s="55" t="s">
        <v>539</v>
      </c>
      <c r="H257" s="55"/>
      <c r="I257" s="55"/>
      <c r="J257" s="55"/>
      <c r="K257" s="55"/>
      <c r="L257" s="55"/>
      <c r="M257" s="55"/>
      <c r="N257" s="55"/>
      <c r="O257" s="55"/>
      <c r="P257" s="55"/>
      <c r="Q257" s="55"/>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82</v>
      </c>
      <c r="H258" s="43" t="s">
        <v>83</v>
      </c>
      <c r="I258" s="44" t="s">
        <v>84</v>
      </c>
      <c r="J258" s="45" t="s">
        <v>85</v>
      </c>
      <c r="K258" s="46" t="s">
        <v>86</v>
      </c>
      <c r="L258" s="47" t="s">
        <v>2397</v>
      </c>
      <c r="M258" s="48" t="s">
        <v>2332</v>
      </c>
      <c r="N258" s="49"/>
      <c r="O258" s="50"/>
      <c r="P258" s="50"/>
      <c r="Q258" s="59"/>
      <c r="R258" s="13"/>
    </row>
    <row r="259" spans="1:18" ht="105" x14ac:dyDescent="0.25">
      <c r="A259" s="9" t="s">
        <v>21</v>
      </c>
      <c r="B259" s="28">
        <f>IF(ISBLANK(A259),0,INDEX(txtstylestab[],MATCH(A259,txtstylestab[style_Name],0),1))</f>
        <v>0</v>
      </c>
      <c r="C259" s="28">
        <f t="shared" si="12"/>
        <v>1</v>
      </c>
      <c r="D259" s="28">
        <f t="shared" si="13"/>
        <v>12</v>
      </c>
      <c r="E259" s="28">
        <f t="shared" si="14"/>
        <v>1</v>
      </c>
      <c r="F259" s="59" t="str">
        <f t="shared" si="15"/>
        <v/>
      </c>
      <c r="G259" s="42" t="s">
        <v>540</v>
      </c>
      <c r="H259" s="43" t="s">
        <v>2143</v>
      </c>
      <c r="I259" s="44" t="s">
        <v>2245</v>
      </c>
      <c r="J259" s="45" t="s">
        <v>541</v>
      </c>
      <c r="K259" s="46" t="s">
        <v>1714</v>
      </c>
      <c r="L259" s="47" t="s">
        <v>2583</v>
      </c>
      <c r="M259" s="48" t="s">
        <v>2584</v>
      </c>
      <c r="N259" s="49"/>
      <c r="O259" s="49"/>
      <c r="P259" s="50"/>
      <c r="Q259" s="59"/>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1</v>
      </c>
      <c r="F260" s="59" t="str">
        <f t="shared" ref="F260:F323" si="19">IF(OR(B260=1,B260=2,B260=3),TEXT(C260,"#")&amp;".","")&amp;IF(OR(B260=2,B260=3),TEXT(D260,"#")&amp;".","")&amp;IF(B260=3,TEXT(E260,"#")&amp;".","")</f>
        <v/>
      </c>
      <c r="G260" s="42" t="s">
        <v>6</v>
      </c>
      <c r="H260" s="43" t="s">
        <v>96</v>
      </c>
      <c r="I260" s="44" t="s">
        <v>48</v>
      </c>
      <c r="J260" s="45" t="s">
        <v>54</v>
      </c>
      <c r="K260" s="46" t="s">
        <v>59</v>
      </c>
      <c r="L260" s="47" t="s">
        <v>2490</v>
      </c>
      <c r="M260" s="48" t="s">
        <v>2525</v>
      </c>
      <c r="N260" s="49"/>
      <c r="O260" s="49"/>
      <c r="P260" s="50"/>
      <c r="Q260" s="59"/>
      <c r="R260" s="13"/>
    </row>
    <row r="261" spans="1:18" ht="15.75" thickBot="1" x14ac:dyDescent="0.3">
      <c r="A261" s="9" t="s">
        <v>12</v>
      </c>
      <c r="B261" s="28">
        <f>IF(ISBLANK(A261),0,INDEX(txtstylestab[],MATCH(A261,txtstylestab[style_Name],0),1))</f>
        <v>3</v>
      </c>
      <c r="C261" s="28">
        <f t="shared" si="16"/>
        <v>1</v>
      </c>
      <c r="D261" s="28">
        <f t="shared" si="17"/>
        <v>12</v>
      </c>
      <c r="E261" s="28">
        <f t="shared" si="18"/>
        <v>2</v>
      </c>
      <c r="F261" s="55" t="str">
        <f t="shared" si="19"/>
        <v>1.12.2.</v>
      </c>
      <c r="G261" s="55" t="s">
        <v>542</v>
      </c>
      <c r="H261" s="55"/>
      <c r="I261" s="55"/>
      <c r="J261" s="55"/>
      <c r="K261" s="55"/>
      <c r="L261" s="55"/>
      <c r="M261" s="55"/>
      <c r="N261" s="55"/>
      <c r="O261" s="55"/>
      <c r="P261" s="55"/>
      <c r="Q261" s="55"/>
      <c r="R261" s="13"/>
    </row>
    <row r="262" spans="1:18" x14ac:dyDescent="0.25">
      <c r="A262" s="9" t="s">
        <v>21</v>
      </c>
      <c r="B262" s="28">
        <f>IF(ISBLANK(A262),0,INDEX(txtstylestab[],MATCH(A262,txtstylestab[style_Name],0),1))</f>
        <v>0</v>
      </c>
      <c r="C262" s="28">
        <f t="shared" si="16"/>
        <v>1</v>
      </c>
      <c r="D262" s="28">
        <f t="shared" si="17"/>
        <v>12</v>
      </c>
      <c r="E262" s="28">
        <f t="shared" si="18"/>
        <v>2</v>
      </c>
      <c r="F262" s="59" t="str">
        <f t="shared" si="19"/>
        <v/>
      </c>
      <c r="G262" s="42" t="s">
        <v>82</v>
      </c>
      <c r="H262" s="43" t="s">
        <v>83</v>
      </c>
      <c r="I262" s="44" t="s">
        <v>84</v>
      </c>
      <c r="J262" s="45" t="s">
        <v>85</v>
      </c>
      <c r="K262" s="46" t="s">
        <v>86</v>
      </c>
      <c r="L262" s="47" t="s">
        <v>2397</v>
      </c>
      <c r="M262" s="48" t="s">
        <v>2525</v>
      </c>
      <c r="N262" s="49"/>
      <c r="O262" s="50" t="s">
        <v>3359</v>
      </c>
      <c r="P262" s="59"/>
      <c r="Q262" s="59"/>
      <c r="R262" s="13"/>
    </row>
    <row r="263" spans="1:18" ht="105" x14ac:dyDescent="0.25">
      <c r="A263" s="9" t="s">
        <v>21</v>
      </c>
      <c r="B263" s="28">
        <f>IF(ISBLANK(A263),0,INDEX(txtstylestab[],MATCH(A263,txtstylestab[style_Name],0),1))</f>
        <v>0</v>
      </c>
      <c r="C263" s="28">
        <f t="shared" si="16"/>
        <v>1</v>
      </c>
      <c r="D263" s="28">
        <f t="shared" si="17"/>
        <v>12</v>
      </c>
      <c r="E263" s="28">
        <f t="shared" si="18"/>
        <v>2</v>
      </c>
      <c r="F263" s="59" t="str">
        <f t="shared" si="19"/>
        <v/>
      </c>
      <c r="G263" s="42" t="s">
        <v>543</v>
      </c>
      <c r="H263" s="43" t="s">
        <v>2144</v>
      </c>
      <c r="I263" s="44" t="s">
        <v>2246</v>
      </c>
      <c r="J263" s="45" t="s">
        <v>544</v>
      </c>
      <c r="K263" s="46" t="s">
        <v>1715</v>
      </c>
      <c r="L263" s="47" t="s">
        <v>2583</v>
      </c>
      <c r="M263" s="48" t="s">
        <v>2584</v>
      </c>
      <c r="N263" s="49"/>
      <c r="O263" s="50" t="s">
        <v>3360</v>
      </c>
      <c r="P263" s="59"/>
      <c r="Q263" s="59"/>
      <c r="R263" s="13"/>
    </row>
    <row r="264" spans="1:18" ht="60" x14ac:dyDescent="0.25">
      <c r="A264" s="9" t="s">
        <v>21</v>
      </c>
      <c r="B264" s="28">
        <f>IF(ISBLANK(A264),0,INDEX(txtstylestab[],MATCH(A264,txtstylestab[style_Name],0),1))</f>
        <v>0</v>
      </c>
      <c r="C264" s="28">
        <f t="shared" si="16"/>
        <v>1</v>
      </c>
      <c r="D264" s="28">
        <f t="shared" si="17"/>
        <v>12</v>
      </c>
      <c r="E264" s="28">
        <f t="shared" si="18"/>
        <v>2</v>
      </c>
      <c r="F264" s="59" t="str">
        <f t="shared" si="19"/>
        <v/>
      </c>
      <c r="G264" s="42" t="s">
        <v>545</v>
      </c>
      <c r="H264" s="43" t="s">
        <v>2224</v>
      </c>
      <c r="I264" s="44" t="s">
        <v>2247</v>
      </c>
      <c r="J264" s="45" t="s">
        <v>546</v>
      </c>
      <c r="K264" s="46" t="s">
        <v>1739</v>
      </c>
      <c r="L264" s="47" t="s">
        <v>2585</v>
      </c>
      <c r="M264" s="48" t="s">
        <v>2586</v>
      </c>
      <c r="N264" s="49"/>
      <c r="O264" s="50" t="s">
        <v>3361</v>
      </c>
      <c r="P264" s="59"/>
      <c r="Q264" s="59"/>
      <c r="R264" s="13"/>
    </row>
    <row r="265" spans="1:18" ht="60" x14ac:dyDescent="0.25">
      <c r="A265" s="9" t="s">
        <v>21</v>
      </c>
      <c r="B265" s="28">
        <f>IF(ISBLANK(A265),0,INDEX(txtstylestab[],MATCH(A265,txtstylestab[style_Name],0),1))</f>
        <v>0</v>
      </c>
      <c r="C265" s="28">
        <f t="shared" si="16"/>
        <v>1</v>
      </c>
      <c r="D265" s="28">
        <f t="shared" si="17"/>
        <v>12</v>
      </c>
      <c r="E265" s="28">
        <f t="shared" si="18"/>
        <v>2</v>
      </c>
      <c r="F265" s="59" t="str">
        <f t="shared" si="19"/>
        <v/>
      </c>
      <c r="G265" s="42" t="s">
        <v>547</v>
      </c>
      <c r="H265" s="43" t="s">
        <v>548</v>
      </c>
      <c r="I265" s="44" t="s">
        <v>549</v>
      </c>
      <c r="J265" s="45" t="s">
        <v>550</v>
      </c>
      <c r="K265" s="46" t="s">
        <v>1601</v>
      </c>
      <c r="L265" s="47" t="s">
        <v>2587</v>
      </c>
      <c r="M265" s="48" t="s">
        <v>2588</v>
      </c>
      <c r="N265" s="49"/>
      <c r="O265" s="50" t="s">
        <v>3362</v>
      </c>
      <c r="P265" s="59"/>
      <c r="Q265" s="59"/>
      <c r="R265" s="13"/>
    </row>
    <row r="266" spans="1:18" x14ac:dyDescent="0.25">
      <c r="A266" s="9" t="s">
        <v>21</v>
      </c>
      <c r="B266" s="28">
        <f>IF(ISBLANK(A266),0,INDEX(txtstylestab[],MATCH(A266,txtstylestab[style_Name],0),1))</f>
        <v>0</v>
      </c>
      <c r="C266" s="28">
        <f t="shared" si="16"/>
        <v>1</v>
      </c>
      <c r="D266" s="28">
        <f t="shared" si="17"/>
        <v>12</v>
      </c>
      <c r="E266" s="28">
        <f t="shared" si="18"/>
        <v>2</v>
      </c>
      <c r="F266" s="59" t="str">
        <f t="shared" si="19"/>
        <v/>
      </c>
      <c r="G266" s="42" t="s">
        <v>6</v>
      </c>
      <c r="H266" s="43" t="s">
        <v>96</v>
      </c>
      <c r="I266" s="44" t="s">
        <v>48</v>
      </c>
      <c r="J266" s="45" t="s">
        <v>54</v>
      </c>
      <c r="K266" s="46" t="s">
        <v>59</v>
      </c>
      <c r="L266" s="47" t="s">
        <v>2490</v>
      </c>
      <c r="M266" s="48" t="s">
        <v>2491</v>
      </c>
      <c r="N266" s="49"/>
      <c r="O266" s="50" t="s">
        <v>3168</v>
      </c>
      <c r="P266" s="59"/>
      <c r="Q266" s="59"/>
      <c r="R266" s="13"/>
    </row>
    <row r="267" spans="1:18" ht="15.75" thickBot="1" x14ac:dyDescent="0.3">
      <c r="A267" s="9" t="s">
        <v>12</v>
      </c>
      <c r="B267" s="28">
        <f>IF(ISBLANK(A267),0,INDEX(txtstylestab[],MATCH(A267,txtstylestab[style_Name],0),1))</f>
        <v>3</v>
      </c>
      <c r="C267" s="28">
        <f t="shared" si="16"/>
        <v>1</v>
      </c>
      <c r="D267" s="28">
        <f t="shared" si="17"/>
        <v>12</v>
      </c>
      <c r="E267" s="28">
        <f t="shared" si="18"/>
        <v>3</v>
      </c>
      <c r="F267" s="55" t="str">
        <f t="shared" si="19"/>
        <v>1.12.3.</v>
      </c>
      <c r="G267" s="55" t="s">
        <v>551</v>
      </c>
      <c r="H267" s="55"/>
      <c r="I267" s="55"/>
      <c r="J267" s="55"/>
      <c r="K267" s="55"/>
      <c r="L267" s="55"/>
      <c r="M267" s="55"/>
      <c r="N267" s="55"/>
      <c r="O267" s="55"/>
      <c r="P267" s="55"/>
      <c r="Q267" s="55"/>
      <c r="R267" s="13"/>
    </row>
    <row r="268" spans="1:18" x14ac:dyDescent="0.25">
      <c r="A268" s="9" t="s">
        <v>21</v>
      </c>
      <c r="B268" s="28">
        <f>IF(ISBLANK(A268),0,INDEX(txtstylestab[],MATCH(A268,txtstylestab[style_Name],0),1))</f>
        <v>0</v>
      </c>
      <c r="C268" s="28">
        <f t="shared" si="16"/>
        <v>1</v>
      </c>
      <c r="D268" s="28">
        <f t="shared" si="17"/>
        <v>12</v>
      </c>
      <c r="E268" s="28">
        <f t="shared" si="18"/>
        <v>3</v>
      </c>
      <c r="F268" s="59" t="str">
        <f t="shared" si="19"/>
        <v/>
      </c>
      <c r="G268" s="42" t="s">
        <v>82</v>
      </c>
      <c r="H268" s="43" t="s">
        <v>83</v>
      </c>
      <c r="I268" s="44" t="s">
        <v>84</v>
      </c>
      <c r="J268" s="45" t="s">
        <v>85</v>
      </c>
      <c r="K268" s="46" t="s">
        <v>86</v>
      </c>
      <c r="L268" s="47" t="s">
        <v>2397</v>
      </c>
      <c r="M268" s="48" t="s">
        <v>2539</v>
      </c>
      <c r="N268" s="49"/>
      <c r="O268" s="50" t="s">
        <v>3359</v>
      </c>
      <c r="P268" s="50"/>
      <c r="Q268" s="59"/>
      <c r="R268" s="13"/>
    </row>
    <row r="269" spans="1:18" ht="75" x14ac:dyDescent="0.25">
      <c r="A269" s="9" t="s">
        <v>21</v>
      </c>
      <c r="B269" s="28">
        <f>IF(ISBLANK(A269),0,INDEX(txtstylestab[],MATCH(A269,txtstylestab[style_Name],0),1))</f>
        <v>0</v>
      </c>
      <c r="C269" s="28">
        <f t="shared" si="16"/>
        <v>1</v>
      </c>
      <c r="D269" s="28">
        <f t="shared" si="17"/>
        <v>12</v>
      </c>
      <c r="E269" s="28">
        <f t="shared" si="18"/>
        <v>3</v>
      </c>
      <c r="F269" s="59" t="str">
        <f t="shared" si="19"/>
        <v/>
      </c>
      <c r="G269" s="42" t="s">
        <v>552</v>
      </c>
      <c r="H269" s="43" t="s">
        <v>553</v>
      </c>
      <c r="I269" s="44" t="s">
        <v>1634</v>
      </c>
      <c r="J269" s="45" t="s">
        <v>1620</v>
      </c>
      <c r="K269" s="46" t="s">
        <v>1602</v>
      </c>
      <c r="L269" s="47" t="s">
        <v>2589</v>
      </c>
      <c r="M269" s="48" t="s">
        <v>2590</v>
      </c>
      <c r="N269" s="49"/>
      <c r="O269" s="50" t="s">
        <v>3363</v>
      </c>
      <c r="P269" s="59"/>
      <c r="Q269" s="59"/>
      <c r="R269" s="13"/>
    </row>
    <row r="270" spans="1:18" ht="45" x14ac:dyDescent="0.25">
      <c r="A270" s="9" t="s">
        <v>21</v>
      </c>
      <c r="B270" s="28">
        <f>IF(ISBLANK(A270),0,INDEX(txtstylestab[],MATCH(A270,txtstylestab[style_Name],0),1))</f>
        <v>0</v>
      </c>
      <c r="C270" s="28">
        <f t="shared" si="16"/>
        <v>1</v>
      </c>
      <c r="D270" s="28">
        <f t="shared" si="17"/>
        <v>12</v>
      </c>
      <c r="E270" s="28">
        <f t="shared" si="18"/>
        <v>3</v>
      </c>
      <c r="F270" s="59" t="str">
        <f t="shared" si="19"/>
        <v/>
      </c>
      <c r="G270" s="42" t="s">
        <v>535</v>
      </c>
      <c r="H270" s="43" t="s">
        <v>536</v>
      </c>
      <c r="I270" s="44" t="s">
        <v>503</v>
      </c>
      <c r="J270" s="45" t="s">
        <v>504</v>
      </c>
      <c r="K270" s="46" t="s">
        <v>537</v>
      </c>
      <c r="L270" s="47" t="s">
        <v>2522</v>
      </c>
      <c r="M270" s="48" t="s">
        <v>2523</v>
      </c>
      <c r="N270" s="49"/>
      <c r="O270" s="50" t="s">
        <v>3353</v>
      </c>
      <c r="P270" s="59"/>
      <c r="Q270" s="59"/>
      <c r="R270" s="13"/>
    </row>
    <row r="271" spans="1:18" x14ac:dyDescent="0.25">
      <c r="A271" s="9" t="s">
        <v>21</v>
      </c>
      <c r="B271" s="28">
        <f>IF(ISBLANK(A271),0,INDEX(txtstylestab[],MATCH(A271,txtstylestab[style_Name],0),1))</f>
        <v>0</v>
      </c>
      <c r="C271" s="28">
        <f t="shared" si="16"/>
        <v>1</v>
      </c>
      <c r="D271" s="28">
        <f t="shared" si="17"/>
        <v>12</v>
      </c>
      <c r="E271" s="28">
        <f t="shared" si="18"/>
        <v>3</v>
      </c>
      <c r="F271" s="59" t="str">
        <f t="shared" si="19"/>
        <v/>
      </c>
      <c r="G271" s="42" t="s">
        <v>6</v>
      </c>
      <c r="H271" s="43" t="s">
        <v>26</v>
      </c>
      <c r="I271" s="44" t="s">
        <v>48</v>
      </c>
      <c r="J271" s="45" t="s">
        <v>54</v>
      </c>
      <c r="K271" s="46" t="s">
        <v>59</v>
      </c>
      <c r="L271" s="47" t="s">
        <v>2490</v>
      </c>
      <c r="M271" s="48" t="s">
        <v>2491</v>
      </c>
      <c r="N271" s="49"/>
      <c r="O271" s="50" t="s">
        <v>3168</v>
      </c>
      <c r="P271" s="59"/>
      <c r="Q271" s="59"/>
      <c r="R271" s="13"/>
    </row>
    <row r="272" spans="1:18" ht="18" thickBot="1" x14ac:dyDescent="0.35">
      <c r="A272" s="9" t="s">
        <v>11</v>
      </c>
      <c r="B272" s="28">
        <f>IF(ISBLANK(A272),0,INDEX(txtstylestab[],MATCH(A272,txtstylestab[style_Name],0),1))</f>
        <v>2</v>
      </c>
      <c r="C272" s="28">
        <f t="shared" si="16"/>
        <v>1</v>
      </c>
      <c r="D272" s="28">
        <f t="shared" si="17"/>
        <v>13</v>
      </c>
      <c r="E272" s="28">
        <f t="shared" si="18"/>
        <v>0</v>
      </c>
      <c r="F272" s="54" t="str">
        <f t="shared" si="19"/>
        <v>1.13.</v>
      </c>
      <c r="G272" s="54" t="s">
        <v>554</v>
      </c>
      <c r="H272" s="54"/>
      <c r="I272" s="54"/>
      <c r="J272" s="54"/>
      <c r="K272" s="54"/>
      <c r="L272" s="54"/>
      <c r="M272" s="54"/>
      <c r="N272" s="54"/>
      <c r="O272" s="54"/>
      <c r="P272" s="54"/>
      <c r="Q272" s="54"/>
      <c r="R272" s="13"/>
    </row>
    <row r="273" spans="1:18" ht="15.75" thickTop="1" x14ac:dyDescent="0.25">
      <c r="A273" s="9" t="s">
        <v>21</v>
      </c>
      <c r="B273" s="28">
        <f>IF(ISBLANK(A273),0,INDEX(txtstylestab[],MATCH(A273,txtstylestab[style_Name],0),1))</f>
        <v>0</v>
      </c>
      <c r="C273" s="28">
        <f t="shared" si="16"/>
        <v>1</v>
      </c>
      <c r="D273" s="28">
        <f t="shared" si="17"/>
        <v>13</v>
      </c>
      <c r="E273" s="28">
        <f t="shared" si="18"/>
        <v>0</v>
      </c>
      <c r="F273" s="59" t="str">
        <f t="shared" si="19"/>
        <v/>
      </c>
      <c r="G273" s="42" t="s">
        <v>82</v>
      </c>
      <c r="H273" s="43" t="s">
        <v>83</v>
      </c>
      <c r="I273" s="44" t="s">
        <v>84</v>
      </c>
      <c r="J273" s="45" t="s">
        <v>85</v>
      </c>
      <c r="K273" s="46" t="s">
        <v>86</v>
      </c>
      <c r="L273" s="47" t="s">
        <v>2397</v>
      </c>
      <c r="M273" s="48" t="s">
        <v>2539</v>
      </c>
      <c r="N273" s="49"/>
      <c r="O273" s="50" t="s">
        <v>3359</v>
      </c>
      <c r="P273" s="50"/>
      <c r="Q273" s="59"/>
      <c r="R273" s="13"/>
    </row>
    <row r="274" spans="1:18" ht="45" x14ac:dyDescent="0.25">
      <c r="A274" s="9" t="s">
        <v>21</v>
      </c>
      <c r="B274" s="28">
        <f>IF(ISBLANK(A274),0,INDEX(txtstylestab[],MATCH(A274,txtstylestab[style_Name],0),1))</f>
        <v>0</v>
      </c>
      <c r="C274" s="28">
        <f t="shared" si="16"/>
        <v>1</v>
      </c>
      <c r="D274" s="28">
        <f t="shared" si="17"/>
        <v>13</v>
      </c>
      <c r="E274" s="28">
        <f t="shared" si="18"/>
        <v>0</v>
      </c>
      <c r="F274" s="59" t="str">
        <f t="shared" si="19"/>
        <v/>
      </c>
      <c r="G274" s="42" t="s">
        <v>555</v>
      </c>
      <c r="H274" s="43" t="s">
        <v>2225</v>
      </c>
      <c r="I274" s="44" t="s">
        <v>2248</v>
      </c>
      <c r="J274" s="45" t="s">
        <v>556</v>
      </c>
      <c r="K274" s="46" t="s">
        <v>1716</v>
      </c>
      <c r="L274" s="47" t="s">
        <v>2591</v>
      </c>
      <c r="M274" s="48" t="s">
        <v>2592</v>
      </c>
      <c r="N274" s="49"/>
      <c r="O274" s="50" t="s">
        <v>3364</v>
      </c>
      <c r="P274" s="59"/>
      <c r="Q274" s="59"/>
      <c r="R274" s="13"/>
    </row>
    <row r="275" spans="1:18" x14ac:dyDescent="0.25">
      <c r="A275" s="9" t="s">
        <v>21</v>
      </c>
      <c r="B275" s="28">
        <f>IF(ISBLANK(A275),0,INDEX(txtstylestab[],MATCH(A275,txtstylestab[style_Name],0),1))</f>
        <v>0</v>
      </c>
      <c r="C275" s="28">
        <f t="shared" si="16"/>
        <v>1</v>
      </c>
      <c r="D275" s="28">
        <f t="shared" si="17"/>
        <v>13</v>
      </c>
      <c r="E275" s="28">
        <f t="shared" si="18"/>
        <v>0</v>
      </c>
      <c r="F275" s="59" t="str">
        <f t="shared" si="19"/>
        <v/>
      </c>
      <c r="G275" s="42" t="s">
        <v>6</v>
      </c>
      <c r="H275" s="43" t="s">
        <v>26</v>
      </c>
      <c r="I275" s="44" t="s">
        <v>48</v>
      </c>
      <c r="J275" s="45" t="s">
        <v>54</v>
      </c>
      <c r="K275" s="46" t="s">
        <v>59</v>
      </c>
      <c r="L275" s="47" t="s">
        <v>2490</v>
      </c>
      <c r="M275" s="48" t="s">
        <v>2491</v>
      </c>
      <c r="N275" s="49"/>
      <c r="O275" s="50" t="s">
        <v>3168</v>
      </c>
      <c r="P275" s="50"/>
      <c r="Q275" s="59"/>
      <c r="R275" s="13"/>
    </row>
    <row r="276" spans="1:18" ht="18" thickBot="1" x14ac:dyDescent="0.35">
      <c r="A276" s="9" t="s">
        <v>11</v>
      </c>
      <c r="B276" s="28">
        <f>IF(ISBLANK(A276),0,INDEX(txtstylestab[],MATCH(A276,txtstylestab[style_Name],0),1))</f>
        <v>2</v>
      </c>
      <c r="C276" s="28">
        <f t="shared" si="16"/>
        <v>1</v>
      </c>
      <c r="D276" s="28">
        <f t="shared" si="17"/>
        <v>14</v>
      </c>
      <c r="E276" s="28">
        <f t="shared" si="18"/>
        <v>0</v>
      </c>
      <c r="F276" s="54" t="str">
        <f t="shared" si="19"/>
        <v>1.14.</v>
      </c>
      <c r="G276" s="54" t="s">
        <v>1836</v>
      </c>
      <c r="H276" s="54"/>
      <c r="I276" s="54"/>
      <c r="J276" s="54"/>
      <c r="K276" s="54"/>
      <c r="L276" s="54"/>
      <c r="M276" s="54"/>
      <c r="N276" s="54"/>
      <c r="O276" s="54"/>
      <c r="P276" s="54"/>
      <c r="Q276" s="54"/>
      <c r="R276" s="13"/>
    </row>
    <row r="277" spans="1:18" ht="15.75" thickTop="1" x14ac:dyDescent="0.25">
      <c r="A277" s="9" t="s">
        <v>21</v>
      </c>
      <c r="B277" s="28">
        <f>IF(ISBLANK(A277),0,INDEX(txtstylestab[],MATCH(A277,txtstylestab[style_Name],0),1))</f>
        <v>0</v>
      </c>
      <c r="C277" s="28">
        <f t="shared" si="16"/>
        <v>1</v>
      </c>
      <c r="D277" s="28">
        <f t="shared" si="17"/>
        <v>14</v>
      </c>
      <c r="E277" s="28">
        <f t="shared" si="18"/>
        <v>0</v>
      </c>
      <c r="F277" s="59" t="str">
        <f t="shared" si="19"/>
        <v/>
      </c>
      <c r="G277" s="42" t="s">
        <v>82</v>
      </c>
      <c r="H277" s="43" t="s">
        <v>83</v>
      </c>
      <c r="I277" s="44" t="s">
        <v>84</v>
      </c>
      <c r="J277" s="45" t="s">
        <v>85</v>
      </c>
      <c r="K277" s="46" t="s">
        <v>86</v>
      </c>
      <c r="L277" s="47" t="s">
        <v>2397</v>
      </c>
      <c r="M277" s="47" t="s">
        <v>2539</v>
      </c>
      <c r="N277" s="48"/>
      <c r="O277" s="50" t="s">
        <v>3359</v>
      </c>
      <c r="P277" s="49"/>
      <c r="Q277" s="50"/>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557</v>
      </c>
      <c r="H278" s="43" t="s">
        <v>558</v>
      </c>
      <c r="I278" s="44" t="s">
        <v>559</v>
      </c>
      <c r="J278" s="45" t="s">
        <v>1763</v>
      </c>
      <c r="K278" s="46" t="s">
        <v>560</v>
      </c>
      <c r="L278" s="47" t="s">
        <v>2593</v>
      </c>
      <c r="M278" s="48" t="s">
        <v>2594</v>
      </c>
      <c r="N278" s="49"/>
      <c r="O278" s="50"/>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c r="H279" s="43"/>
      <c r="I279" s="44" t="s">
        <v>413</v>
      </c>
      <c r="J279" s="45" t="s">
        <v>414</v>
      </c>
      <c r="K279" s="46" t="s">
        <v>415</v>
      </c>
      <c r="L279" s="47"/>
      <c r="M279" s="48"/>
      <c r="N279" s="49"/>
      <c r="O279" s="50" t="s">
        <v>3365</v>
      </c>
      <c r="P279" s="59"/>
      <c r="Q279" s="59"/>
      <c r="R279" s="13"/>
    </row>
    <row r="280" spans="1:18" ht="3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2287</v>
      </c>
      <c r="H280" s="43" t="s">
        <v>2290</v>
      </c>
      <c r="I280" s="44" t="s">
        <v>562</v>
      </c>
      <c r="J280" s="45" t="s">
        <v>563</v>
      </c>
      <c r="K280" s="46" t="s">
        <v>564</v>
      </c>
      <c r="L280" s="47" t="s">
        <v>2595</v>
      </c>
      <c r="M280" s="48" t="s">
        <v>2599</v>
      </c>
      <c r="N280" s="49"/>
      <c r="O280" s="50" t="s">
        <v>3366</v>
      </c>
      <c r="P280" s="59"/>
      <c r="Q280" s="59"/>
      <c r="R280" s="13"/>
    </row>
    <row r="281" spans="1:18" ht="30" x14ac:dyDescent="0.25">
      <c r="A281" s="9" t="s">
        <v>21</v>
      </c>
      <c r="B281" s="28">
        <f>IF(ISBLANK(A281),0,INDEX(txtstylestab[],MATCH(A281,txtstylestab[style_Name],0),1))</f>
        <v>0</v>
      </c>
      <c r="C281" s="28">
        <f t="shared" si="16"/>
        <v>1</v>
      </c>
      <c r="D281" s="28">
        <f t="shared" si="17"/>
        <v>14</v>
      </c>
      <c r="E281" s="28">
        <f t="shared" si="18"/>
        <v>0</v>
      </c>
      <c r="F281" s="59" t="str">
        <f t="shared" si="19"/>
        <v/>
      </c>
      <c r="G281" s="42" t="s">
        <v>2288</v>
      </c>
      <c r="H281" s="43" t="s">
        <v>2291</v>
      </c>
      <c r="I281" s="44" t="s">
        <v>2124</v>
      </c>
      <c r="J281" s="45" t="s">
        <v>565</v>
      </c>
      <c r="K281" s="46" t="s">
        <v>566</v>
      </c>
      <c r="L281" s="47" t="s">
        <v>2596</v>
      </c>
      <c r="M281" s="48" t="s">
        <v>2600</v>
      </c>
      <c r="N281" s="49"/>
      <c r="O281" s="50" t="s">
        <v>3367</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2289</v>
      </c>
      <c r="H282" s="43" t="s">
        <v>2292</v>
      </c>
      <c r="I282" s="44" t="s">
        <v>2125</v>
      </c>
      <c r="J282" s="45" t="s">
        <v>567</v>
      </c>
      <c r="K282" s="46" t="s">
        <v>568</v>
      </c>
      <c r="L282" s="47" t="s">
        <v>2601</v>
      </c>
      <c r="M282" s="48" t="s">
        <v>2602</v>
      </c>
      <c r="N282" s="49"/>
      <c r="O282" s="50" t="s">
        <v>3368</v>
      </c>
      <c r="P282" s="59"/>
      <c r="Q282" s="59"/>
      <c r="R282" s="13"/>
    </row>
    <row r="283" spans="1:18" ht="45" x14ac:dyDescent="0.25">
      <c r="A283" s="9" t="s">
        <v>21</v>
      </c>
      <c r="B283" s="28">
        <f>IF(ISBLANK(A283),0,INDEX(txtstylestab[],MATCH(A283,txtstylestab[style_Name],0),1))</f>
        <v>0</v>
      </c>
      <c r="C283" s="28">
        <f t="shared" si="16"/>
        <v>1</v>
      </c>
      <c r="D283" s="28">
        <f t="shared" si="17"/>
        <v>14</v>
      </c>
      <c r="E283" s="28">
        <f t="shared" si="18"/>
        <v>0</v>
      </c>
      <c r="F283" s="59" t="str">
        <f t="shared" si="19"/>
        <v/>
      </c>
      <c r="G283" s="42" t="s">
        <v>569</v>
      </c>
      <c r="H283" s="43" t="s">
        <v>570</v>
      </c>
      <c r="I283" s="44" t="s">
        <v>571</v>
      </c>
      <c r="J283" s="45" t="s">
        <v>572</v>
      </c>
      <c r="K283" s="46" t="s">
        <v>573</v>
      </c>
      <c r="L283" s="47" t="s">
        <v>2597</v>
      </c>
      <c r="M283" s="48" t="s">
        <v>2603</v>
      </c>
      <c r="N283" s="49"/>
      <c r="O283" s="50" t="s">
        <v>3369</v>
      </c>
      <c r="P283" s="59"/>
      <c r="Q283" s="59"/>
      <c r="R283" s="13"/>
    </row>
    <row r="284" spans="1:18" ht="60" x14ac:dyDescent="0.25">
      <c r="A284" s="9" t="s">
        <v>21</v>
      </c>
      <c r="B284" s="28">
        <f>IF(ISBLANK(A284),0,INDEX(txtstylestab[],MATCH(A284,txtstylestab[style_Name],0),1))</f>
        <v>0</v>
      </c>
      <c r="C284" s="28">
        <f t="shared" si="16"/>
        <v>1</v>
      </c>
      <c r="D284" s="28">
        <f t="shared" si="17"/>
        <v>14</v>
      </c>
      <c r="E284" s="28">
        <f t="shared" si="18"/>
        <v>0</v>
      </c>
      <c r="F284" s="59" t="str">
        <f t="shared" si="19"/>
        <v/>
      </c>
      <c r="G284" s="42" t="s">
        <v>574</v>
      </c>
      <c r="H284" s="43" t="s">
        <v>575</v>
      </c>
      <c r="I284" s="44" t="s">
        <v>576</v>
      </c>
      <c r="J284" s="45" t="s">
        <v>577</v>
      </c>
      <c r="K284" s="46" t="s">
        <v>578</v>
      </c>
      <c r="L284" s="47" t="s">
        <v>2598</v>
      </c>
      <c r="M284" s="48" t="s">
        <v>2604</v>
      </c>
      <c r="N284" s="49"/>
      <c r="O284" s="50" t="s">
        <v>3441</v>
      </c>
      <c r="P284" s="59"/>
      <c r="Q284" s="59"/>
      <c r="R284" s="13"/>
    </row>
    <row r="285" spans="1:18" ht="120" x14ac:dyDescent="0.25">
      <c r="A285" s="9" t="s">
        <v>21</v>
      </c>
      <c r="B285" s="28">
        <f>IF(ISBLANK(A285),0,INDEX(txtstylestab[],MATCH(A285,txtstylestab[style_Name],0),1))</f>
        <v>0</v>
      </c>
      <c r="C285" s="28">
        <f t="shared" si="16"/>
        <v>1</v>
      </c>
      <c r="D285" s="28">
        <f t="shared" si="17"/>
        <v>14</v>
      </c>
      <c r="E285" s="28">
        <f t="shared" si="18"/>
        <v>0</v>
      </c>
      <c r="F285" s="59" t="str">
        <f t="shared" si="19"/>
        <v/>
      </c>
      <c r="G285" s="42" t="s">
        <v>579</v>
      </c>
      <c r="H285" s="43" t="s">
        <v>1603</v>
      </c>
      <c r="I285" s="44" t="s">
        <v>580</v>
      </c>
      <c r="J285" s="45" t="s">
        <v>581</v>
      </c>
      <c r="K285" s="46" t="s">
        <v>582</v>
      </c>
      <c r="L285" s="47" t="s">
        <v>2605</v>
      </c>
      <c r="M285" s="48" t="s">
        <v>2606</v>
      </c>
      <c r="N285" s="49"/>
      <c r="O285" s="50" t="s">
        <v>3370</v>
      </c>
      <c r="P285" s="59"/>
      <c r="Q285" s="59"/>
      <c r="R285" s="13"/>
    </row>
    <row r="286" spans="1:18" ht="30" x14ac:dyDescent="0.25">
      <c r="A286" s="9" t="s">
        <v>21</v>
      </c>
      <c r="B286" s="28">
        <f>IF(ISBLANK(A286),0,INDEX(txtstylestab[],MATCH(A286,txtstylestab[style_Name],0),1))</f>
        <v>0</v>
      </c>
      <c r="C286" s="28">
        <f t="shared" si="16"/>
        <v>1</v>
      </c>
      <c r="D286" s="28">
        <f t="shared" si="17"/>
        <v>14</v>
      </c>
      <c r="E286" s="28">
        <f t="shared" si="18"/>
        <v>0</v>
      </c>
      <c r="F286" s="59" t="str">
        <f t="shared" si="19"/>
        <v/>
      </c>
      <c r="G286" s="42" t="s">
        <v>561</v>
      </c>
      <c r="H286" s="43" t="s">
        <v>26</v>
      </c>
      <c r="I286" s="44" t="s">
        <v>48</v>
      </c>
      <c r="J286" s="45" t="s">
        <v>54</v>
      </c>
      <c r="K286" s="46" t="s">
        <v>59</v>
      </c>
      <c r="L286" s="47" t="s">
        <v>2524</v>
      </c>
      <c r="M286" s="48" t="s">
        <v>2525</v>
      </c>
      <c r="N286" s="49"/>
      <c r="O286" s="50" t="s">
        <v>3168</v>
      </c>
      <c r="P286" s="59"/>
      <c r="Q286" s="59"/>
      <c r="R286" s="13"/>
    </row>
    <row r="287" spans="1:18" ht="18" thickBot="1" x14ac:dyDescent="0.35">
      <c r="A287" s="9" t="s">
        <v>11</v>
      </c>
      <c r="B287" s="28">
        <f>IF(ISBLANK(A287),0,INDEX(txtstylestab[],MATCH(A287,txtstylestab[style_Name],0),1))</f>
        <v>2</v>
      </c>
      <c r="C287" s="28">
        <f t="shared" si="16"/>
        <v>1</v>
      </c>
      <c r="D287" s="28">
        <f t="shared" si="17"/>
        <v>15</v>
      </c>
      <c r="E287" s="28">
        <f t="shared" si="18"/>
        <v>0</v>
      </c>
      <c r="F287" s="54" t="str">
        <f t="shared" si="19"/>
        <v>1.15.</v>
      </c>
      <c r="G287" s="54" t="s">
        <v>583</v>
      </c>
      <c r="H287" s="54"/>
      <c r="I287" s="54"/>
      <c r="J287" s="54"/>
      <c r="K287" s="54"/>
      <c r="L287" s="54"/>
      <c r="M287" s="54"/>
      <c r="N287" s="54"/>
      <c r="O287" s="54"/>
      <c r="P287" s="54"/>
      <c r="Q287" s="54"/>
      <c r="R287" s="13"/>
    </row>
    <row r="288" spans="1:18" ht="15.75" thickTop="1" x14ac:dyDescent="0.25">
      <c r="A288" s="9" t="s">
        <v>22</v>
      </c>
      <c r="B288" s="28">
        <f>IF(ISBLANK(A288),0,INDEX(txtstylestab[],MATCH(A288,txtstylestab[style_Name],0),1))</f>
        <v>4</v>
      </c>
      <c r="C288" s="28">
        <f t="shared" si="16"/>
        <v>1</v>
      </c>
      <c r="D288" s="28">
        <f t="shared" si="17"/>
        <v>15</v>
      </c>
      <c r="E288" s="28">
        <f t="shared" si="18"/>
        <v>0</v>
      </c>
      <c r="F288" s="56" t="str">
        <f t="shared" si="19"/>
        <v/>
      </c>
      <c r="G288" s="53" t="s">
        <v>1837</v>
      </c>
      <c r="H288" s="53"/>
      <c r="I288" s="53"/>
      <c r="J288" s="53"/>
      <c r="K288" s="53"/>
      <c r="L288" s="53"/>
      <c r="M288" s="53"/>
      <c r="N288" s="53"/>
      <c r="O288" s="53"/>
      <c r="P288" s="53"/>
      <c r="Q288" s="53"/>
      <c r="R288" s="13"/>
    </row>
    <row r="289" spans="1:18" x14ac:dyDescent="0.25">
      <c r="A289" s="9" t="s">
        <v>21</v>
      </c>
      <c r="B289" s="28">
        <f>IF(ISBLANK(A289),0,INDEX(txtstylestab[],MATCH(A289,txtstylestab[style_Name],0),1))</f>
        <v>0</v>
      </c>
      <c r="C289" s="28">
        <f t="shared" si="16"/>
        <v>1</v>
      </c>
      <c r="D289" s="28">
        <f t="shared" si="17"/>
        <v>15</v>
      </c>
      <c r="E289" s="28">
        <f t="shared" si="18"/>
        <v>0</v>
      </c>
      <c r="F289" s="59" t="str">
        <f t="shared" si="19"/>
        <v/>
      </c>
      <c r="G289" s="42" t="s">
        <v>82</v>
      </c>
      <c r="H289" s="43" t="s">
        <v>83</v>
      </c>
      <c r="I289" s="44" t="s">
        <v>84</v>
      </c>
      <c r="J289" s="45" t="s">
        <v>85</v>
      </c>
      <c r="K289" s="46" t="s">
        <v>86</v>
      </c>
      <c r="L289" s="47" t="s">
        <v>2397</v>
      </c>
      <c r="M289" s="48" t="s">
        <v>2539</v>
      </c>
      <c r="N289" s="49"/>
      <c r="O289" s="50" t="s">
        <v>3359</v>
      </c>
      <c r="P289" s="50"/>
      <c r="Q289" s="59"/>
      <c r="R289" s="13"/>
    </row>
    <row r="290" spans="1:18" ht="150" x14ac:dyDescent="0.25">
      <c r="A290" s="9" t="s">
        <v>21</v>
      </c>
      <c r="B290" s="28">
        <f>IF(ISBLANK(A290),0,INDEX(txtstylestab[],MATCH(A290,txtstylestab[style_Name],0),1))</f>
        <v>0</v>
      </c>
      <c r="C290" s="28">
        <f t="shared" si="16"/>
        <v>1</v>
      </c>
      <c r="D290" s="28">
        <f t="shared" si="17"/>
        <v>15</v>
      </c>
      <c r="E290" s="28">
        <f t="shared" si="18"/>
        <v>0</v>
      </c>
      <c r="F290" s="59" t="str">
        <f t="shared" si="19"/>
        <v/>
      </c>
      <c r="G290" s="42" t="s">
        <v>584</v>
      </c>
      <c r="H290" s="43" t="s">
        <v>2226</v>
      </c>
      <c r="I290" s="44" t="s">
        <v>2249</v>
      </c>
      <c r="J290" s="45" t="s">
        <v>585</v>
      </c>
      <c r="K290" s="46" t="s">
        <v>1717</v>
      </c>
      <c r="L290" s="47" t="s">
        <v>2607</v>
      </c>
      <c r="M290" s="48" t="s">
        <v>2608</v>
      </c>
      <c r="N290" s="49"/>
      <c r="O290" s="50" t="s">
        <v>3371</v>
      </c>
      <c r="P290" s="59"/>
      <c r="Q290" s="59"/>
      <c r="R290" s="13"/>
    </row>
    <row r="291" spans="1:18" ht="90" x14ac:dyDescent="0.25">
      <c r="A291" s="9" t="s">
        <v>21</v>
      </c>
      <c r="B291" s="28">
        <f>IF(ISBLANK(A291),0,INDEX(txtstylestab[],MATCH(A291,txtstylestab[style_Name],0),1))</f>
        <v>0</v>
      </c>
      <c r="C291" s="28">
        <f t="shared" si="16"/>
        <v>1</v>
      </c>
      <c r="D291" s="28">
        <f t="shared" si="17"/>
        <v>15</v>
      </c>
      <c r="E291" s="28">
        <f t="shared" si="18"/>
        <v>0</v>
      </c>
      <c r="F291" s="59" t="str">
        <f t="shared" si="19"/>
        <v/>
      </c>
      <c r="G291" s="42" t="s">
        <v>586</v>
      </c>
      <c r="H291" s="43" t="s">
        <v>587</v>
      </c>
      <c r="I291" s="44" t="s">
        <v>2250</v>
      </c>
      <c r="J291" s="45" t="s">
        <v>588</v>
      </c>
      <c r="K291" s="46" t="s">
        <v>589</v>
      </c>
      <c r="L291" s="47" t="s">
        <v>2609</v>
      </c>
      <c r="M291" s="48" t="s">
        <v>2610</v>
      </c>
      <c r="N291" s="49"/>
      <c r="O291" s="50" t="s">
        <v>3372</v>
      </c>
      <c r="P291" s="59"/>
      <c r="Q291" s="59"/>
      <c r="R291" s="13"/>
    </row>
    <row r="292" spans="1:18" ht="75" x14ac:dyDescent="0.25">
      <c r="A292" s="9" t="s">
        <v>21</v>
      </c>
      <c r="B292" s="28">
        <f>IF(ISBLANK(A292),0,INDEX(txtstylestab[],MATCH(A292,txtstylestab[style_Name],0),1))</f>
        <v>0</v>
      </c>
      <c r="C292" s="28">
        <f t="shared" si="16"/>
        <v>1</v>
      </c>
      <c r="D292" s="28">
        <f t="shared" si="17"/>
        <v>15</v>
      </c>
      <c r="E292" s="28">
        <f t="shared" si="18"/>
        <v>0</v>
      </c>
      <c r="F292" s="59" t="str">
        <f t="shared" si="19"/>
        <v/>
      </c>
      <c r="G292" s="42" t="s">
        <v>590</v>
      </c>
      <c r="H292" s="43" t="s">
        <v>591</v>
      </c>
      <c r="I292" s="44" t="s">
        <v>592</v>
      </c>
      <c r="J292" s="45" t="s">
        <v>593</v>
      </c>
      <c r="K292" s="46" t="s">
        <v>594</v>
      </c>
      <c r="L292" s="47" t="s">
        <v>2611</v>
      </c>
      <c r="M292" s="48" t="s">
        <v>2612</v>
      </c>
      <c r="N292" s="49"/>
      <c r="O292" s="50" t="s">
        <v>3373</v>
      </c>
      <c r="P292" s="59"/>
      <c r="Q292" s="59"/>
      <c r="R292" s="13"/>
    </row>
    <row r="293" spans="1:18" x14ac:dyDescent="0.25">
      <c r="A293" s="9" t="s">
        <v>21</v>
      </c>
      <c r="B293" s="28">
        <f>IF(ISBLANK(A293),0,INDEX(txtstylestab[],MATCH(A293,txtstylestab[style_Name],0),1))</f>
        <v>0</v>
      </c>
      <c r="C293" s="28">
        <f t="shared" si="16"/>
        <v>1</v>
      </c>
      <c r="D293" s="28">
        <f t="shared" si="17"/>
        <v>15</v>
      </c>
      <c r="E293" s="28">
        <f t="shared" si="18"/>
        <v>0</v>
      </c>
      <c r="F293" s="59" t="str">
        <f t="shared" si="19"/>
        <v/>
      </c>
      <c r="G293" s="42" t="s">
        <v>6</v>
      </c>
      <c r="H293" s="43" t="s">
        <v>96</v>
      </c>
      <c r="I293" s="44" t="s">
        <v>48</v>
      </c>
      <c r="J293" s="45" t="s">
        <v>54</v>
      </c>
      <c r="K293" s="46" t="s">
        <v>59</v>
      </c>
      <c r="L293" s="47" t="s">
        <v>2524</v>
      </c>
      <c r="M293" s="48" t="s">
        <v>2525</v>
      </c>
      <c r="N293" s="49"/>
      <c r="O293" s="50" t="s">
        <v>3168</v>
      </c>
      <c r="P293" s="50"/>
      <c r="Q293" s="59"/>
      <c r="R293" s="13"/>
    </row>
    <row r="294" spans="1:18" ht="18" thickBot="1" x14ac:dyDescent="0.35">
      <c r="A294" s="9" t="s">
        <v>11</v>
      </c>
      <c r="B294" s="28">
        <f>IF(ISBLANK(A294),0,INDEX(txtstylestab[],MATCH(A294,txtstylestab[style_Name],0),1))</f>
        <v>2</v>
      </c>
      <c r="C294" s="28">
        <f t="shared" si="16"/>
        <v>1</v>
      </c>
      <c r="D294" s="28">
        <f t="shared" si="17"/>
        <v>16</v>
      </c>
      <c r="E294" s="28">
        <f t="shared" si="18"/>
        <v>0</v>
      </c>
      <c r="F294" s="54" t="str">
        <f t="shared" si="19"/>
        <v>1.16.</v>
      </c>
      <c r="G294" s="54" t="s">
        <v>595</v>
      </c>
      <c r="H294" s="54"/>
      <c r="I294" s="54"/>
      <c r="J294" s="54"/>
      <c r="K294" s="54"/>
      <c r="L294" s="54"/>
      <c r="M294" s="54"/>
      <c r="N294" s="54"/>
      <c r="O294" s="54"/>
      <c r="P294" s="54"/>
      <c r="Q294" s="54"/>
      <c r="R294" s="13"/>
    </row>
    <row r="295" spans="1:18" ht="15.75" thickTop="1" x14ac:dyDescent="0.25">
      <c r="A295" s="9" t="s">
        <v>22</v>
      </c>
      <c r="B295" s="28">
        <f>IF(ISBLANK(A295),0,INDEX(txtstylestab[],MATCH(A295,txtstylestab[style_Name],0),1))</f>
        <v>4</v>
      </c>
      <c r="C295" s="28">
        <f t="shared" si="16"/>
        <v>1</v>
      </c>
      <c r="D295" s="28">
        <f t="shared" si="17"/>
        <v>16</v>
      </c>
      <c r="E295" s="28">
        <f t="shared" si="18"/>
        <v>0</v>
      </c>
      <c r="F295" s="56" t="str">
        <f t="shared" si="19"/>
        <v/>
      </c>
      <c r="G295" s="53" t="s">
        <v>596</v>
      </c>
      <c r="H295" s="53"/>
      <c r="I295" s="53"/>
      <c r="J295" s="53"/>
      <c r="K295" s="53"/>
      <c r="L295" s="53"/>
      <c r="M295" s="53"/>
      <c r="N295" s="53"/>
      <c r="O295" s="53"/>
      <c r="P295" s="53"/>
      <c r="Q295" s="53"/>
      <c r="R295" s="13"/>
    </row>
    <row r="296" spans="1:18" x14ac:dyDescent="0.25">
      <c r="A296" s="9" t="s">
        <v>21</v>
      </c>
      <c r="B296" s="28">
        <f>IF(ISBLANK(A296),0,INDEX(txtstylestab[],MATCH(A296,txtstylestab[style_Name],0),1))</f>
        <v>0</v>
      </c>
      <c r="C296" s="28">
        <f t="shared" si="16"/>
        <v>1</v>
      </c>
      <c r="D296" s="28">
        <f t="shared" si="17"/>
        <v>16</v>
      </c>
      <c r="E296" s="28">
        <f t="shared" si="18"/>
        <v>0</v>
      </c>
      <c r="F296" s="59" t="str">
        <f t="shared" si="19"/>
        <v/>
      </c>
      <c r="G296" s="42" t="s">
        <v>82</v>
      </c>
      <c r="H296" s="43" t="s">
        <v>83</v>
      </c>
      <c r="I296" s="44" t="s">
        <v>84</v>
      </c>
      <c r="J296" s="45" t="s">
        <v>85</v>
      </c>
      <c r="K296" s="46" t="s">
        <v>86</v>
      </c>
      <c r="L296" s="47" t="s">
        <v>2397</v>
      </c>
      <c r="M296" s="48" t="s">
        <v>2539</v>
      </c>
      <c r="N296" s="49"/>
      <c r="O296" s="50" t="s">
        <v>3359</v>
      </c>
      <c r="P296" s="50"/>
      <c r="Q296" s="59"/>
      <c r="R296" s="13"/>
    </row>
    <row r="297" spans="1:18" ht="60" x14ac:dyDescent="0.25">
      <c r="A297" s="9" t="s">
        <v>21</v>
      </c>
      <c r="B297" s="28">
        <f>IF(ISBLANK(A297),0,INDEX(txtstylestab[],MATCH(A297,txtstylestab[style_Name],0),1))</f>
        <v>0</v>
      </c>
      <c r="C297" s="28">
        <f t="shared" si="16"/>
        <v>1</v>
      </c>
      <c r="D297" s="28">
        <f t="shared" si="17"/>
        <v>16</v>
      </c>
      <c r="E297" s="28">
        <f t="shared" si="18"/>
        <v>0</v>
      </c>
      <c r="F297" s="59" t="str">
        <f t="shared" si="19"/>
        <v/>
      </c>
      <c r="G297" s="42" t="s">
        <v>2293</v>
      </c>
      <c r="H297" s="43" t="s">
        <v>2294</v>
      </c>
      <c r="I297" s="44" t="s">
        <v>2295</v>
      </c>
      <c r="J297" s="45" t="s">
        <v>2296</v>
      </c>
      <c r="K297" s="46" t="s">
        <v>2297</v>
      </c>
      <c r="L297" s="47" t="s">
        <v>2613</v>
      </c>
      <c r="M297" s="48" t="s">
        <v>2614</v>
      </c>
      <c r="N297" s="49"/>
      <c r="O297" s="50" t="s">
        <v>3374</v>
      </c>
      <c r="P297" s="59"/>
      <c r="Q297" s="59"/>
      <c r="R297" s="13"/>
    </row>
    <row r="298" spans="1:18" ht="75" x14ac:dyDescent="0.25">
      <c r="A298" s="9" t="s">
        <v>21</v>
      </c>
      <c r="B298" s="28">
        <f>IF(ISBLANK(A298),0,INDEX(txtstylestab[],MATCH(A298,txtstylestab[style_Name],0),1))</f>
        <v>0</v>
      </c>
      <c r="C298" s="28">
        <f t="shared" si="16"/>
        <v>1</v>
      </c>
      <c r="D298" s="28">
        <f t="shared" si="17"/>
        <v>16</v>
      </c>
      <c r="E298" s="28">
        <f t="shared" si="18"/>
        <v>0</v>
      </c>
      <c r="F298" s="59" t="str">
        <f t="shared" si="19"/>
        <v/>
      </c>
      <c r="G298" s="42" t="s">
        <v>597</v>
      </c>
      <c r="H298" s="43" t="s">
        <v>2145</v>
      </c>
      <c r="I298" s="44" t="s">
        <v>2251</v>
      </c>
      <c r="J298" s="45" t="s">
        <v>598</v>
      </c>
      <c r="K298" s="46" t="s">
        <v>599</v>
      </c>
      <c r="L298" s="47" t="s">
        <v>2615</v>
      </c>
      <c r="M298" s="48" t="s">
        <v>2616</v>
      </c>
      <c r="N298" s="49"/>
      <c r="O298" s="50" t="s">
        <v>3375</v>
      </c>
      <c r="P298" s="59"/>
      <c r="Q298" s="59"/>
      <c r="R298" s="13"/>
    </row>
    <row r="299" spans="1:18" x14ac:dyDescent="0.25">
      <c r="A299" s="9" t="s">
        <v>21</v>
      </c>
      <c r="B299" s="28">
        <f>IF(ISBLANK(A299),0,INDEX(txtstylestab[],MATCH(A299,txtstylestab[style_Name],0),1))</f>
        <v>0</v>
      </c>
      <c r="C299" s="28">
        <f t="shared" si="16"/>
        <v>1</v>
      </c>
      <c r="D299" s="28">
        <f t="shared" si="17"/>
        <v>16</v>
      </c>
      <c r="E299" s="28">
        <f t="shared" si="18"/>
        <v>0</v>
      </c>
      <c r="F299" s="59" t="str">
        <f t="shared" si="19"/>
        <v/>
      </c>
      <c r="G299" s="42" t="s">
        <v>6</v>
      </c>
      <c r="H299" s="43" t="s">
        <v>26</v>
      </c>
      <c r="I299" s="44" t="s">
        <v>48</v>
      </c>
      <c r="J299" s="45" t="s">
        <v>54</v>
      </c>
      <c r="K299" s="46" t="s">
        <v>59</v>
      </c>
      <c r="L299" s="47" t="s">
        <v>2524</v>
      </c>
      <c r="M299" s="48" t="s">
        <v>2525</v>
      </c>
      <c r="N299" s="49"/>
      <c r="O299" s="50" t="s">
        <v>3168</v>
      </c>
      <c r="P299" s="50"/>
      <c r="Q299" s="59"/>
      <c r="R299" s="13"/>
    </row>
    <row r="300" spans="1:18" ht="15.75" thickBot="1" x14ac:dyDescent="0.3">
      <c r="A300" s="9" t="s">
        <v>12</v>
      </c>
      <c r="B300" s="28">
        <f>IF(ISBLANK(A300),0,INDEX(txtstylestab[],MATCH(A300,txtstylestab[style_Name],0),1))</f>
        <v>3</v>
      </c>
      <c r="C300" s="28">
        <f t="shared" si="16"/>
        <v>1</v>
      </c>
      <c r="D300" s="28">
        <f t="shared" si="17"/>
        <v>16</v>
      </c>
      <c r="E300" s="28">
        <f t="shared" si="18"/>
        <v>1</v>
      </c>
      <c r="F300" s="55" t="str">
        <f t="shared" si="19"/>
        <v>1.16.1.</v>
      </c>
      <c r="G300" s="55" t="s">
        <v>600</v>
      </c>
      <c r="H300" s="55"/>
      <c r="I300" s="55"/>
      <c r="J300" s="55"/>
      <c r="K300" s="55"/>
      <c r="L300" s="55"/>
      <c r="M300" s="55"/>
      <c r="N300" s="55"/>
      <c r="O300" s="55"/>
      <c r="P300" s="55"/>
      <c r="Q300" s="55"/>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82</v>
      </c>
      <c r="H301" s="43" t="s">
        <v>83</v>
      </c>
      <c r="I301" s="44" t="s">
        <v>84</v>
      </c>
      <c r="J301" s="45" t="s">
        <v>85</v>
      </c>
      <c r="K301" s="46" t="s">
        <v>86</v>
      </c>
      <c r="L301" s="47" t="s">
        <v>2397</v>
      </c>
      <c r="M301" s="48" t="s">
        <v>2539</v>
      </c>
      <c r="N301" s="49"/>
      <c r="O301" s="50" t="s">
        <v>3359</v>
      </c>
      <c r="P301" s="50"/>
      <c r="Q301" s="59"/>
      <c r="R301" s="13"/>
    </row>
    <row r="302" spans="1:18" ht="90" x14ac:dyDescent="0.25">
      <c r="A302" s="9" t="s">
        <v>21</v>
      </c>
      <c r="B302" s="28">
        <f>IF(ISBLANK(A302),0,INDEX(txtstylestab[],MATCH(A302,txtstylestab[style_Name],0),1))</f>
        <v>0</v>
      </c>
      <c r="C302" s="28">
        <f t="shared" si="16"/>
        <v>1</v>
      </c>
      <c r="D302" s="28">
        <f t="shared" si="17"/>
        <v>16</v>
      </c>
      <c r="E302" s="28">
        <f t="shared" si="18"/>
        <v>1</v>
      </c>
      <c r="F302" s="59" t="str">
        <f t="shared" si="19"/>
        <v/>
      </c>
      <c r="G302" s="42" t="s">
        <v>601</v>
      </c>
      <c r="H302" s="43" t="s">
        <v>602</v>
      </c>
      <c r="I302" s="44" t="s">
        <v>603</v>
      </c>
      <c r="J302" s="45" t="s">
        <v>604</v>
      </c>
      <c r="K302" s="46" t="s">
        <v>605</v>
      </c>
      <c r="L302" s="47" t="s">
        <v>2617</v>
      </c>
      <c r="M302" s="48" t="s">
        <v>2618</v>
      </c>
      <c r="N302" s="49"/>
      <c r="O302" s="50" t="s">
        <v>3376</v>
      </c>
      <c r="P302" s="59"/>
      <c r="Q302" s="59"/>
      <c r="R302" s="13"/>
    </row>
    <row r="303" spans="1:18" x14ac:dyDescent="0.25">
      <c r="A303" s="9" t="s">
        <v>21</v>
      </c>
      <c r="B303" s="28">
        <f>IF(ISBLANK(A303),0,INDEX(txtstylestab[],MATCH(A303,txtstylestab[style_Name],0),1))</f>
        <v>0</v>
      </c>
      <c r="C303" s="28">
        <f t="shared" si="16"/>
        <v>1</v>
      </c>
      <c r="D303" s="28">
        <f t="shared" si="17"/>
        <v>16</v>
      </c>
      <c r="E303" s="28">
        <f t="shared" si="18"/>
        <v>1</v>
      </c>
      <c r="F303" s="59" t="str">
        <f t="shared" si="19"/>
        <v/>
      </c>
      <c r="G303" s="42" t="s">
        <v>6</v>
      </c>
      <c r="H303" s="43" t="s">
        <v>26</v>
      </c>
      <c r="I303" s="44" t="s">
        <v>48</v>
      </c>
      <c r="J303" s="45" t="s">
        <v>54</v>
      </c>
      <c r="K303" s="46" t="s">
        <v>59</v>
      </c>
      <c r="L303" s="47" t="s">
        <v>2524</v>
      </c>
      <c r="M303" s="48" t="s">
        <v>2525</v>
      </c>
      <c r="N303" s="49"/>
      <c r="O303" s="50" t="s">
        <v>3168</v>
      </c>
      <c r="P303" s="50"/>
      <c r="Q303" s="59"/>
      <c r="R303" s="13"/>
    </row>
    <row r="304" spans="1:18" ht="15.75" thickBot="1" x14ac:dyDescent="0.3">
      <c r="A304" s="9" t="s">
        <v>12</v>
      </c>
      <c r="B304" s="28">
        <f>IF(ISBLANK(A304),0,INDEX(txtstylestab[],MATCH(A304,txtstylestab[style_Name],0),1))</f>
        <v>3</v>
      </c>
      <c r="C304" s="28">
        <f t="shared" si="16"/>
        <v>1</v>
      </c>
      <c r="D304" s="28">
        <f t="shared" si="17"/>
        <v>16</v>
      </c>
      <c r="E304" s="28">
        <f t="shared" si="18"/>
        <v>2</v>
      </c>
      <c r="F304" s="55" t="str">
        <f t="shared" si="19"/>
        <v>1.16.2.</v>
      </c>
      <c r="G304" s="55" t="s">
        <v>606</v>
      </c>
      <c r="H304" s="55"/>
      <c r="I304" s="55"/>
      <c r="J304" s="55"/>
      <c r="K304" s="55"/>
      <c r="L304" s="55"/>
      <c r="M304" s="55"/>
      <c r="N304" s="55"/>
      <c r="O304" s="55"/>
      <c r="P304" s="55"/>
      <c r="Q304" s="55"/>
      <c r="R304" s="13"/>
    </row>
    <row r="305" spans="1:18" x14ac:dyDescent="0.25">
      <c r="A305" s="9" t="s">
        <v>21</v>
      </c>
      <c r="B305" s="28">
        <f>IF(ISBLANK(A305),0,INDEX(txtstylestab[],MATCH(A305,txtstylestab[style_Name],0),1))</f>
        <v>0</v>
      </c>
      <c r="C305" s="28">
        <f t="shared" si="16"/>
        <v>1</v>
      </c>
      <c r="D305" s="28">
        <f t="shared" si="17"/>
        <v>16</v>
      </c>
      <c r="E305" s="28">
        <f t="shared" si="18"/>
        <v>2</v>
      </c>
      <c r="F305" s="59" t="str">
        <f t="shared" si="19"/>
        <v/>
      </c>
      <c r="G305" s="42" t="s">
        <v>82</v>
      </c>
      <c r="H305" s="43" t="s">
        <v>83</v>
      </c>
      <c r="I305" s="44" t="s">
        <v>84</v>
      </c>
      <c r="J305" s="45" t="s">
        <v>85</v>
      </c>
      <c r="K305" s="46" t="s">
        <v>86</v>
      </c>
      <c r="L305" s="47" t="s">
        <v>2397</v>
      </c>
      <c r="M305" s="48" t="s">
        <v>2539</v>
      </c>
      <c r="N305" s="49"/>
      <c r="O305" s="50" t="s">
        <v>3359</v>
      </c>
      <c r="P305" s="50"/>
      <c r="Q305" s="59"/>
      <c r="R305" s="13"/>
    </row>
    <row r="306" spans="1:18" ht="60" x14ac:dyDescent="0.25">
      <c r="A306" s="9" t="s">
        <v>21</v>
      </c>
      <c r="B306" s="28">
        <f>IF(ISBLANK(A306),0,INDEX(txtstylestab[],MATCH(A306,txtstylestab[style_Name],0),1))</f>
        <v>0</v>
      </c>
      <c r="C306" s="28">
        <f t="shared" si="16"/>
        <v>1</v>
      </c>
      <c r="D306" s="28">
        <f t="shared" si="17"/>
        <v>16</v>
      </c>
      <c r="E306" s="28">
        <f t="shared" si="18"/>
        <v>2</v>
      </c>
      <c r="F306" s="59" t="str">
        <f t="shared" si="19"/>
        <v/>
      </c>
      <c r="G306" s="42" t="s">
        <v>607</v>
      </c>
      <c r="H306" s="43" t="s">
        <v>608</v>
      </c>
      <c r="I306" s="44" t="s">
        <v>609</v>
      </c>
      <c r="J306" s="45" t="s">
        <v>1621</v>
      </c>
      <c r="K306" s="46" t="s">
        <v>610</v>
      </c>
      <c r="L306" s="47" t="s">
        <v>2619</v>
      </c>
      <c r="M306" s="48" t="s">
        <v>2620</v>
      </c>
      <c r="N306" s="49"/>
      <c r="O306" s="50" t="s">
        <v>3377</v>
      </c>
      <c r="P306" s="59"/>
      <c r="Q306" s="59"/>
      <c r="R306" s="13"/>
    </row>
    <row r="307" spans="1:18" ht="90" x14ac:dyDescent="0.25">
      <c r="A307" s="9" t="s">
        <v>21</v>
      </c>
      <c r="B307" s="28">
        <f>IF(ISBLANK(A307),0,INDEX(txtstylestab[],MATCH(A307,txtstylestab[style_Name],0),1))</f>
        <v>0</v>
      </c>
      <c r="C307" s="28">
        <f t="shared" si="16"/>
        <v>1</v>
      </c>
      <c r="D307" s="28">
        <f t="shared" si="17"/>
        <v>16</v>
      </c>
      <c r="E307" s="28">
        <f t="shared" si="18"/>
        <v>2</v>
      </c>
      <c r="F307" s="59" t="str">
        <f t="shared" si="19"/>
        <v/>
      </c>
      <c r="G307" s="42" t="s">
        <v>611</v>
      </c>
      <c r="H307" s="43" t="s">
        <v>612</v>
      </c>
      <c r="I307" s="44" t="s">
        <v>613</v>
      </c>
      <c r="J307" s="45" t="s">
        <v>614</v>
      </c>
      <c r="K307" s="46" t="s">
        <v>2302</v>
      </c>
      <c r="L307" s="47" t="s">
        <v>2621</v>
      </c>
      <c r="M307" s="48" t="s">
        <v>2622</v>
      </c>
      <c r="N307" s="49"/>
      <c r="O307" s="50" t="s">
        <v>3378</v>
      </c>
      <c r="P307" s="59"/>
      <c r="Q307" s="59"/>
      <c r="R307" s="13"/>
    </row>
    <row r="308" spans="1:18" x14ac:dyDescent="0.25">
      <c r="A308" s="9" t="s">
        <v>21</v>
      </c>
      <c r="B308" s="28">
        <f>IF(ISBLANK(A308),0,INDEX(txtstylestab[],MATCH(A308,txtstylestab[style_Name],0),1))</f>
        <v>0</v>
      </c>
      <c r="C308" s="28">
        <f t="shared" si="16"/>
        <v>1</v>
      </c>
      <c r="D308" s="28">
        <f t="shared" si="17"/>
        <v>16</v>
      </c>
      <c r="E308" s="28">
        <f t="shared" si="18"/>
        <v>2</v>
      </c>
      <c r="F308" s="59" t="str">
        <f t="shared" si="19"/>
        <v/>
      </c>
      <c r="G308" s="42" t="s">
        <v>6</v>
      </c>
      <c r="H308" s="43" t="s">
        <v>26</v>
      </c>
      <c r="I308" s="44" t="s">
        <v>48</v>
      </c>
      <c r="J308" s="45" t="s">
        <v>54</v>
      </c>
      <c r="K308" s="46" t="s">
        <v>59</v>
      </c>
      <c r="L308" s="47" t="s">
        <v>2524</v>
      </c>
      <c r="M308" s="48" t="s">
        <v>2525</v>
      </c>
      <c r="N308" s="49"/>
      <c r="O308" s="50" t="s">
        <v>3168</v>
      </c>
      <c r="P308" s="50"/>
      <c r="Q308" s="59"/>
      <c r="R308" s="13"/>
    </row>
    <row r="309" spans="1:18" ht="18" thickBot="1" x14ac:dyDescent="0.35">
      <c r="A309" s="9" t="s">
        <v>11</v>
      </c>
      <c r="B309" s="28">
        <f>IF(ISBLANK(A309),0,INDEX(txtstylestab[],MATCH(A309,txtstylestab[style_Name],0),1))</f>
        <v>2</v>
      </c>
      <c r="C309" s="28">
        <f t="shared" si="16"/>
        <v>1</v>
      </c>
      <c r="D309" s="28">
        <f t="shared" si="17"/>
        <v>17</v>
      </c>
      <c r="E309" s="28">
        <f t="shared" si="18"/>
        <v>0</v>
      </c>
      <c r="F309" s="54" t="str">
        <f t="shared" si="19"/>
        <v>1.17.</v>
      </c>
      <c r="G309" s="54" t="s">
        <v>615</v>
      </c>
      <c r="H309" s="54"/>
      <c r="I309" s="54"/>
      <c r="J309" s="54"/>
      <c r="K309" s="54"/>
      <c r="L309" s="54"/>
      <c r="M309" s="54"/>
      <c r="N309" s="54"/>
      <c r="O309" s="54"/>
      <c r="P309" s="54"/>
      <c r="Q309" s="54"/>
      <c r="R309" s="13"/>
    </row>
    <row r="310" spans="1:18" ht="60.75" thickTop="1" x14ac:dyDescent="0.25">
      <c r="A310" s="9" t="s">
        <v>21</v>
      </c>
      <c r="B310" s="28">
        <f>IF(ISBLANK(A310),0,INDEX(txtstylestab[],MATCH(A310,txtstylestab[style_Name],0),1))</f>
        <v>0</v>
      </c>
      <c r="C310" s="28">
        <f t="shared" si="16"/>
        <v>1</v>
      </c>
      <c r="D310" s="28">
        <f t="shared" si="17"/>
        <v>17</v>
      </c>
      <c r="E310" s="28">
        <f t="shared" si="18"/>
        <v>0</v>
      </c>
      <c r="F310" s="59" t="str">
        <f t="shared" si="19"/>
        <v/>
      </c>
      <c r="G310" s="42" t="s">
        <v>617</v>
      </c>
      <c r="H310" s="43" t="s">
        <v>616</v>
      </c>
      <c r="I310" s="44" t="s">
        <v>618</v>
      </c>
      <c r="J310" s="45" t="s">
        <v>619</v>
      </c>
      <c r="K310" s="46" t="s">
        <v>60</v>
      </c>
      <c r="L310" s="47" t="s">
        <v>2623</v>
      </c>
      <c r="M310" s="48" t="s">
        <v>2624</v>
      </c>
      <c r="N310" s="49"/>
      <c r="O310" s="50" t="s">
        <v>3379</v>
      </c>
      <c r="P310" s="59"/>
      <c r="Q310" s="59"/>
      <c r="R310" s="13"/>
    </row>
    <row r="311" spans="1:18" ht="45" x14ac:dyDescent="0.25">
      <c r="A311" s="9" t="s">
        <v>21</v>
      </c>
      <c r="B311" s="28">
        <f>IF(ISBLANK(A311),0,INDEX(txtstylestab[],MATCH(A311,txtstylestab[style_Name],0),1))</f>
        <v>0</v>
      </c>
      <c r="C311" s="28">
        <f t="shared" si="16"/>
        <v>1</v>
      </c>
      <c r="D311" s="28">
        <f t="shared" si="17"/>
        <v>17</v>
      </c>
      <c r="E311" s="28">
        <f t="shared" si="18"/>
        <v>0</v>
      </c>
      <c r="F311" s="59" t="str">
        <f t="shared" si="19"/>
        <v/>
      </c>
      <c r="G311" s="42" t="s">
        <v>1838</v>
      </c>
      <c r="H311" s="43" t="s">
        <v>1839</v>
      </c>
      <c r="I311" s="44" t="s">
        <v>1840</v>
      </c>
      <c r="J311" s="45" t="s">
        <v>620</v>
      </c>
      <c r="K311" s="46" t="s">
        <v>1841</v>
      </c>
      <c r="L311" s="47" t="s">
        <v>2625</v>
      </c>
      <c r="M311" s="48" t="s">
        <v>2626</v>
      </c>
      <c r="N311" s="49"/>
      <c r="O311" s="50" t="s">
        <v>3491</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1832</v>
      </c>
      <c r="H312" s="43" t="s">
        <v>1833</v>
      </c>
      <c r="I312" s="44" t="s">
        <v>1834</v>
      </c>
      <c r="J312" s="45" t="s">
        <v>2200</v>
      </c>
      <c r="K312" s="46" t="s">
        <v>1835</v>
      </c>
      <c r="L312" s="47" t="s">
        <v>2548</v>
      </c>
      <c r="M312" s="48" t="s">
        <v>2549</v>
      </c>
      <c r="N312" s="49"/>
      <c r="O312" s="50" t="s">
        <v>3482</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1808</v>
      </c>
      <c r="H313" s="43" t="s">
        <v>1810</v>
      </c>
      <c r="I313" s="44" t="s">
        <v>1812</v>
      </c>
      <c r="J313" s="45" t="s">
        <v>1814</v>
      </c>
      <c r="K313" s="46" t="s">
        <v>1816</v>
      </c>
      <c r="L313" s="47" t="s">
        <v>2542</v>
      </c>
      <c r="M313" s="48" t="s">
        <v>2543</v>
      </c>
      <c r="N313" s="49"/>
      <c r="O313" s="50" t="s">
        <v>3483</v>
      </c>
      <c r="P313" s="59"/>
      <c r="Q313" s="59"/>
      <c r="R313" s="13"/>
    </row>
    <row r="314" spans="1:18" x14ac:dyDescent="0.25">
      <c r="A314" s="9" t="s">
        <v>14</v>
      </c>
      <c r="B314" s="28">
        <f>IF(ISBLANK(A314),0,INDEX(txtstylestab[],MATCH(A314,txtstylestab[style_Name],0),1))</f>
        <v>6</v>
      </c>
      <c r="C314" s="28">
        <f t="shared" si="16"/>
        <v>1</v>
      </c>
      <c r="D314" s="28">
        <f t="shared" si="17"/>
        <v>17</v>
      </c>
      <c r="E314" s="28">
        <f t="shared" si="18"/>
        <v>0</v>
      </c>
      <c r="F314" s="59" t="str">
        <f t="shared" si="19"/>
        <v/>
      </c>
      <c r="G314" s="42" t="s">
        <v>1809</v>
      </c>
      <c r="H314" s="43" t="s">
        <v>1811</v>
      </c>
      <c r="I314" s="44" t="s">
        <v>1813</v>
      </c>
      <c r="J314" s="45" t="s">
        <v>1815</v>
      </c>
      <c r="K314" s="46" t="s">
        <v>1817</v>
      </c>
      <c r="L314" s="47" t="s">
        <v>2544</v>
      </c>
      <c r="M314" s="48" t="s">
        <v>2547</v>
      </c>
      <c r="N314" s="49"/>
      <c r="O314" s="50" t="s">
        <v>3484</v>
      </c>
      <c r="P314" s="59"/>
      <c r="Q314" s="59"/>
      <c r="R314" s="13"/>
    </row>
    <row r="315" spans="1:18" x14ac:dyDescent="0.25">
      <c r="A315" s="9" t="s">
        <v>14</v>
      </c>
      <c r="B315" s="28">
        <f>IF(ISBLANK(A315),0,INDEX(txtstylestab[],MATCH(A315,txtstylestab[style_Name],0),1))</f>
        <v>6</v>
      </c>
      <c r="C315" s="28">
        <f t="shared" si="16"/>
        <v>1</v>
      </c>
      <c r="D315" s="28">
        <f t="shared" si="17"/>
        <v>17</v>
      </c>
      <c r="E315" s="28">
        <f t="shared" si="18"/>
        <v>0</v>
      </c>
      <c r="F315" s="59" t="str">
        <f t="shared" si="19"/>
        <v/>
      </c>
      <c r="G315" s="42" t="s">
        <v>1818</v>
      </c>
      <c r="H315" s="43" t="s">
        <v>1819</v>
      </c>
      <c r="I315" s="44" t="s">
        <v>1820</v>
      </c>
      <c r="J315" s="45" t="s">
        <v>1821</v>
      </c>
      <c r="K315" s="46" t="s">
        <v>1822</v>
      </c>
      <c r="L315" s="47" t="s">
        <v>2545</v>
      </c>
      <c r="M315" s="48" t="s">
        <v>2546</v>
      </c>
      <c r="N315" s="49"/>
      <c r="O315" s="50" t="s">
        <v>3481</v>
      </c>
      <c r="P315" s="59"/>
      <c r="Q315" s="59"/>
      <c r="R315" s="13"/>
    </row>
    <row r="316" spans="1:18" x14ac:dyDescent="0.25">
      <c r="A316" s="9" t="s">
        <v>21</v>
      </c>
      <c r="B316" s="28">
        <f>IF(ISBLANK(A316),0,INDEX(txtstylestab[],MATCH(A316,txtstylestab[style_Name],0),1))</f>
        <v>0</v>
      </c>
      <c r="C316" s="28">
        <f t="shared" si="16"/>
        <v>1</v>
      </c>
      <c r="D316" s="28">
        <f t="shared" si="17"/>
        <v>17</v>
      </c>
      <c r="E316" s="28">
        <f t="shared" si="18"/>
        <v>0</v>
      </c>
      <c r="F316" s="59" t="str">
        <f t="shared" si="19"/>
        <v/>
      </c>
      <c r="G316" s="42"/>
      <c r="H316" s="43"/>
      <c r="I316" s="44"/>
      <c r="J316" s="45"/>
      <c r="K316" s="46"/>
      <c r="L316" s="47"/>
      <c r="M316" s="48"/>
      <c r="N316" s="49"/>
      <c r="O316" s="50" t="s">
        <v>3490</v>
      </c>
      <c r="P316" s="59"/>
      <c r="Q316" s="59"/>
      <c r="R316" s="13"/>
    </row>
    <row r="317" spans="1:18" x14ac:dyDescent="0.25">
      <c r="A317" s="9" t="s">
        <v>22</v>
      </c>
      <c r="B317" s="28">
        <f>IF(ISBLANK(A317),0,INDEX(txtstylestab[],MATCH(A317,txtstylestab[style_Name],0),1))</f>
        <v>4</v>
      </c>
      <c r="C317" s="28">
        <f t="shared" si="16"/>
        <v>1</v>
      </c>
      <c r="D317" s="28">
        <f t="shared" si="17"/>
        <v>17</v>
      </c>
      <c r="E317" s="28">
        <f t="shared" si="18"/>
        <v>0</v>
      </c>
      <c r="F317" s="56" t="str">
        <f t="shared" si="19"/>
        <v/>
      </c>
      <c r="G317" s="53" t="s">
        <v>1842</v>
      </c>
      <c r="H317" s="53"/>
      <c r="I317" s="53"/>
      <c r="J317" s="53"/>
      <c r="K317" s="53"/>
      <c r="L317" s="53"/>
      <c r="M317" s="53"/>
      <c r="N317" s="53"/>
      <c r="O317" s="53"/>
      <c r="P317" s="53"/>
      <c r="Q317" s="53"/>
      <c r="R317" s="13"/>
    </row>
    <row r="318" spans="1:18" ht="45" x14ac:dyDescent="0.25">
      <c r="A318" s="9" t="s">
        <v>21</v>
      </c>
      <c r="B318" s="28">
        <f>IF(ISBLANK(A318),0,INDEX(txtstylestab[],MATCH(A318,txtstylestab[style_Name],0),1))</f>
        <v>0</v>
      </c>
      <c r="C318" s="28">
        <f t="shared" si="16"/>
        <v>1</v>
      </c>
      <c r="D318" s="28">
        <f t="shared" si="17"/>
        <v>17</v>
      </c>
      <c r="E318" s="28">
        <f t="shared" si="18"/>
        <v>0</v>
      </c>
      <c r="F318" s="59" t="str">
        <f t="shared" si="19"/>
        <v/>
      </c>
      <c r="G318" s="42" t="s">
        <v>460</v>
      </c>
      <c r="H318" s="43" t="s">
        <v>621</v>
      </c>
      <c r="I318" s="44" t="s">
        <v>622</v>
      </c>
      <c r="J318" s="45" t="s">
        <v>623</v>
      </c>
      <c r="K318" s="46" t="s">
        <v>624</v>
      </c>
      <c r="L318" s="47" t="s">
        <v>2627</v>
      </c>
      <c r="M318" s="48" t="s">
        <v>2628</v>
      </c>
      <c r="N318" s="49"/>
      <c r="O318" s="50" t="s">
        <v>3380</v>
      </c>
      <c r="P318" s="59"/>
      <c r="Q318" s="59"/>
      <c r="R318" s="13"/>
    </row>
    <row r="319" spans="1:18" x14ac:dyDescent="0.25">
      <c r="A319" s="9" t="s">
        <v>21</v>
      </c>
      <c r="B319" s="28">
        <f>IF(ISBLANK(A319),0,INDEX(txtstylestab[],MATCH(A319,txtstylestab[style_Name],0),1))</f>
        <v>0</v>
      </c>
      <c r="C319" s="28">
        <f t="shared" si="16"/>
        <v>1</v>
      </c>
      <c r="D319" s="28">
        <f t="shared" si="17"/>
        <v>17</v>
      </c>
      <c r="E319" s="28">
        <f t="shared" si="18"/>
        <v>0</v>
      </c>
      <c r="F319" s="59" t="str">
        <f t="shared" si="19"/>
        <v/>
      </c>
      <c r="G319" s="42" t="s">
        <v>6</v>
      </c>
      <c r="H319" s="43" t="s">
        <v>26</v>
      </c>
      <c r="I319" s="44" t="s">
        <v>48</v>
      </c>
      <c r="J319" s="45" t="s">
        <v>384</v>
      </c>
      <c r="K319" s="46" t="s">
        <v>59</v>
      </c>
      <c r="L319" s="47" t="s">
        <v>2524</v>
      </c>
      <c r="M319" s="48" t="s">
        <v>2525</v>
      </c>
      <c r="N319" s="49"/>
      <c r="O319" s="50" t="s">
        <v>3168</v>
      </c>
      <c r="P319" s="50"/>
      <c r="Q319" s="59"/>
      <c r="R319" s="13"/>
    </row>
    <row r="320" spans="1:18" ht="18" thickBot="1" x14ac:dyDescent="0.35">
      <c r="A320" s="9" t="s">
        <v>11</v>
      </c>
      <c r="B320" s="28">
        <f>IF(ISBLANK(A320),0,INDEX(txtstylestab[],MATCH(A320,txtstylestab[style_Name],0),1))</f>
        <v>2</v>
      </c>
      <c r="C320" s="28">
        <f t="shared" si="16"/>
        <v>1</v>
      </c>
      <c r="D320" s="28">
        <f t="shared" si="17"/>
        <v>18</v>
      </c>
      <c r="E320" s="28">
        <f t="shared" si="18"/>
        <v>0</v>
      </c>
      <c r="F320" s="54" t="str">
        <f t="shared" si="19"/>
        <v>1.18.</v>
      </c>
      <c r="G320" s="54" t="s">
        <v>625</v>
      </c>
      <c r="H320" s="54"/>
      <c r="I320" s="54"/>
      <c r="J320" s="54"/>
      <c r="K320" s="54"/>
      <c r="L320" s="54"/>
      <c r="M320" s="54"/>
      <c r="N320" s="54"/>
      <c r="O320" s="54"/>
      <c r="P320" s="54"/>
      <c r="Q320" s="54"/>
      <c r="R320" s="13"/>
    </row>
    <row r="321" spans="1:18" ht="16.5" thickTop="1" thickBot="1" x14ac:dyDescent="0.3">
      <c r="A321" s="9" t="s">
        <v>12</v>
      </c>
      <c r="B321" s="28">
        <f>IF(ISBLANK(A321),0,INDEX(txtstylestab[],MATCH(A321,txtstylestab[style_Name],0),1))</f>
        <v>3</v>
      </c>
      <c r="C321" s="28">
        <f t="shared" si="16"/>
        <v>1</v>
      </c>
      <c r="D321" s="28">
        <f t="shared" si="17"/>
        <v>18</v>
      </c>
      <c r="E321" s="28">
        <f t="shared" si="18"/>
        <v>1</v>
      </c>
      <c r="F321" s="55" t="str">
        <f t="shared" si="19"/>
        <v>1.18.1.</v>
      </c>
      <c r="G321" s="55" t="s">
        <v>657</v>
      </c>
      <c r="H321" s="55"/>
      <c r="I321" s="55"/>
      <c r="J321" s="55"/>
      <c r="K321" s="55"/>
      <c r="L321" s="55"/>
      <c r="M321" s="55"/>
      <c r="N321" s="55"/>
      <c r="O321" s="55"/>
      <c r="P321" s="55"/>
      <c r="Q321" s="55"/>
      <c r="R321" s="13"/>
    </row>
    <row r="322" spans="1:18" x14ac:dyDescent="0.25">
      <c r="A322" s="9" t="s">
        <v>21</v>
      </c>
      <c r="B322" s="28">
        <f>IF(ISBLANK(A322),0,INDEX(txtstylestab[],MATCH(A322,txtstylestab[style_Name],0),1))</f>
        <v>0</v>
      </c>
      <c r="C322" s="28">
        <f t="shared" si="16"/>
        <v>1</v>
      </c>
      <c r="D322" s="28">
        <f t="shared" si="17"/>
        <v>18</v>
      </c>
      <c r="E322" s="28">
        <f t="shared" si="18"/>
        <v>1</v>
      </c>
      <c r="F322" s="59" t="str">
        <f t="shared" si="19"/>
        <v/>
      </c>
      <c r="G322" s="42" t="s">
        <v>82</v>
      </c>
      <c r="H322" s="43" t="s">
        <v>83</v>
      </c>
      <c r="I322" s="44" t="s">
        <v>84</v>
      </c>
      <c r="J322" s="45" t="s">
        <v>85</v>
      </c>
      <c r="K322" s="46" t="s">
        <v>86</v>
      </c>
      <c r="L322" s="47" t="s">
        <v>2397</v>
      </c>
      <c r="M322" s="48" t="s">
        <v>2539</v>
      </c>
      <c r="N322" s="49"/>
      <c r="O322" s="76"/>
      <c r="P322" s="50"/>
      <c r="Q322" s="59"/>
      <c r="R322" s="13"/>
    </row>
    <row r="323" spans="1:18" ht="75" x14ac:dyDescent="0.25">
      <c r="A323" s="9" t="s">
        <v>21</v>
      </c>
      <c r="B323" s="28">
        <f>IF(ISBLANK(A323),0,INDEX(txtstylestab[],MATCH(A323,txtstylestab[style_Name],0),1))</f>
        <v>0</v>
      </c>
      <c r="C323" s="28">
        <f t="shared" si="16"/>
        <v>1</v>
      </c>
      <c r="D323" s="28">
        <f t="shared" si="17"/>
        <v>18</v>
      </c>
      <c r="E323" s="28">
        <f t="shared" si="18"/>
        <v>1</v>
      </c>
      <c r="F323" s="59" t="str">
        <f t="shared" si="19"/>
        <v/>
      </c>
      <c r="G323" s="42" t="s">
        <v>626</v>
      </c>
      <c r="H323" s="43" t="s">
        <v>1843</v>
      </c>
      <c r="I323" s="44" t="s">
        <v>627</v>
      </c>
      <c r="J323" s="45" t="s">
        <v>628</v>
      </c>
      <c r="K323" s="46" t="s">
        <v>1718</v>
      </c>
      <c r="L323" s="47" t="s">
        <v>2629</v>
      </c>
      <c r="M323" s="48" t="s">
        <v>2630</v>
      </c>
      <c r="N323" s="49"/>
      <c r="O323" s="49"/>
      <c r="P323" s="50"/>
      <c r="Q323" s="59"/>
      <c r="R323" s="13"/>
    </row>
    <row r="324" spans="1:18" ht="10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629</v>
      </c>
      <c r="H324" s="43" t="s">
        <v>630</v>
      </c>
      <c r="I324" s="44" t="s">
        <v>631</v>
      </c>
      <c r="J324" s="45" t="s">
        <v>632</v>
      </c>
      <c r="K324" s="46" t="s">
        <v>633</v>
      </c>
      <c r="L324" s="47" t="s">
        <v>2631</v>
      </c>
      <c r="M324" s="48" t="s">
        <v>2632</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634</v>
      </c>
      <c r="H325" s="43" t="s">
        <v>2227</v>
      </c>
      <c r="I325" s="44" t="s">
        <v>2252</v>
      </c>
      <c r="J325" s="45" t="s">
        <v>635</v>
      </c>
      <c r="K325" s="46" t="s">
        <v>1719</v>
      </c>
      <c r="L325" s="47" t="s">
        <v>2633</v>
      </c>
      <c r="M325" s="48" t="s">
        <v>2634</v>
      </c>
      <c r="N325" s="49"/>
      <c r="O325" s="49"/>
      <c r="P325" s="50"/>
      <c r="Q325" s="59"/>
      <c r="R325" s="13"/>
    </row>
    <row r="326" spans="1:18" ht="45" x14ac:dyDescent="0.25">
      <c r="A326" s="9" t="s">
        <v>21</v>
      </c>
      <c r="B326" s="28">
        <f>IF(ISBLANK(A326),0,INDEX(txtstylestab[],MATCH(A326,txtstylestab[style_Name],0),1))</f>
        <v>0</v>
      </c>
      <c r="C326" s="28">
        <f t="shared" si="20"/>
        <v>1</v>
      </c>
      <c r="D326" s="28">
        <f t="shared" si="21"/>
        <v>18</v>
      </c>
      <c r="E326" s="28">
        <f t="shared" si="22"/>
        <v>1</v>
      </c>
      <c r="F326" s="59" t="str">
        <f t="shared" si="23"/>
        <v/>
      </c>
      <c r="G326" s="42" t="s">
        <v>636</v>
      </c>
      <c r="H326" s="43" t="s">
        <v>637</v>
      </c>
      <c r="I326" s="44" t="s">
        <v>638</v>
      </c>
      <c r="J326" s="45" t="s">
        <v>639</v>
      </c>
      <c r="K326" s="46" t="s">
        <v>640</v>
      </c>
      <c r="L326" s="47" t="s">
        <v>2635</v>
      </c>
      <c r="M326" s="48" t="s">
        <v>2636</v>
      </c>
      <c r="N326" s="49"/>
      <c r="O326" s="49"/>
      <c r="P326" s="50"/>
      <c r="Q326" s="59"/>
      <c r="R326" s="13"/>
    </row>
    <row r="327" spans="1:18" ht="45" x14ac:dyDescent="0.25">
      <c r="A327" s="9" t="s">
        <v>21</v>
      </c>
      <c r="B327" s="28">
        <f>IF(ISBLANK(A327),0,INDEX(txtstylestab[],MATCH(A327,txtstylestab[style_Name],0),1))</f>
        <v>0</v>
      </c>
      <c r="C327" s="28">
        <f t="shared" si="20"/>
        <v>1</v>
      </c>
      <c r="D327" s="28">
        <f t="shared" si="21"/>
        <v>18</v>
      </c>
      <c r="E327" s="28">
        <f t="shared" si="22"/>
        <v>1</v>
      </c>
      <c r="F327" s="59" t="str">
        <f t="shared" si="23"/>
        <v/>
      </c>
      <c r="G327" s="42" t="s">
        <v>641</v>
      </c>
      <c r="H327" s="43" t="s">
        <v>642</v>
      </c>
      <c r="I327" s="44" t="s">
        <v>643</v>
      </c>
      <c r="J327" s="45" t="s">
        <v>644</v>
      </c>
      <c r="K327" s="46" t="s">
        <v>645</v>
      </c>
      <c r="L327" s="47" t="s">
        <v>2637</v>
      </c>
      <c r="M327" s="48" t="s">
        <v>2638</v>
      </c>
      <c r="N327" s="49"/>
      <c r="O327" s="49"/>
      <c r="P327" s="50"/>
      <c r="Q327" s="59"/>
      <c r="R327" s="13"/>
    </row>
    <row r="328" spans="1:18" x14ac:dyDescent="0.25">
      <c r="A328" s="9" t="s">
        <v>21</v>
      </c>
      <c r="B328" s="28">
        <f>IF(ISBLANK(A328),0,INDEX(txtstylestab[],MATCH(A328,txtstylestab[style_Name],0),1))</f>
        <v>0</v>
      </c>
      <c r="C328" s="28">
        <f t="shared" si="20"/>
        <v>1</v>
      </c>
      <c r="D328" s="28">
        <f t="shared" si="21"/>
        <v>18</v>
      </c>
      <c r="E328" s="28">
        <f t="shared" si="22"/>
        <v>1</v>
      </c>
      <c r="F328" s="59" t="str">
        <f t="shared" si="23"/>
        <v/>
      </c>
      <c r="G328" s="42" t="s">
        <v>6</v>
      </c>
      <c r="H328" s="43" t="s">
        <v>26</v>
      </c>
      <c r="I328" s="44" t="s">
        <v>48</v>
      </c>
      <c r="J328" s="45" t="s">
        <v>384</v>
      </c>
      <c r="K328" s="46" t="s">
        <v>59</v>
      </c>
      <c r="L328" s="47" t="s">
        <v>2524</v>
      </c>
      <c r="M328" s="48" t="s">
        <v>2525</v>
      </c>
      <c r="N328" s="49"/>
      <c r="O328" s="76"/>
      <c r="P328" s="50"/>
      <c r="Q328" s="59"/>
      <c r="R328" s="13"/>
    </row>
    <row r="329" spans="1:18" ht="15.75" thickBot="1" x14ac:dyDescent="0.3">
      <c r="A329" s="9" t="s">
        <v>12</v>
      </c>
      <c r="B329" s="28">
        <f>IF(ISBLANK(A329),0,INDEX(txtstylestab[],MATCH(A329,txtstylestab[style_Name],0),1))</f>
        <v>3</v>
      </c>
      <c r="C329" s="28">
        <f t="shared" si="20"/>
        <v>1</v>
      </c>
      <c r="D329" s="28">
        <f t="shared" si="21"/>
        <v>18</v>
      </c>
      <c r="E329" s="28">
        <f t="shared" si="22"/>
        <v>2</v>
      </c>
      <c r="F329" s="55" t="str">
        <f t="shared" si="23"/>
        <v>1.18.2.</v>
      </c>
      <c r="G329" s="55" t="s">
        <v>646</v>
      </c>
      <c r="H329" s="55"/>
      <c r="I329" s="55"/>
      <c r="J329" s="55"/>
      <c r="K329" s="55"/>
      <c r="L329" s="55"/>
      <c r="M329" s="55"/>
      <c r="N329" s="55"/>
      <c r="O329" s="55"/>
      <c r="P329" s="55"/>
      <c r="Q329" s="55"/>
      <c r="R329" s="13"/>
    </row>
    <row r="330" spans="1:18" x14ac:dyDescent="0.25">
      <c r="A330" s="9" t="s">
        <v>21</v>
      </c>
      <c r="B330" s="28">
        <f>IF(ISBLANK(A330),0,INDEX(txtstylestab[],MATCH(A330,txtstylestab[style_Name],0),1))</f>
        <v>0</v>
      </c>
      <c r="C330" s="28">
        <f t="shared" si="20"/>
        <v>1</v>
      </c>
      <c r="D330" s="28">
        <f t="shared" si="21"/>
        <v>18</v>
      </c>
      <c r="E330" s="28">
        <f t="shared" si="22"/>
        <v>2</v>
      </c>
      <c r="F330" s="59" t="str">
        <f t="shared" si="23"/>
        <v/>
      </c>
      <c r="G330" s="42" t="s">
        <v>82</v>
      </c>
      <c r="H330" s="43" t="s">
        <v>83</v>
      </c>
      <c r="I330" s="44" t="s">
        <v>84</v>
      </c>
      <c r="J330" s="45" t="s">
        <v>85</v>
      </c>
      <c r="K330" s="46" t="s">
        <v>86</v>
      </c>
      <c r="L330" s="47" t="s">
        <v>2397</v>
      </c>
      <c r="M330" s="48" t="s">
        <v>2539</v>
      </c>
      <c r="N330" s="49"/>
      <c r="O330" s="50" t="s">
        <v>3359</v>
      </c>
      <c r="P330" s="50"/>
      <c r="Q330" s="59"/>
      <c r="R330" s="13"/>
    </row>
    <row r="331" spans="1:18" ht="105" x14ac:dyDescent="0.25">
      <c r="A331" s="9" t="s">
        <v>21</v>
      </c>
      <c r="B331" s="28">
        <f>IF(ISBLANK(A331),0,INDEX(txtstylestab[],MATCH(A331,txtstylestab[style_Name],0),1))</f>
        <v>0</v>
      </c>
      <c r="C331" s="28">
        <f t="shared" si="20"/>
        <v>1</v>
      </c>
      <c r="D331" s="28">
        <f t="shared" si="21"/>
        <v>18</v>
      </c>
      <c r="E331" s="28">
        <f t="shared" si="22"/>
        <v>2</v>
      </c>
      <c r="F331" s="59" t="str">
        <f t="shared" si="23"/>
        <v/>
      </c>
      <c r="G331" s="42" t="s">
        <v>1844</v>
      </c>
      <c r="H331" s="43" t="s">
        <v>1845</v>
      </c>
      <c r="I331" s="44" t="s">
        <v>1847</v>
      </c>
      <c r="J331" s="45" t="s">
        <v>647</v>
      </c>
      <c r="K331" s="46" t="s">
        <v>1846</v>
      </c>
      <c r="L331" s="47" t="s">
        <v>2650</v>
      </c>
      <c r="M331" s="48" t="s">
        <v>2639</v>
      </c>
      <c r="N331" s="49"/>
      <c r="O331" s="50" t="s">
        <v>3381</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1848</v>
      </c>
      <c r="H332" s="43" t="s">
        <v>1852</v>
      </c>
      <c r="I332" s="44" t="s">
        <v>1856</v>
      </c>
      <c r="J332" s="45" t="s">
        <v>1859</v>
      </c>
      <c r="K332" s="46" t="s">
        <v>1863</v>
      </c>
      <c r="L332" s="47" t="s">
        <v>2640</v>
      </c>
      <c r="M332" s="48" t="s">
        <v>2641</v>
      </c>
      <c r="N332" s="49"/>
      <c r="O332" s="50" t="s">
        <v>3382</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1849</v>
      </c>
      <c r="H333" s="43" t="s">
        <v>1853</v>
      </c>
      <c r="I333" s="44" t="s">
        <v>648</v>
      </c>
      <c r="J333" s="45" t="s">
        <v>1860</v>
      </c>
      <c r="K333" s="46" t="s">
        <v>1864</v>
      </c>
      <c r="L333" s="47" t="s">
        <v>2642</v>
      </c>
      <c r="M333" s="48" t="s">
        <v>2643</v>
      </c>
      <c r="N333" s="49"/>
      <c r="O333" s="50" t="s">
        <v>3383</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1850</v>
      </c>
      <c r="H334" s="43" t="s">
        <v>1854</v>
      </c>
      <c r="I334" s="44" t="s">
        <v>1857</v>
      </c>
      <c r="J334" s="45" t="s">
        <v>1861</v>
      </c>
      <c r="K334" s="46" t="s">
        <v>1865</v>
      </c>
      <c r="L334" s="47" t="s">
        <v>2644</v>
      </c>
      <c r="M334" s="48" t="s">
        <v>2645</v>
      </c>
      <c r="N334" s="49"/>
      <c r="O334" s="50" t="s">
        <v>3384</v>
      </c>
      <c r="P334" s="59"/>
      <c r="Q334" s="59"/>
      <c r="R334" s="13"/>
    </row>
    <row r="335" spans="1:18" x14ac:dyDescent="0.25">
      <c r="A335" s="9" t="s">
        <v>14</v>
      </c>
      <c r="B335" s="28">
        <f>IF(ISBLANK(A335),0,INDEX(txtstylestab[],MATCH(A335,txtstylestab[style_Name],0),1))</f>
        <v>6</v>
      </c>
      <c r="C335" s="28">
        <f t="shared" si="20"/>
        <v>1</v>
      </c>
      <c r="D335" s="28">
        <f t="shared" si="21"/>
        <v>18</v>
      </c>
      <c r="E335" s="28">
        <f t="shared" si="22"/>
        <v>2</v>
      </c>
      <c r="F335" s="59" t="str">
        <f t="shared" si="23"/>
        <v/>
      </c>
      <c r="G335" s="42" t="s">
        <v>1851</v>
      </c>
      <c r="H335" s="43" t="s">
        <v>1855</v>
      </c>
      <c r="I335" s="44" t="s">
        <v>1858</v>
      </c>
      <c r="J335" s="45" t="s">
        <v>1862</v>
      </c>
      <c r="K335" s="46" t="s">
        <v>1866</v>
      </c>
      <c r="L335" s="47" t="s">
        <v>2646</v>
      </c>
      <c r="M335" s="48" t="s">
        <v>2647</v>
      </c>
      <c r="N335" s="49"/>
      <c r="O335" s="50" t="s">
        <v>3385</v>
      </c>
      <c r="P335" s="59"/>
      <c r="Q335" s="59"/>
      <c r="R335" s="13"/>
    </row>
    <row r="336" spans="1:18" x14ac:dyDescent="0.25">
      <c r="A336" s="9" t="s">
        <v>14</v>
      </c>
      <c r="B336" s="28">
        <f>IF(ISBLANK(A336),0,INDEX(txtstylestab[],MATCH(A336,txtstylestab[style_Name],0),1))</f>
        <v>6</v>
      </c>
      <c r="C336" s="28">
        <f t="shared" si="20"/>
        <v>1</v>
      </c>
      <c r="D336" s="28">
        <f t="shared" si="21"/>
        <v>18</v>
      </c>
      <c r="E336" s="28">
        <f t="shared" si="22"/>
        <v>2</v>
      </c>
      <c r="F336" s="59" t="str">
        <f t="shared" si="23"/>
        <v/>
      </c>
      <c r="G336" s="42" t="s">
        <v>1867</v>
      </c>
      <c r="H336" s="43" t="s">
        <v>1868</v>
      </c>
      <c r="I336" s="44" t="s">
        <v>1869</v>
      </c>
      <c r="J336" s="45" t="s">
        <v>1870</v>
      </c>
      <c r="K336" s="46" t="s">
        <v>1871</v>
      </c>
      <c r="L336" s="47" t="s">
        <v>2648</v>
      </c>
      <c r="M336" s="48" t="s">
        <v>2649</v>
      </c>
      <c r="N336" s="49"/>
      <c r="O336" s="50" t="s">
        <v>3386</v>
      </c>
      <c r="P336" s="59"/>
      <c r="Q336" s="59"/>
      <c r="R336" s="13"/>
    </row>
    <row r="337" spans="1:18" x14ac:dyDescent="0.25">
      <c r="A337" s="9" t="s">
        <v>21</v>
      </c>
      <c r="B337" s="28">
        <f>IF(ISBLANK(A337),0,INDEX(txtstylestab[],MATCH(A337,txtstylestab[style_Name],0),1))</f>
        <v>0</v>
      </c>
      <c r="C337" s="28">
        <f t="shared" si="20"/>
        <v>1</v>
      </c>
      <c r="D337" s="28">
        <f t="shared" si="21"/>
        <v>18</v>
      </c>
      <c r="E337" s="28">
        <f t="shared" si="22"/>
        <v>2</v>
      </c>
      <c r="F337" s="59" t="str">
        <f t="shared" si="23"/>
        <v/>
      </c>
      <c r="G337" s="42"/>
      <c r="H337" s="43"/>
      <c r="I337" s="44"/>
      <c r="J337" s="45"/>
      <c r="K337" s="46"/>
      <c r="L337" s="47"/>
      <c r="M337" s="48"/>
      <c r="N337" s="49"/>
      <c r="O337" s="50" t="s">
        <v>3387</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654</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655</v>
      </c>
      <c r="H339" s="43" t="s">
        <v>656</v>
      </c>
      <c r="I339" s="44" t="s">
        <v>1604</v>
      </c>
      <c r="J339" s="45" t="s">
        <v>1605</v>
      </c>
      <c r="K339" s="46" t="s">
        <v>1721</v>
      </c>
      <c r="L339" s="47" t="s">
        <v>2653</v>
      </c>
      <c r="M339" s="48" t="s">
        <v>2654</v>
      </c>
      <c r="N339" s="49"/>
      <c r="O339" s="50" t="s">
        <v>3388</v>
      </c>
      <c r="P339" s="59"/>
      <c r="Q339" s="59"/>
      <c r="R339" s="13"/>
    </row>
    <row r="340" spans="1:18" x14ac:dyDescent="0.25">
      <c r="A340" s="9" t="s">
        <v>22</v>
      </c>
      <c r="B340" s="28">
        <f>IF(ISBLANK(A340),0,INDEX(txtstylestab[],MATCH(A340,txtstylestab[style_Name],0),1))</f>
        <v>4</v>
      </c>
      <c r="C340" s="28">
        <f t="shared" si="20"/>
        <v>1</v>
      </c>
      <c r="D340" s="28">
        <f t="shared" si="21"/>
        <v>18</v>
      </c>
      <c r="E340" s="28">
        <f t="shared" si="22"/>
        <v>2</v>
      </c>
      <c r="F340" s="56" t="str">
        <f t="shared" si="23"/>
        <v/>
      </c>
      <c r="G340" s="53" t="s">
        <v>649</v>
      </c>
      <c r="H340" s="53"/>
      <c r="I340" s="53"/>
      <c r="J340" s="53"/>
      <c r="K340" s="53"/>
      <c r="L340" s="53"/>
      <c r="M340" s="53"/>
      <c r="N340" s="53"/>
      <c r="O340" s="53"/>
      <c r="P340" s="53"/>
      <c r="Q340" s="53"/>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650</v>
      </c>
      <c r="H341" s="43" t="s">
        <v>651</v>
      </c>
      <c r="I341" s="44" t="s">
        <v>652</v>
      </c>
      <c r="J341" s="45" t="s">
        <v>653</v>
      </c>
      <c r="K341" s="46" t="s">
        <v>1720</v>
      </c>
      <c r="L341" s="47" t="s">
        <v>2651</v>
      </c>
      <c r="M341" s="48" t="s">
        <v>2652</v>
      </c>
      <c r="N341" s="49"/>
      <c r="O341" s="50" t="s">
        <v>3389</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636</v>
      </c>
      <c r="H342" s="43" t="s">
        <v>637</v>
      </c>
      <c r="I342" s="44" t="s">
        <v>638</v>
      </c>
      <c r="J342" s="45" t="s">
        <v>658</v>
      </c>
      <c r="K342" s="46" t="s">
        <v>640</v>
      </c>
      <c r="L342" s="47" t="s">
        <v>2655</v>
      </c>
      <c r="M342" s="48" t="s">
        <v>2656</v>
      </c>
      <c r="N342" s="49"/>
      <c r="O342" s="50" t="s">
        <v>3390</v>
      </c>
      <c r="P342" s="59"/>
      <c r="Q342" s="59"/>
      <c r="R342" s="13"/>
    </row>
    <row r="343" spans="1:18" ht="60" x14ac:dyDescent="0.25">
      <c r="A343" s="9" t="s">
        <v>21</v>
      </c>
      <c r="B343" s="28">
        <f>IF(ISBLANK(A343),0,INDEX(txtstylestab[],MATCH(A343,txtstylestab[style_Name],0),1))</f>
        <v>0</v>
      </c>
      <c r="C343" s="28">
        <f t="shared" si="20"/>
        <v>1</v>
      </c>
      <c r="D343" s="28">
        <f t="shared" si="21"/>
        <v>18</v>
      </c>
      <c r="E343" s="28">
        <f t="shared" si="22"/>
        <v>2</v>
      </c>
      <c r="F343" s="59" t="str">
        <f t="shared" si="23"/>
        <v/>
      </c>
      <c r="G343" s="42" t="s">
        <v>2307</v>
      </c>
      <c r="H343" s="43" t="s">
        <v>2308</v>
      </c>
      <c r="I343" s="44" t="s">
        <v>2309</v>
      </c>
      <c r="J343" s="45" t="s">
        <v>2310</v>
      </c>
      <c r="K343" s="46" t="s">
        <v>2311</v>
      </c>
      <c r="L343" s="47" t="s">
        <v>2658</v>
      </c>
      <c r="M343" s="48" t="s">
        <v>2659</v>
      </c>
      <c r="N343" s="49"/>
      <c r="O343" s="50" t="s">
        <v>3391</v>
      </c>
      <c r="P343" s="59"/>
      <c r="Q343" s="59"/>
      <c r="R343" s="13"/>
    </row>
    <row r="344" spans="1:18" ht="45" x14ac:dyDescent="0.25">
      <c r="A344" s="9" t="s">
        <v>21</v>
      </c>
      <c r="B344" s="28">
        <f>IF(ISBLANK(A344),0,INDEX(txtstylestab[],MATCH(A344,txtstylestab[style_Name],0),1))</f>
        <v>0</v>
      </c>
      <c r="C344" s="28">
        <f t="shared" si="20"/>
        <v>1</v>
      </c>
      <c r="D344" s="28">
        <f t="shared" si="21"/>
        <v>18</v>
      </c>
      <c r="E344" s="28">
        <f t="shared" si="22"/>
        <v>2</v>
      </c>
      <c r="F344" s="59" t="str">
        <f t="shared" si="23"/>
        <v/>
      </c>
      <c r="G344" s="42" t="s">
        <v>641</v>
      </c>
      <c r="H344" s="43" t="s">
        <v>642</v>
      </c>
      <c r="I344" s="44" t="s">
        <v>643</v>
      </c>
      <c r="J344" s="45" t="s">
        <v>644</v>
      </c>
      <c r="K344" s="46" t="s">
        <v>659</v>
      </c>
      <c r="L344" s="47" t="s">
        <v>2657</v>
      </c>
      <c r="M344" s="48" t="s">
        <v>2638</v>
      </c>
      <c r="N344" s="49"/>
      <c r="O344" s="50" t="s">
        <v>3392</v>
      </c>
      <c r="P344" s="59"/>
      <c r="Q344" s="59"/>
      <c r="R344" s="13"/>
    </row>
    <row r="345" spans="1:18" x14ac:dyDescent="0.25">
      <c r="A345" s="9" t="s">
        <v>21</v>
      </c>
      <c r="B345" s="28">
        <f>IF(ISBLANK(A345),0,INDEX(txtstylestab[],MATCH(A345,txtstylestab[style_Name],0),1))</f>
        <v>0</v>
      </c>
      <c r="C345" s="28">
        <f t="shared" si="20"/>
        <v>1</v>
      </c>
      <c r="D345" s="28">
        <f t="shared" si="21"/>
        <v>18</v>
      </c>
      <c r="E345" s="28">
        <f t="shared" si="22"/>
        <v>2</v>
      </c>
      <c r="F345" s="59" t="str">
        <f t="shared" si="23"/>
        <v/>
      </c>
      <c r="G345" s="42" t="s">
        <v>6</v>
      </c>
      <c r="H345" s="43" t="s">
        <v>26</v>
      </c>
      <c r="I345" s="44" t="s">
        <v>48</v>
      </c>
      <c r="J345" s="45" t="s">
        <v>54</v>
      </c>
      <c r="K345" s="46" t="s">
        <v>59</v>
      </c>
      <c r="L345" s="47" t="s">
        <v>2524</v>
      </c>
      <c r="M345" s="48" t="s">
        <v>2525</v>
      </c>
      <c r="N345" s="49"/>
      <c r="O345" s="50" t="s">
        <v>3168</v>
      </c>
      <c r="P345" s="50"/>
      <c r="Q345" s="59"/>
      <c r="R345" s="13"/>
    </row>
    <row r="346" spans="1:18" x14ac:dyDescent="0.25">
      <c r="A346" s="9" t="s">
        <v>13</v>
      </c>
      <c r="B346" s="28">
        <f>IF(ISBLANK(A346),0,INDEX(txtstylestab[],MATCH(A346,txtstylestab[style_Name],0),1))</f>
        <v>7</v>
      </c>
      <c r="C346" s="28">
        <f t="shared" si="20"/>
        <v>1</v>
      </c>
      <c r="D346" s="28">
        <f t="shared" si="21"/>
        <v>18</v>
      </c>
      <c r="E346" s="28">
        <f t="shared" si="22"/>
        <v>2</v>
      </c>
      <c r="F346" s="78" t="str">
        <f t="shared" si="23"/>
        <v/>
      </c>
      <c r="G346" s="78" t="s">
        <v>660</v>
      </c>
      <c r="H346" s="78"/>
      <c r="I346" s="78"/>
      <c r="J346" s="78"/>
      <c r="K346" s="78"/>
      <c r="L346" s="78"/>
      <c r="M346" s="78"/>
      <c r="N346" s="78"/>
      <c r="O346" s="78"/>
      <c r="P346" s="78"/>
      <c r="Q346" s="78"/>
      <c r="R346" s="13"/>
    </row>
    <row r="347" spans="1:18" ht="18" thickBot="1" x14ac:dyDescent="0.35">
      <c r="A347" s="9" t="s">
        <v>11</v>
      </c>
      <c r="B347" s="28">
        <f>IF(ISBLANK(A347),0,INDEX(txtstylestab[],MATCH(A347,txtstylestab[style_Name],0),1))</f>
        <v>2</v>
      </c>
      <c r="C347" s="28">
        <f t="shared" si="20"/>
        <v>1</v>
      </c>
      <c r="D347" s="28">
        <f t="shared" si="21"/>
        <v>19</v>
      </c>
      <c r="E347" s="28">
        <f t="shared" si="22"/>
        <v>0</v>
      </c>
      <c r="F347" s="54" t="str">
        <f t="shared" si="23"/>
        <v>1.19.</v>
      </c>
      <c r="G347" s="54" t="s">
        <v>1882</v>
      </c>
      <c r="H347" s="54"/>
      <c r="I347" s="54"/>
      <c r="J347" s="54"/>
      <c r="K347" s="54"/>
      <c r="L347" s="47"/>
      <c r="M347" s="47"/>
      <c r="N347" s="54"/>
      <c r="O347" s="54"/>
      <c r="P347" s="54"/>
      <c r="Q347" s="54"/>
      <c r="R347" s="13"/>
    </row>
    <row r="348" spans="1:18" ht="15.75" thickTop="1" x14ac:dyDescent="0.25">
      <c r="A348" s="9" t="s">
        <v>21</v>
      </c>
      <c r="B348" s="28">
        <f>IF(ISBLANK(A348),0,INDEX(txtstylestab[],MATCH(A348,txtstylestab[style_Name],0),1))</f>
        <v>0</v>
      </c>
      <c r="C348" s="28">
        <f t="shared" si="20"/>
        <v>1</v>
      </c>
      <c r="D348" s="28">
        <f t="shared" si="21"/>
        <v>19</v>
      </c>
      <c r="E348" s="28">
        <f t="shared" si="22"/>
        <v>0</v>
      </c>
      <c r="F348" s="59" t="str">
        <f t="shared" si="23"/>
        <v/>
      </c>
      <c r="G348" s="42" t="s">
        <v>82</v>
      </c>
      <c r="H348" s="43" t="s">
        <v>83</v>
      </c>
      <c r="I348" s="44" t="s">
        <v>84</v>
      </c>
      <c r="J348" s="45" t="s">
        <v>85</v>
      </c>
      <c r="K348" s="46" t="s">
        <v>86</v>
      </c>
      <c r="L348" s="47" t="s">
        <v>2397</v>
      </c>
      <c r="M348" s="48" t="s">
        <v>2539</v>
      </c>
      <c r="N348" s="49"/>
      <c r="O348" s="50" t="s">
        <v>3359</v>
      </c>
      <c r="P348" s="50"/>
      <c r="Q348" s="59"/>
      <c r="R348" s="13"/>
    </row>
    <row r="349" spans="1:18" ht="30" x14ac:dyDescent="0.25">
      <c r="A349" s="9" t="s">
        <v>21</v>
      </c>
      <c r="B349" s="28">
        <f>IF(ISBLANK(A349),0,INDEX(txtstylestab[],MATCH(A349,txtstylestab[style_Name],0),1))</f>
        <v>0</v>
      </c>
      <c r="C349" s="28">
        <f t="shared" si="20"/>
        <v>1</v>
      </c>
      <c r="D349" s="28">
        <f t="shared" si="21"/>
        <v>19</v>
      </c>
      <c r="E349" s="28">
        <f t="shared" si="22"/>
        <v>0</v>
      </c>
      <c r="F349" s="59" t="str">
        <f t="shared" si="23"/>
        <v/>
      </c>
      <c r="G349" s="42" t="s">
        <v>661</v>
      </c>
      <c r="H349" s="43" t="s">
        <v>662</v>
      </c>
      <c r="I349" s="44" t="s">
        <v>2233</v>
      </c>
      <c r="J349" s="45" t="s">
        <v>663</v>
      </c>
      <c r="K349" s="46" t="s">
        <v>664</v>
      </c>
      <c r="L349" s="47" t="s">
        <v>2660</v>
      </c>
      <c r="M349" s="48" t="s">
        <v>2661</v>
      </c>
      <c r="N349" s="49"/>
      <c r="O349" s="50" t="s">
        <v>3393</v>
      </c>
      <c r="P349" s="59"/>
      <c r="Q349" s="59"/>
      <c r="R349" s="13"/>
    </row>
    <row r="350" spans="1:18" ht="75" x14ac:dyDescent="0.25">
      <c r="A350" s="9" t="s">
        <v>21</v>
      </c>
      <c r="B350" s="28">
        <f>IF(ISBLANK(A350),0,INDEX(txtstylestab[],MATCH(A350,txtstylestab[style_Name],0),1))</f>
        <v>0</v>
      </c>
      <c r="C350" s="28">
        <f t="shared" si="20"/>
        <v>1</v>
      </c>
      <c r="D350" s="28">
        <f t="shared" si="21"/>
        <v>19</v>
      </c>
      <c r="E350" s="28">
        <f t="shared" si="22"/>
        <v>0</v>
      </c>
      <c r="F350" s="59" t="str">
        <f t="shared" si="23"/>
        <v/>
      </c>
      <c r="G350" s="42" t="s">
        <v>665</v>
      </c>
      <c r="H350" s="43" t="s">
        <v>2228</v>
      </c>
      <c r="I350" s="44" t="s">
        <v>2253</v>
      </c>
      <c r="J350" s="45" t="s">
        <v>666</v>
      </c>
      <c r="K350" s="46" t="s">
        <v>667</v>
      </c>
      <c r="L350" s="47" t="s">
        <v>2662</v>
      </c>
      <c r="M350" s="48" t="s">
        <v>2663</v>
      </c>
      <c r="N350" s="49"/>
      <c r="O350" s="50" t="s">
        <v>3394</v>
      </c>
      <c r="P350" s="59"/>
      <c r="Q350" s="59"/>
      <c r="R350" s="13"/>
    </row>
    <row r="351" spans="1:18" x14ac:dyDescent="0.25">
      <c r="A351" s="9" t="s">
        <v>21</v>
      </c>
      <c r="B351" s="28">
        <f>IF(ISBLANK(A351),0,INDEX(txtstylestab[],MATCH(A351,txtstylestab[style_Name],0),1))</f>
        <v>0</v>
      </c>
      <c r="C351" s="28">
        <f t="shared" si="20"/>
        <v>1</v>
      </c>
      <c r="D351" s="28">
        <f t="shared" si="21"/>
        <v>19</v>
      </c>
      <c r="E351" s="28">
        <f t="shared" si="22"/>
        <v>0</v>
      </c>
      <c r="F351" s="59" t="str">
        <f t="shared" si="23"/>
        <v/>
      </c>
      <c r="G351" s="42" t="s">
        <v>6</v>
      </c>
      <c r="H351" s="43" t="s">
        <v>26</v>
      </c>
      <c r="I351" s="44" t="s">
        <v>48</v>
      </c>
      <c r="J351" s="45" t="s">
        <v>54</v>
      </c>
      <c r="K351" s="46" t="s">
        <v>59</v>
      </c>
      <c r="L351" s="47" t="s">
        <v>2524</v>
      </c>
      <c r="M351" s="48" t="s">
        <v>2525</v>
      </c>
      <c r="N351" s="49"/>
      <c r="O351" s="50" t="s">
        <v>3168</v>
      </c>
      <c r="P351" s="50"/>
      <c r="Q351" s="59"/>
      <c r="R351" s="13"/>
    </row>
    <row r="352" spans="1:18" ht="18" thickBot="1" x14ac:dyDescent="0.35">
      <c r="A352" s="9" t="s">
        <v>11</v>
      </c>
      <c r="B352" s="28">
        <f>IF(ISBLANK(A352),0,INDEX(txtstylestab[],MATCH(A352,txtstylestab[style_Name],0),1))</f>
        <v>2</v>
      </c>
      <c r="C352" s="28">
        <f t="shared" si="20"/>
        <v>1</v>
      </c>
      <c r="D352" s="28">
        <f t="shared" si="21"/>
        <v>20</v>
      </c>
      <c r="E352" s="28">
        <f t="shared" si="22"/>
        <v>0</v>
      </c>
      <c r="F352" s="54" t="str">
        <f t="shared" si="23"/>
        <v>1.20.</v>
      </c>
      <c r="G352" s="54" t="s">
        <v>668</v>
      </c>
      <c r="H352" s="54"/>
      <c r="I352" s="54"/>
      <c r="J352" s="54"/>
      <c r="K352" s="54"/>
      <c r="L352" s="54"/>
      <c r="M352" s="54"/>
      <c r="N352" s="54"/>
      <c r="O352" s="54"/>
      <c r="P352" s="54"/>
      <c r="Q352" s="54"/>
      <c r="R352" s="13"/>
    </row>
    <row r="353" spans="1:18" ht="16.5" thickTop="1" thickBot="1" x14ac:dyDescent="0.3">
      <c r="A353" s="9" t="s">
        <v>12</v>
      </c>
      <c r="B353" s="28">
        <f>IF(ISBLANK(A353),0,INDEX(txtstylestab[],MATCH(A353,txtstylestab[style_Name],0),1))</f>
        <v>3</v>
      </c>
      <c r="C353" s="28">
        <f t="shared" si="20"/>
        <v>1</v>
      </c>
      <c r="D353" s="28">
        <f t="shared" si="21"/>
        <v>20</v>
      </c>
      <c r="E353" s="28">
        <f t="shared" si="22"/>
        <v>1</v>
      </c>
      <c r="F353" s="55" t="str">
        <f t="shared" si="23"/>
        <v>1.20.1.</v>
      </c>
      <c r="G353" s="55" t="s">
        <v>669</v>
      </c>
      <c r="H353" s="55"/>
      <c r="I353" s="55"/>
      <c r="J353" s="55"/>
      <c r="K353" s="55"/>
      <c r="L353" s="55"/>
      <c r="M353" s="55"/>
      <c r="N353" s="55"/>
      <c r="O353" s="55"/>
      <c r="P353" s="55"/>
      <c r="Q353" s="55"/>
      <c r="R353" s="13"/>
    </row>
    <row r="354" spans="1:18" ht="60" x14ac:dyDescent="0.25">
      <c r="A354" s="9" t="s">
        <v>21</v>
      </c>
      <c r="B354" s="28">
        <f>IF(ISBLANK(A354),0,INDEX(txtstylestab[],MATCH(A354,txtstylestab[style_Name],0),1))</f>
        <v>0</v>
      </c>
      <c r="C354" s="28">
        <f t="shared" si="20"/>
        <v>1</v>
      </c>
      <c r="D354" s="28">
        <f t="shared" si="21"/>
        <v>20</v>
      </c>
      <c r="E354" s="28">
        <f t="shared" si="22"/>
        <v>1</v>
      </c>
      <c r="F354" s="59" t="str">
        <f t="shared" si="23"/>
        <v/>
      </c>
      <c r="G354" s="42" t="s">
        <v>1872</v>
      </c>
      <c r="H354" s="43" t="s">
        <v>1873</v>
      </c>
      <c r="I354" s="44" t="s">
        <v>1874</v>
      </c>
      <c r="J354" s="45" t="s">
        <v>1875</v>
      </c>
      <c r="K354" s="46" t="s">
        <v>1876</v>
      </c>
      <c r="L354" s="47" t="s">
        <v>2664</v>
      </c>
      <c r="M354" s="48" t="s">
        <v>2665</v>
      </c>
      <c r="N354" s="49"/>
      <c r="O354" s="50" t="s">
        <v>3395</v>
      </c>
      <c r="P354" s="59"/>
      <c r="Q354" s="59"/>
      <c r="R354" s="13"/>
    </row>
    <row r="355" spans="1:18" ht="105" x14ac:dyDescent="0.25">
      <c r="A355" s="9" t="s">
        <v>14</v>
      </c>
      <c r="B355" s="28">
        <f>IF(ISBLANK(A355),0,INDEX(txtstylestab[],MATCH(A355,txtstylestab[style_Name],0),1))</f>
        <v>6</v>
      </c>
      <c r="C355" s="28">
        <f t="shared" si="20"/>
        <v>1</v>
      </c>
      <c r="D355" s="28">
        <f t="shared" si="21"/>
        <v>20</v>
      </c>
      <c r="E355" s="28">
        <f t="shared" si="22"/>
        <v>1</v>
      </c>
      <c r="F355" s="59" t="str">
        <f t="shared" si="23"/>
        <v/>
      </c>
      <c r="G355" s="42" t="s">
        <v>3397</v>
      </c>
      <c r="H355" s="43" t="s">
        <v>3398</v>
      </c>
      <c r="I355" s="44" t="s">
        <v>3399</v>
      </c>
      <c r="J355" s="45" t="s">
        <v>3400</v>
      </c>
      <c r="K355" s="46" t="s">
        <v>3401</v>
      </c>
      <c r="L355" s="47" t="s">
        <v>3402</v>
      </c>
      <c r="M355" s="48" t="s">
        <v>3403</v>
      </c>
      <c r="N355" s="49"/>
      <c r="O355" s="50" t="s">
        <v>3396</v>
      </c>
      <c r="P355" s="59"/>
      <c r="Q355" s="59"/>
      <c r="R355" s="13"/>
    </row>
    <row r="356" spans="1:18" ht="60" x14ac:dyDescent="0.25">
      <c r="A356" s="9" t="s">
        <v>14</v>
      </c>
      <c r="B356" s="28">
        <f>IF(ISBLANK(A356),0,INDEX(txtstylestab[],MATCH(A356,txtstylestab[style_Name],0),1))</f>
        <v>6</v>
      </c>
      <c r="C356" s="28">
        <f t="shared" si="20"/>
        <v>1</v>
      </c>
      <c r="D356" s="28">
        <f t="shared" si="21"/>
        <v>20</v>
      </c>
      <c r="E356" s="28">
        <f t="shared" si="22"/>
        <v>1</v>
      </c>
      <c r="F356" s="59" t="str">
        <f t="shared" si="23"/>
        <v/>
      </c>
      <c r="G356" s="42" t="s">
        <v>1877</v>
      </c>
      <c r="H356" s="43" t="s">
        <v>1878</v>
      </c>
      <c r="I356" s="44" t="s">
        <v>1880</v>
      </c>
      <c r="J356" s="45" t="s">
        <v>1879</v>
      </c>
      <c r="K356" s="46" t="s">
        <v>1881</v>
      </c>
      <c r="L356" s="47" t="s">
        <v>2666</v>
      </c>
      <c r="M356" s="48" t="s">
        <v>2798</v>
      </c>
      <c r="N356" s="49"/>
      <c r="O356" s="49"/>
      <c r="P356" s="50"/>
      <c r="Q356" s="59"/>
      <c r="R356" s="13"/>
    </row>
    <row r="357" spans="1:18" ht="75" x14ac:dyDescent="0.25">
      <c r="A357" s="9" t="s">
        <v>21</v>
      </c>
      <c r="B357" s="28">
        <f>IF(ISBLANK(A357),0,INDEX(txtstylestab[],MATCH(A357,txtstylestab[style_Name],0),1))</f>
        <v>0</v>
      </c>
      <c r="C357" s="28">
        <f t="shared" si="20"/>
        <v>1</v>
      </c>
      <c r="D357" s="28">
        <f t="shared" si="21"/>
        <v>20</v>
      </c>
      <c r="E357" s="28">
        <f t="shared" si="22"/>
        <v>1</v>
      </c>
      <c r="F357" s="59" t="str">
        <f t="shared" si="23"/>
        <v/>
      </c>
      <c r="G357" s="42" t="s">
        <v>3404</v>
      </c>
      <c r="H357" s="43" t="s">
        <v>3405</v>
      </c>
      <c r="I357" s="44" t="s">
        <v>3406</v>
      </c>
      <c r="J357" s="45" t="s">
        <v>3407</v>
      </c>
      <c r="K357" s="46" t="s">
        <v>3408</v>
      </c>
      <c r="L357" s="47" t="s">
        <v>3409</v>
      </c>
      <c r="M357" s="48" t="s">
        <v>3410</v>
      </c>
      <c r="N357" s="49"/>
      <c r="O357" s="49"/>
      <c r="P357" s="50"/>
      <c r="Q357" s="59"/>
      <c r="R357" s="13"/>
    </row>
    <row r="358" spans="1:18" x14ac:dyDescent="0.25">
      <c r="A358" s="9" t="s">
        <v>21</v>
      </c>
      <c r="B358" s="28">
        <f>IF(ISBLANK(A358),0,INDEX(txtstylestab[],MATCH(A358,txtstylestab[style_Name],0),1))</f>
        <v>0</v>
      </c>
      <c r="C358" s="28">
        <f t="shared" si="20"/>
        <v>1</v>
      </c>
      <c r="D358" s="28">
        <f t="shared" si="21"/>
        <v>20</v>
      </c>
      <c r="E358" s="28">
        <f t="shared" si="22"/>
        <v>1</v>
      </c>
      <c r="F358" s="59" t="str">
        <f t="shared" si="23"/>
        <v/>
      </c>
      <c r="G358" s="42" t="s">
        <v>6</v>
      </c>
      <c r="H358" s="43" t="s">
        <v>26</v>
      </c>
      <c r="I358" s="44" t="s">
        <v>48</v>
      </c>
      <c r="J358" s="45" t="s">
        <v>397</v>
      </c>
      <c r="K358" s="46" t="s">
        <v>59</v>
      </c>
      <c r="L358" s="47" t="s">
        <v>2524</v>
      </c>
      <c r="M358" s="48" t="s">
        <v>2525</v>
      </c>
      <c r="N358" s="49"/>
      <c r="O358" s="50" t="s">
        <v>3168</v>
      </c>
      <c r="P358" s="50"/>
      <c r="Q358" s="59"/>
      <c r="R358" s="13"/>
    </row>
    <row r="359" spans="1:18" ht="15.75" thickBot="1" x14ac:dyDescent="0.3">
      <c r="A359" s="9" t="s">
        <v>12</v>
      </c>
      <c r="B359" s="28">
        <f>IF(ISBLANK(A359),0,INDEX(txtstylestab[],MATCH(A359,txtstylestab[style_Name],0),1))</f>
        <v>3</v>
      </c>
      <c r="C359" s="28">
        <f t="shared" si="20"/>
        <v>1</v>
      </c>
      <c r="D359" s="28">
        <f t="shared" si="21"/>
        <v>20</v>
      </c>
      <c r="E359" s="28">
        <f t="shared" si="22"/>
        <v>2</v>
      </c>
      <c r="F359" s="55" t="str">
        <f t="shared" si="23"/>
        <v>1.20.2.</v>
      </c>
      <c r="G359" s="55" t="s">
        <v>670</v>
      </c>
      <c r="H359" s="55"/>
      <c r="I359" s="55"/>
      <c r="J359" s="55"/>
      <c r="K359" s="55"/>
      <c r="L359" s="55"/>
      <c r="M359" s="55"/>
      <c r="N359" s="55"/>
      <c r="O359" s="55"/>
      <c r="P359" s="55"/>
      <c r="Q359" s="55"/>
      <c r="R359" s="13"/>
    </row>
    <row r="360" spans="1:18" ht="120" x14ac:dyDescent="0.25">
      <c r="A360" s="9" t="s">
        <v>21</v>
      </c>
      <c r="B360" s="28">
        <f>IF(ISBLANK(A360),0,INDEX(txtstylestab[],MATCH(A360,txtstylestab[style_Name],0),1))</f>
        <v>0</v>
      </c>
      <c r="C360" s="28">
        <f t="shared" si="20"/>
        <v>1</v>
      </c>
      <c r="D360" s="28">
        <f t="shared" si="21"/>
        <v>20</v>
      </c>
      <c r="E360" s="28">
        <f t="shared" si="22"/>
        <v>2</v>
      </c>
      <c r="F360" s="59" t="str">
        <f t="shared" si="23"/>
        <v/>
      </c>
      <c r="G360" s="42" t="s">
        <v>677</v>
      </c>
      <c r="H360" s="43" t="s">
        <v>678</v>
      </c>
      <c r="I360" s="44" t="s">
        <v>1606</v>
      </c>
      <c r="J360" s="45" t="s">
        <v>679</v>
      </c>
      <c r="K360" s="46" t="s">
        <v>680</v>
      </c>
      <c r="L360" s="47" t="s">
        <v>2745</v>
      </c>
      <c r="M360" s="48" t="s">
        <v>2746</v>
      </c>
      <c r="N360" s="49"/>
      <c r="O360" s="50" t="s">
        <v>3415</v>
      </c>
      <c r="P360" s="59"/>
      <c r="Q360" s="59"/>
      <c r="R360" s="13"/>
    </row>
    <row r="361" spans="1:18" ht="90" x14ac:dyDescent="0.25">
      <c r="A361" s="9" t="s">
        <v>21</v>
      </c>
      <c r="B361" s="28">
        <f>IF(ISBLANK(A361),0,INDEX(txtstylestab[],MATCH(A361,txtstylestab[style_Name],0),1))</f>
        <v>0</v>
      </c>
      <c r="C361" s="28">
        <f t="shared" si="20"/>
        <v>1</v>
      </c>
      <c r="D361" s="28">
        <f t="shared" si="21"/>
        <v>20</v>
      </c>
      <c r="E361" s="28">
        <f t="shared" si="22"/>
        <v>2</v>
      </c>
      <c r="F361" s="59" t="str">
        <f t="shared" si="23"/>
        <v/>
      </c>
      <c r="G361" s="42" t="s">
        <v>671</v>
      </c>
      <c r="H361" s="43" t="s">
        <v>672</v>
      </c>
      <c r="I361" s="44" t="s">
        <v>1607</v>
      </c>
      <c r="J361" s="45" t="s">
        <v>1608</v>
      </c>
      <c r="K361" s="46" t="s">
        <v>1609</v>
      </c>
      <c r="L361" s="47" t="s">
        <v>2667</v>
      </c>
      <c r="M361" s="48" t="s">
        <v>2668</v>
      </c>
      <c r="N361" s="49"/>
      <c r="O361" s="50" t="s">
        <v>3411</v>
      </c>
      <c r="P361" s="59"/>
      <c r="Q361" s="59"/>
      <c r="R361" s="13"/>
    </row>
    <row r="362" spans="1:18" ht="45" x14ac:dyDescent="0.25">
      <c r="A362" s="9" t="s">
        <v>21</v>
      </c>
      <c r="B362" s="28">
        <f>IF(ISBLANK(A362),0,INDEX(txtstylestab[],MATCH(A362,txtstylestab[style_Name],0),1))</f>
        <v>0</v>
      </c>
      <c r="C362" s="28">
        <f t="shared" si="20"/>
        <v>1</v>
      </c>
      <c r="D362" s="28">
        <f t="shared" si="21"/>
        <v>20</v>
      </c>
      <c r="E362" s="28">
        <f t="shared" si="22"/>
        <v>2</v>
      </c>
      <c r="F362" s="59" t="str">
        <f t="shared" si="23"/>
        <v/>
      </c>
      <c r="G362" s="42" t="s">
        <v>673</v>
      </c>
      <c r="H362" s="43" t="s">
        <v>674</v>
      </c>
      <c r="I362" s="44" t="s">
        <v>1635</v>
      </c>
      <c r="J362" s="45" t="s">
        <v>675</v>
      </c>
      <c r="K362" s="46" t="s">
        <v>676</v>
      </c>
      <c r="L362" s="47" t="s">
        <v>2669</v>
      </c>
      <c r="M362" s="48" t="s">
        <v>2670</v>
      </c>
      <c r="N362" s="49"/>
      <c r="O362" s="50" t="s">
        <v>3412</v>
      </c>
      <c r="P362" s="59"/>
      <c r="Q362" s="59"/>
      <c r="R362" s="13"/>
    </row>
    <row r="363" spans="1:18" x14ac:dyDescent="0.25">
      <c r="A363" s="9" t="s">
        <v>21</v>
      </c>
      <c r="B363" s="28">
        <f>IF(ISBLANK(A363),0,INDEX(txtstylestab[],MATCH(A363,txtstylestab[style_Name],0),1))</f>
        <v>0</v>
      </c>
      <c r="C363" s="28">
        <f t="shared" si="20"/>
        <v>1</v>
      </c>
      <c r="D363" s="28">
        <f t="shared" si="21"/>
        <v>20</v>
      </c>
      <c r="E363" s="28">
        <f t="shared" si="22"/>
        <v>2</v>
      </c>
      <c r="F363" s="59" t="str">
        <f t="shared" si="23"/>
        <v/>
      </c>
      <c r="G363" s="42" t="s">
        <v>6</v>
      </c>
      <c r="H363" s="43" t="s">
        <v>26</v>
      </c>
      <c r="I363" s="44" t="s">
        <v>48</v>
      </c>
      <c r="J363" s="45" t="s">
        <v>384</v>
      </c>
      <c r="K363" s="46" t="s">
        <v>59</v>
      </c>
      <c r="L363" s="47" t="s">
        <v>2524</v>
      </c>
      <c r="M363" s="48" t="s">
        <v>2525</v>
      </c>
      <c r="N363" s="49"/>
      <c r="O363" s="50" t="s">
        <v>3168</v>
      </c>
      <c r="P363" s="50"/>
      <c r="Q363" s="59"/>
      <c r="R363" s="13"/>
    </row>
    <row r="364" spans="1:18" ht="18" thickBot="1" x14ac:dyDescent="0.35">
      <c r="A364" s="9" t="s">
        <v>11</v>
      </c>
      <c r="B364" s="28">
        <f>IF(ISBLANK(A364),0,INDEX(txtstylestab[],MATCH(A364,txtstylestab[style_Name],0),1))</f>
        <v>2</v>
      </c>
      <c r="C364" s="28">
        <f t="shared" si="20"/>
        <v>1</v>
      </c>
      <c r="D364" s="28">
        <f t="shared" si="21"/>
        <v>21</v>
      </c>
      <c r="E364" s="28">
        <f t="shared" si="22"/>
        <v>0</v>
      </c>
      <c r="F364" s="54" t="str">
        <f t="shared" si="23"/>
        <v>1.21.</v>
      </c>
      <c r="G364" s="54" t="s">
        <v>2329</v>
      </c>
      <c r="H364" s="54"/>
      <c r="I364" s="54"/>
      <c r="J364" s="54"/>
      <c r="K364" s="54"/>
      <c r="L364" s="54"/>
      <c r="M364" s="54"/>
      <c r="N364" s="54"/>
      <c r="O364" s="54"/>
      <c r="P364" s="54"/>
      <c r="Q364" s="54"/>
      <c r="R364" s="13"/>
    </row>
    <row r="365" spans="1:18" ht="15.75" thickTop="1" x14ac:dyDescent="0.25">
      <c r="A365" s="9" t="s">
        <v>21</v>
      </c>
      <c r="B365" s="28">
        <f>IF(ISBLANK(A365),0,INDEX(txtstylestab[],MATCH(A365,txtstylestab[style_Name],0),1))</f>
        <v>0</v>
      </c>
      <c r="C365" s="28">
        <f t="shared" si="20"/>
        <v>1</v>
      </c>
      <c r="D365" s="28">
        <f t="shared" si="21"/>
        <v>21</v>
      </c>
      <c r="E365" s="28">
        <f t="shared" si="22"/>
        <v>0</v>
      </c>
      <c r="F365" s="59" t="str">
        <f t="shared" si="23"/>
        <v/>
      </c>
      <c r="G365" s="42" t="s">
        <v>82</v>
      </c>
      <c r="H365" s="43" t="s">
        <v>83</v>
      </c>
      <c r="I365" s="44" t="s">
        <v>84</v>
      </c>
      <c r="J365" s="45" t="s">
        <v>85</v>
      </c>
      <c r="K365" s="46" t="s">
        <v>86</v>
      </c>
      <c r="L365" s="47" t="s">
        <v>2397</v>
      </c>
      <c r="M365" s="48" t="s">
        <v>2539</v>
      </c>
      <c r="N365" s="49"/>
      <c r="O365" s="50" t="s">
        <v>3359</v>
      </c>
      <c r="P365" s="50"/>
      <c r="Q365" s="59"/>
      <c r="R365" s="13"/>
    </row>
    <row r="366" spans="1:18" ht="60"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686</v>
      </c>
      <c r="I366" s="44" t="s">
        <v>687</v>
      </c>
      <c r="J366" s="45" t="s">
        <v>1622</v>
      </c>
      <c r="K366" s="46" t="s">
        <v>688</v>
      </c>
      <c r="L366" s="47" t="s">
        <v>2671</v>
      </c>
      <c r="M366" s="48" t="s">
        <v>2672</v>
      </c>
      <c r="N366" s="49"/>
      <c r="O366" s="50" t="s">
        <v>3414</v>
      </c>
      <c r="P366" s="59"/>
      <c r="Q366" s="59"/>
      <c r="R366" s="13"/>
    </row>
    <row r="367" spans="1:18" ht="75" x14ac:dyDescent="0.25">
      <c r="A367" s="9" t="s">
        <v>21</v>
      </c>
      <c r="B367" s="28">
        <f>IF(ISBLANK(A367),0,INDEX(txtstylestab[],MATCH(A367,txtstylestab[style_Name],0),1))</f>
        <v>0</v>
      </c>
      <c r="C367" s="28">
        <f t="shared" si="20"/>
        <v>1</v>
      </c>
      <c r="D367" s="28">
        <f t="shared" si="21"/>
        <v>21</v>
      </c>
      <c r="E367" s="28">
        <f t="shared" si="22"/>
        <v>0</v>
      </c>
      <c r="F367" s="59" t="str">
        <f t="shared" si="23"/>
        <v/>
      </c>
      <c r="G367" s="42" t="s">
        <v>681</v>
      </c>
      <c r="H367" s="43" t="s">
        <v>682</v>
      </c>
      <c r="I367" s="44" t="s">
        <v>1636</v>
      </c>
      <c r="J367" s="45" t="s">
        <v>683</v>
      </c>
      <c r="K367" s="46" t="s">
        <v>1722</v>
      </c>
      <c r="L367" s="47" t="s">
        <v>2673</v>
      </c>
      <c r="M367" s="48" t="s">
        <v>2674</v>
      </c>
      <c r="N367" s="49"/>
      <c r="O367" s="50" t="s">
        <v>3413</v>
      </c>
      <c r="P367" s="59"/>
      <c r="Q367" s="59"/>
      <c r="R367" s="13"/>
    </row>
    <row r="368" spans="1:18" x14ac:dyDescent="0.25">
      <c r="A368" s="9" t="s">
        <v>21</v>
      </c>
      <c r="B368" s="28">
        <f>IF(ISBLANK(A368),0,INDEX(txtstylestab[],MATCH(A368,txtstylestab[style_Name],0),1))</f>
        <v>0</v>
      </c>
      <c r="C368" s="28">
        <f t="shared" si="20"/>
        <v>1</v>
      </c>
      <c r="D368" s="28">
        <f t="shared" si="21"/>
        <v>21</v>
      </c>
      <c r="E368" s="28">
        <f t="shared" si="22"/>
        <v>0</v>
      </c>
      <c r="F368" s="59" t="str">
        <f t="shared" si="23"/>
        <v/>
      </c>
      <c r="G368" s="42" t="s">
        <v>684</v>
      </c>
      <c r="H368" s="43" t="s">
        <v>26</v>
      </c>
      <c r="I368" s="44" t="s">
        <v>48</v>
      </c>
      <c r="J368" s="45" t="s">
        <v>384</v>
      </c>
      <c r="K368" s="46" t="s">
        <v>59</v>
      </c>
      <c r="L368" s="47" t="s">
        <v>2524</v>
      </c>
      <c r="M368" s="48" t="s">
        <v>2525</v>
      </c>
      <c r="N368" s="49"/>
      <c r="O368" s="50" t="s">
        <v>3168</v>
      </c>
      <c r="P368" s="50"/>
      <c r="Q368" s="59"/>
      <c r="R368" s="13"/>
    </row>
    <row r="369" spans="1:18" ht="18" thickBot="1" x14ac:dyDescent="0.35">
      <c r="A369" s="9" t="s">
        <v>11</v>
      </c>
      <c r="B369" s="28">
        <f>IF(ISBLANK(A369),0,INDEX(txtstylestab[],MATCH(A369,txtstylestab[style_Name],0),1))</f>
        <v>2</v>
      </c>
      <c r="C369" s="28">
        <f t="shared" si="20"/>
        <v>1</v>
      </c>
      <c r="D369" s="28">
        <f t="shared" si="21"/>
        <v>22</v>
      </c>
      <c r="E369" s="28">
        <f t="shared" si="22"/>
        <v>0</v>
      </c>
      <c r="F369" s="54" t="str">
        <f t="shared" si="23"/>
        <v>1.22.</v>
      </c>
      <c r="G369" s="54" t="s">
        <v>689</v>
      </c>
      <c r="H369" s="54"/>
      <c r="I369" s="54"/>
      <c r="J369" s="54"/>
      <c r="K369" s="54"/>
      <c r="L369" s="54"/>
      <c r="M369" s="54"/>
      <c r="N369" s="54"/>
      <c r="O369" s="54"/>
      <c r="P369" s="54"/>
      <c r="Q369" s="54"/>
      <c r="R369" s="13"/>
    </row>
    <row r="370" spans="1:18" ht="15.75" thickTop="1" x14ac:dyDescent="0.25">
      <c r="A370" s="9" t="s">
        <v>21</v>
      </c>
      <c r="B370" s="28">
        <f>IF(ISBLANK(A370),0,INDEX(txtstylestab[],MATCH(A370,txtstylestab[style_Name],0),1))</f>
        <v>0</v>
      </c>
      <c r="C370" s="28">
        <f t="shared" si="20"/>
        <v>1</v>
      </c>
      <c r="D370" s="28">
        <f t="shared" si="21"/>
        <v>22</v>
      </c>
      <c r="E370" s="28">
        <f t="shared" si="22"/>
        <v>0</v>
      </c>
      <c r="F370" s="59" t="str">
        <f t="shared" si="23"/>
        <v/>
      </c>
      <c r="G370" s="42" t="s">
        <v>82</v>
      </c>
      <c r="H370" s="43" t="s">
        <v>83</v>
      </c>
      <c r="I370" s="44" t="s">
        <v>84</v>
      </c>
      <c r="J370" s="45" t="s">
        <v>85</v>
      </c>
      <c r="K370" s="46" t="s">
        <v>86</v>
      </c>
      <c r="L370" s="47" t="s">
        <v>2397</v>
      </c>
      <c r="M370" s="48" t="s">
        <v>2539</v>
      </c>
      <c r="N370" s="49"/>
      <c r="O370" s="50" t="s">
        <v>3359</v>
      </c>
      <c r="P370" s="50"/>
      <c r="Q370" s="59"/>
      <c r="R370" s="13"/>
    </row>
    <row r="371" spans="1:18" ht="30" x14ac:dyDescent="0.25">
      <c r="A371" s="9" t="s">
        <v>21</v>
      </c>
      <c r="B371" s="28">
        <f>IF(ISBLANK(A371),0,INDEX(txtstylestab[],MATCH(A371,txtstylestab[style_Name],0),1))</f>
        <v>0</v>
      </c>
      <c r="C371" s="28">
        <f t="shared" si="20"/>
        <v>1</v>
      </c>
      <c r="D371" s="28">
        <f t="shared" si="21"/>
        <v>22</v>
      </c>
      <c r="E371" s="28">
        <f t="shared" si="22"/>
        <v>0</v>
      </c>
      <c r="F371" s="59" t="str">
        <f t="shared" si="23"/>
        <v/>
      </c>
      <c r="G371" s="42" t="s">
        <v>690</v>
      </c>
      <c r="H371" s="43" t="s">
        <v>2146</v>
      </c>
      <c r="I371" s="44" t="s">
        <v>2254</v>
      </c>
      <c r="J371" s="45" t="s">
        <v>691</v>
      </c>
      <c r="K371" s="46" t="s">
        <v>692</v>
      </c>
      <c r="L371" s="47" t="s">
        <v>2675</v>
      </c>
      <c r="M371" s="48" t="s">
        <v>2676</v>
      </c>
      <c r="N371" s="49"/>
      <c r="O371" s="50" t="s">
        <v>3416</v>
      </c>
      <c r="P371" s="59"/>
      <c r="Q371" s="59"/>
      <c r="R371" s="13"/>
    </row>
    <row r="372" spans="1:18" ht="60" x14ac:dyDescent="0.25">
      <c r="A372" s="9" t="s">
        <v>21</v>
      </c>
      <c r="B372" s="28">
        <f>IF(ISBLANK(A372),0,INDEX(txtstylestab[],MATCH(A372,txtstylestab[style_Name],0),1))</f>
        <v>0</v>
      </c>
      <c r="C372" s="28">
        <f t="shared" si="20"/>
        <v>1</v>
      </c>
      <c r="D372" s="28">
        <f t="shared" si="21"/>
        <v>22</v>
      </c>
      <c r="E372" s="28">
        <f t="shared" si="22"/>
        <v>0</v>
      </c>
      <c r="F372" s="59" t="str">
        <f t="shared" si="23"/>
        <v/>
      </c>
      <c r="G372" s="42" t="s">
        <v>1883</v>
      </c>
      <c r="H372" s="43" t="s">
        <v>1884</v>
      </c>
      <c r="I372" s="44" t="s">
        <v>1885</v>
      </c>
      <c r="J372" s="45" t="s">
        <v>1886</v>
      </c>
      <c r="K372" s="46" t="s">
        <v>693</v>
      </c>
      <c r="L372" s="47" t="s">
        <v>2744</v>
      </c>
      <c r="M372" s="48" t="s">
        <v>2735</v>
      </c>
      <c r="N372" s="49"/>
      <c r="O372" s="50" t="s">
        <v>3419</v>
      </c>
      <c r="P372" s="59"/>
      <c r="Q372" s="59"/>
      <c r="R372" s="13"/>
    </row>
    <row r="373" spans="1:18" ht="45" x14ac:dyDescent="0.25">
      <c r="A373" s="9" t="s">
        <v>14</v>
      </c>
      <c r="B373" s="28">
        <f>IF(ISBLANK(A373),0,INDEX(txtstylestab[],MATCH(A373,txtstylestab[style_Name],0),1))</f>
        <v>6</v>
      </c>
      <c r="C373" s="28">
        <f t="shared" si="20"/>
        <v>1</v>
      </c>
      <c r="D373" s="28">
        <f t="shared" si="21"/>
        <v>22</v>
      </c>
      <c r="E373" s="28">
        <f t="shared" si="22"/>
        <v>0</v>
      </c>
      <c r="F373" s="59" t="str">
        <f t="shared" si="23"/>
        <v/>
      </c>
      <c r="G373" s="42" t="s">
        <v>1887</v>
      </c>
      <c r="H373" s="43" t="s">
        <v>1888</v>
      </c>
      <c r="I373" s="44" t="s">
        <v>1889</v>
      </c>
      <c r="J373" s="45" t="s">
        <v>1890</v>
      </c>
      <c r="K373" s="46" t="s">
        <v>694</v>
      </c>
      <c r="L373" s="47" t="s">
        <v>2677</v>
      </c>
      <c r="M373" s="48" t="s">
        <v>2678</v>
      </c>
      <c r="N373" s="49"/>
      <c r="O373" s="50"/>
      <c r="P373" s="59"/>
      <c r="Q373" s="59"/>
      <c r="R373" s="13"/>
    </row>
    <row r="374" spans="1:18" ht="105" x14ac:dyDescent="0.25">
      <c r="A374" s="9" t="s">
        <v>14</v>
      </c>
      <c r="B374" s="28">
        <f>IF(ISBLANK(A374),0,INDEX(txtstylestab[],MATCH(A374,txtstylestab[style_Name],0),1))</f>
        <v>6</v>
      </c>
      <c r="C374" s="28">
        <f t="shared" si="20"/>
        <v>1</v>
      </c>
      <c r="D374" s="28">
        <f t="shared" si="21"/>
        <v>22</v>
      </c>
      <c r="E374" s="28">
        <f t="shared" si="22"/>
        <v>0</v>
      </c>
      <c r="F374" s="59" t="str">
        <f t="shared" si="23"/>
        <v/>
      </c>
      <c r="G374" s="42" t="s">
        <v>695</v>
      </c>
      <c r="H374" s="43" t="s">
        <v>1891</v>
      </c>
      <c r="I374" s="44" t="s">
        <v>696</v>
      </c>
      <c r="J374" s="45" t="s">
        <v>697</v>
      </c>
      <c r="K374" s="46" t="s">
        <v>698</v>
      </c>
      <c r="L374" s="47" t="s">
        <v>2743</v>
      </c>
      <c r="M374" s="48" t="s">
        <v>2742</v>
      </c>
      <c r="N374" s="49"/>
      <c r="O374" s="50" t="s">
        <v>3418</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699</v>
      </c>
      <c r="H375" s="53"/>
      <c r="I375" s="53"/>
      <c r="J375" s="53"/>
      <c r="K375" s="53"/>
      <c r="L375" s="53"/>
      <c r="M375" s="53"/>
      <c r="N375" s="53"/>
      <c r="O375" s="53"/>
      <c r="P375" s="53"/>
      <c r="Q375" s="53"/>
      <c r="R375" s="13"/>
    </row>
    <row r="376" spans="1:18" ht="120" x14ac:dyDescent="0.25">
      <c r="A376" s="9" t="s">
        <v>21</v>
      </c>
      <c r="B376" s="28">
        <f>IF(ISBLANK(A376),0,INDEX(txtstylestab[],MATCH(A376,txtstylestab[style_Name],0),1))</f>
        <v>0</v>
      </c>
      <c r="C376" s="28">
        <f t="shared" si="20"/>
        <v>1</v>
      </c>
      <c r="D376" s="28">
        <f t="shared" si="21"/>
        <v>22</v>
      </c>
      <c r="E376" s="28">
        <f t="shared" si="22"/>
        <v>0</v>
      </c>
      <c r="F376" s="59" t="str">
        <f t="shared" si="23"/>
        <v/>
      </c>
      <c r="G376" s="42" t="s">
        <v>700</v>
      </c>
      <c r="H376" s="43" t="s">
        <v>2229</v>
      </c>
      <c r="I376" s="44" t="s">
        <v>2255</v>
      </c>
      <c r="J376" s="45" t="s">
        <v>1610</v>
      </c>
      <c r="K376" s="46" t="s">
        <v>1611</v>
      </c>
      <c r="L376" s="47" t="s">
        <v>2679</v>
      </c>
      <c r="M376" s="48" t="s">
        <v>2680</v>
      </c>
      <c r="N376" s="49"/>
      <c r="O376" s="50" t="s">
        <v>3417</v>
      </c>
      <c r="P376" s="59"/>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701</v>
      </c>
      <c r="H377" s="53"/>
      <c r="I377" s="53"/>
      <c r="J377" s="53"/>
      <c r="K377" s="53"/>
      <c r="L377" s="53"/>
      <c r="M377" s="53"/>
      <c r="N377" s="53"/>
      <c r="O377" s="53"/>
      <c r="P377" s="53"/>
      <c r="Q377" s="53"/>
      <c r="R377" s="13"/>
    </row>
    <row r="378" spans="1:18" ht="45" x14ac:dyDescent="0.25">
      <c r="A378" s="9" t="s">
        <v>21</v>
      </c>
      <c r="B378" s="28">
        <f>IF(ISBLANK(A378),0,INDEX(txtstylestab[],MATCH(A378,txtstylestab[style_Name],0),1))</f>
        <v>0</v>
      </c>
      <c r="C378" s="28">
        <f t="shared" si="20"/>
        <v>1</v>
      </c>
      <c r="D378" s="28">
        <f t="shared" si="21"/>
        <v>22</v>
      </c>
      <c r="E378" s="28">
        <f t="shared" si="22"/>
        <v>0</v>
      </c>
      <c r="F378" s="59" t="str">
        <f t="shared" si="23"/>
        <v/>
      </c>
      <c r="G378" s="42" t="s">
        <v>702</v>
      </c>
      <c r="H378" s="43" t="s">
        <v>2230</v>
      </c>
      <c r="I378" s="44" t="s">
        <v>2256</v>
      </c>
      <c r="J378" s="45" t="s">
        <v>703</v>
      </c>
      <c r="K378" s="46" t="s">
        <v>1740</v>
      </c>
      <c r="L378" s="47" t="s">
        <v>2681</v>
      </c>
      <c r="M378" s="48" t="s">
        <v>2682</v>
      </c>
      <c r="N378" s="49"/>
      <c r="O378" s="49"/>
      <c r="P378" s="50"/>
      <c r="Q378" s="59"/>
      <c r="R378" s="13"/>
    </row>
    <row r="379" spans="1:18" x14ac:dyDescent="0.25">
      <c r="A379" s="9" t="s">
        <v>22</v>
      </c>
      <c r="B379" s="28">
        <f>IF(ISBLANK(A379),0,INDEX(txtstylestab[],MATCH(A379,txtstylestab[style_Name],0),1))</f>
        <v>4</v>
      </c>
      <c r="C379" s="28">
        <f t="shared" si="20"/>
        <v>1</v>
      </c>
      <c r="D379" s="28">
        <f t="shared" si="21"/>
        <v>22</v>
      </c>
      <c r="E379" s="28">
        <f t="shared" si="22"/>
        <v>0</v>
      </c>
      <c r="F379" s="56" t="str">
        <f t="shared" si="23"/>
        <v/>
      </c>
      <c r="G379" s="53" t="s">
        <v>704</v>
      </c>
      <c r="H379" s="53"/>
      <c r="I379" s="53"/>
      <c r="J379" s="53"/>
      <c r="K379" s="53"/>
      <c r="L379" s="53"/>
      <c r="M379" s="53"/>
      <c r="N379" s="53"/>
      <c r="O379" s="53"/>
      <c r="P379" s="53"/>
      <c r="Q379" s="53"/>
      <c r="R379" s="13"/>
    </row>
    <row r="380" spans="1:18" ht="60" x14ac:dyDescent="0.25">
      <c r="A380" s="9" t="s">
        <v>21</v>
      </c>
      <c r="B380" s="28">
        <f>IF(ISBLANK(A380),0,INDEX(txtstylestab[],MATCH(A380,txtstylestab[style_Name],0),1))</f>
        <v>0</v>
      </c>
      <c r="C380" s="28">
        <f t="shared" si="20"/>
        <v>1</v>
      </c>
      <c r="D380" s="28">
        <f t="shared" si="21"/>
        <v>22</v>
      </c>
      <c r="E380" s="28">
        <f t="shared" si="22"/>
        <v>0</v>
      </c>
      <c r="F380" s="59" t="str">
        <f t="shared" si="23"/>
        <v/>
      </c>
      <c r="G380" s="42" t="s">
        <v>712</v>
      </c>
      <c r="H380" s="43" t="s">
        <v>713</v>
      </c>
      <c r="I380" s="44" t="s">
        <v>714</v>
      </c>
      <c r="J380" s="45" t="s">
        <v>715</v>
      </c>
      <c r="K380" s="46" t="s">
        <v>1723</v>
      </c>
      <c r="L380" s="47" t="s">
        <v>2683</v>
      </c>
      <c r="M380" s="48" t="s">
        <v>2738</v>
      </c>
      <c r="N380" s="49"/>
      <c r="O380" s="50" t="s">
        <v>3420</v>
      </c>
      <c r="P380" s="59"/>
      <c r="Q380" s="59"/>
      <c r="R380" s="13"/>
    </row>
    <row r="381" spans="1:18" ht="60" x14ac:dyDescent="0.25">
      <c r="A381" s="9" t="s">
        <v>21</v>
      </c>
      <c r="B381" s="28">
        <f>IF(ISBLANK(A381),0,INDEX(txtstylestab[],MATCH(A381,txtstylestab[style_Name],0),1))</f>
        <v>0</v>
      </c>
      <c r="C381" s="28">
        <f t="shared" si="20"/>
        <v>1</v>
      </c>
      <c r="D381" s="28">
        <f t="shared" si="21"/>
        <v>22</v>
      </c>
      <c r="E381" s="28">
        <f t="shared" si="22"/>
        <v>0</v>
      </c>
      <c r="F381" s="59" t="str">
        <f t="shared" si="23"/>
        <v/>
      </c>
      <c r="G381" s="42" t="s">
        <v>2312</v>
      </c>
      <c r="H381" s="43" t="s">
        <v>2313</v>
      </c>
      <c r="I381" s="44" t="s">
        <v>2314</v>
      </c>
      <c r="J381" s="45" t="s">
        <v>2315</v>
      </c>
      <c r="K381" s="46" t="s">
        <v>2316</v>
      </c>
      <c r="L381" s="47" t="s">
        <v>2737</v>
      </c>
      <c r="M381" s="48" t="s">
        <v>2736</v>
      </c>
      <c r="N381" s="49"/>
      <c r="O381" s="50" t="s">
        <v>3421</v>
      </c>
      <c r="P381" s="59"/>
      <c r="Q381" s="59"/>
      <c r="R381" s="13"/>
    </row>
    <row r="382" spans="1:18" ht="45" x14ac:dyDescent="0.25">
      <c r="A382" s="9" t="s">
        <v>21</v>
      </c>
      <c r="B382" s="28">
        <f>IF(ISBLANK(A382),0,INDEX(txtstylestab[],MATCH(A382,txtstylestab[style_Name],0),1))</f>
        <v>0</v>
      </c>
      <c r="C382" s="28">
        <f t="shared" si="20"/>
        <v>1</v>
      </c>
      <c r="D382" s="28">
        <f t="shared" si="21"/>
        <v>22</v>
      </c>
      <c r="E382" s="28">
        <f t="shared" si="22"/>
        <v>0</v>
      </c>
      <c r="F382" s="59" t="str">
        <f t="shared" si="23"/>
        <v/>
      </c>
      <c r="G382" s="42" t="s">
        <v>705</v>
      </c>
      <c r="H382" s="43" t="s">
        <v>706</v>
      </c>
      <c r="I382" s="44" t="s">
        <v>2303</v>
      </c>
      <c r="J382" s="45" t="s">
        <v>707</v>
      </c>
      <c r="K382" s="46" t="s">
        <v>708</v>
      </c>
      <c r="L382" s="47" t="s">
        <v>2684</v>
      </c>
      <c r="M382" s="48" t="s">
        <v>2685</v>
      </c>
      <c r="N382" s="49"/>
      <c r="O382" s="50" t="s">
        <v>3422</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716</v>
      </c>
      <c r="H383" s="43" t="s">
        <v>717</v>
      </c>
      <c r="I383" s="44" t="s">
        <v>718</v>
      </c>
      <c r="J383" s="45" t="s">
        <v>719</v>
      </c>
      <c r="K383" s="46" t="s">
        <v>720</v>
      </c>
      <c r="L383" s="47" t="s">
        <v>2686</v>
      </c>
      <c r="M383" s="48" t="s">
        <v>2739</v>
      </c>
      <c r="N383" s="49"/>
      <c r="O383" s="50" t="s">
        <v>3428</v>
      </c>
      <c r="P383" s="59"/>
      <c r="Q383" s="59"/>
      <c r="R383" s="13"/>
    </row>
    <row r="384" spans="1:18" ht="60" x14ac:dyDescent="0.25">
      <c r="A384" s="9" t="s">
        <v>21</v>
      </c>
      <c r="B384" s="28">
        <f>IF(ISBLANK(A384),0,INDEX(txtstylestab[],MATCH(A384,txtstylestab[style_Name],0),1))</f>
        <v>0</v>
      </c>
      <c r="C384" s="28">
        <f t="shared" si="20"/>
        <v>1</v>
      </c>
      <c r="D384" s="28">
        <f t="shared" si="21"/>
        <v>22</v>
      </c>
      <c r="E384" s="28">
        <f t="shared" si="22"/>
        <v>0</v>
      </c>
      <c r="F384" s="59" t="str">
        <f t="shared" si="23"/>
        <v/>
      </c>
      <c r="G384" s="42" t="s">
        <v>721</v>
      </c>
      <c r="H384" s="43" t="s">
        <v>722</v>
      </c>
      <c r="I384" s="44" t="s">
        <v>723</v>
      </c>
      <c r="J384" s="45" t="s">
        <v>1623</v>
      </c>
      <c r="K384" s="46" t="s">
        <v>1724</v>
      </c>
      <c r="L384" s="47" t="s">
        <v>2687</v>
      </c>
      <c r="M384" s="48" t="s">
        <v>2740</v>
      </c>
      <c r="N384" s="49"/>
      <c r="O384" s="50" t="s">
        <v>3427</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354</v>
      </c>
      <c r="H385" s="43" t="s">
        <v>724</v>
      </c>
      <c r="I385" s="44" t="s">
        <v>356</v>
      </c>
      <c r="J385" s="45" t="s">
        <v>357</v>
      </c>
      <c r="K385" s="46" t="s">
        <v>358</v>
      </c>
      <c r="L385" s="47" t="s">
        <v>2496</v>
      </c>
      <c r="M385" s="48" t="s">
        <v>2741</v>
      </c>
      <c r="N385" s="49"/>
      <c r="O385" s="50" t="s">
        <v>3426</v>
      </c>
      <c r="P385" s="59"/>
      <c r="Q385" s="59"/>
      <c r="R385" s="13"/>
    </row>
    <row r="386" spans="1:18" ht="30" x14ac:dyDescent="0.25">
      <c r="A386" s="9" t="s">
        <v>21</v>
      </c>
      <c r="B386" s="28">
        <f>IF(ISBLANK(A386),0,INDEX(txtstylestab[],MATCH(A386,txtstylestab[style_Name],0),1))</f>
        <v>0</v>
      </c>
      <c r="C386" s="28">
        <f t="shared" si="20"/>
        <v>1</v>
      </c>
      <c r="D386" s="28">
        <f t="shared" si="21"/>
        <v>22</v>
      </c>
      <c r="E386" s="28">
        <f t="shared" si="22"/>
        <v>0</v>
      </c>
      <c r="F386" s="59" t="str">
        <f t="shared" si="23"/>
        <v/>
      </c>
      <c r="G386" s="42" t="s">
        <v>359</v>
      </c>
      <c r="H386" s="43" t="s">
        <v>360</v>
      </c>
      <c r="I386" s="44" t="s">
        <v>725</v>
      </c>
      <c r="J386" s="45" t="s">
        <v>362</v>
      </c>
      <c r="K386" s="46" t="s">
        <v>726</v>
      </c>
      <c r="L386" s="47" t="s">
        <v>2688</v>
      </c>
      <c r="M386" s="48" t="s">
        <v>2499</v>
      </c>
      <c r="N386" s="49"/>
      <c r="O386" s="50" t="s">
        <v>3425</v>
      </c>
      <c r="P386" s="59"/>
      <c r="Q386" s="59"/>
      <c r="R386" s="13"/>
    </row>
    <row r="387" spans="1:18" ht="30" x14ac:dyDescent="0.25">
      <c r="A387" s="9" t="s">
        <v>21</v>
      </c>
      <c r="B387" s="28">
        <f>IF(ISBLANK(A387),0,INDEX(txtstylestab[],MATCH(A387,txtstylestab[style_Name],0),1))</f>
        <v>0</v>
      </c>
      <c r="C387" s="28">
        <f t="shared" si="20"/>
        <v>1</v>
      </c>
      <c r="D387" s="28">
        <f t="shared" si="21"/>
        <v>22</v>
      </c>
      <c r="E387" s="28">
        <f t="shared" si="22"/>
        <v>0</v>
      </c>
      <c r="F387" s="59" t="str">
        <f t="shared" si="23"/>
        <v/>
      </c>
      <c r="G387" s="42" t="s">
        <v>727</v>
      </c>
      <c r="H387" s="43" t="s">
        <v>728</v>
      </c>
      <c r="I387" s="44" t="s">
        <v>366</v>
      </c>
      <c r="J387" s="45" t="s">
        <v>729</v>
      </c>
      <c r="K387" s="46" t="s">
        <v>730</v>
      </c>
      <c r="L387" s="47" t="s">
        <v>2689</v>
      </c>
      <c r="M387" s="48" t="s">
        <v>2690</v>
      </c>
      <c r="N387" s="49"/>
      <c r="O387" s="50" t="s">
        <v>3423</v>
      </c>
      <c r="P387" s="59"/>
      <c r="Q387" s="59"/>
      <c r="R387" s="13"/>
    </row>
    <row r="388" spans="1:18" ht="45" x14ac:dyDescent="0.25">
      <c r="A388" s="9" t="s">
        <v>21</v>
      </c>
      <c r="B388" s="28">
        <f>IF(ISBLANK(A388),0,INDEX(txtstylestab[],MATCH(A388,txtstylestab[style_Name],0),1))</f>
        <v>0</v>
      </c>
      <c r="C388" s="28">
        <f t="shared" ref="C388:C451" si="24">IF(B388=1,C387+1,C387)</f>
        <v>1</v>
      </c>
      <c r="D388" s="28">
        <f t="shared" ref="D388:D451" si="25">IF(B388=1,0,IF(B388=2,D387+1,IF(AND(B388=3,D387=0),1,D387)))</f>
        <v>22</v>
      </c>
      <c r="E388" s="28">
        <f t="shared" ref="E388:E451" si="26">IF(OR(B388=1,B388=2),0,IF(B388=3,E387+1,E387))</f>
        <v>0</v>
      </c>
      <c r="F388" s="59" t="str">
        <f t="shared" ref="F388:F451" si="27">IF(OR(B388=1,B388=2,B388=3),TEXT(C388,"#")&amp;".","")&amp;IF(OR(B388=2,B388=3),TEXT(D388,"#")&amp;".","")&amp;IF(B388=3,TEXT(E388,"#")&amp;".","")</f>
        <v/>
      </c>
      <c r="G388" s="42" t="s">
        <v>731</v>
      </c>
      <c r="H388" s="43" t="s">
        <v>732</v>
      </c>
      <c r="I388" s="44" t="s">
        <v>733</v>
      </c>
      <c r="J388" s="45" t="s">
        <v>734</v>
      </c>
      <c r="K388" s="46" t="s">
        <v>735</v>
      </c>
      <c r="L388" s="47" t="s">
        <v>2502</v>
      </c>
      <c r="M388" s="48" t="s">
        <v>2503</v>
      </c>
      <c r="N388" s="49"/>
      <c r="O388" s="50" t="s">
        <v>3424</v>
      </c>
      <c r="P388" s="59"/>
      <c r="Q388" s="59"/>
      <c r="R388" s="13"/>
    </row>
    <row r="389" spans="1:18" ht="75" x14ac:dyDescent="0.25">
      <c r="A389" s="9" t="s">
        <v>21</v>
      </c>
      <c r="B389" s="28">
        <f>IF(ISBLANK(A389),0,INDEX(txtstylestab[],MATCH(A389,txtstylestab[style_Name],0),1))</f>
        <v>0</v>
      </c>
      <c r="C389" s="28">
        <f t="shared" si="24"/>
        <v>1</v>
      </c>
      <c r="D389" s="28">
        <f t="shared" si="25"/>
        <v>22</v>
      </c>
      <c r="E389" s="28">
        <f t="shared" si="26"/>
        <v>0</v>
      </c>
      <c r="F389" s="59" t="str">
        <f t="shared" si="27"/>
        <v/>
      </c>
      <c r="G389" s="42" t="s">
        <v>709</v>
      </c>
      <c r="H389" s="43" t="s">
        <v>710</v>
      </c>
      <c r="I389" s="44" t="s">
        <v>711</v>
      </c>
      <c r="J389" s="45" t="s">
        <v>1624</v>
      </c>
      <c r="K389" s="46" t="s">
        <v>1725</v>
      </c>
      <c r="L389" s="47" t="s">
        <v>2691</v>
      </c>
      <c r="M389" s="48" t="s">
        <v>2692</v>
      </c>
      <c r="N389" s="49"/>
      <c r="O389" s="50" t="s">
        <v>3429</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1892</v>
      </c>
      <c r="H390" s="53"/>
      <c r="I390" s="53"/>
      <c r="J390" s="53"/>
      <c r="K390" s="53"/>
      <c r="L390" s="53"/>
      <c r="M390" s="53"/>
      <c r="N390" s="53"/>
      <c r="O390" s="53"/>
      <c r="P390" s="53"/>
      <c r="Q390" s="53"/>
      <c r="R390" s="13"/>
    </row>
    <row r="391" spans="1:18" ht="45" x14ac:dyDescent="0.25">
      <c r="A391" s="9" t="s">
        <v>21</v>
      </c>
      <c r="B391" s="28">
        <f>IF(ISBLANK(A391),0,INDEX(txtstylestab[],MATCH(A391,txtstylestab[style_Name],0),1))</f>
        <v>0</v>
      </c>
      <c r="C391" s="28">
        <f t="shared" si="24"/>
        <v>1</v>
      </c>
      <c r="D391" s="28">
        <f t="shared" si="25"/>
        <v>22</v>
      </c>
      <c r="E391" s="28">
        <f t="shared" si="26"/>
        <v>0</v>
      </c>
      <c r="F391" s="59" t="str">
        <f t="shared" si="27"/>
        <v/>
      </c>
      <c r="G391" s="42" t="s">
        <v>736</v>
      </c>
      <c r="H391" s="43" t="s">
        <v>737</v>
      </c>
      <c r="I391" s="44" t="s">
        <v>738</v>
      </c>
      <c r="J391" s="45" t="s">
        <v>1625</v>
      </c>
      <c r="K391" s="46" t="s">
        <v>739</v>
      </c>
      <c r="L391" s="47" t="s">
        <v>2693</v>
      </c>
      <c r="M391" s="48" t="s">
        <v>2694</v>
      </c>
      <c r="N391" s="49"/>
      <c r="O391" s="50" t="s">
        <v>3430</v>
      </c>
      <c r="P391" s="59"/>
      <c r="Q391" s="59"/>
      <c r="R391" s="13"/>
    </row>
    <row r="392" spans="1:18" x14ac:dyDescent="0.25">
      <c r="A392" s="9" t="s">
        <v>22</v>
      </c>
      <c r="B392" s="28">
        <f>IF(ISBLANK(A392),0,INDEX(txtstylestab[],MATCH(A392,txtstylestab[style_Name],0),1))</f>
        <v>4</v>
      </c>
      <c r="C392" s="28">
        <f t="shared" si="24"/>
        <v>1</v>
      </c>
      <c r="D392" s="28">
        <f t="shared" si="25"/>
        <v>22</v>
      </c>
      <c r="E392" s="28">
        <f t="shared" si="26"/>
        <v>0</v>
      </c>
      <c r="F392" s="56" t="str">
        <f t="shared" si="27"/>
        <v/>
      </c>
      <c r="G392" s="53" t="s">
        <v>740</v>
      </c>
      <c r="H392" s="53"/>
      <c r="I392" s="53"/>
      <c r="J392" s="53"/>
      <c r="K392" s="53"/>
      <c r="L392" s="53"/>
      <c r="M392" s="53"/>
      <c r="N392" s="53"/>
      <c r="O392" s="53"/>
      <c r="P392" s="53"/>
      <c r="Q392" s="53"/>
      <c r="R392" s="13"/>
    </row>
    <row r="393" spans="1:18" ht="75" x14ac:dyDescent="0.25">
      <c r="A393" s="9" t="s">
        <v>21</v>
      </c>
      <c r="B393" s="28">
        <f>IF(ISBLANK(A393),0,INDEX(txtstylestab[],MATCH(A393,txtstylestab[style_Name],0),1))</f>
        <v>0</v>
      </c>
      <c r="C393" s="28">
        <f t="shared" si="24"/>
        <v>1</v>
      </c>
      <c r="D393" s="28">
        <f t="shared" si="25"/>
        <v>22</v>
      </c>
      <c r="E393" s="28">
        <f t="shared" si="26"/>
        <v>0</v>
      </c>
      <c r="F393" s="59" t="str">
        <f t="shared" si="27"/>
        <v/>
      </c>
      <c r="G393" s="42" t="s">
        <v>741</v>
      </c>
      <c r="H393" s="43" t="s">
        <v>742</v>
      </c>
      <c r="I393" s="44" t="s">
        <v>743</v>
      </c>
      <c r="J393" s="45" t="s">
        <v>744</v>
      </c>
      <c r="K393" s="46" t="s">
        <v>1726</v>
      </c>
      <c r="L393" s="47" t="s">
        <v>2696</v>
      </c>
      <c r="M393" s="48" t="s">
        <v>2695</v>
      </c>
      <c r="N393" s="49"/>
      <c r="O393" s="50" t="s">
        <v>3431</v>
      </c>
      <c r="P393" s="59"/>
      <c r="Q393" s="59"/>
      <c r="R393" s="13"/>
    </row>
    <row r="394" spans="1:18" x14ac:dyDescent="0.25">
      <c r="A394" s="9" t="s">
        <v>21</v>
      </c>
      <c r="B394" s="28">
        <f>IF(ISBLANK(A394),0,INDEX(txtstylestab[],MATCH(A394,txtstylestab[style_Name],0),1))</f>
        <v>0</v>
      </c>
      <c r="C394" s="28">
        <f t="shared" si="24"/>
        <v>1</v>
      </c>
      <c r="D394" s="28">
        <f t="shared" si="25"/>
        <v>22</v>
      </c>
      <c r="E394" s="28">
        <f t="shared" si="26"/>
        <v>0</v>
      </c>
      <c r="F394" s="59" t="str">
        <f t="shared" si="27"/>
        <v/>
      </c>
      <c r="G394" s="42" t="s">
        <v>6</v>
      </c>
      <c r="H394" s="43" t="s">
        <v>26</v>
      </c>
      <c r="I394" s="44" t="s">
        <v>48</v>
      </c>
      <c r="J394" s="45" t="s">
        <v>384</v>
      </c>
      <c r="K394" s="46" t="s">
        <v>59</v>
      </c>
      <c r="L394" s="47" t="s">
        <v>2524</v>
      </c>
      <c r="M394" s="48" t="s">
        <v>2525</v>
      </c>
      <c r="N394" s="49"/>
      <c r="O394" s="50" t="s">
        <v>3168</v>
      </c>
      <c r="P394" s="59"/>
      <c r="Q394" s="59"/>
      <c r="R394" s="13"/>
    </row>
    <row r="395" spans="1:18" ht="18" thickBot="1" x14ac:dyDescent="0.35">
      <c r="A395" s="9" t="s">
        <v>11</v>
      </c>
      <c r="B395" s="28">
        <f>IF(ISBLANK(A395),0,INDEX(txtstylestab[],MATCH(A395,txtstylestab[style_Name],0),1))</f>
        <v>2</v>
      </c>
      <c r="C395" s="28">
        <f t="shared" si="24"/>
        <v>1</v>
      </c>
      <c r="D395" s="28">
        <f t="shared" si="25"/>
        <v>23</v>
      </c>
      <c r="E395" s="28">
        <f t="shared" si="26"/>
        <v>0</v>
      </c>
      <c r="F395" s="54" t="str">
        <f t="shared" si="27"/>
        <v>1.23.</v>
      </c>
      <c r="G395" s="54" t="s">
        <v>745</v>
      </c>
      <c r="H395" s="54"/>
      <c r="I395" s="54"/>
      <c r="J395" s="54"/>
      <c r="K395" s="54"/>
      <c r="L395" s="54"/>
      <c r="M395" s="54"/>
      <c r="N395" s="54"/>
      <c r="O395" s="54"/>
      <c r="P395" s="54"/>
      <c r="Q395" s="54"/>
      <c r="R395" s="13"/>
    </row>
    <row r="396" spans="1:18" ht="15.75" thickTop="1" x14ac:dyDescent="0.25">
      <c r="A396" s="9" t="s">
        <v>21</v>
      </c>
      <c r="B396" s="28">
        <f>IF(ISBLANK(A396),0,INDEX(txtstylestab[],MATCH(A396,txtstylestab[style_Name],0),1))</f>
        <v>0</v>
      </c>
      <c r="C396" s="28">
        <f t="shared" si="24"/>
        <v>1</v>
      </c>
      <c r="D396" s="28">
        <f t="shared" si="25"/>
        <v>23</v>
      </c>
      <c r="E396" s="28">
        <f t="shared" si="26"/>
        <v>0</v>
      </c>
      <c r="F396" s="59" t="str">
        <f t="shared" si="27"/>
        <v/>
      </c>
      <c r="G396" s="42" t="s">
        <v>82</v>
      </c>
      <c r="H396" s="43" t="s">
        <v>83</v>
      </c>
      <c r="I396" s="44" t="s">
        <v>84</v>
      </c>
      <c r="J396" s="45" t="s">
        <v>85</v>
      </c>
      <c r="K396" s="46" t="s">
        <v>86</v>
      </c>
      <c r="L396" s="47" t="s">
        <v>2397</v>
      </c>
      <c r="M396" s="48" t="s">
        <v>2539</v>
      </c>
      <c r="N396" s="49"/>
      <c r="O396" s="50" t="s">
        <v>3161</v>
      </c>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746</v>
      </c>
      <c r="H397" s="43" t="s">
        <v>747</v>
      </c>
      <c r="I397" s="44" t="s">
        <v>1612</v>
      </c>
      <c r="J397" s="45" t="s">
        <v>748</v>
      </c>
      <c r="K397" s="46" t="s">
        <v>749</v>
      </c>
      <c r="L397" s="47" t="s">
        <v>2697</v>
      </c>
      <c r="M397" s="48" t="s">
        <v>2698</v>
      </c>
      <c r="N397" s="49"/>
      <c r="O397" s="50" t="s">
        <v>3432</v>
      </c>
      <c r="P397" s="59"/>
      <c r="Q397" s="59"/>
      <c r="R397" s="13"/>
    </row>
    <row r="398" spans="1:18" x14ac:dyDescent="0.25">
      <c r="A398" s="9" t="s">
        <v>21</v>
      </c>
      <c r="B398" s="28">
        <f>IF(ISBLANK(A398),0,INDEX(txtstylestab[],MATCH(A398,txtstylestab[style_Name],0),1))</f>
        <v>0</v>
      </c>
      <c r="C398" s="28">
        <f t="shared" si="24"/>
        <v>1</v>
      </c>
      <c r="D398" s="28">
        <f t="shared" si="25"/>
        <v>23</v>
      </c>
      <c r="E398" s="28">
        <f t="shared" si="26"/>
        <v>0</v>
      </c>
      <c r="F398" s="59" t="str">
        <f t="shared" si="27"/>
        <v/>
      </c>
      <c r="G398" s="42" t="s">
        <v>428</v>
      </c>
      <c r="H398" s="43" t="s">
        <v>750</v>
      </c>
      <c r="I398" s="44" t="s">
        <v>430</v>
      </c>
      <c r="J398" s="45" t="s">
        <v>1626</v>
      </c>
      <c r="K398" s="46" t="s">
        <v>431</v>
      </c>
      <c r="L398" s="47" t="s">
        <v>2529</v>
      </c>
      <c r="M398" s="48" t="s">
        <v>2699</v>
      </c>
      <c r="N398" s="49"/>
      <c r="O398" s="50"/>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437</v>
      </c>
      <c r="H399" s="43" t="s">
        <v>441</v>
      </c>
      <c r="I399" s="44" t="s">
        <v>751</v>
      </c>
      <c r="J399" s="45" t="s">
        <v>1627</v>
      </c>
      <c r="K399" s="46" t="s">
        <v>453</v>
      </c>
      <c r="L399" s="47" t="s">
        <v>2700</v>
      </c>
      <c r="M399" s="48" t="s">
        <v>2533</v>
      </c>
      <c r="N399" s="49"/>
      <c r="O399" s="50" t="s">
        <v>3342</v>
      </c>
      <c r="P399" s="59"/>
      <c r="Q399" s="59"/>
      <c r="R399" s="13"/>
    </row>
    <row r="400" spans="1:18" ht="30" x14ac:dyDescent="0.25">
      <c r="A400" s="9" t="s">
        <v>21</v>
      </c>
      <c r="B400" s="28">
        <f>IF(ISBLANK(A400),0,INDEX(txtstylestab[],MATCH(A400,txtstylestab[style_Name],0),1))</f>
        <v>0</v>
      </c>
      <c r="C400" s="28">
        <f t="shared" si="24"/>
        <v>1</v>
      </c>
      <c r="D400" s="28">
        <f t="shared" si="25"/>
        <v>23</v>
      </c>
      <c r="E400" s="28">
        <f t="shared" si="26"/>
        <v>0</v>
      </c>
      <c r="F400" s="59" t="str">
        <f t="shared" si="27"/>
        <v/>
      </c>
      <c r="G400" s="42" t="s">
        <v>438</v>
      </c>
      <c r="H400" s="43" t="s">
        <v>442</v>
      </c>
      <c r="I400" s="44" t="s">
        <v>752</v>
      </c>
      <c r="J400" s="45" t="s">
        <v>753</v>
      </c>
      <c r="K400" s="46" t="s">
        <v>454</v>
      </c>
      <c r="L400" s="47" t="s">
        <v>2701</v>
      </c>
      <c r="M400" s="48" t="s">
        <v>2534</v>
      </c>
      <c r="N400" s="49"/>
      <c r="O400" s="50" t="s">
        <v>3330</v>
      </c>
      <c r="P400" s="59"/>
      <c r="Q400" s="59"/>
      <c r="R400" s="13"/>
    </row>
    <row r="401" spans="1:18" ht="30" x14ac:dyDescent="0.25">
      <c r="A401" s="9" t="s">
        <v>21</v>
      </c>
      <c r="B401" s="28">
        <f>IF(ISBLANK(A401),0,INDEX(txtstylestab[],MATCH(A401,txtstylestab[style_Name],0),1))</f>
        <v>0</v>
      </c>
      <c r="C401" s="28">
        <f t="shared" si="24"/>
        <v>1</v>
      </c>
      <c r="D401" s="28">
        <f t="shared" si="25"/>
        <v>23</v>
      </c>
      <c r="E401" s="28">
        <f t="shared" si="26"/>
        <v>0</v>
      </c>
      <c r="F401" s="59" t="str">
        <f t="shared" si="27"/>
        <v/>
      </c>
      <c r="G401" s="42" t="s">
        <v>439</v>
      </c>
      <c r="H401" s="43" t="s">
        <v>754</v>
      </c>
      <c r="I401" s="44" t="s">
        <v>755</v>
      </c>
      <c r="J401" s="45" t="s">
        <v>756</v>
      </c>
      <c r="K401" s="46" t="s">
        <v>455</v>
      </c>
      <c r="L401" s="47" t="s">
        <v>2702</v>
      </c>
      <c r="M401" s="48" t="s">
        <v>2535</v>
      </c>
      <c r="N401" s="49"/>
      <c r="O401" s="50" t="s">
        <v>3343</v>
      </c>
      <c r="P401" s="59"/>
      <c r="Q401" s="59"/>
      <c r="R401" s="13"/>
    </row>
    <row r="402" spans="1:18" x14ac:dyDescent="0.25">
      <c r="A402" s="9" t="s">
        <v>21</v>
      </c>
      <c r="B402" s="28">
        <f>IF(ISBLANK(A402),0,INDEX(txtstylestab[],MATCH(A402,txtstylestab[style_Name],0),1))</f>
        <v>0</v>
      </c>
      <c r="C402" s="28">
        <f t="shared" si="24"/>
        <v>1</v>
      </c>
      <c r="D402" s="28">
        <f t="shared" si="25"/>
        <v>23</v>
      </c>
      <c r="E402" s="28">
        <f t="shared" si="26"/>
        <v>0</v>
      </c>
      <c r="F402" s="59" t="str">
        <f t="shared" si="27"/>
        <v/>
      </c>
      <c r="G402" s="42" t="s">
        <v>757</v>
      </c>
      <c r="H402" s="43" t="s">
        <v>444</v>
      </c>
      <c r="I402" s="44" t="s">
        <v>758</v>
      </c>
      <c r="J402" s="45" t="s">
        <v>759</v>
      </c>
      <c r="K402" s="46" t="s">
        <v>456</v>
      </c>
      <c r="L402" s="47" t="s">
        <v>2531</v>
      </c>
      <c r="M402" s="48" t="s">
        <v>2703</v>
      </c>
      <c r="N402" s="49"/>
      <c r="O402" s="50" t="s">
        <v>3344</v>
      </c>
      <c r="P402" s="59"/>
      <c r="Q402" s="59"/>
      <c r="R402" s="13"/>
    </row>
    <row r="403" spans="1:18" x14ac:dyDescent="0.25">
      <c r="A403" s="9" t="s">
        <v>21</v>
      </c>
      <c r="B403" s="28">
        <f>IF(ISBLANK(A403),0,INDEX(txtstylestab[],MATCH(A403,txtstylestab[style_Name],0),1))</f>
        <v>0</v>
      </c>
      <c r="C403" s="28">
        <f t="shared" si="24"/>
        <v>1</v>
      </c>
      <c r="D403" s="28">
        <f t="shared" si="25"/>
        <v>23</v>
      </c>
      <c r="E403" s="28">
        <f t="shared" si="26"/>
        <v>0</v>
      </c>
      <c r="F403" s="59" t="str">
        <f t="shared" si="27"/>
        <v/>
      </c>
      <c r="G403" s="42" t="s">
        <v>6</v>
      </c>
      <c r="H403" s="43" t="s">
        <v>26</v>
      </c>
      <c r="I403" s="44" t="s">
        <v>48</v>
      </c>
      <c r="J403" s="45" t="s">
        <v>384</v>
      </c>
      <c r="K403" s="46" t="s">
        <v>59</v>
      </c>
      <c r="L403" s="47" t="s">
        <v>2524</v>
      </c>
      <c r="M403" s="48" t="s">
        <v>2525</v>
      </c>
      <c r="N403" s="49"/>
      <c r="O403" s="50" t="s">
        <v>3168</v>
      </c>
      <c r="P403" s="50"/>
      <c r="Q403" s="59"/>
      <c r="R403" s="13"/>
    </row>
    <row r="404" spans="1:18" x14ac:dyDescent="0.25">
      <c r="A404" s="9" t="s">
        <v>13</v>
      </c>
      <c r="B404" s="28">
        <f>IF(ISBLANK(A404),0,INDEX(txtstylestab[],MATCH(A404,txtstylestab[style_Name],0),1))</f>
        <v>7</v>
      </c>
      <c r="C404" s="28">
        <f t="shared" si="24"/>
        <v>1</v>
      </c>
      <c r="D404" s="28">
        <f t="shared" si="25"/>
        <v>23</v>
      </c>
      <c r="E404" s="28">
        <f t="shared" si="26"/>
        <v>0</v>
      </c>
      <c r="F404" s="78" t="str">
        <f t="shared" si="27"/>
        <v/>
      </c>
      <c r="G404" s="78" t="s">
        <v>760</v>
      </c>
      <c r="H404" s="78"/>
      <c r="I404" s="78"/>
      <c r="J404" s="78"/>
      <c r="K404" s="78"/>
      <c r="L404" s="78"/>
      <c r="M404" s="78"/>
      <c r="N404" s="78"/>
      <c r="O404" s="78"/>
      <c r="P404" s="78"/>
      <c r="Q404" s="78"/>
      <c r="R404" s="13"/>
    </row>
    <row r="405" spans="1:18" ht="18" thickBot="1" x14ac:dyDescent="0.35">
      <c r="A405" s="9" t="s">
        <v>11</v>
      </c>
      <c r="B405" s="28">
        <f>IF(ISBLANK(A405),0,INDEX(txtstylestab[],MATCH(A405,txtstylestab[style_Name],0),1))</f>
        <v>2</v>
      </c>
      <c r="C405" s="28">
        <f t="shared" si="24"/>
        <v>1</v>
      </c>
      <c r="D405" s="28">
        <f t="shared" si="25"/>
        <v>24</v>
      </c>
      <c r="E405" s="28">
        <f t="shared" si="26"/>
        <v>0</v>
      </c>
      <c r="F405" s="54" t="str">
        <f t="shared" si="27"/>
        <v>1.24.</v>
      </c>
      <c r="G405" s="54" t="s">
        <v>1731</v>
      </c>
      <c r="H405" s="54"/>
      <c r="I405" s="54"/>
      <c r="J405" s="54"/>
      <c r="K405" s="54"/>
      <c r="L405" s="54"/>
      <c r="M405" s="54"/>
      <c r="N405" s="54"/>
      <c r="O405" s="54"/>
      <c r="P405" s="54"/>
      <c r="Q405" s="54"/>
      <c r="R405" s="13"/>
    </row>
    <row r="406" spans="1:18" ht="30.75" thickTop="1" x14ac:dyDescent="0.25">
      <c r="A406" s="9" t="s">
        <v>21</v>
      </c>
      <c r="B406" s="28">
        <f>IF(ISBLANK(A406),0,INDEX(txtstylestab[],MATCH(A406,txtstylestab[style_Name],0),1))</f>
        <v>0</v>
      </c>
      <c r="C406" s="28">
        <f t="shared" si="24"/>
        <v>1</v>
      </c>
      <c r="D406" s="28">
        <f t="shared" si="25"/>
        <v>24</v>
      </c>
      <c r="E406" s="28">
        <f t="shared" si="26"/>
        <v>0</v>
      </c>
      <c r="F406" s="59" t="str">
        <f t="shared" si="27"/>
        <v/>
      </c>
      <c r="G406" s="42" t="s">
        <v>1893</v>
      </c>
      <c r="H406" s="43" t="s">
        <v>1894</v>
      </c>
      <c r="I406" s="44" t="s">
        <v>1895</v>
      </c>
      <c r="J406" s="45" t="s">
        <v>1896</v>
      </c>
      <c r="K406" s="46" t="s">
        <v>1897</v>
      </c>
      <c r="L406" s="47" t="s">
        <v>2704</v>
      </c>
      <c r="M406" s="48" t="s">
        <v>2705</v>
      </c>
      <c r="N406" s="49"/>
      <c r="O406" s="50" t="s">
        <v>3433</v>
      </c>
      <c r="P406" s="59"/>
      <c r="Q406" s="59"/>
      <c r="R406" s="13"/>
    </row>
    <row r="407" spans="1:18" ht="60" x14ac:dyDescent="0.25">
      <c r="A407" s="9" t="s">
        <v>14</v>
      </c>
      <c r="B407" s="28">
        <f>IF(ISBLANK(A407),0,INDEX(txtstylestab[],MATCH(A407,txtstylestab[style_Name],0),1))</f>
        <v>6</v>
      </c>
      <c r="C407" s="28">
        <f t="shared" si="24"/>
        <v>1</v>
      </c>
      <c r="D407" s="28">
        <f t="shared" si="25"/>
        <v>24</v>
      </c>
      <c r="E407" s="28">
        <f t="shared" si="26"/>
        <v>0</v>
      </c>
      <c r="F407" s="59" t="str">
        <f t="shared" si="27"/>
        <v/>
      </c>
      <c r="G407" s="42" t="s">
        <v>1898</v>
      </c>
      <c r="H407" s="43" t="s">
        <v>1899</v>
      </c>
      <c r="I407" s="44" t="s">
        <v>1900</v>
      </c>
      <c r="J407" s="45" t="s">
        <v>1901</v>
      </c>
      <c r="K407" s="46" t="s">
        <v>1902</v>
      </c>
      <c r="L407" s="47" t="s">
        <v>2706</v>
      </c>
      <c r="M407" s="48" t="s">
        <v>2733</v>
      </c>
      <c r="N407" s="49"/>
      <c r="O407" s="50" t="s">
        <v>3434</v>
      </c>
      <c r="P407" s="59"/>
      <c r="Q407" s="59"/>
      <c r="R407" s="13"/>
    </row>
    <row r="408" spans="1:18" ht="90" x14ac:dyDescent="0.25">
      <c r="A408" s="9" t="s">
        <v>14</v>
      </c>
      <c r="B408" s="28">
        <f>IF(ISBLANK(A408),0,INDEX(txtstylestab[],MATCH(A408,txtstylestab[style_Name],0),1))</f>
        <v>6</v>
      </c>
      <c r="C408" s="28">
        <f t="shared" si="24"/>
        <v>1</v>
      </c>
      <c r="D408" s="28">
        <f t="shared" si="25"/>
        <v>24</v>
      </c>
      <c r="E408" s="28">
        <f t="shared" si="26"/>
        <v>0</v>
      </c>
      <c r="F408" s="59" t="str">
        <f t="shared" si="27"/>
        <v/>
      </c>
      <c r="G408" s="42" t="s">
        <v>761</v>
      </c>
      <c r="H408" s="43" t="s">
        <v>1903</v>
      </c>
      <c r="I408" s="44" t="s">
        <v>1637</v>
      </c>
      <c r="J408" s="45" t="s">
        <v>767</v>
      </c>
      <c r="K408" s="46" t="s">
        <v>762</v>
      </c>
      <c r="L408" s="47" t="s">
        <v>2707</v>
      </c>
      <c r="M408" s="48" t="s">
        <v>2729</v>
      </c>
      <c r="N408" s="49"/>
      <c r="O408" s="50" t="s">
        <v>3435</v>
      </c>
      <c r="P408" s="59"/>
      <c r="Q408" s="59"/>
      <c r="R408" s="13"/>
    </row>
    <row r="409" spans="1:18" ht="45" x14ac:dyDescent="0.25">
      <c r="A409" s="9" t="s">
        <v>21</v>
      </c>
      <c r="B409" s="28">
        <f>IF(ISBLANK(A409),0,INDEX(txtstylestab[],MATCH(A409,txtstylestab[style_Name],0),1))</f>
        <v>0</v>
      </c>
      <c r="C409" s="28">
        <f t="shared" si="24"/>
        <v>1</v>
      </c>
      <c r="D409" s="28">
        <f t="shared" si="25"/>
        <v>24</v>
      </c>
      <c r="E409" s="28">
        <f t="shared" si="26"/>
        <v>0</v>
      </c>
      <c r="F409" s="59" t="str">
        <f t="shared" si="27"/>
        <v/>
      </c>
      <c r="G409" s="42" t="s">
        <v>763</v>
      </c>
      <c r="H409" s="43" t="s">
        <v>764</v>
      </c>
      <c r="I409" s="44" t="s">
        <v>765</v>
      </c>
      <c r="J409" s="45" t="s">
        <v>766</v>
      </c>
      <c r="K409" s="46" t="s">
        <v>768</v>
      </c>
      <c r="L409" s="47" t="s">
        <v>2708</v>
      </c>
      <c r="M409" s="48" t="s">
        <v>2732</v>
      </c>
      <c r="N409" s="49"/>
      <c r="O409" s="50" t="s">
        <v>3436</v>
      </c>
      <c r="P409" s="59"/>
      <c r="Q409" s="59"/>
      <c r="R409" s="13"/>
    </row>
    <row r="410" spans="1:18" ht="60" x14ac:dyDescent="0.25">
      <c r="A410" s="9" t="s">
        <v>21</v>
      </c>
      <c r="B410" s="28">
        <f>IF(ISBLANK(A410),0,INDEX(txtstylestab[],MATCH(A410,txtstylestab[style_Name],0),1))</f>
        <v>0</v>
      </c>
      <c r="C410" s="28">
        <f t="shared" si="24"/>
        <v>1</v>
      </c>
      <c r="D410" s="28">
        <f t="shared" si="25"/>
        <v>24</v>
      </c>
      <c r="E410" s="28">
        <f t="shared" si="26"/>
        <v>0</v>
      </c>
      <c r="F410" s="59" t="str">
        <f t="shared" si="27"/>
        <v/>
      </c>
      <c r="G410" s="42" t="s">
        <v>712</v>
      </c>
      <c r="H410" s="43" t="s">
        <v>780</v>
      </c>
      <c r="I410" s="44" t="s">
        <v>781</v>
      </c>
      <c r="J410" s="45" t="s">
        <v>782</v>
      </c>
      <c r="K410" s="46" t="s">
        <v>2304</v>
      </c>
      <c r="L410" s="47" t="s">
        <v>2683</v>
      </c>
      <c r="M410" s="48" t="s">
        <v>2734</v>
      </c>
      <c r="N410" s="49"/>
      <c r="O410" s="50" t="s">
        <v>3437</v>
      </c>
      <c r="P410" s="59"/>
      <c r="Q410" s="59"/>
      <c r="R410" s="13"/>
    </row>
    <row r="411" spans="1:18" ht="60" x14ac:dyDescent="0.25">
      <c r="A411" s="9" t="s">
        <v>21</v>
      </c>
      <c r="B411" s="28">
        <f>IF(ISBLANK(A411),0,INDEX(txtstylestab[],MATCH(A411,txtstylestab[style_Name],0),1))</f>
        <v>0</v>
      </c>
      <c r="C411" s="28">
        <f t="shared" si="24"/>
        <v>1</v>
      </c>
      <c r="D411" s="28">
        <f t="shared" si="25"/>
        <v>24</v>
      </c>
      <c r="E411" s="28">
        <f t="shared" si="26"/>
        <v>0</v>
      </c>
      <c r="F411" s="59" t="str">
        <f t="shared" si="27"/>
        <v/>
      </c>
      <c r="G411" s="42" t="s">
        <v>2312</v>
      </c>
      <c r="H411" s="43" t="s">
        <v>2313</v>
      </c>
      <c r="I411" s="44" t="s">
        <v>2317</v>
      </c>
      <c r="J411" s="45" t="s">
        <v>2318</v>
      </c>
      <c r="K411" s="46" t="s">
        <v>2319</v>
      </c>
      <c r="L411" s="47" t="s">
        <v>2731</v>
      </c>
      <c r="M411" s="48" t="s">
        <v>2730</v>
      </c>
      <c r="N411" s="49"/>
      <c r="O411" s="50" t="s">
        <v>3438</v>
      </c>
      <c r="P411" s="59"/>
      <c r="Q411" s="59"/>
      <c r="R411" s="13"/>
    </row>
    <row r="412" spans="1:18" ht="75" x14ac:dyDescent="0.25">
      <c r="A412" s="9" t="s">
        <v>21</v>
      </c>
      <c r="B412" s="28">
        <f>IF(ISBLANK(A412),0,INDEX(txtstylestab[],MATCH(A412,txtstylestab[style_Name],0),1))</f>
        <v>0</v>
      </c>
      <c r="C412" s="28">
        <f t="shared" si="24"/>
        <v>1</v>
      </c>
      <c r="D412" s="28">
        <f t="shared" si="25"/>
        <v>24</v>
      </c>
      <c r="E412" s="28">
        <f t="shared" si="26"/>
        <v>0</v>
      </c>
      <c r="F412" s="59" t="str">
        <f t="shared" si="27"/>
        <v/>
      </c>
      <c r="G412" s="42" t="s">
        <v>769</v>
      </c>
      <c r="H412" s="43" t="s">
        <v>2147</v>
      </c>
      <c r="I412" s="44" t="s">
        <v>2258</v>
      </c>
      <c r="J412" s="45" t="s">
        <v>770</v>
      </c>
      <c r="K412" s="46" t="s">
        <v>2191</v>
      </c>
      <c r="L412" s="47" t="s">
        <v>2709</v>
      </c>
      <c r="M412" s="48" t="s">
        <v>2710</v>
      </c>
      <c r="N412" s="49"/>
      <c r="O412" s="50" t="s">
        <v>3442</v>
      </c>
      <c r="P412" s="59"/>
      <c r="Q412" s="59"/>
      <c r="R412" s="13"/>
    </row>
    <row r="413" spans="1:18" ht="45" x14ac:dyDescent="0.25">
      <c r="A413" s="9" t="s">
        <v>21</v>
      </c>
      <c r="B413" s="28">
        <f>IF(ISBLANK(A413),0,INDEX(txtstylestab[],MATCH(A413,txtstylestab[style_Name],0),1))</f>
        <v>0</v>
      </c>
      <c r="C413" s="28">
        <f t="shared" si="24"/>
        <v>1</v>
      </c>
      <c r="D413" s="28">
        <f t="shared" si="25"/>
        <v>24</v>
      </c>
      <c r="E413" s="28">
        <f t="shared" si="26"/>
        <v>0</v>
      </c>
      <c r="F413" s="59" t="str">
        <f t="shared" si="27"/>
        <v/>
      </c>
      <c r="G413" s="42" t="s">
        <v>771</v>
      </c>
      <c r="H413" s="43" t="s">
        <v>772</v>
      </c>
      <c r="I413" s="44" t="s">
        <v>773</v>
      </c>
      <c r="J413" s="45" t="s">
        <v>774</v>
      </c>
      <c r="K413" s="46" t="s">
        <v>775</v>
      </c>
      <c r="L413" s="47" t="s">
        <v>2711</v>
      </c>
      <c r="M413" s="48" t="s">
        <v>2712</v>
      </c>
      <c r="N413" s="49"/>
      <c r="O413" s="50" t="s">
        <v>3443</v>
      </c>
      <c r="P413" s="59"/>
      <c r="Q413" s="59"/>
      <c r="R413" s="13"/>
    </row>
    <row r="414" spans="1:18" ht="60" x14ac:dyDescent="0.25">
      <c r="A414" s="9" t="s">
        <v>21</v>
      </c>
      <c r="B414" s="28">
        <f>IF(ISBLANK(A414),0,INDEX(txtstylestab[],MATCH(A414,txtstylestab[style_Name],0),1))</f>
        <v>0</v>
      </c>
      <c r="C414" s="28">
        <f t="shared" si="24"/>
        <v>1</v>
      </c>
      <c r="D414" s="28">
        <f t="shared" si="25"/>
        <v>24</v>
      </c>
      <c r="E414" s="28">
        <f t="shared" si="26"/>
        <v>0</v>
      </c>
      <c r="F414" s="59" t="str">
        <f t="shared" si="27"/>
        <v/>
      </c>
      <c r="G414" s="42" t="s">
        <v>776</v>
      </c>
      <c r="H414" s="43" t="s">
        <v>777</v>
      </c>
      <c r="I414" s="44" t="s">
        <v>778</v>
      </c>
      <c r="J414" s="45" t="s">
        <v>1164</v>
      </c>
      <c r="K414" s="46" t="s">
        <v>779</v>
      </c>
      <c r="L414" s="47" t="s">
        <v>2713</v>
      </c>
      <c r="M414" s="48" t="s">
        <v>2714</v>
      </c>
      <c r="N414" s="49"/>
      <c r="O414" s="50" t="s">
        <v>3444</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783</v>
      </c>
      <c r="H415" s="53"/>
      <c r="I415" s="53"/>
      <c r="J415" s="53"/>
      <c r="K415" s="53"/>
      <c r="L415" s="53"/>
      <c r="M415" s="53"/>
      <c r="N415" s="53"/>
      <c r="O415" s="53"/>
      <c r="P415" s="53"/>
      <c r="Q415" s="53"/>
      <c r="R415" s="13"/>
    </row>
    <row r="416" spans="1:18" ht="15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784</v>
      </c>
      <c r="H416" s="43" t="s">
        <v>785</v>
      </c>
      <c r="I416" s="44" t="s">
        <v>2257</v>
      </c>
      <c r="J416" s="45" t="s">
        <v>1613</v>
      </c>
      <c r="K416" s="46" t="s">
        <v>1741</v>
      </c>
      <c r="L416" s="47" t="s">
        <v>2715</v>
      </c>
      <c r="M416" s="48" t="s">
        <v>2716</v>
      </c>
      <c r="N416" s="49"/>
      <c r="O416" s="50" t="s">
        <v>3445</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786</v>
      </c>
      <c r="H417" s="53"/>
      <c r="I417" s="53"/>
      <c r="J417" s="53"/>
      <c r="K417" s="53"/>
      <c r="L417" s="53"/>
      <c r="M417" s="53"/>
      <c r="N417" s="53"/>
      <c r="O417" s="53"/>
      <c r="P417" s="53"/>
      <c r="Q417" s="53"/>
      <c r="R417" s="13"/>
    </row>
    <row r="418" spans="1:18" ht="60" x14ac:dyDescent="0.25">
      <c r="A418" s="9" t="s">
        <v>21</v>
      </c>
      <c r="B418" s="28">
        <f>IF(ISBLANK(A418),0,INDEX(txtstylestab[],MATCH(A418,txtstylestab[style_Name],0),1))</f>
        <v>0</v>
      </c>
      <c r="C418" s="28">
        <f t="shared" si="24"/>
        <v>1</v>
      </c>
      <c r="D418" s="28">
        <f t="shared" si="25"/>
        <v>24</v>
      </c>
      <c r="E418" s="28">
        <f t="shared" si="26"/>
        <v>0</v>
      </c>
      <c r="F418" s="59" t="str">
        <f t="shared" si="27"/>
        <v/>
      </c>
      <c r="G418" s="42" t="s">
        <v>787</v>
      </c>
      <c r="H418" s="43" t="s">
        <v>788</v>
      </c>
      <c r="I418" s="44" t="s">
        <v>789</v>
      </c>
      <c r="J418" s="45" t="s">
        <v>790</v>
      </c>
      <c r="K418" s="46" t="s">
        <v>791</v>
      </c>
      <c r="L418" s="47" t="s">
        <v>2717</v>
      </c>
      <c r="M418" s="48" t="s">
        <v>2718</v>
      </c>
      <c r="N418" s="49"/>
      <c r="O418" s="50" t="s">
        <v>3446</v>
      </c>
      <c r="P418" s="59"/>
      <c r="Q418" s="59"/>
      <c r="R418" s="13"/>
    </row>
    <row r="419" spans="1:18" x14ac:dyDescent="0.25">
      <c r="A419" s="9" t="s">
        <v>22</v>
      </c>
      <c r="B419" s="28">
        <f>IF(ISBLANK(A419),0,INDEX(txtstylestab[],MATCH(A419,txtstylestab[style_Name],0),1))</f>
        <v>4</v>
      </c>
      <c r="C419" s="28">
        <f t="shared" si="24"/>
        <v>1</v>
      </c>
      <c r="D419" s="28">
        <f t="shared" si="25"/>
        <v>24</v>
      </c>
      <c r="E419" s="28">
        <f t="shared" si="26"/>
        <v>0</v>
      </c>
      <c r="F419" s="56" t="str">
        <f t="shared" si="27"/>
        <v/>
      </c>
      <c r="G419" s="53" t="s">
        <v>704</v>
      </c>
      <c r="H419" s="53"/>
      <c r="I419" s="53"/>
      <c r="J419" s="53"/>
      <c r="K419" s="53"/>
      <c r="L419" s="53"/>
      <c r="M419" s="53"/>
      <c r="N419" s="53"/>
      <c r="O419" s="53"/>
      <c r="P419" s="53"/>
      <c r="Q419" s="53"/>
      <c r="R419" s="13"/>
    </row>
    <row r="420" spans="1:18" ht="90" x14ac:dyDescent="0.25">
      <c r="A420" s="9" t="s">
        <v>21</v>
      </c>
      <c r="B420" s="28">
        <f>IF(ISBLANK(A420),0,INDEX(txtstylestab[],MATCH(A420,txtstylestab[style_Name],0),1))</f>
        <v>0</v>
      </c>
      <c r="C420" s="28">
        <f t="shared" si="24"/>
        <v>1</v>
      </c>
      <c r="D420" s="28">
        <f t="shared" si="25"/>
        <v>24</v>
      </c>
      <c r="E420" s="28">
        <f t="shared" si="26"/>
        <v>0</v>
      </c>
      <c r="F420" s="59" t="str">
        <f t="shared" si="27"/>
        <v/>
      </c>
      <c r="G420" s="42" t="s">
        <v>2138</v>
      </c>
      <c r="H420" s="43" t="s">
        <v>2139</v>
      </c>
      <c r="I420" s="44" t="s">
        <v>792</v>
      </c>
      <c r="J420" s="45" t="s">
        <v>2140</v>
      </c>
      <c r="K420" s="46" t="s">
        <v>2141</v>
      </c>
      <c r="L420" s="47" t="s">
        <v>2719</v>
      </c>
      <c r="M420" s="48" t="s">
        <v>2720</v>
      </c>
      <c r="N420" s="49"/>
      <c r="O420" s="50" t="s">
        <v>3447</v>
      </c>
      <c r="P420" s="59"/>
      <c r="Q420" s="59"/>
      <c r="R420" s="13"/>
    </row>
    <row r="421" spans="1:18" ht="30" x14ac:dyDescent="0.25">
      <c r="A421" s="9" t="s">
        <v>21</v>
      </c>
      <c r="B421" s="28">
        <f>IF(ISBLANK(A421),0,INDEX(txtstylestab[],MATCH(A421,txtstylestab[style_Name],0),1))</f>
        <v>0</v>
      </c>
      <c r="C421" s="28">
        <f t="shared" si="24"/>
        <v>1</v>
      </c>
      <c r="D421" s="28">
        <f t="shared" si="25"/>
        <v>24</v>
      </c>
      <c r="E421" s="28">
        <f t="shared" si="26"/>
        <v>0</v>
      </c>
      <c r="F421" s="59" t="str">
        <f t="shared" si="27"/>
        <v/>
      </c>
      <c r="G421" s="42" t="s">
        <v>793</v>
      </c>
      <c r="H421" s="43" t="s">
        <v>794</v>
      </c>
      <c r="I421" s="44" t="s">
        <v>795</v>
      </c>
      <c r="J421" s="45" t="s">
        <v>796</v>
      </c>
      <c r="K421" s="46" t="s">
        <v>832</v>
      </c>
      <c r="L421" s="47" t="s">
        <v>2721</v>
      </c>
      <c r="M421" s="48" t="s">
        <v>2722</v>
      </c>
      <c r="N421" s="49"/>
      <c r="O421" s="50" t="s">
        <v>3448</v>
      </c>
      <c r="P421" s="59"/>
      <c r="Q421" s="59"/>
      <c r="R421" s="13"/>
    </row>
    <row r="422" spans="1:18" ht="15.75" thickBot="1" x14ac:dyDescent="0.3">
      <c r="A422" s="9" t="s">
        <v>12</v>
      </c>
      <c r="B422" s="28">
        <f>IF(ISBLANK(A422),0,INDEX(txtstylestab[],MATCH(A422,txtstylestab[style_Name],0),1))</f>
        <v>3</v>
      </c>
      <c r="C422" s="28">
        <f t="shared" si="24"/>
        <v>1</v>
      </c>
      <c r="D422" s="28">
        <f t="shared" si="25"/>
        <v>24</v>
      </c>
      <c r="E422" s="28">
        <f t="shared" si="26"/>
        <v>1</v>
      </c>
      <c r="F422" s="55" t="str">
        <f t="shared" si="27"/>
        <v>1.24.1.</v>
      </c>
      <c r="G422" s="55" t="s">
        <v>1614</v>
      </c>
      <c r="H422" s="55"/>
      <c r="I422" s="55"/>
      <c r="J422" s="55"/>
      <c r="K422" s="55"/>
      <c r="L422" s="55"/>
      <c r="M422" s="55"/>
      <c r="N422" s="55"/>
      <c r="O422" s="55"/>
      <c r="P422" s="55"/>
      <c r="Q422" s="55"/>
      <c r="R422" s="13"/>
    </row>
    <row r="423" spans="1:18" x14ac:dyDescent="0.25">
      <c r="A423" s="9" t="s">
        <v>21</v>
      </c>
      <c r="B423" s="28">
        <f>IF(ISBLANK(A423),0,INDEX(txtstylestab[],MATCH(A423,txtstylestab[style_Name],0),1))</f>
        <v>0</v>
      </c>
      <c r="C423" s="28">
        <f t="shared" si="24"/>
        <v>1</v>
      </c>
      <c r="D423" s="28">
        <f t="shared" si="25"/>
        <v>24</v>
      </c>
      <c r="E423" s="28">
        <f t="shared" si="26"/>
        <v>1</v>
      </c>
      <c r="F423" s="59" t="str">
        <f t="shared" si="27"/>
        <v/>
      </c>
      <c r="G423" s="42" t="s">
        <v>82</v>
      </c>
      <c r="H423" s="43" t="s">
        <v>83</v>
      </c>
      <c r="I423" s="44" t="s">
        <v>84</v>
      </c>
      <c r="J423" s="45" t="s">
        <v>85</v>
      </c>
      <c r="K423" s="46" t="s">
        <v>86</v>
      </c>
      <c r="L423" s="47" t="s">
        <v>2397</v>
      </c>
      <c r="M423" s="48" t="s">
        <v>2539</v>
      </c>
      <c r="N423" s="49"/>
      <c r="O423" s="50" t="s">
        <v>3161</v>
      </c>
      <c r="P423" s="59"/>
      <c r="Q423" s="59"/>
      <c r="R423" s="13"/>
    </row>
    <row r="424" spans="1:18" ht="105" x14ac:dyDescent="0.25">
      <c r="A424" s="9" t="s">
        <v>21</v>
      </c>
      <c r="B424" s="28">
        <f>IF(ISBLANK(A424),0,INDEX(txtstylestab[],MATCH(A424,txtstylestab[style_Name],0),1))</f>
        <v>0</v>
      </c>
      <c r="C424" s="28">
        <f t="shared" si="24"/>
        <v>1</v>
      </c>
      <c r="D424" s="28">
        <f t="shared" si="25"/>
        <v>24</v>
      </c>
      <c r="E424" s="28">
        <f t="shared" si="26"/>
        <v>1</v>
      </c>
      <c r="F424" s="59" t="str">
        <f t="shared" si="27"/>
        <v/>
      </c>
      <c r="G424" s="42" t="s">
        <v>797</v>
      </c>
      <c r="H424" s="43" t="s">
        <v>1615</v>
      </c>
      <c r="I424" s="44" t="s">
        <v>1638</v>
      </c>
      <c r="J424" s="45" t="s">
        <v>798</v>
      </c>
      <c r="K424" s="46" t="s">
        <v>799</v>
      </c>
      <c r="L424" s="47" t="s">
        <v>2723</v>
      </c>
      <c r="M424" s="48" t="s">
        <v>2724</v>
      </c>
      <c r="N424" s="49"/>
      <c r="O424" s="50" t="s">
        <v>3449</v>
      </c>
      <c r="P424" s="59"/>
      <c r="Q424" s="59"/>
      <c r="R424" s="13"/>
    </row>
    <row r="425" spans="1:18" ht="30" x14ac:dyDescent="0.25">
      <c r="A425" s="9" t="s">
        <v>21</v>
      </c>
      <c r="B425" s="28">
        <f>IF(ISBLANK(A425),0,INDEX(txtstylestab[],MATCH(A425,txtstylestab[style_Name],0),1))</f>
        <v>0</v>
      </c>
      <c r="C425" s="28">
        <f t="shared" si="24"/>
        <v>1</v>
      </c>
      <c r="D425" s="28">
        <f t="shared" si="25"/>
        <v>24</v>
      </c>
      <c r="E425" s="28">
        <f t="shared" si="26"/>
        <v>1</v>
      </c>
      <c r="F425" s="59" t="str">
        <f t="shared" si="27"/>
        <v/>
      </c>
      <c r="G425" s="42" t="s">
        <v>800</v>
      </c>
      <c r="H425" s="43" t="s">
        <v>801</v>
      </c>
      <c r="I425" s="44" t="s">
        <v>802</v>
      </c>
      <c r="J425" s="45" t="s">
        <v>803</v>
      </c>
      <c r="K425" s="46" t="s">
        <v>804</v>
      </c>
      <c r="L425" s="47" t="s">
        <v>2725</v>
      </c>
      <c r="M425" s="48" t="s">
        <v>2726</v>
      </c>
      <c r="N425" s="49"/>
      <c r="O425" s="50" t="s">
        <v>3450</v>
      </c>
      <c r="P425" s="59"/>
      <c r="Q425" s="59"/>
      <c r="R425" s="13"/>
    </row>
    <row r="426" spans="1:18" x14ac:dyDescent="0.25">
      <c r="A426" s="9" t="s">
        <v>21</v>
      </c>
      <c r="B426" s="28">
        <f>IF(ISBLANK(A426),0,INDEX(txtstylestab[],MATCH(A426,txtstylestab[style_Name],0),1))</f>
        <v>0</v>
      </c>
      <c r="C426" s="28">
        <f t="shared" si="24"/>
        <v>1</v>
      </c>
      <c r="D426" s="28">
        <f t="shared" si="25"/>
        <v>24</v>
      </c>
      <c r="E426" s="28">
        <f t="shared" si="26"/>
        <v>1</v>
      </c>
      <c r="F426" s="59" t="str">
        <f t="shared" si="27"/>
        <v/>
      </c>
      <c r="G426" s="42" t="s">
        <v>6</v>
      </c>
      <c r="H426" s="43" t="s">
        <v>26</v>
      </c>
      <c r="I426" s="44" t="s">
        <v>48</v>
      </c>
      <c r="J426" s="45" t="s">
        <v>54</v>
      </c>
      <c r="K426" s="46" t="s">
        <v>59</v>
      </c>
      <c r="L426" s="47" t="s">
        <v>2524</v>
      </c>
      <c r="M426" s="48" t="s">
        <v>2525</v>
      </c>
      <c r="N426" s="49"/>
      <c r="O426" s="50" t="s">
        <v>3451</v>
      </c>
      <c r="P426" s="59"/>
      <c r="Q426" s="59"/>
      <c r="R426" s="13"/>
    </row>
    <row r="427" spans="1:18" ht="15.75" thickBot="1" x14ac:dyDescent="0.3">
      <c r="A427" s="9" t="s">
        <v>12</v>
      </c>
      <c r="B427" s="28">
        <f>IF(ISBLANK(A427),0,INDEX(txtstylestab[],MATCH(A427,txtstylestab[style_Name],0),1))</f>
        <v>3</v>
      </c>
      <c r="C427" s="28">
        <f t="shared" si="24"/>
        <v>1</v>
      </c>
      <c r="D427" s="28">
        <f t="shared" si="25"/>
        <v>24</v>
      </c>
      <c r="E427" s="28">
        <f t="shared" si="26"/>
        <v>2</v>
      </c>
      <c r="F427" s="55" t="str">
        <f t="shared" si="27"/>
        <v>1.24.2.</v>
      </c>
      <c r="G427" s="55" t="s">
        <v>1616</v>
      </c>
      <c r="H427" s="55"/>
      <c r="I427" s="55"/>
      <c r="J427" s="55"/>
      <c r="K427" s="55"/>
      <c r="L427" s="55"/>
      <c r="M427" s="55"/>
      <c r="N427" s="55"/>
      <c r="O427" s="55"/>
      <c r="P427" s="55"/>
      <c r="Q427" s="55"/>
      <c r="R427" s="13"/>
    </row>
    <row r="428" spans="1:18" x14ac:dyDescent="0.25">
      <c r="A428" s="9" t="s">
        <v>22</v>
      </c>
      <c r="B428" s="28">
        <f>IF(ISBLANK(A428),0,INDEX(txtstylestab[],MATCH(A428,txtstylestab[style_Name],0),1))</f>
        <v>4</v>
      </c>
      <c r="C428" s="28">
        <f t="shared" si="24"/>
        <v>1</v>
      </c>
      <c r="D428" s="28">
        <f t="shared" si="25"/>
        <v>24</v>
      </c>
      <c r="E428" s="28">
        <f t="shared" si="26"/>
        <v>2</v>
      </c>
      <c r="F428" s="56" t="str">
        <f t="shared" si="27"/>
        <v/>
      </c>
      <c r="G428" s="67" t="s">
        <v>1788</v>
      </c>
      <c r="H428" s="67"/>
      <c r="I428" s="67"/>
      <c r="J428" s="67"/>
      <c r="K428" s="67"/>
      <c r="L428" s="67"/>
      <c r="M428" s="67"/>
      <c r="N428" s="67"/>
      <c r="O428" s="67"/>
      <c r="P428" s="67"/>
      <c r="Q428" s="67"/>
      <c r="R428" s="13"/>
    </row>
    <row r="429" spans="1:18" ht="60" x14ac:dyDescent="0.25">
      <c r="A429" s="9" t="s">
        <v>21</v>
      </c>
      <c r="B429" s="28">
        <f>IF(ISBLANK(A429),0,INDEX(txtstylestab[],MATCH(A429,txtstylestab[style_Name],0),1))</f>
        <v>0</v>
      </c>
      <c r="C429" s="28">
        <f t="shared" si="24"/>
        <v>1</v>
      </c>
      <c r="D429" s="28">
        <f t="shared" si="25"/>
        <v>24</v>
      </c>
      <c r="E429" s="28">
        <f t="shared" si="26"/>
        <v>2</v>
      </c>
      <c r="F429" s="59" t="str">
        <f t="shared" si="27"/>
        <v/>
      </c>
      <c r="G429" s="42" t="s">
        <v>806</v>
      </c>
      <c r="H429" s="43"/>
      <c r="I429" s="44"/>
      <c r="J429" s="45"/>
      <c r="K429" s="46"/>
      <c r="L429" s="47" t="s">
        <v>2727</v>
      </c>
      <c r="M429" s="48" t="s">
        <v>2728</v>
      </c>
      <c r="N429" s="49"/>
      <c r="O429" s="49"/>
      <c r="P429" s="50"/>
      <c r="Q429" s="59"/>
      <c r="R429" s="13"/>
    </row>
    <row r="430" spans="1:18" ht="18" thickBot="1" x14ac:dyDescent="0.35">
      <c r="A430" s="9" t="s">
        <v>11</v>
      </c>
      <c r="B430" s="28">
        <f>IF(ISBLANK(A430),0,INDEX(txtstylestab[],MATCH(A430,txtstylestab[style_Name],0),1))</f>
        <v>2</v>
      </c>
      <c r="C430" s="28">
        <f t="shared" si="24"/>
        <v>1</v>
      </c>
      <c r="D430" s="28">
        <f t="shared" si="25"/>
        <v>25</v>
      </c>
      <c r="E430" s="28">
        <f t="shared" si="26"/>
        <v>0</v>
      </c>
      <c r="F430" s="54" t="str">
        <f t="shared" si="27"/>
        <v>1.25.</v>
      </c>
      <c r="G430" s="54" t="s">
        <v>807</v>
      </c>
      <c r="H430" s="54"/>
      <c r="I430" s="54"/>
      <c r="J430" s="54"/>
      <c r="K430" s="54"/>
      <c r="L430" s="54"/>
      <c r="M430" s="54"/>
      <c r="N430" s="54"/>
      <c r="O430" s="54"/>
      <c r="P430" s="54"/>
      <c r="Q430" s="54"/>
      <c r="R430" s="13"/>
    </row>
    <row r="431" spans="1:18" ht="15.75" thickTop="1" x14ac:dyDescent="0.25">
      <c r="A431" s="9" t="s">
        <v>21</v>
      </c>
      <c r="B431" s="28">
        <f>IF(ISBLANK(A431),0,INDEX(txtstylestab[],MATCH(A431,txtstylestab[style_Name],0),1))</f>
        <v>0</v>
      </c>
      <c r="C431" s="28">
        <f t="shared" si="24"/>
        <v>1</v>
      </c>
      <c r="D431" s="28">
        <f t="shared" si="25"/>
        <v>25</v>
      </c>
      <c r="E431" s="28">
        <f t="shared" si="26"/>
        <v>0</v>
      </c>
      <c r="F431" s="59" t="str">
        <f t="shared" si="27"/>
        <v/>
      </c>
      <c r="G431" s="42" t="s">
        <v>82</v>
      </c>
      <c r="H431" s="43" t="s">
        <v>83</v>
      </c>
      <c r="I431" s="44" t="s">
        <v>84</v>
      </c>
      <c r="J431" s="45" t="s">
        <v>808</v>
      </c>
      <c r="K431" s="46" t="s">
        <v>86</v>
      </c>
      <c r="L431" s="47" t="s">
        <v>2397</v>
      </c>
      <c r="M431" s="48" t="s">
        <v>2539</v>
      </c>
      <c r="N431" s="49"/>
      <c r="O431" s="50" t="s">
        <v>3161</v>
      </c>
      <c r="P431" s="50"/>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809</v>
      </c>
      <c r="H432" s="43" t="s">
        <v>810</v>
      </c>
      <c r="I432" s="44" t="s">
        <v>811</v>
      </c>
      <c r="J432" s="45" t="s">
        <v>812</v>
      </c>
      <c r="K432" s="46" t="s">
        <v>813</v>
      </c>
      <c r="L432" s="47" t="s">
        <v>2747</v>
      </c>
      <c r="M432" s="48" t="s">
        <v>2748</v>
      </c>
      <c r="N432" s="49"/>
      <c r="O432" s="50" t="s">
        <v>3452</v>
      </c>
      <c r="P432" s="59"/>
      <c r="Q432" s="59"/>
      <c r="R432" s="13"/>
    </row>
    <row r="433" spans="1:18" ht="90" x14ac:dyDescent="0.25">
      <c r="A433" s="9" t="s">
        <v>21</v>
      </c>
      <c r="B433" s="28">
        <f>IF(ISBLANK(A433),0,INDEX(txtstylestab[],MATCH(A433,txtstylestab[style_Name],0),1))</f>
        <v>0</v>
      </c>
      <c r="C433" s="28">
        <f t="shared" si="24"/>
        <v>1</v>
      </c>
      <c r="D433" s="28">
        <f t="shared" si="25"/>
        <v>25</v>
      </c>
      <c r="E433" s="28">
        <f t="shared" si="26"/>
        <v>0</v>
      </c>
      <c r="F433" s="59" t="str">
        <f t="shared" si="27"/>
        <v/>
      </c>
      <c r="G433" s="42" t="s">
        <v>820</v>
      </c>
      <c r="H433" s="43" t="s">
        <v>2148</v>
      </c>
      <c r="I433" s="44" t="s">
        <v>2259</v>
      </c>
      <c r="J433" s="45" t="s">
        <v>814</v>
      </c>
      <c r="K433" s="46" t="s">
        <v>1742</v>
      </c>
      <c r="L433" s="47" t="s">
        <v>2749</v>
      </c>
      <c r="M433" s="48" t="s">
        <v>2750</v>
      </c>
      <c r="N433" s="49"/>
      <c r="O433" s="50" t="s">
        <v>3453</v>
      </c>
      <c r="P433" s="59"/>
      <c r="Q433" s="59"/>
      <c r="R433" s="13"/>
    </row>
    <row r="434" spans="1:18" ht="30" x14ac:dyDescent="0.25">
      <c r="A434" s="9" t="s">
        <v>21</v>
      </c>
      <c r="B434" s="28">
        <f>IF(ISBLANK(A434),0,INDEX(txtstylestab[],MATCH(A434,txtstylestab[style_Name],0),1))</f>
        <v>0</v>
      </c>
      <c r="C434" s="28">
        <f t="shared" si="24"/>
        <v>1</v>
      </c>
      <c r="D434" s="28">
        <f t="shared" si="25"/>
        <v>25</v>
      </c>
      <c r="E434" s="28">
        <f t="shared" si="26"/>
        <v>0</v>
      </c>
      <c r="F434" s="59" t="str">
        <f t="shared" si="27"/>
        <v/>
      </c>
      <c r="G434" s="42" t="s">
        <v>815</v>
      </c>
      <c r="H434" s="43" t="s">
        <v>816</v>
      </c>
      <c r="I434" s="44" t="s">
        <v>817</v>
      </c>
      <c r="J434" s="45" t="s">
        <v>818</v>
      </c>
      <c r="K434" s="46" t="s">
        <v>819</v>
      </c>
      <c r="L434" s="47" t="s">
        <v>2751</v>
      </c>
      <c r="M434" s="48" t="s">
        <v>2752</v>
      </c>
      <c r="N434" s="49"/>
      <c r="O434" s="50" t="s">
        <v>3236</v>
      </c>
      <c r="P434" s="59"/>
      <c r="Q434" s="59"/>
      <c r="R434" s="13"/>
    </row>
    <row r="435" spans="1:18" x14ac:dyDescent="0.25">
      <c r="A435" s="9" t="s">
        <v>21</v>
      </c>
      <c r="B435" s="28">
        <f>IF(ISBLANK(A435),0,INDEX(txtstylestab[],MATCH(A435,txtstylestab[style_Name],0),1))</f>
        <v>0</v>
      </c>
      <c r="C435" s="28">
        <f t="shared" si="24"/>
        <v>1</v>
      </c>
      <c r="D435" s="28">
        <f t="shared" si="25"/>
        <v>25</v>
      </c>
      <c r="E435" s="28">
        <f t="shared" si="26"/>
        <v>0</v>
      </c>
      <c r="F435" s="59" t="str">
        <f t="shared" si="27"/>
        <v/>
      </c>
      <c r="G435" s="42" t="s">
        <v>6</v>
      </c>
      <c r="H435" s="43" t="s">
        <v>26</v>
      </c>
      <c r="I435" s="44" t="s">
        <v>48</v>
      </c>
      <c r="J435" s="45" t="s">
        <v>54</v>
      </c>
      <c r="K435" s="46" t="s">
        <v>59</v>
      </c>
      <c r="L435" s="47" t="s">
        <v>2524</v>
      </c>
      <c r="M435" s="48" t="s">
        <v>2525</v>
      </c>
      <c r="N435" s="49"/>
      <c r="O435" s="50" t="s">
        <v>3451</v>
      </c>
      <c r="P435" s="59"/>
      <c r="Q435" s="59"/>
      <c r="R435" s="13"/>
    </row>
    <row r="436" spans="1:18" ht="18" thickBot="1" x14ac:dyDescent="0.35">
      <c r="A436" s="9" t="s">
        <v>11</v>
      </c>
      <c r="B436" s="28">
        <f>IF(ISBLANK(A436),0,INDEX(txtstylestab[],MATCH(A436,txtstylestab[style_Name],0),1))</f>
        <v>2</v>
      </c>
      <c r="C436" s="28">
        <f t="shared" si="24"/>
        <v>1</v>
      </c>
      <c r="D436" s="28">
        <f t="shared" si="25"/>
        <v>26</v>
      </c>
      <c r="E436" s="28">
        <f t="shared" si="26"/>
        <v>0</v>
      </c>
      <c r="F436" s="54" t="str">
        <f t="shared" si="27"/>
        <v>1.26.</v>
      </c>
      <c r="G436" s="54" t="s">
        <v>821</v>
      </c>
      <c r="H436" s="54"/>
      <c r="I436" s="54"/>
      <c r="J436" s="54"/>
      <c r="K436" s="54"/>
      <c r="L436" s="54"/>
      <c r="M436" s="54"/>
      <c r="N436" s="54"/>
      <c r="O436" s="54"/>
      <c r="P436" s="54"/>
      <c r="Q436" s="54"/>
      <c r="R436" s="13"/>
    </row>
    <row r="437" spans="1:18" ht="15.75" thickTop="1" x14ac:dyDescent="0.25">
      <c r="A437" s="9" t="s">
        <v>21</v>
      </c>
      <c r="B437" s="28">
        <f>IF(ISBLANK(A437),0,INDEX(txtstylestab[],MATCH(A437,txtstylestab[style_Name],0),1))</f>
        <v>0</v>
      </c>
      <c r="C437" s="28">
        <f t="shared" si="24"/>
        <v>1</v>
      </c>
      <c r="D437" s="28">
        <f t="shared" si="25"/>
        <v>26</v>
      </c>
      <c r="E437" s="28">
        <f t="shared" si="26"/>
        <v>0</v>
      </c>
      <c r="F437" s="59" t="str">
        <f t="shared" si="27"/>
        <v/>
      </c>
      <c r="G437" s="42" t="s">
        <v>82</v>
      </c>
      <c r="H437" s="43" t="s">
        <v>83</v>
      </c>
      <c r="I437" s="44" t="s">
        <v>84</v>
      </c>
      <c r="J437" s="45" t="s">
        <v>85</v>
      </c>
      <c r="K437" s="46" t="s">
        <v>86</v>
      </c>
      <c r="L437" s="47" t="s">
        <v>2397</v>
      </c>
      <c r="M437" s="48" t="s">
        <v>2539</v>
      </c>
      <c r="N437" s="49"/>
      <c r="O437" s="50" t="s">
        <v>3161</v>
      </c>
      <c r="P437" s="50"/>
      <c r="Q437" s="59"/>
      <c r="R437" s="13"/>
    </row>
    <row r="438" spans="1:18" x14ac:dyDescent="0.25">
      <c r="A438" s="9" t="s">
        <v>21</v>
      </c>
      <c r="B438" s="28">
        <f>IF(ISBLANK(A438),0,INDEX(txtstylestab[],MATCH(A438,txtstylestab[style_Name],0),1))</f>
        <v>0</v>
      </c>
      <c r="C438" s="28">
        <f t="shared" si="24"/>
        <v>1</v>
      </c>
      <c r="D438" s="28">
        <f t="shared" si="25"/>
        <v>26</v>
      </c>
      <c r="E438" s="28">
        <f t="shared" si="26"/>
        <v>0</v>
      </c>
      <c r="F438" s="59" t="str">
        <f t="shared" si="27"/>
        <v/>
      </c>
      <c r="G438" s="42" t="s">
        <v>822</v>
      </c>
      <c r="H438" s="43" t="s">
        <v>409</v>
      </c>
      <c r="I438" s="44" t="s">
        <v>410</v>
      </c>
      <c r="J438" s="45" t="s">
        <v>1618</v>
      </c>
      <c r="K438" s="46" t="s">
        <v>823</v>
      </c>
      <c r="L438" s="47" t="s">
        <v>2518</v>
      </c>
      <c r="M438" s="48" t="s">
        <v>2519</v>
      </c>
      <c r="N438" s="49"/>
      <c r="O438" s="50"/>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805</v>
      </c>
      <c r="H439" s="43" t="s">
        <v>824</v>
      </c>
      <c r="I439" s="44" t="s">
        <v>825</v>
      </c>
      <c r="J439" s="45" t="s">
        <v>826</v>
      </c>
      <c r="K439" s="46" t="s">
        <v>827</v>
      </c>
      <c r="L439" s="47" t="s">
        <v>2753</v>
      </c>
      <c r="M439" s="48" t="s">
        <v>2754</v>
      </c>
      <c r="N439" s="49"/>
      <c r="O439" s="50" t="s">
        <v>3454</v>
      </c>
      <c r="P439" s="59"/>
      <c r="Q439" s="59"/>
      <c r="R439" s="13"/>
    </row>
    <row r="440" spans="1:18" ht="105" x14ac:dyDescent="0.25">
      <c r="A440" s="9" t="s">
        <v>21</v>
      </c>
      <c r="B440" s="28">
        <f>IF(ISBLANK(A440),0,INDEX(txtstylestab[],MATCH(A440,txtstylestab[style_Name],0),1))</f>
        <v>0</v>
      </c>
      <c r="C440" s="28">
        <f t="shared" si="24"/>
        <v>1</v>
      </c>
      <c r="D440" s="28">
        <f t="shared" si="25"/>
        <v>26</v>
      </c>
      <c r="E440" s="28">
        <f t="shared" si="26"/>
        <v>0</v>
      </c>
      <c r="F440" s="59" t="str">
        <f t="shared" si="27"/>
        <v/>
      </c>
      <c r="G440" s="42" t="s">
        <v>833</v>
      </c>
      <c r="H440" s="43" t="s">
        <v>2231</v>
      </c>
      <c r="I440" s="44" t="s">
        <v>2260</v>
      </c>
      <c r="J440" s="45" t="s">
        <v>1163</v>
      </c>
      <c r="K440" s="46" t="s">
        <v>834</v>
      </c>
      <c r="L440" s="47" t="s">
        <v>2755</v>
      </c>
      <c r="M440" s="48" t="s">
        <v>2756</v>
      </c>
      <c r="N440" s="49"/>
      <c r="O440" s="50" t="s">
        <v>3455</v>
      </c>
      <c r="P440" s="59"/>
      <c r="Q440" s="59"/>
      <c r="R440" s="13"/>
    </row>
    <row r="441" spans="1:18" ht="30" x14ac:dyDescent="0.25">
      <c r="A441" s="9" t="s">
        <v>21</v>
      </c>
      <c r="B441" s="28">
        <f>IF(ISBLANK(A441),0,INDEX(txtstylestab[],MATCH(A441,txtstylestab[style_Name],0),1))</f>
        <v>0</v>
      </c>
      <c r="C441" s="28">
        <f t="shared" si="24"/>
        <v>1</v>
      </c>
      <c r="D441" s="28">
        <f t="shared" si="25"/>
        <v>26</v>
      </c>
      <c r="E441" s="28">
        <f t="shared" si="26"/>
        <v>0</v>
      </c>
      <c r="F441" s="59" t="str">
        <f t="shared" si="27"/>
        <v/>
      </c>
      <c r="G441" s="42" t="s">
        <v>828</v>
      </c>
      <c r="H441" s="43" t="s">
        <v>829</v>
      </c>
      <c r="I441" s="44" t="s">
        <v>830</v>
      </c>
      <c r="J441" s="45" t="s">
        <v>831</v>
      </c>
      <c r="K441" s="46" t="s">
        <v>832</v>
      </c>
      <c r="L441" s="47" t="s">
        <v>2757</v>
      </c>
      <c r="M441" s="48" t="s">
        <v>2758</v>
      </c>
      <c r="N441" s="49"/>
      <c r="O441" s="50" t="s">
        <v>3456</v>
      </c>
      <c r="P441" s="59"/>
      <c r="Q441" s="59"/>
      <c r="R441" s="13"/>
    </row>
    <row r="442" spans="1:18" ht="180" x14ac:dyDescent="0.25">
      <c r="A442" s="9" t="s">
        <v>21</v>
      </c>
      <c r="B442" s="28">
        <f>IF(ISBLANK(A442),0,INDEX(txtstylestab[],MATCH(A442,txtstylestab[style_Name],0),1))</f>
        <v>0</v>
      </c>
      <c r="C442" s="28">
        <f t="shared" si="24"/>
        <v>1</v>
      </c>
      <c r="D442" s="28">
        <f t="shared" si="25"/>
        <v>26</v>
      </c>
      <c r="E442" s="28">
        <f t="shared" si="26"/>
        <v>0</v>
      </c>
      <c r="F442" s="59" t="str">
        <f t="shared" si="27"/>
        <v/>
      </c>
      <c r="G442" s="42"/>
      <c r="H442" s="43"/>
      <c r="I442" s="44" t="s">
        <v>3457</v>
      </c>
      <c r="J442" s="45" t="s">
        <v>1764</v>
      </c>
      <c r="K442" s="46" t="s">
        <v>835</v>
      </c>
      <c r="L442" s="47"/>
      <c r="M442" s="48"/>
      <c r="N442" s="49"/>
      <c r="O442" s="50"/>
      <c r="P442" s="59"/>
      <c r="Q442" s="59"/>
      <c r="R442" s="13"/>
    </row>
    <row r="443" spans="1:18" ht="18" thickBot="1" x14ac:dyDescent="0.35">
      <c r="A443" s="9" t="s">
        <v>11</v>
      </c>
      <c r="B443" s="28">
        <f>IF(ISBLANK(A443),0,INDEX(txtstylestab[],MATCH(A443,txtstylestab[style_Name],0),1))</f>
        <v>2</v>
      </c>
      <c r="C443" s="28">
        <f t="shared" si="24"/>
        <v>1</v>
      </c>
      <c r="D443" s="28">
        <f t="shared" si="25"/>
        <v>27</v>
      </c>
      <c r="E443" s="28">
        <f t="shared" si="26"/>
        <v>0</v>
      </c>
      <c r="F443" s="54" t="str">
        <f t="shared" si="27"/>
        <v>1.27.</v>
      </c>
      <c r="G443" s="54" t="s">
        <v>836</v>
      </c>
      <c r="H443" s="54"/>
      <c r="I443" s="54"/>
      <c r="J443" s="54"/>
      <c r="K443" s="54"/>
      <c r="L443" s="54"/>
      <c r="M443" s="54"/>
      <c r="N443" s="54"/>
      <c r="O443" s="54"/>
      <c r="P443" s="54"/>
      <c r="Q443" s="54"/>
      <c r="R443" s="13"/>
    </row>
    <row r="444" spans="1:18" ht="15.75" thickTop="1" x14ac:dyDescent="0.25">
      <c r="A444" s="9" t="s">
        <v>21</v>
      </c>
      <c r="B444" s="28">
        <f>IF(ISBLANK(A444),0,INDEX(txtstylestab[],MATCH(A444,txtstylestab[style_Name],0),1))</f>
        <v>0</v>
      </c>
      <c r="C444" s="28">
        <f t="shared" si="24"/>
        <v>1</v>
      </c>
      <c r="D444" s="28">
        <f t="shared" si="25"/>
        <v>27</v>
      </c>
      <c r="E444" s="28">
        <f t="shared" si="26"/>
        <v>0</v>
      </c>
      <c r="F444" s="59" t="str">
        <f t="shared" si="27"/>
        <v/>
      </c>
      <c r="G444" s="42" t="s">
        <v>82</v>
      </c>
      <c r="H444" s="43" t="s">
        <v>83</v>
      </c>
      <c r="I444" s="44" t="s">
        <v>84</v>
      </c>
      <c r="J444" s="45" t="s">
        <v>85</v>
      </c>
      <c r="K444" s="46" t="s">
        <v>86</v>
      </c>
      <c r="L444" s="47" t="s">
        <v>2397</v>
      </c>
      <c r="M444" s="48" t="s">
        <v>2539</v>
      </c>
      <c r="N444" s="49"/>
      <c r="O444" s="50" t="s">
        <v>3161</v>
      </c>
      <c r="P444" s="50"/>
      <c r="Q444" s="59"/>
      <c r="R444" s="13"/>
    </row>
    <row r="445" spans="1:18" ht="45" x14ac:dyDescent="0.25">
      <c r="A445" s="9" t="s">
        <v>21</v>
      </c>
      <c r="B445" s="28">
        <f>IF(ISBLANK(A445),0,INDEX(txtstylestab[],MATCH(A445,txtstylestab[style_Name],0),1))</f>
        <v>0</v>
      </c>
      <c r="C445" s="28">
        <f t="shared" si="24"/>
        <v>1</v>
      </c>
      <c r="D445" s="28">
        <f t="shared" si="25"/>
        <v>27</v>
      </c>
      <c r="E445" s="28">
        <f t="shared" si="26"/>
        <v>0</v>
      </c>
      <c r="F445" s="59" t="str">
        <f t="shared" si="27"/>
        <v/>
      </c>
      <c r="G445" s="42" t="s">
        <v>837</v>
      </c>
      <c r="H445" s="43" t="s">
        <v>838</v>
      </c>
      <c r="I445" s="44" t="s">
        <v>839</v>
      </c>
      <c r="J445" s="45" t="s">
        <v>840</v>
      </c>
      <c r="K445" s="46" t="s">
        <v>841</v>
      </c>
      <c r="L445" s="47" t="s">
        <v>2759</v>
      </c>
      <c r="M445" s="48" t="s">
        <v>2760</v>
      </c>
      <c r="N445" s="49"/>
      <c r="O445" s="50" t="s">
        <v>3458</v>
      </c>
      <c r="P445" s="59"/>
      <c r="Q445" s="59"/>
      <c r="R445" s="13"/>
    </row>
    <row r="446" spans="1:18" ht="30" x14ac:dyDescent="0.25">
      <c r="A446" s="9" t="s">
        <v>21</v>
      </c>
      <c r="B446" s="28">
        <f>IF(ISBLANK(A446),0,INDEX(txtstylestab[],MATCH(A446,txtstylestab[style_Name],0),1))</f>
        <v>0</v>
      </c>
      <c r="C446" s="28">
        <f t="shared" si="24"/>
        <v>1</v>
      </c>
      <c r="D446" s="28">
        <f t="shared" si="25"/>
        <v>27</v>
      </c>
      <c r="E446" s="28">
        <f t="shared" si="26"/>
        <v>0</v>
      </c>
      <c r="F446" s="59" t="str">
        <f t="shared" si="27"/>
        <v/>
      </c>
      <c r="G446" s="42" t="s">
        <v>842</v>
      </c>
      <c r="H446" s="43" t="s">
        <v>843</v>
      </c>
      <c r="I446" s="44" t="s">
        <v>844</v>
      </c>
      <c r="J446" s="45" t="s">
        <v>845</v>
      </c>
      <c r="K446" s="46" t="s">
        <v>1727</v>
      </c>
      <c r="L446" s="47" t="s">
        <v>2761</v>
      </c>
      <c r="M446" s="48" t="s">
        <v>2762</v>
      </c>
      <c r="N446" s="49"/>
      <c r="O446" s="50" t="s">
        <v>3459</v>
      </c>
      <c r="P446" s="59"/>
      <c r="Q446" s="59"/>
      <c r="R446" s="13"/>
    </row>
    <row r="447" spans="1:18" x14ac:dyDescent="0.25">
      <c r="A447" s="9" t="s">
        <v>21</v>
      </c>
      <c r="B447" s="28">
        <f>IF(ISBLANK(A447),0,INDEX(txtstylestab[],MATCH(A447,txtstylestab[style_Name],0),1))</f>
        <v>0</v>
      </c>
      <c r="C447" s="28">
        <f t="shared" si="24"/>
        <v>1</v>
      </c>
      <c r="D447" s="28">
        <f t="shared" si="25"/>
        <v>27</v>
      </c>
      <c r="E447" s="28">
        <f t="shared" si="26"/>
        <v>0</v>
      </c>
      <c r="F447" s="59" t="str">
        <f t="shared" si="27"/>
        <v/>
      </c>
      <c r="G447" s="42" t="s">
        <v>6</v>
      </c>
      <c r="H447" s="43" t="s">
        <v>26</v>
      </c>
      <c r="I447" s="44" t="s">
        <v>48</v>
      </c>
      <c r="J447" s="45" t="s">
        <v>384</v>
      </c>
      <c r="K447" s="46" t="s">
        <v>59</v>
      </c>
      <c r="L447" s="47" t="s">
        <v>2524</v>
      </c>
      <c r="M447" s="48" t="s">
        <v>2525</v>
      </c>
      <c r="N447" s="48"/>
      <c r="O447" s="50" t="s">
        <v>3451</v>
      </c>
      <c r="P447" s="49"/>
      <c r="Q447" s="50"/>
      <c r="R447" s="13"/>
    </row>
    <row r="448" spans="1:18" ht="15.75" thickBot="1" x14ac:dyDescent="0.3">
      <c r="A448" s="9" t="s">
        <v>12</v>
      </c>
      <c r="B448" s="28">
        <f>IF(ISBLANK(A448),0,INDEX(txtstylestab[],MATCH(A448,txtstylestab[style_Name],0),1))</f>
        <v>3</v>
      </c>
      <c r="C448" s="28">
        <f t="shared" si="24"/>
        <v>1</v>
      </c>
      <c r="D448" s="28">
        <f t="shared" si="25"/>
        <v>27</v>
      </c>
      <c r="E448" s="28">
        <f t="shared" si="26"/>
        <v>1</v>
      </c>
      <c r="F448" s="55" t="str">
        <f t="shared" si="27"/>
        <v>1.27.1.</v>
      </c>
      <c r="G448" s="55" t="s">
        <v>846</v>
      </c>
      <c r="H448" s="55"/>
      <c r="I448" s="55"/>
      <c r="J448" s="55"/>
      <c r="K448" s="55"/>
      <c r="L448" s="55"/>
      <c r="M448" s="55"/>
      <c r="N448" s="55"/>
      <c r="O448" s="55"/>
      <c r="P448" s="55"/>
      <c r="Q448" s="55"/>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82</v>
      </c>
      <c r="H449" s="43" t="s">
        <v>83</v>
      </c>
      <c r="I449" s="44" t="s">
        <v>84</v>
      </c>
      <c r="J449" s="45" t="s">
        <v>85</v>
      </c>
      <c r="K449" s="46" t="s">
        <v>86</v>
      </c>
      <c r="L449" s="47" t="s">
        <v>2397</v>
      </c>
      <c r="M449" s="48" t="s">
        <v>2539</v>
      </c>
      <c r="N449" s="49"/>
      <c r="O449" s="50" t="s">
        <v>3161</v>
      </c>
      <c r="P449" s="50"/>
      <c r="Q449" s="59"/>
      <c r="R449" s="13"/>
    </row>
    <row r="450" spans="1:18" ht="90" x14ac:dyDescent="0.25">
      <c r="A450" s="9" t="s">
        <v>21</v>
      </c>
      <c r="B450" s="28">
        <f>IF(ISBLANK(A450),0,INDEX(txtstylestab[],MATCH(A450,txtstylestab[style_Name],0),1))</f>
        <v>0</v>
      </c>
      <c r="C450" s="28">
        <f t="shared" si="24"/>
        <v>1</v>
      </c>
      <c r="D450" s="28">
        <f t="shared" si="25"/>
        <v>27</v>
      </c>
      <c r="E450" s="28">
        <f t="shared" si="26"/>
        <v>1</v>
      </c>
      <c r="F450" s="59" t="str">
        <f t="shared" si="27"/>
        <v/>
      </c>
      <c r="G450" s="42" t="s">
        <v>847</v>
      </c>
      <c r="H450" s="43" t="s">
        <v>848</v>
      </c>
      <c r="I450" s="44" t="s">
        <v>1639</v>
      </c>
      <c r="J450" s="45" t="s">
        <v>1617</v>
      </c>
      <c r="K450" s="46" t="s">
        <v>849</v>
      </c>
      <c r="L450" s="47" t="s">
        <v>2763</v>
      </c>
      <c r="M450" s="48" t="s">
        <v>2764</v>
      </c>
      <c r="N450" s="49"/>
      <c r="O450" s="50" t="s">
        <v>3460</v>
      </c>
      <c r="P450" s="59"/>
      <c r="Q450" s="59"/>
      <c r="R450" s="13"/>
    </row>
    <row r="451" spans="1:18" x14ac:dyDescent="0.25">
      <c r="A451" s="9" t="s">
        <v>21</v>
      </c>
      <c r="B451" s="28">
        <f>IF(ISBLANK(A451),0,INDEX(txtstylestab[],MATCH(A451,txtstylestab[style_Name],0),1))</f>
        <v>0</v>
      </c>
      <c r="C451" s="28">
        <f t="shared" si="24"/>
        <v>1</v>
      </c>
      <c r="D451" s="28">
        <f t="shared" si="25"/>
        <v>27</v>
      </c>
      <c r="E451" s="28">
        <f t="shared" si="26"/>
        <v>1</v>
      </c>
      <c r="F451" s="59" t="str">
        <f t="shared" si="27"/>
        <v/>
      </c>
      <c r="G451" s="42" t="s">
        <v>6</v>
      </c>
      <c r="H451" s="43" t="s">
        <v>96</v>
      </c>
      <c r="I451" s="44" t="s">
        <v>48</v>
      </c>
      <c r="J451" s="45" t="s">
        <v>384</v>
      </c>
      <c r="K451" s="46" t="s">
        <v>59</v>
      </c>
      <c r="L451" s="47" t="s">
        <v>2524</v>
      </c>
      <c r="M451" s="48" t="s">
        <v>2525</v>
      </c>
      <c r="N451" s="49"/>
      <c r="O451" s="50" t="s">
        <v>3451</v>
      </c>
      <c r="P451" s="50"/>
      <c r="Q451" s="59"/>
      <c r="R451" s="13"/>
    </row>
    <row r="452" spans="1:18" ht="18" thickBot="1" x14ac:dyDescent="0.35">
      <c r="A452" s="9" t="s">
        <v>11</v>
      </c>
      <c r="B452" s="28">
        <f>IF(ISBLANK(A452),0,INDEX(txtstylestab[],MATCH(A452,txtstylestab[style_Name],0),1))</f>
        <v>2</v>
      </c>
      <c r="C452" s="28">
        <f t="shared" ref="C452:C472" si="28">IF(B452=1,C451+1,C451)</f>
        <v>1</v>
      </c>
      <c r="D452" s="28">
        <f t="shared" ref="D452:D472" si="29">IF(B452=1,0,IF(B452=2,D451+1,IF(AND(B452=3,D451=0),1,D451)))</f>
        <v>28</v>
      </c>
      <c r="E452" s="28">
        <f t="shared" ref="E452:E472" si="30">IF(OR(B452=1,B452=2),0,IF(B452=3,E451+1,E451))</f>
        <v>0</v>
      </c>
      <c r="F452" s="54" t="str">
        <f t="shared" ref="F452:F472" si="31">IF(OR(B452=1,B452=2,B452=3),TEXT(C452,"#")&amp;".","")&amp;IF(OR(B452=2,B452=3),TEXT(D452,"#")&amp;".","")&amp;IF(B452=3,TEXT(E452,"#")&amp;".","")</f>
        <v>1.28.</v>
      </c>
      <c r="G452" s="54" t="s">
        <v>850</v>
      </c>
      <c r="H452" s="54"/>
      <c r="I452" s="54"/>
      <c r="J452" s="54"/>
      <c r="K452" s="54"/>
      <c r="L452" s="54"/>
      <c r="M452" s="54"/>
      <c r="N452" s="54"/>
      <c r="O452" s="54"/>
      <c r="P452" s="54"/>
      <c r="Q452" s="54"/>
      <c r="R452" s="13"/>
    </row>
    <row r="453" spans="1:18" ht="15.75" thickTop="1" x14ac:dyDescent="0.25">
      <c r="A453" s="9" t="s">
        <v>21</v>
      </c>
      <c r="B453" s="28">
        <f>IF(ISBLANK(A453),0,INDEX(txtstylestab[],MATCH(A453,txtstylestab[style_Name],0),1))</f>
        <v>0</v>
      </c>
      <c r="C453" s="28">
        <f t="shared" si="28"/>
        <v>1</v>
      </c>
      <c r="D453" s="28">
        <f t="shared" si="29"/>
        <v>28</v>
      </c>
      <c r="E453" s="28">
        <f t="shared" si="30"/>
        <v>0</v>
      </c>
      <c r="F453" s="59" t="str">
        <f t="shared" si="31"/>
        <v/>
      </c>
      <c r="G453" s="42" t="s">
        <v>82</v>
      </c>
      <c r="H453" s="43" t="s">
        <v>851</v>
      </c>
      <c r="I453" s="44" t="s">
        <v>84</v>
      </c>
      <c r="J453" s="45" t="s">
        <v>85</v>
      </c>
      <c r="K453" s="46" t="s">
        <v>86</v>
      </c>
      <c r="L453" s="47" t="s">
        <v>2397</v>
      </c>
      <c r="M453" s="48" t="s">
        <v>2539</v>
      </c>
      <c r="N453" s="49"/>
      <c r="O453" s="50" t="s">
        <v>3161</v>
      </c>
      <c r="P453" s="50"/>
      <c r="Q453" s="59"/>
      <c r="R453" s="13"/>
    </row>
    <row r="454" spans="1:18" ht="75" x14ac:dyDescent="0.25">
      <c r="A454" s="9" t="s">
        <v>21</v>
      </c>
      <c r="B454" s="28">
        <f>IF(ISBLANK(A454),0,INDEX(txtstylestab[],MATCH(A454,txtstylestab[style_Name],0),1))</f>
        <v>0</v>
      </c>
      <c r="C454" s="28">
        <f t="shared" si="28"/>
        <v>1</v>
      </c>
      <c r="D454" s="28">
        <f t="shared" si="29"/>
        <v>28</v>
      </c>
      <c r="E454" s="28">
        <f t="shared" si="30"/>
        <v>0</v>
      </c>
      <c r="F454" s="59" t="str">
        <f t="shared" si="31"/>
        <v/>
      </c>
      <c r="G454" s="42" t="s">
        <v>852</v>
      </c>
      <c r="H454" s="43" t="s">
        <v>853</v>
      </c>
      <c r="I454" s="44" t="s">
        <v>854</v>
      </c>
      <c r="J454" s="45" t="s">
        <v>855</v>
      </c>
      <c r="K454" s="46" t="s">
        <v>856</v>
      </c>
      <c r="L454" s="47" t="s">
        <v>2765</v>
      </c>
      <c r="M454" s="48" t="s">
        <v>2766</v>
      </c>
      <c r="N454" s="49"/>
      <c r="O454" s="50" t="s">
        <v>3461</v>
      </c>
      <c r="P454" s="59"/>
      <c r="Q454" s="59"/>
      <c r="R454" s="13"/>
    </row>
    <row r="455" spans="1:18" ht="30" x14ac:dyDescent="0.25">
      <c r="A455" s="9" t="s">
        <v>21</v>
      </c>
      <c r="B455" s="28">
        <f>IF(ISBLANK(A455),0,INDEX(txtstylestab[],MATCH(A455,txtstylestab[style_Name],0),1))</f>
        <v>0</v>
      </c>
      <c r="C455" s="28">
        <f t="shared" si="28"/>
        <v>1</v>
      </c>
      <c r="D455" s="28">
        <f t="shared" si="29"/>
        <v>28</v>
      </c>
      <c r="E455" s="28">
        <f t="shared" si="30"/>
        <v>0</v>
      </c>
      <c r="F455" s="59" t="str">
        <f t="shared" si="31"/>
        <v/>
      </c>
      <c r="G455" s="42" t="s">
        <v>857</v>
      </c>
      <c r="H455" s="43" t="s">
        <v>858</v>
      </c>
      <c r="I455" s="44" t="s">
        <v>859</v>
      </c>
      <c r="J455" s="45" t="s">
        <v>860</v>
      </c>
      <c r="K455" s="46" t="s">
        <v>1728</v>
      </c>
      <c r="L455" s="47" t="s">
        <v>2767</v>
      </c>
      <c r="M455" s="48" t="s">
        <v>2768</v>
      </c>
      <c r="N455" s="49"/>
      <c r="O455" s="50" t="s">
        <v>3462</v>
      </c>
      <c r="P455" s="59"/>
      <c r="Q455" s="59"/>
      <c r="R455" s="13"/>
    </row>
    <row r="456" spans="1:18" x14ac:dyDescent="0.25">
      <c r="A456" s="9" t="s">
        <v>21</v>
      </c>
      <c r="B456" s="28">
        <f>IF(ISBLANK(A456),0,INDEX(txtstylestab[],MATCH(A456,txtstylestab[style_Name],0),1))</f>
        <v>0</v>
      </c>
      <c r="C456" s="28">
        <f t="shared" si="28"/>
        <v>1</v>
      </c>
      <c r="D456" s="28">
        <f t="shared" si="29"/>
        <v>28</v>
      </c>
      <c r="E456" s="28">
        <f t="shared" si="30"/>
        <v>0</v>
      </c>
      <c r="F456" s="59" t="str">
        <f t="shared" si="31"/>
        <v/>
      </c>
      <c r="G456" s="42" t="s">
        <v>6</v>
      </c>
      <c r="H456" s="43" t="s">
        <v>26</v>
      </c>
      <c r="I456" s="44" t="s">
        <v>48</v>
      </c>
      <c r="J456" s="45" t="s">
        <v>54</v>
      </c>
      <c r="K456" s="46" t="s">
        <v>59</v>
      </c>
      <c r="L456" s="47" t="s">
        <v>2524</v>
      </c>
      <c r="M456" s="48" t="s">
        <v>2525</v>
      </c>
      <c r="N456" s="49"/>
      <c r="O456" s="50" t="s">
        <v>3451</v>
      </c>
      <c r="P456" s="50"/>
      <c r="Q456" s="59"/>
      <c r="R456" s="13"/>
    </row>
    <row r="457" spans="1:18" ht="18" thickBot="1" x14ac:dyDescent="0.35">
      <c r="A457" s="9" t="s">
        <v>11</v>
      </c>
      <c r="B457" s="28">
        <f>IF(ISBLANK(A457),0,INDEX(txtstylestab[],MATCH(A457,txtstylestab[style_Name],0),1))</f>
        <v>2</v>
      </c>
      <c r="C457" s="28">
        <f t="shared" si="28"/>
        <v>1</v>
      </c>
      <c r="D457" s="28">
        <f t="shared" si="29"/>
        <v>29</v>
      </c>
      <c r="E457" s="28">
        <f t="shared" si="30"/>
        <v>0</v>
      </c>
      <c r="F457" s="54" t="str">
        <f t="shared" si="31"/>
        <v>1.29.</v>
      </c>
      <c r="G457" s="54" t="s">
        <v>861</v>
      </c>
      <c r="H457" s="54"/>
      <c r="I457" s="54"/>
      <c r="J457" s="54"/>
      <c r="K457" s="54"/>
      <c r="L457" s="54"/>
      <c r="M457" s="54"/>
      <c r="N457" s="54"/>
      <c r="O457" s="54"/>
      <c r="P457" s="54"/>
      <c r="Q457" s="54"/>
      <c r="R457" s="13"/>
    </row>
    <row r="458" spans="1:18" ht="15.75" thickTop="1" x14ac:dyDescent="0.25">
      <c r="A458" s="9" t="s">
        <v>21</v>
      </c>
      <c r="B458" s="28">
        <f>IF(ISBLANK(A458),0,INDEX(txtstylestab[],MATCH(A458,txtstylestab[style_Name],0),1))</f>
        <v>0</v>
      </c>
      <c r="C458" s="28">
        <f t="shared" si="28"/>
        <v>1</v>
      </c>
      <c r="D458" s="28">
        <f t="shared" si="29"/>
        <v>29</v>
      </c>
      <c r="E458" s="28">
        <f t="shared" si="30"/>
        <v>0</v>
      </c>
      <c r="F458" s="59" t="str">
        <f t="shared" si="31"/>
        <v/>
      </c>
      <c r="G458" s="42" t="s">
        <v>82</v>
      </c>
      <c r="H458" s="43" t="s">
        <v>862</v>
      </c>
      <c r="I458" s="44" t="s">
        <v>84</v>
      </c>
      <c r="J458" s="45" t="s">
        <v>85</v>
      </c>
      <c r="K458" s="46" t="s">
        <v>86</v>
      </c>
      <c r="L458" s="47" t="s">
        <v>2397</v>
      </c>
      <c r="M458" s="48" t="s">
        <v>2539</v>
      </c>
      <c r="N458" s="49"/>
      <c r="O458" s="50" t="s">
        <v>3463</v>
      </c>
      <c r="P458" s="50"/>
      <c r="Q458" s="59"/>
      <c r="R458" s="13"/>
    </row>
    <row r="459" spans="1:18" ht="45" x14ac:dyDescent="0.25">
      <c r="A459" s="9" t="s">
        <v>21</v>
      </c>
      <c r="B459" s="28">
        <f>IF(ISBLANK(A459),0,INDEX(txtstylestab[],MATCH(A459,txtstylestab[style_Name],0),1))</f>
        <v>0</v>
      </c>
      <c r="C459" s="28">
        <f t="shared" si="28"/>
        <v>1</v>
      </c>
      <c r="D459" s="28">
        <f t="shared" si="29"/>
        <v>29</v>
      </c>
      <c r="E459" s="28">
        <f t="shared" si="30"/>
        <v>0</v>
      </c>
      <c r="F459" s="59" t="str">
        <f t="shared" si="31"/>
        <v/>
      </c>
      <c r="G459" s="42" t="s">
        <v>1905</v>
      </c>
      <c r="H459" s="43" t="s">
        <v>1906</v>
      </c>
      <c r="I459" s="44" t="s">
        <v>1907</v>
      </c>
      <c r="J459" s="45" t="s">
        <v>866</v>
      </c>
      <c r="K459" s="46" t="s">
        <v>1908</v>
      </c>
      <c r="L459" s="47" t="s">
        <v>2769</v>
      </c>
      <c r="M459" s="48" t="s">
        <v>2780</v>
      </c>
      <c r="N459" s="49"/>
      <c r="O459" s="50" t="s">
        <v>3464</v>
      </c>
      <c r="P459" s="59"/>
      <c r="Q459" s="59"/>
      <c r="R459" s="13"/>
    </row>
    <row r="460" spans="1:18" x14ac:dyDescent="0.25">
      <c r="A460" s="9" t="s">
        <v>14</v>
      </c>
      <c r="B460" s="28">
        <f>IF(ISBLANK(A460),0,INDEX(txtstylestab[],MATCH(A460,txtstylestab[style_Name],0),1))</f>
        <v>6</v>
      </c>
      <c r="C460" s="28">
        <f t="shared" si="28"/>
        <v>1</v>
      </c>
      <c r="D460" s="28">
        <f t="shared" si="29"/>
        <v>29</v>
      </c>
      <c r="E460" s="28">
        <f t="shared" si="30"/>
        <v>0</v>
      </c>
      <c r="F460" s="59" t="str">
        <f t="shared" si="31"/>
        <v/>
      </c>
      <c r="G460" s="42" t="s">
        <v>1909</v>
      </c>
      <c r="H460" s="43" t="s">
        <v>1912</v>
      </c>
      <c r="I460" s="44" t="s">
        <v>1915</v>
      </c>
      <c r="J460" s="45" t="s">
        <v>863</v>
      </c>
      <c r="K460" s="46" t="s">
        <v>1918</v>
      </c>
      <c r="L460" s="47" t="s">
        <v>2770</v>
      </c>
      <c r="M460" s="48" t="s">
        <v>2771</v>
      </c>
      <c r="N460" s="49"/>
      <c r="O460" s="50" t="s">
        <v>3465</v>
      </c>
      <c r="P460" s="59"/>
      <c r="Q460" s="59"/>
      <c r="R460" s="13"/>
    </row>
    <row r="461" spans="1:18" x14ac:dyDescent="0.25">
      <c r="A461" s="9" t="s">
        <v>14</v>
      </c>
      <c r="B461" s="28">
        <f>IF(ISBLANK(A461),0,INDEX(txtstylestab[],MATCH(A461,txtstylestab[style_Name],0),1))</f>
        <v>6</v>
      </c>
      <c r="C461" s="28">
        <f t="shared" si="28"/>
        <v>1</v>
      </c>
      <c r="D461" s="28">
        <f t="shared" si="29"/>
        <v>29</v>
      </c>
      <c r="E461" s="28">
        <f t="shared" si="30"/>
        <v>0</v>
      </c>
      <c r="F461" s="59" t="str">
        <f t="shared" si="31"/>
        <v/>
      </c>
      <c r="G461" s="42" t="s">
        <v>1910</v>
      </c>
      <c r="H461" s="43" t="s">
        <v>1913</v>
      </c>
      <c r="I461" s="44" t="s">
        <v>1916</v>
      </c>
      <c r="J461" s="45" t="s">
        <v>864</v>
      </c>
      <c r="K461" s="46" t="s">
        <v>1919</v>
      </c>
      <c r="L461" s="47" t="s">
        <v>2772</v>
      </c>
      <c r="M461" s="48" t="s">
        <v>2773</v>
      </c>
      <c r="N461" s="49"/>
      <c r="O461" s="50" t="s">
        <v>3466</v>
      </c>
      <c r="P461" s="59"/>
      <c r="Q461" s="59"/>
      <c r="R461" s="13"/>
    </row>
    <row r="462" spans="1:18" s="20" customFormat="1" ht="30" x14ac:dyDescent="0.25">
      <c r="A462" s="9" t="s">
        <v>14</v>
      </c>
      <c r="B462" s="28">
        <f>IF(ISBLANK(A462),0,INDEX(txtstylestab[],MATCH(A462,txtstylestab[style_Name],0),1))</f>
        <v>6</v>
      </c>
      <c r="C462" s="28">
        <f t="shared" si="28"/>
        <v>1</v>
      </c>
      <c r="D462" s="28">
        <f t="shared" si="29"/>
        <v>29</v>
      </c>
      <c r="E462" s="28">
        <f t="shared" si="30"/>
        <v>0</v>
      </c>
      <c r="F462" s="59" t="str">
        <f t="shared" si="31"/>
        <v/>
      </c>
      <c r="G462" s="42" t="s">
        <v>1911</v>
      </c>
      <c r="H462" s="43" t="s">
        <v>1914</v>
      </c>
      <c r="I462" s="44" t="s">
        <v>1917</v>
      </c>
      <c r="J462" s="45" t="s">
        <v>865</v>
      </c>
      <c r="K462" s="46" t="s">
        <v>1920</v>
      </c>
      <c r="L462" s="47" t="s">
        <v>2774</v>
      </c>
      <c r="M462" s="48" t="s">
        <v>2775</v>
      </c>
      <c r="N462" s="49"/>
      <c r="O462" s="50" t="s">
        <v>3467</v>
      </c>
      <c r="P462" s="59"/>
      <c r="Q462" s="59"/>
      <c r="R462" s="13"/>
    </row>
    <row r="463" spans="1:18" s="20" customFormat="1" ht="30" x14ac:dyDescent="0.25">
      <c r="A463" s="9" t="s">
        <v>14</v>
      </c>
      <c r="B463" s="28">
        <f>IF(ISBLANK(A463),0,INDEX(txtstylestab[],MATCH(A463,txtstylestab[style_Name],0),1))</f>
        <v>6</v>
      </c>
      <c r="C463" s="28">
        <f t="shared" si="28"/>
        <v>1</v>
      </c>
      <c r="D463" s="28">
        <f t="shared" si="29"/>
        <v>29</v>
      </c>
      <c r="E463" s="28">
        <f t="shared" si="30"/>
        <v>0</v>
      </c>
      <c r="F463" s="59" t="str">
        <f t="shared" si="31"/>
        <v/>
      </c>
      <c r="G463" s="42" t="s">
        <v>1921</v>
      </c>
      <c r="H463" s="43" t="s">
        <v>1922</v>
      </c>
      <c r="I463" s="44" t="s">
        <v>1923</v>
      </c>
      <c r="J463" s="45" t="s">
        <v>1925</v>
      </c>
      <c r="K463" s="46" t="s">
        <v>1924</v>
      </c>
      <c r="L463" s="47" t="s">
        <v>2776</v>
      </c>
      <c r="M463" s="48" t="s">
        <v>2777</v>
      </c>
      <c r="N463" s="49"/>
      <c r="O463" s="50" t="s">
        <v>3468</v>
      </c>
      <c r="P463" s="59"/>
      <c r="Q463" s="59"/>
      <c r="R463" s="13"/>
    </row>
    <row r="464" spans="1:18" s="20" customFormat="1" x14ac:dyDescent="0.25">
      <c r="A464" s="9" t="s">
        <v>21</v>
      </c>
      <c r="B464" s="28">
        <f>IF(ISBLANK(A464),0,INDEX(txtstylestab[],MATCH(A464,txtstylestab[style_Name],0),1))</f>
        <v>0</v>
      </c>
      <c r="C464" s="28">
        <f t="shared" si="28"/>
        <v>1</v>
      </c>
      <c r="D464" s="28">
        <f t="shared" si="29"/>
        <v>29</v>
      </c>
      <c r="E464" s="28">
        <f t="shared" si="30"/>
        <v>0</v>
      </c>
      <c r="F464" s="59" t="str">
        <f t="shared" si="31"/>
        <v/>
      </c>
      <c r="G464" s="42"/>
      <c r="H464" s="43"/>
      <c r="I464" s="44"/>
      <c r="J464" s="45"/>
      <c r="K464" s="46"/>
      <c r="L464" s="47"/>
      <c r="M464" s="48"/>
      <c r="N464" s="49"/>
      <c r="O464" s="50" t="s">
        <v>3469</v>
      </c>
      <c r="P464" s="59"/>
      <c r="Q464" s="59"/>
      <c r="R464" s="13"/>
    </row>
    <row r="465" spans="1:18" s="20" customFormat="1" x14ac:dyDescent="0.25">
      <c r="A465" s="9" t="s">
        <v>21</v>
      </c>
      <c r="B465" s="28">
        <f>IF(ISBLANK(A465),0,INDEX(txtstylestab[],MATCH(A465,txtstylestab[style_Name],0),1))</f>
        <v>0</v>
      </c>
      <c r="C465" s="28">
        <f t="shared" si="28"/>
        <v>1</v>
      </c>
      <c r="D465" s="28">
        <f t="shared" si="29"/>
        <v>29</v>
      </c>
      <c r="E465" s="28">
        <f t="shared" si="30"/>
        <v>0</v>
      </c>
      <c r="F465" s="59" t="str">
        <f t="shared" si="31"/>
        <v/>
      </c>
      <c r="G465" s="42" t="s">
        <v>6</v>
      </c>
      <c r="H465" s="43" t="s">
        <v>26</v>
      </c>
      <c r="I465" s="44" t="s">
        <v>48</v>
      </c>
      <c r="J465" s="45" t="s">
        <v>54</v>
      </c>
      <c r="K465" s="46" t="s">
        <v>59</v>
      </c>
      <c r="L465" s="47" t="s">
        <v>2524</v>
      </c>
      <c r="M465" s="48" t="s">
        <v>2525</v>
      </c>
      <c r="N465" s="49"/>
      <c r="O465" s="50" t="s">
        <v>3451</v>
      </c>
      <c r="P465" s="50"/>
      <c r="Q465" s="59"/>
      <c r="R465" s="13"/>
    </row>
    <row r="466" spans="1:18" s="20" customFormat="1" ht="15.75" thickBot="1" x14ac:dyDescent="0.3">
      <c r="A466" s="9" t="s">
        <v>12</v>
      </c>
      <c r="B466" s="28">
        <f>IF(ISBLANK(A466),0,INDEX(txtstylestab[],MATCH(A466,txtstylestab[style_Name],0),1))</f>
        <v>3</v>
      </c>
      <c r="C466" s="28">
        <f t="shared" si="28"/>
        <v>1</v>
      </c>
      <c r="D466" s="28">
        <f t="shared" si="29"/>
        <v>29</v>
      </c>
      <c r="E466" s="28">
        <f t="shared" si="30"/>
        <v>1</v>
      </c>
      <c r="F466" s="55" t="str">
        <f t="shared" si="31"/>
        <v>1.29.1.</v>
      </c>
      <c r="G466" s="55" t="s">
        <v>867</v>
      </c>
      <c r="H466" s="55"/>
      <c r="I466" s="55"/>
      <c r="J466" s="55"/>
      <c r="K466" s="55"/>
      <c r="L466" s="55"/>
      <c r="M466" s="55"/>
      <c r="N466" s="55"/>
      <c r="O466" s="55"/>
      <c r="P466" s="55"/>
      <c r="Q466" s="55"/>
      <c r="R466" s="13"/>
    </row>
    <row r="467" spans="1:18" s="20" customFormat="1" x14ac:dyDescent="0.25">
      <c r="A467" s="9" t="s">
        <v>21</v>
      </c>
      <c r="B467" s="28">
        <f>IF(ISBLANK(A467),0,INDEX(txtstylestab[],MATCH(A467,txtstylestab[style_Name],0),1))</f>
        <v>0</v>
      </c>
      <c r="C467" s="28">
        <f t="shared" si="28"/>
        <v>1</v>
      </c>
      <c r="D467" s="28">
        <f t="shared" si="29"/>
        <v>29</v>
      </c>
      <c r="E467" s="28">
        <f t="shared" si="30"/>
        <v>1</v>
      </c>
      <c r="F467" s="59" t="str">
        <f t="shared" si="31"/>
        <v/>
      </c>
      <c r="G467" s="42" t="s">
        <v>344</v>
      </c>
      <c r="H467" s="43" t="s">
        <v>83</v>
      </c>
      <c r="I467" s="44" t="s">
        <v>84</v>
      </c>
      <c r="J467" s="45" t="s">
        <v>85</v>
      </c>
      <c r="K467" s="46" t="s">
        <v>86</v>
      </c>
      <c r="L467" s="47" t="s">
        <v>2397</v>
      </c>
      <c r="M467" s="48" t="s">
        <v>2539</v>
      </c>
      <c r="N467" s="49"/>
      <c r="O467" s="50" t="s">
        <v>3161</v>
      </c>
      <c r="P467" s="50"/>
      <c r="Q467" s="59"/>
      <c r="R467" s="13"/>
    </row>
    <row r="468" spans="1:18" s="20" customFormat="1" ht="90" x14ac:dyDescent="0.25">
      <c r="A468" s="9" t="s">
        <v>21</v>
      </c>
      <c r="B468" s="28">
        <f>IF(ISBLANK(A468),0,INDEX(txtstylestab[],MATCH(A468,txtstylestab[style_Name],0),1))</f>
        <v>0</v>
      </c>
      <c r="C468" s="28">
        <f t="shared" si="28"/>
        <v>1</v>
      </c>
      <c r="D468" s="28">
        <f t="shared" si="29"/>
        <v>29</v>
      </c>
      <c r="E468" s="28">
        <f t="shared" si="30"/>
        <v>1</v>
      </c>
      <c r="F468" s="59" t="str">
        <f t="shared" si="31"/>
        <v/>
      </c>
      <c r="G468" s="42" t="s">
        <v>868</v>
      </c>
      <c r="H468" s="43" t="s">
        <v>869</v>
      </c>
      <c r="I468" s="44" t="s">
        <v>1640</v>
      </c>
      <c r="J468" s="45" t="s">
        <v>870</v>
      </c>
      <c r="K468" s="46" t="s">
        <v>871</v>
      </c>
      <c r="L468" s="47" t="s">
        <v>2779</v>
      </c>
      <c r="M468" s="48" t="s">
        <v>2778</v>
      </c>
      <c r="N468" s="49"/>
      <c r="O468" s="50" t="s">
        <v>3470</v>
      </c>
      <c r="P468" s="59"/>
      <c r="Q468" s="59"/>
      <c r="R468" s="13"/>
    </row>
    <row r="469" spans="1:18" s="20" customFormat="1" x14ac:dyDescent="0.25">
      <c r="A469" s="9" t="s">
        <v>21</v>
      </c>
      <c r="B469" s="28">
        <f>IF(ISBLANK(A469),0,INDEX(txtstylestab[],MATCH(A469,txtstylestab[style_Name],0),1))</f>
        <v>0</v>
      </c>
      <c r="C469" s="28">
        <f t="shared" si="28"/>
        <v>1</v>
      </c>
      <c r="D469" s="28">
        <f t="shared" si="29"/>
        <v>29</v>
      </c>
      <c r="E469" s="28">
        <f t="shared" si="30"/>
        <v>1</v>
      </c>
      <c r="F469" s="59" t="str">
        <f t="shared" si="31"/>
        <v/>
      </c>
      <c r="G469" s="42" t="s">
        <v>6</v>
      </c>
      <c r="H469" s="43" t="s">
        <v>26</v>
      </c>
      <c r="I469" s="44" t="s">
        <v>48</v>
      </c>
      <c r="J469" s="45" t="s">
        <v>54</v>
      </c>
      <c r="K469" s="46" t="s">
        <v>59</v>
      </c>
      <c r="L469" s="47" t="s">
        <v>2524</v>
      </c>
      <c r="M469" s="48" t="s">
        <v>2525</v>
      </c>
      <c r="N469" s="49"/>
      <c r="O469" s="50" t="s">
        <v>3451</v>
      </c>
      <c r="P469" s="50"/>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t="str">
        <f t="shared" si="31"/>
        <v/>
      </c>
      <c r="G470" s="42"/>
      <c r="H470" s="43"/>
      <c r="I470" s="44"/>
      <c r="J470" s="45"/>
      <c r="K470" s="46"/>
      <c r="L470" s="47"/>
      <c r="M470" s="48"/>
      <c r="N470" s="49"/>
      <c r="O470" s="50"/>
      <c r="P470" s="59"/>
      <c r="Q470" s="59"/>
      <c r="R470" s="13"/>
    </row>
    <row r="471" spans="1:18" s="20" customFormat="1" x14ac:dyDescent="0.25">
      <c r="A471" s="9" t="s">
        <v>21</v>
      </c>
      <c r="B471" s="28">
        <f>IF(ISBLANK(A471),0,INDEX(txtstylestab[],MATCH(A471,txtstylestab[style_Name],0),1))</f>
        <v>0</v>
      </c>
      <c r="C471" s="28">
        <f t="shared" si="28"/>
        <v>1</v>
      </c>
      <c r="D471" s="28">
        <f t="shared" si="29"/>
        <v>29</v>
      </c>
      <c r="E471" s="28">
        <f t="shared" si="30"/>
        <v>1</v>
      </c>
      <c r="F471" s="59" t="str">
        <f t="shared" si="31"/>
        <v/>
      </c>
      <c r="G471" s="42"/>
      <c r="H471" s="43"/>
      <c r="I471" s="44"/>
      <c r="J471" s="45"/>
      <c r="K471" s="46"/>
      <c r="L471" s="47"/>
      <c r="M471" s="48"/>
      <c r="N471" s="49"/>
      <c r="O471" s="50"/>
      <c r="P471" s="59"/>
      <c r="Q471" s="59"/>
      <c r="R471" s="13"/>
    </row>
    <row r="472" spans="1:18" s="20" customFormat="1" x14ac:dyDescent="0.25">
      <c r="A472" s="9" t="s">
        <v>21</v>
      </c>
      <c r="B472" s="28">
        <f>IF(ISBLANK(A472),0,INDEX(txtstylestab[],MATCH(A472,txtstylestab[style_Name],0),1))</f>
        <v>0</v>
      </c>
      <c r="C472" s="28">
        <f t="shared" si="28"/>
        <v>1</v>
      </c>
      <c r="D472" s="28">
        <f t="shared" si="29"/>
        <v>29</v>
      </c>
      <c r="E472" s="28">
        <f t="shared" si="30"/>
        <v>1</v>
      </c>
      <c r="F472" s="59" t="str">
        <f t="shared" si="31"/>
        <v/>
      </c>
      <c r="G472" s="42"/>
      <c r="H472" s="43"/>
      <c r="I472" s="44"/>
      <c r="J472" s="45"/>
      <c r="K472" s="46"/>
      <c r="L472" s="47"/>
      <c r="M472" s="47"/>
      <c r="N472" s="48"/>
      <c r="O472" s="48"/>
      <c r="P472" s="49"/>
      <c r="Q472" s="50"/>
      <c r="R472" s="13"/>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8" s="20" customFormat="1" x14ac:dyDescent="0.25">
      <c r="A2417" s="9"/>
      <c r="B2417" s="28"/>
      <c r="C2417" s="28"/>
      <c r="D2417" s="28"/>
      <c r="E2417" s="28"/>
      <c r="F2417" s="31"/>
      <c r="G2417" s="21"/>
      <c r="H2417" s="22"/>
      <c r="I2417" s="23"/>
      <c r="J2417" s="24"/>
      <c r="K2417" s="25"/>
      <c r="L2417" s="23"/>
      <c r="M2417" s="23"/>
      <c r="N2417" s="24"/>
      <c r="O2417" s="24"/>
      <c r="P2417" s="25"/>
      <c r="Q2417" s="25"/>
    </row>
    <row r="2418" spans="1:18" s="20" customFormat="1" x14ac:dyDescent="0.25">
      <c r="A2418" s="9"/>
      <c r="B2418" s="28"/>
      <c r="C2418" s="28"/>
      <c r="D2418" s="28"/>
      <c r="E2418" s="28"/>
      <c r="F2418" s="31"/>
      <c r="G2418" s="21"/>
      <c r="H2418" s="22"/>
      <c r="I2418" s="23"/>
      <c r="J2418" s="24"/>
      <c r="K2418" s="25"/>
      <c r="L2418" s="23"/>
      <c r="M2418" s="23"/>
      <c r="N2418" s="24"/>
      <c r="O2418" s="24"/>
      <c r="P2418" s="25"/>
      <c r="Q2418" s="25"/>
    </row>
    <row r="2419" spans="1:18" s="20" customFormat="1" x14ac:dyDescent="0.25">
      <c r="A2419" s="9"/>
      <c r="B2419" s="28"/>
      <c r="C2419" s="28"/>
      <c r="D2419" s="28"/>
      <c r="E2419" s="28"/>
      <c r="F2419" s="31"/>
      <c r="G2419" s="21"/>
      <c r="H2419" s="22"/>
      <c r="I2419" s="23"/>
      <c r="J2419" s="24"/>
      <c r="K2419" s="25"/>
      <c r="L2419" s="23"/>
      <c r="M2419" s="23"/>
      <c r="N2419" s="24"/>
      <c r="O2419" s="24"/>
      <c r="P2419" s="25"/>
      <c r="Q2419" s="25"/>
    </row>
    <row r="2420" spans="1:18" s="20" customFormat="1" x14ac:dyDescent="0.25">
      <c r="A2420" s="9"/>
      <c r="B2420" s="28"/>
      <c r="C2420" s="28"/>
      <c r="D2420" s="28"/>
      <c r="E2420" s="28"/>
      <c r="F2420" s="31"/>
      <c r="G2420" s="21"/>
      <c r="H2420" s="22"/>
      <c r="I2420" s="23"/>
      <c r="J2420" s="24"/>
      <c r="K2420" s="25"/>
      <c r="L2420" s="23"/>
      <c r="M2420" s="23"/>
      <c r="N2420" s="24"/>
      <c r="O2420" s="24"/>
      <c r="P2420" s="25"/>
      <c r="Q2420" s="25"/>
    </row>
    <row r="2421" spans="1:18" s="20" customFormat="1" x14ac:dyDescent="0.25">
      <c r="A2421" s="9"/>
      <c r="B2421" s="28"/>
      <c r="C2421" s="28"/>
      <c r="D2421" s="28"/>
      <c r="E2421" s="28"/>
      <c r="F2421" s="31"/>
      <c r="G2421" s="21"/>
      <c r="H2421" s="22"/>
      <c r="I2421" s="23"/>
      <c r="J2421" s="24"/>
      <c r="K2421" s="25"/>
      <c r="L2421" s="23"/>
      <c r="M2421" s="23"/>
      <c r="N2421" s="24"/>
      <c r="O2421" s="24"/>
      <c r="P2421" s="25"/>
      <c r="Q2421" s="25"/>
    </row>
    <row r="2422" spans="1:18" s="20" customFormat="1" x14ac:dyDescent="0.25">
      <c r="A2422" s="9"/>
      <c r="B2422" s="28"/>
      <c r="C2422" s="28"/>
      <c r="D2422" s="28"/>
      <c r="E2422" s="28"/>
      <c r="F2422" s="31"/>
      <c r="G2422" s="21"/>
      <c r="H2422" s="22"/>
      <c r="I2422" s="23"/>
      <c r="J2422" s="24"/>
      <c r="K2422" s="25"/>
      <c r="L2422" s="23"/>
      <c r="M2422" s="23"/>
      <c r="N2422" s="24"/>
      <c r="O2422" s="24"/>
      <c r="P2422" s="25"/>
      <c r="Q2422" s="25"/>
    </row>
    <row r="2423" spans="1:18" s="20" customFormat="1" x14ac:dyDescent="0.25">
      <c r="A2423" s="9"/>
      <c r="B2423" s="28"/>
      <c r="C2423" s="28"/>
      <c r="D2423" s="28"/>
      <c r="E2423" s="28"/>
      <c r="F2423" s="31"/>
      <c r="G2423" s="21"/>
      <c r="H2423" s="22"/>
      <c r="I2423" s="23"/>
      <c r="J2423" s="24"/>
      <c r="K2423" s="25"/>
      <c r="L2423" s="23"/>
      <c r="M2423" s="23"/>
      <c r="N2423" s="24"/>
      <c r="O2423" s="24"/>
      <c r="P2423" s="25"/>
      <c r="Q2423" s="25"/>
    </row>
    <row r="2424" spans="1:18" s="20" customFormat="1" x14ac:dyDescent="0.25">
      <c r="A2424" s="9"/>
      <c r="B2424" s="28"/>
      <c r="C2424" s="28"/>
      <c r="D2424" s="28"/>
      <c r="E2424" s="28"/>
      <c r="F2424" s="31"/>
      <c r="G2424" s="21"/>
      <c r="H2424" s="22"/>
      <c r="I2424" s="23"/>
      <c r="J2424" s="24"/>
      <c r="K2424" s="25"/>
      <c r="L2424" s="23"/>
      <c r="M2424" s="23"/>
      <c r="N2424" s="24"/>
      <c r="O2424" s="24"/>
      <c r="P2424" s="25"/>
      <c r="Q2424" s="25"/>
    </row>
    <row r="2425" spans="1:18" s="20" customFormat="1" x14ac:dyDescent="0.25">
      <c r="A2425" s="9"/>
      <c r="B2425" s="28"/>
      <c r="C2425" s="28"/>
      <c r="D2425" s="28"/>
      <c r="E2425" s="28"/>
      <c r="F2425" s="31"/>
      <c r="G2425" s="21"/>
      <c r="H2425" s="22"/>
      <c r="I2425" s="23"/>
      <c r="J2425" s="24"/>
      <c r="K2425" s="25"/>
      <c r="L2425" s="23"/>
      <c r="M2425" s="23"/>
      <c r="N2425" s="24"/>
      <c r="O2425" s="24"/>
      <c r="P2425" s="25"/>
      <c r="Q2425" s="25"/>
    </row>
    <row r="2426" spans="1:18" s="20" customFormat="1" x14ac:dyDescent="0.25">
      <c r="A2426" s="9"/>
      <c r="B2426" s="28"/>
      <c r="C2426" s="28"/>
      <c r="D2426" s="28"/>
      <c r="E2426" s="28"/>
      <c r="F2426" s="31"/>
      <c r="G2426" s="21"/>
      <c r="H2426" s="22"/>
      <c r="I2426" s="23"/>
      <c r="J2426" s="24"/>
      <c r="K2426" s="25"/>
      <c r="L2426" s="23"/>
      <c r="M2426" s="23"/>
      <c r="N2426" s="24"/>
      <c r="O2426" s="24"/>
      <c r="P2426" s="25"/>
      <c r="Q2426" s="25"/>
    </row>
    <row r="2427" spans="1:18" s="20" customFormat="1" x14ac:dyDescent="0.25">
      <c r="A2427" s="9"/>
      <c r="B2427" s="28"/>
      <c r="C2427" s="28"/>
      <c r="D2427" s="28"/>
      <c r="E2427" s="28"/>
      <c r="F2427" s="31"/>
      <c r="G2427" s="21"/>
      <c r="H2427" s="22"/>
      <c r="I2427" s="23"/>
      <c r="J2427" s="24"/>
      <c r="K2427" s="25"/>
      <c r="L2427" s="23"/>
      <c r="M2427" s="23"/>
      <c r="N2427" s="24"/>
      <c r="O2427" s="24"/>
      <c r="P2427" s="25"/>
      <c r="Q2427" s="25"/>
    </row>
    <row r="2428" spans="1:18" s="20" customFormat="1" x14ac:dyDescent="0.25">
      <c r="A2428" s="9"/>
      <c r="B2428" s="28"/>
      <c r="C2428" s="28"/>
      <c r="D2428" s="28"/>
      <c r="E2428" s="28"/>
      <c r="F2428" s="31"/>
      <c r="G2428" s="21"/>
      <c r="H2428" s="22"/>
      <c r="I2428" s="23"/>
      <c r="J2428" s="24"/>
      <c r="K2428" s="25"/>
      <c r="L2428" s="23"/>
      <c r="M2428" s="23"/>
      <c r="N2428" s="24"/>
      <c r="O2428" s="24"/>
      <c r="P2428" s="25"/>
      <c r="Q2428" s="25"/>
    </row>
    <row r="2429" spans="1:18" s="20" customFormat="1" x14ac:dyDescent="0.25">
      <c r="A2429" s="9"/>
      <c r="B2429" s="28"/>
      <c r="C2429" s="28"/>
      <c r="D2429" s="28"/>
      <c r="E2429" s="28"/>
      <c r="F2429" s="31"/>
      <c r="G2429" s="21"/>
      <c r="H2429" s="22"/>
      <c r="I2429" s="23"/>
      <c r="J2429" s="24"/>
      <c r="K2429" s="25"/>
      <c r="L2429" s="23"/>
      <c r="M2429" s="23"/>
      <c r="N2429" s="24"/>
      <c r="O2429" s="24"/>
      <c r="P2429" s="25"/>
      <c r="Q2429" s="25"/>
    </row>
    <row r="2430" spans="1:18" x14ac:dyDescent="0.25">
      <c r="A2430" s="9"/>
      <c r="B2430" s="28"/>
      <c r="C2430" s="28"/>
      <c r="D2430" s="28"/>
      <c r="E2430" s="28"/>
      <c r="F2430" s="31"/>
      <c r="G2430" s="21"/>
      <c r="H2430" s="22"/>
      <c r="I2430" s="23"/>
      <c r="J2430" s="24"/>
      <c r="K2430" s="25"/>
      <c r="L2430" s="23"/>
      <c r="M2430" s="23"/>
      <c r="N2430" s="24"/>
      <c r="O2430" s="24"/>
      <c r="P2430" s="25"/>
      <c r="Q2430" s="25"/>
      <c r="R2430" s="20"/>
    </row>
    <row r="2431" spans="1:18" x14ac:dyDescent="0.25">
      <c r="A2431" s="9"/>
      <c r="B2431" s="28"/>
      <c r="C2431" s="28"/>
      <c r="D2431" s="28"/>
      <c r="E2431" s="28"/>
      <c r="F2431" s="31"/>
      <c r="G2431" s="21"/>
      <c r="H2431" s="22"/>
      <c r="I2431" s="23"/>
      <c r="J2431" s="24"/>
      <c r="K2431" s="25"/>
      <c r="L2431" s="23"/>
      <c r="M2431" s="23"/>
      <c r="N2431" s="24"/>
      <c r="O2431" s="24"/>
      <c r="P2431" s="25"/>
      <c r="Q2431" s="25"/>
      <c r="R2431" s="20"/>
    </row>
    <row r="2432" spans="1:18" x14ac:dyDescent="0.25">
      <c r="A2432" s="9"/>
      <c r="B2432" s="28"/>
      <c r="C2432" s="28"/>
      <c r="D2432" s="28"/>
      <c r="E2432" s="28"/>
      <c r="F2432" s="31"/>
      <c r="G2432" s="21"/>
      <c r="H2432" s="22"/>
      <c r="I2432" s="23"/>
      <c r="J2432" s="24"/>
      <c r="K2432" s="25"/>
      <c r="L2432" s="23"/>
      <c r="M2432" s="23"/>
      <c r="N2432" s="24"/>
      <c r="O2432" s="24"/>
      <c r="P2432" s="25"/>
      <c r="Q2432" s="25"/>
      <c r="R2432" s="20"/>
    </row>
    <row r="2433" spans="1:18" x14ac:dyDescent="0.25">
      <c r="A2433" s="9"/>
      <c r="B2433" s="28"/>
      <c r="C2433" s="28"/>
      <c r="D2433" s="28"/>
      <c r="E2433" s="28"/>
      <c r="F2433" s="31"/>
      <c r="G2433" s="21"/>
      <c r="H2433" s="22"/>
      <c r="I2433" s="23"/>
      <c r="J2433" s="24"/>
      <c r="K2433" s="25"/>
      <c r="L2433" s="23"/>
      <c r="M2433" s="23"/>
      <c r="N2433" s="24"/>
      <c r="O2433" s="24"/>
      <c r="P2433" s="25"/>
      <c r="Q2433" s="25"/>
      <c r="R2433" s="20"/>
    </row>
    <row r="2434" spans="1:18" x14ac:dyDescent="0.25">
      <c r="A2434" s="9"/>
      <c r="B2434" s="28"/>
      <c r="C2434" s="28"/>
      <c r="D2434" s="28"/>
      <c r="E2434" s="28"/>
      <c r="F2434" s="31"/>
      <c r="G2434" s="21"/>
      <c r="H2434" s="22"/>
      <c r="I2434" s="23"/>
      <c r="J2434" s="24"/>
      <c r="K2434" s="25"/>
      <c r="L2434" s="23"/>
      <c r="M2434" s="23"/>
      <c r="N2434" s="24"/>
      <c r="O2434" s="24"/>
      <c r="P2434" s="25"/>
      <c r="Q2434" s="25"/>
      <c r="R2434" s="20"/>
    </row>
    <row r="2435" spans="1:18" x14ac:dyDescent="0.25">
      <c r="A2435" s="9"/>
      <c r="B2435" s="28"/>
      <c r="C2435" s="28"/>
      <c r="D2435" s="28"/>
      <c r="E2435" s="28"/>
      <c r="F2435" s="31"/>
      <c r="G2435" s="21"/>
      <c r="H2435" s="22"/>
      <c r="I2435" s="23"/>
      <c r="J2435" s="24"/>
      <c r="K2435" s="25"/>
      <c r="L2435" s="23"/>
      <c r="M2435" s="23"/>
      <c r="N2435" s="24"/>
      <c r="O2435" s="24"/>
      <c r="P2435" s="25"/>
      <c r="Q2435" s="25"/>
      <c r="R2435" s="20"/>
    </row>
    <row r="2436" spans="1:18" x14ac:dyDescent="0.25">
      <c r="A2436" s="9"/>
      <c r="B2436" s="28"/>
      <c r="C2436" s="28"/>
      <c r="D2436" s="28"/>
      <c r="E2436" s="28"/>
      <c r="F2436" s="31"/>
      <c r="G2436" s="21"/>
      <c r="H2436" s="22"/>
      <c r="I2436" s="23"/>
      <c r="J2436" s="24"/>
      <c r="K2436" s="25"/>
      <c r="L2436" s="23"/>
      <c r="M2436" s="23"/>
      <c r="N2436" s="24"/>
      <c r="O2436" s="24"/>
      <c r="P2436" s="25"/>
      <c r="Q2436" s="25"/>
      <c r="R2436" s="20"/>
    </row>
    <row r="2437" spans="1:18" x14ac:dyDescent="0.25">
      <c r="A2437" s="9"/>
      <c r="B2437" s="28"/>
      <c r="C2437" s="28"/>
      <c r="D2437" s="28"/>
      <c r="E2437" s="28"/>
      <c r="F2437" s="31"/>
      <c r="G2437" s="21"/>
      <c r="H2437" s="22"/>
      <c r="I2437" s="23"/>
      <c r="J2437" s="24"/>
      <c r="K2437" s="25"/>
      <c r="L2437" s="23"/>
      <c r="M2437" s="23"/>
      <c r="N2437" s="24"/>
      <c r="O2437" s="24"/>
      <c r="P2437" s="25"/>
      <c r="Q2437" s="25"/>
      <c r="R2437" s="20"/>
    </row>
    <row r="2438" spans="1:18" x14ac:dyDescent="0.25">
      <c r="A2438" s="9"/>
      <c r="B2438" s="28"/>
      <c r="C2438" s="28"/>
      <c r="D2438" s="28"/>
      <c r="E2438" s="28"/>
      <c r="F2438" s="31"/>
      <c r="G2438" s="21"/>
      <c r="H2438" s="22"/>
      <c r="I2438" s="23"/>
      <c r="J2438" s="24"/>
      <c r="K2438" s="25"/>
      <c r="L2438" s="23"/>
      <c r="M2438" s="23"/>
      <c r="N2438" s="24"/>
      <c r="O2438" s="24"/>
      <c r="P2438" s="25"/>
      <c r="Q2438" s="25"/>
      <c r="R2438" s="20"/>
    </row>
    <row r="2439" spans="1:18" x14ac:dyDescent="0.25">
      <c r="A2439" s="9"/>
      <c r="B2439" s="28"/>
      <c r="C2439" s="28"/>
      <c r="D2439" s="28"/>
      <c r="E2439" s="28"/>
      <c r="F2439" s="31"/>
      <c r="G2439" s="21"/>
      <c r="H2439" s="22"/>
      <c r="I2439" s="23"/>
      <c r="J2439" s="24"/>
      <c r="K2439" s="25"/>
      <c r="L2439" s="23"/>
      <c r="M2439" s="23"/>
      <c r="N2439" s="24"/>
      <c r="O2439" s="24"/>
      <c r="P2439" s="25"/>
      <c r="Q2439" s="25"/>
      <c r="R2439" s="20"/>
    </row>
    <row r="2440" spans="1:18" x14ac:dyDescent="0.25">
      <c r="A2440" s="9"/>
      <c r="B2440" s="28"/>
      <c r="C2440" s="28"/>
      <c r="D2440" s="28"/>
      <c r="E2440" s="28"/>
      <c r="F2440" s="31"/>
      <c r="G2440" s="21"/>
      <c r="H2440" s="22"/>
      <c r="I2440" s="23"/>
      <c r="J2440" s="24"/>
      <c r="K2440" s="25"/>
      <c r="L2440" s="23"/>
      <c r="M2440" s="23"/>
      <c r="N2440" s="24"/>
      <c r="O2440" s="24"/>
      <c r="P2440" s="25"/>
      <c r="Q2440" s="25"/>
      <c r="R2440" s="20"/>
    </row>
  </sheetData>
  <sheetProtection formatCells="0" insertRows="0"/>
  <conditionalFormatting sqref="G2:Q233 G236:Q472 H234:Q234 I235:L235 N235:Q235">
    <cfRule type="expression" dxfId="63" priority="168">
      <formula>($B2=6)</formula>
    </cfRule>
  </conditionalFormatting>
  <dataValidations count="1">
    <dataValidation type="list" showInputMessage="1" showErrorMessage="1" sqref="A2:A472">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236" activePane="bottomLeft" state="frozen"/>
      <selection pane="bottomLeft" activeCell="H243" sqref="H243"/>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872</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1926</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2397</v>
      </c>
      <c r="M5" s="48" t="s">
        <v>2332</v>
      </c>
      <c r="N5" s="49"/>
      <c r="O5" s="50" t="s">
        <v>3161</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873</v>
      </c>
      <c r="H6" s="43" t="s">
        <v>874</v>
      </c>
      <c r="I6" s="44" t="s">
        <v>2278</v>
      </c>
      <c r="J6" s="45" t="s">
        <v>2280</v>
      </c>
      <c r="K6" s="46" t="s">
        <v>2279</v>
      </c>
      <c r="L6" s="47" t="s">
        <v>2781</v>
      </c>
      <c r="M6" s="48" t="s">
        <v>2862</v>
      </c>
      <c r="N6" s="49"/>
      <c r="O6" s="50" t="s">
        <v>3256</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2275</v>
      </c>
      <c r="J7" s="45" t="s">
        <v>2276</v>
      </c>
      <c r="K7" s="46" t="s">
        <v>2277</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1927</v>
      </c>
      <c r="H8" s="43" t="s">
        <v>1928</v>
      </c>
      <c r="I8" s="44" t="s">
        <v>1929</v>
      </c>
      <c r="J8" s="45" t="s">
        <v>1930</v>
      </c>
      <c r="K8" s="46" t="s">
        <v>1931</v>
      </c>
      <c r="L8" s="47" t="s">
        <v>2782</v>
      </c>
      <c r="M8" s="48" t="s">
        <v>2783</v>
      </c>
      <c r="N8" s="49"/>
      <c r="O8" s="50" t="s">
        <v>3259</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1932</v>
      </c>
      <c r="H9" s="43" t="s">
        <v>878</v>
      </c>
      <c r="I9" s="44" t="s">
        <v>1938</v>
      </c>
      <c r="J9" s="45" t="s">
        <v>1943</v>
      </c>
      <c r="K9" s="46" t="s">
        <v>1948</v>
      </c>
      <c r="L9" s="47" t="s">
        <v>2784</v>
      </c>
      <c r="M9" s="48" t="s">
        <v>2797</v>
      </c>
      <c r="N9" s="49"/>
      <c r="O9" s="50" t="s">
        <v>3260</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1952</v>
      </c>
      <c r="H10" s="43" t="s">
        <v>1953</v>
      </c>
      <c r="I10" s="44" t="s">
        <v>2202</v>
      </c>
      <c r="J10" s="45" t="s">
        <v>2203</v>
      </c>
      <c r="K10" s="46" t="s">
        <v>2201</v>
      </c>
      <c r="L10" s="47" t="s">
        <v>2785</v>
      </c>
      <c r="M10" s="48" t="s">
        <v>2786</v>
      </c>
      <c r="N10" s="49"/>
      <c r="O10" s="50" t="s">
        <v>3261</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1771</v>
      </c>
      <c r="I11" s="44" t="s">
        <v>1939</v>
      </c>
      <c r="J11" s="45" t="s">
        <v>1944</v>
      </c>
      <c r="K11" s="46" t="s">
        <v>1949</v>
      </c>
      <c r="L11" s="47" t="s">
        <v>2787</v>
      </c>
      <c r="M11" s="48" t="s">
        <v>2788</v>
      </c>
      <c r="N11" s="49"/>
      <c r="O11" s="50" t="s">
        <v>3262</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1933</v>
      </c>
      <c r="H12" s="43" t="s">
        <v>1935</v>
      </c>
      <c r="I12" s="44" t="s">
        <v>1940</v>
      </c>
      <c r="J12" s="45" t="s">
        <v>1945</v>
      </c>
      <c r="K12" s="46" t="s">
        <v>1950</v>
      </c>
      <c r="L12" s="47" t="s">
        <v>2789</v>
      </c>
      <c r="M12" s="48" t="s">
        <v>2790</v>
      </c>
      <c r="N12" s="49"/>
      <c r="O12" s="50" t="s">
        <v>3263</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1936</v>
      </c>
      <c r="I13" s="44" t="s">
        <v>1941</v>
      </c>
      <c r="J13" s="45" t="s">
        <v>1946</v>
      </c>
      <c r="K13" s="46" t="s">
        <v>1794</v>
      </c>
      <c r="L13" s="47" t="s">
        <v>2791</v>
      </c>
      <c r="M13" s="48" t="s">
        <v>2792</v>
      </c>
      <c r="N13" s="49"/>
      <c r="O13" s="50" t="s">
        <v>3264</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1934</v>
      </c>
      <c r="H14" s="43" t="s">
        <v>1937</v>
      </c>
      <c r="I14" s="44" t="s">
        <v>1942</v>
      </c>
      <c r="J14" s="45" t="s">
        <v>1947</v>
      </c>
      <c r="K14" s="46" t="s">
        <v>1951</v>
      </c>
      <c r="L14" s="47" t="s">
        <v>2793</v>
      </c>
      <c r="M14" s="48" t="s">
        <v>2794</v>
      </c>
      <c r="N14" s="49"/>
      <c r="O14" s="50" t="s">
        <v>3265</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1955</v>
      </c>
      <c r="H15" s="43" t="s">
        <v>1956</v>
      </c>
      <c r="I15" s="44" t="s">
        <v>2205</v>
      </c>
      <c r="J15" s="45" t="s">
        <v>2206</v>
      </c>
      <c r="K15" s="46" t="s">
        <v>2204</v>
      </c>
      <c r="L15" s="47" t="s">
        <v>2795</v>
      </c>
      <c r="M15" s="48" t="s">
        <v>2796</v>
      </c>
      <c r="N15" s="49"/>
      <c r="O15" s="50" t="s">
        <v>3266</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1776</v>
      </c>
      <c r="H16" s="43" t="s">
        <v>1954</v>
      </c>
      <c r="I16" s="44" t="s">
        <v>2298</v>
      </c>
      <c r="J16" s="45" t="s">
        <v>2208</v>
      </c>
      <c r="K16" s="46" t="s">
        <v>2207</v>
      </c>
      <c r="L16" s="47"/>
      <c r="M16" s="48"/>
      <c r="N16" s="49"/>
      <c r="O16" s="50" t="s">
        <v>3267</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1957</v>
      </c>
      <c r="H17" s="43" t="s">
        <v>1958</v>
      </c>
      <c r="I17" s="44" t="s">
        <v>1959</v>
      </c>
      <c r="J17" s="45" t="s">
        <v>1960</v>
      </c>
      <c r="K17" s="46" t="s">
        <v>1961</v>
      </c>
      <c r="L17" s="47" t="s">
        <v>2367</v>
      </c>
      <c r="M17" s="48" t="s">
        <v>2368</v>
      </c>
      <c r="N17" s="49"/>
      <c r="O17" s="50" t="s">
        <v>3257</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3258</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1962</v>
      </c>
      <c r="H19" s="43" t="s">
        <v>1963</v>
      </c>
      <c r="I19" s="44" t="s">
        <v>1964</v>
      </c>
      <c r="J19" s="45" t="s">
        <v>1965</v>
      </c>
      <c r="K19" s="46" t="s">
        <v>1966</v>
      </c>
      <c r="L19" s="47" t="s">
        <v>2799</v>
      </c>
      <c r="M19" s="48" t="s">
        <v>2861</v>
      </c>
      <c r="N19" s="49"/>
      <c r="O19" s="50" t="s">
        <v>3272</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1967</v>
      </c>
      <c r="H20" s="43" t="s">
        <v>1969</v>
      </c>
      <c r="I20" s="44" t="s">
        <v>1971</v>
      </c>
      <c r="J20" s="45" t="s">
        <v>1973</v>
      </c>
      <c r="K20" s="46" t="s">
        <v>1975</v>
      </c>
      <c r="L20" s="47" t="s">
        <v>2800</v>
      </c>
      <c r="M20" s="48" t="s">
        <v>2801</v>
      </c>
      <c r="N20" s="49"/>
      <c r="O20" s="50" t="s">
        <v>3268</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1968</v>
      </c>
      <c r="H21" s="43" t="s">
        <v>1970</v>
      </c>
      <c r="I21" s="44" t="s">
        <v>1972</v>
      </c>
      <c r="J21" s="45" t="s">
        <v>1974</v>
      </c>
      <c r="K21" s="46" t="s">
        <v>1976</v>
      </c>
      <c r="L21" s="47" t="s">
        <v>2802</v>
      </c>
      <c r="M21" s="48" t="s">
        <v>2803</v>
      </c>
      <c r="N21" s="49"/>
      <c r="O21" s="50" t="s">
        <v>3269</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1977</v>
      </c>
      <c r="H22" s="43" t="s">
        <v>1978</v>
      </c>
      <c r="I22" s="44" t="s">
        <v>1979</v>
      </c>
      <c r="J22" s="45" t="s">
        <v>1980</v>
      </c>
      <c r="K22" s="46" t="s">
        <v>1981</v>
      </c>
      <c r="L22" s="47" t="s">
        <v>2804</v>
      </c>
      <c r="M22" s="48" t="s">
        <v>2805</v>
      </c>
      <c r="N22" s="49"/>
      <c r="O22" s="50" t="s">
        <v>3270</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875</v>
      </c>
      <c r="H23" s="43" t="s">
        <v>536</v>
      </c>
      <c r="I23" s="44" t="s">
        <v>503</v>
      </c>
      <c r="J23" s="45" t="s">
        <v>504</v>
      </c>
      <c r="K23" s="46" t="s">
        <v>537</v>
      </c>
      <c r="L23" s="47" t="s">
        <v>2806</v>
      </c>
      <c r="M23" s="48" t="s">
        <v>2807</v>
      </c>
      <c r="N23" s="49"/>
      <c r="O23" s="50" t="s">
        <v>3239</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879</v>
      </c>
      <c r="H24" s="43" t="s">
        <v>880</v>
      </c>
      <c r="I24" s="44" t="s">
        <v>881</v>
      </c>
      <c r="J24" s="45" t="s">
        <v>882</v>
      </c>
      <c r="K24" s="46" t="s">
        <v>883</v>
      </c>
      <c r="L24" s="47"/>
      <c r="M24" s="48"/>
      <c r="N24" s="49"/>
      <c r="O24" s="50" t="s">
        <v>3271</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876</v>
      </c>
      <c r="H25" s="43" t="s">
        <v>26</v>
      </c>
      <c r="I25" s="44" t="s">
        <v>48</v>
      </c>
      <c r="J25" s="45" t="s">
        <v>54</v>
      </c>
      <c r="K25" s="46" t="s">
        <v>877</v>
      </c>
      <c r="L25" s="47" t="s">
        <v>2816</v>
      </c>
      <c r="M25" s="48" t="s">
        <v>2817</v>
      </c>
      <c r="N25" s="49"/>
      <c r="O25" s="50" t="s">
        <v>3168</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884</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2397</v>
      </c>
      <c r="M27" s="48" t="s">
        <v>2332</v>
      </c>
      <c r="N27" s="49"/>
      <c r="O27" s="50" t="s">
        <v>3161</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2032</v>
      </c>
      <c r="H28" s="43" t="s">
        <v>2033</v>
      </c>
      <c r="I28" s="44" t="s">
        <v>2034</v>
      </c>
      <c r="J28" s="45" t="s">
        <v>2128</v>
      </c>
      <c r="K28" s="46" t="s">
        <v>2036</v>
      </c>
      <c r="L28" s="47" t="s">
        <v>2860</v>
      </c>
      <c r="M28" s="48" t="s">
        <v>2818</v>
      </c>
      <c r="N28" s="49"/>
      <c r="O28" s="50" t="s">
        <v>3252</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2037</v>
      </c>
      <c r="H29" s="43" t="s">
        <v>2039</v>
      </c>
      <c r="I29" s="44" t="s">
        <v>2041</v>
      </c>
      <c r="J29" s="45" t="s">
        <v>2043</v>
      </c>
      <c r="K29" s="46" t="s">
        <v>2045</v>
      </c>
      <c r="L29" s="47" t="s">
        <v>2859</v>
      </c>
      <c r="M29" s="48" t="s">
        <v>2858</v>
      </c>
      <c r="N29" s="49"/>
      <c r="O29" s="50" t="s">
        <v>3251</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896</v>
      </c>
      <c r="H30" s="43" t="s">
        <v>897</v>
      </c>
      <c r="I30" s="44" t="s">
        <v>898</v>
      </c>
      <c r="J30" s="45" t="s">
        <v>899</v>
      </c>
      <c r="K30" s="46" t="s">
        <v>900</v>
      </c>
      <c r="L30" s="47" t="s">
        <v>2809</v>
      </c>
      <c r="M30" s="48" t="s">
        <v>2810</v>
      </c>
      <c r="N30" s="49"/>
      <c r="O30" s="50" t="s">
        <v>3173</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885</v>
      </c>
      <c r="H31" s="43" t="s">
        <v>886</v>
      </c>
      <c r="I31" s="44" t="s">
        <v>887</v>
      </c>
      <c r="J31" s="45" t="s">
        <v>888</v>
      </c>
      <c r="K31" s="46" t="s">
        <v>889</v>
      </c>
      <c r="L31" s="47" t="s">
        <v>2811</v>
      </c>
      <c r="M31" s="48" t="s">
        <v>2812</v>
      </c>
      <c r="N31" s="49"/>
      <c r="O31" s="50" t="s">
        <v>3253</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890</v>
      </c>
      <c r="H32" s="43" t="s">
        <v>891</v>
      </c>
      <c r="I32" s="44" t="s">
        <v>417</v>
      </c>
      <c r="J32" s="45" t="s">
        <v>395</v>
      </c>
      <c r="K32" s="46" t="s">
        <v>1729</v>
      </c>
      <c r="L32" s="47" t="s">
        <v>2813</v>
      </c>
      <c r="M32" s="48" t="s">
        <v>2801</v>
      </c>
      <c r="N32" s="49"/>
      <c r="O32" s="50" t="s">
        <v>3254</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892</v>
      </c>
      <c r="H33" s="43" t="s">
        <v>893</v>
      </c>
      <c r="I33" s="44" t="s">
        <v>1709</v>
      </c>
      <c r="J33" s="45" t="s">
        <v>894</v>
      </c>
      <c r="K33" s="46" t="s">
        <v>895</v>
      </c>
      <c r="L33" s="47" t="s">
        <v>2814</v>
      </c>
      <c r="M33" s="48" t="s">
        <v>2815</v>
      </c>
      <c r="N33" s="49"/>
      <c r="O33" s="50" t="s">
        <v>3255</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535</v>
      </c>
      <c r="H34" s="43" t="s">
        <v>536</v>
      </c>
      <c r="I34" s="44" t="s">
        <v>503</v>
      </c>
      <c r="J34" s="45" t="s">
        <v>504</v>
      </c>
      <c r="K34" s="46" t="s">
        <v>537</v>
      </c>
      <c r="L34" s="47" t="s">
        <v>2806</v>
      </c>
      <c r="M34" s="48" t="s">
        <v>2807</v>
      </c>
      <c r="N34" s="49"/>
      <c r="O34" s="50" t="s">
        <v>3239</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561</v>
      </c>
      <c r="H35" s="43" t="s">
        <v>26</v>
      </c>
      <c r="I35" s="44" t="s">
        <v>48</v>
      </c>
      <c r="J35" s="45" t="s">
        <v>54</v>
      </c>
      <c r="K35" s="46" t="s">
        <v>59</v>
      </c>
      <c r="L35" s="47" t="s">
        <v>2816</v>
      </c>
      <c r="M35" s="48" t="s">
        <v>2817</v>
      </c>
      <c r="N35" s="49"/>
      <c r="O35" s="50" t="s">
        <v>3168</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901</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2397</v>
      </c>
      <c r="M37" s="48" t="s">
        <v>2332</v>
      </c>
      <c r="N37" s="49"/>
      <c r="O37" s="50" t="s">
        <v>3161</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902</v>
      </c>
      <c r="H38" s="43" t="s">
        <v>903</v>
      </c>
      <c r="I38" s="44" t="s">
        <v>904</v>
      </c>
      <c r="J38" s="45" t="s">
        <v>905</v>
      </c>
      <c r="K38" s="46" t="s">
        <v>906</v>
      </c>
      <c r="L38" s="47" t="s">
        <v>2819</v>
      </c>
      <c r="M38" s="48" t="s">
        <v>2820</v>
      </c>
      <c r="N38" s="49"/>
      <c r="O38" s="50" t="s">
        <v>3247</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907</v>
      </c>
      <c r="H39" s="43" t="s">
        <v>908</v>
      </c>
      <c r="I39" s="44" t="s">
        <v>1641</v>
      </c>
      <c r="J39" s="45" t="s">
        <v>909</v>
      </c>
      <c r="K39" s="46" t="s">
        <v>910</v>
      </c>
      <c r="L39" s="47" t="s">
        <v>2821</v>
      </c>
      <c r="M39" s="48" t="s">
        <v>2822</v>
      </c>
      <c r="N39" s="49"/>
      <c r="O39" s="50" t="s">
        <v>3248</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911</v>
      </c>
      <c r="H40" s="43" t="s">
        <v>912</v>
      </c>
      <c r="I40" s="44" t="s">
        <v>1642</v>
      </c>
      <c r="J40" s="45" t="s">
        <v>913</v>
      </c>
      <c r="K40" s="46" t="s">
        <v>914</v>
      </c>
      <c r="L40" s="47" t="s">
        <v>2823</v>
      </c>
      <c r="M40" s="48" t="s">
        <v>2824</v>
      </c>
      <c r="N40" s="49"/>
      <c r="O40" s="50" t="s">
        <v>3249</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915</v>
      </c>
      <c r="H41" s="43" t="s">
        <v>916</v>
      </c>
      <c r="I41" s="44" t="s">
        <v>917</v>
      </c>
      <c r="J41" s="45" t="s">
        <v>918</v>
      </c>
      <c r="K41" s="46" t="s">
        <v>919</v>
      </c>
      <c r="L41" s="47" t="s">
        <v>2825</v>
      </c>
      <c r="M41" s="48" t="s">
        <v>2826</v>
      </c>
      <c r="N41" s="49"/>
      <c r="O41" s="50" t="s">
        <v>3250</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2524</v>
      </c>
      <c r="M42" s="48" t="s">
        <v>2525</v>
      </c>
      <c r="N42" s="49"/>
      <c r="O42" s="50" t="s">
        <v>3168</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920</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3161</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921</v>
      </c>
      <c r="H45" s="43" t="s">
        <v>922</v>
      </c>
      <c r="I45" s="44" t="s">
        <v>923</v>
      </c>
      <c r="J45" s="45" t="s">
        <v>924</v>
      </c>
      <c r="K45" s="46" t="s">
        <v>925</v>
      </c>
      <c r="L45" s="47"/>
      <c r="M45" s="48"/>
      <c r="N45" s="49"/>
      <c r="O45" s="50" t="s">
        <v>3245</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928</v>
      </c>
      <c r="H46" s="43" t="s">
        <v>929</v>
      </c>
      <c r="I46" s="44" t="s">
        <v>926</v>
      </c>
      <c r="J46" s="45" t="s">
        <v>930</v>
      </c>
      <c r="K46" s="46" t="s">
        <v>927</v>
      </c>
      <c r="L46" s="47"/>
      <c r="M46" s="48"/>
      <c r="N46" s="49"/>
      <c r="O46" s="50" t="s">
        <v>3246</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3168</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931</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2397</v>
      </c>
      <c r="M49" s="48" t="s">
        <v>2332</v>
      </c>
      <c r="N49" s="49"/>
      <c r="O49" s="50" t="s">
        <v>3161</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1982</v>
      </c>
      <c r="H50" s="43" t="s">
        <v>1983</v>
      </c>
      <c r="I50" s="44" t="s">
        <v>1984</v>
      </c>
      <c r="J50" s="45" t="s">
        <v>1985</v>
      </c>
      <c r="K50" s="46" t="s">
        <v>1986</v>
      </c>
      <c r="L50" s="47" t="s">
        <v>2827</v>
      </c>
      <c r="M50" s="48" t="s">
        <v>2857</v>
      </c>
      <c r="N50" s="49"/>
      <c r="O50" s="50" t="s">
        <v>3243</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1987</v>
      </c>
      <c r="H51" s="43" t="s">
        <v>1988</v>
      </c>
      <c r="I51" s="44" t="s">
        <v>1989</v>
      </c>
      <c r="J51" s="45" t="s">
        <v>1990</v>
      </c>
      <c r="K51" s="46" t="s">
        <v>1991</v>
      </c>
      <c r="L51" s="47" t="s">
        <v>2828</v>
      </c>
      <c r="M51" s="48" t="s">
        <v>2829</v>
      </c>
      <c r="N51" s="49"/>
      <c r="O51" s="50" t="s">
        <v>3240</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1992</v>
      </c>
      <c r="H52" s="43" t="s">
        <v>1993</v>
      </c>
      <c r="I52" s="44" t="s">
        <v>1994</v>
      </c>
      <c r="J52" s="45" t="s">
        <v>1995</v>
      </c>
      <c r="K52" s="46" t="s">
        <v>1996</v>
      </c>
      <c r="L52" s="47" t="s">
        <v>2830</v>
      </c>
      <c r="M52" s="48" t="s">
        <v>2856</v>
      </c>
      <c r="N52" s="49"/>
      <c r="O52" s="50" t="s">
        <v>3241</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3242</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891</v>
      </c>
      <c r="I54" s="44" t="s">
        <v>1643</v>
      </c>
      <c r="J54" s="45" t="s">
        <v>395</v>
      </c>
      <c r="K54" s="46" t="s">
        <v>932</v>
      </c>
      <c r="L54" s="47" t="s">
        <v>2522</v>
      </c>
      <c r="M54" s="48" t="s">
        <v>2523</v>
      </c>
      <c r="N54" s="49"/>
      <c r="O54" s="50" t="s">
        <v>3244</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535</v>
      </c>
      <c r="H55" s="43" t="s">
        <v>536</v>
      </c>
      <c r="I55" s="44" t="s">
        <v>2209</v>
      </c>
      <c r="J55" s="45" t="s">
        <v>504</v>
      </c>
      <c r="K55" s="46" t="s">
        <v>537</v>
      </c>
      <c r="L55" s="47" t="s">
        <v>2831</v>
      </c>
      <c r="M55" s="48" t="s">
        <v>2801</v>
      </c>
      <c r="N55" s="49"/>
      <c r="O55" s="50" t="s">
        <v>3239</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2524</v>
      </c>
      <c r="M56" s="48" t="s">
        <v>2525</v>
      </c>
      <c r="N56" s="49"/>
      <c r="O56" s="50" t="s">
        <v>3168</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933</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2397</v>
      </c>
      <c r="M58" s="48" t="s">
        <v>2332</v>
      </c>
      <c r="N58" s="49"/>
      <c r="O58" s="50" t="s">
        <v>3161</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2518</v>
      </c>
      <c r="M59" s="48" t="s">
        <v>2519</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937</v>
      </c>
      <c r="J60" s="45" t="s">
        <v>935</v>
      </c>
      <c r="K60" s="46" t="s">
        <v>936</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1997</v>
      </c>
      <c r="H61" s="43" t="s">
        <v>1998</v>
      </c>
      <c r="I61" s="44" t="s">
        <v>2211</v>
      </c>
      <c r="J61" s="45" t="s">
        <v>2212</v>
      </c>
      <c r="K61" s="46" t="s">
        <v>2210</v>
      </c>
      <c r="L61" s="47" t="s">
        <v>2832</v>
      </c>
      <c r="M61" s="48" t="s">
        <v>2833</v>
      </c>
      <c r="N61" s="49"/>
      <c r="O61" s="50" t="s">
        <v>3237</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891</v>
      </c>
      <c r="I62" s="44" t="s">
        <v>1643</v>
      </c>
      <c r="J62" s="45" t="s">
        <v>395</v>
      </c>
      <c r="K62" s="46" t="s">
        <v>932</v>
      </c>
      <c r="L62" s="47" t="s">
        <v>2834</v>
      </c>
      <c r="M62" s="48" t="s">
        <v>2801</v>
      </c>
      <c r="N62" s="49"/>
      <c r="O62" s="50" t="s">
        <v>3238</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535</v>
      </c>
      <c r="H63" s="43" t="s">
        <v>536</v>
      </c>
      <c r="I63" s="44" t="s">
        <v>2199</v>
      </c>
      <c r="J63" s="45" t="s">
        <v>504</v>
      </c>
      <c r="K63" s="46" t="s">
        <v>537</v>
      </c>
      <c r="L63" s="47" t="s">
        <v>2522</v>
      </c>
      <c r="M63" s="48" t="s">
        <v>2523</v>
      </c>
      <c r="N63" s="49"/>
      <c r="O63" s="50" t="s">
        <v>3239</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934</v>
      </c>
      <c r="H64" s="43" t="s">
        <v>26</v>
      </c>
      <c r="I64" s="44" t="s">
        <v>48</v>
      </c>
      <c r="J64" s="45" t="s">
        <v>54</v>
      </c>
      <c r="K64" s="46" t="s">
        <v>59</v>
      </c>
      <c r="L64" s="47" t="s">
        <v>2524</v>
      </c>
      <c r="M64" s="48" t="s">
        <v>2525</v>
      </c>
      <c r="N64" s="49"/>
      <c r="O64" s="50" t="s">
        <v>3168</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938</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808</v>
      </c>
      <c r="K66" s="46" t="s">
        <v>86</v>
      </c>
      <c r="L66" s="47" t="s">
        <v>2397</v>
      </c>
      <c r="M66" s="48" t="s">
        <v>2332</v>
      </c>
      <c r="N66" s="49"/>
      <c r="O66" s="50" t="s">
        <v>3161</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939</v>
      </c>
      <c r="H67" s="43" t="s">
        <v>940</v>
      </c>
      <c r="I67" s="44" t="s">
        <v>941</v>
      </c>
      <c r="J67" s="45" t="s">
        <v>942</v>
      </c>
      <c r="K67" s="46" t="s">
        <v>943</v>
      </c>
      <c r="L67" s="47" t="s">
        <v>2835</v>
      </c>
      <c r="M67" s="48" t="s">
        <v>2836</v>
      </c>
      <c r="N67" s="49"/>
      <c r="O67" s="50" t="s">
        <v>3235</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815</v>
      </c>
      <c r="H68" s="43" t="s">
        <v>944</v>
      </c>
      <c r="I68" s="44" t="s">
        <v>945</v>
      </c>
      <c r="J68" s="45" t="s">
        <v>946</v>
      </c>
      <c r="K68" s="46" t="s">
        <v>947</v>
      </c>
      <c r="L68" s="47" t="s">
        <v>2751</v>
      </c>
      <c r="M68" s="48" t="s">
        <v>2752</v>
      </c>
      <c r="N68" s="49"/>
      <c r="O68" s="50" t="s">
        <v>3236</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684</v>
      </c>
      <c r="H69" s="43" t="s">
        <v>96</v>
      </c>
      <c r="I69" s="44" t="s">
        <v>48</v>
      </c>
      <c r="J69" s="45" t="s">
        <v>54</v>
      </c>
      <c r="K69" s="46" t="s">
        <v>59</v>
      </c>
      <c r="L69" s="47" t="s">
        <v>2524</v>
      </c>
      <c r="M69" s="48" t="s">
        <v>2525</v>
      </c>
      <c r="N69" s="49"/>
      <c r="O69" s="50" t="s">
        <v>3168</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948</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1999</v>
      </c>
      <c r="H72" s="43" t="s">
        <v>616</v>
      </c>
      <c r="I72" s="44" t="s">
        <v>618</v>
      </c>
      <c r="J72" s="45" t="s">
        <v>619</v>
      </c>
      <c r="K72" s="46" t="s">
        <v>60</v>
      </c>
      <c r="L72" s="47" t="s">
        <v>2351</v>
      </c>
      <c r="M72" s="48" t="s">
        <v>2850</v>
      </c>
      <c r="N72" s="49"/>
      <c r="O72" s="50" t="s">
        <v>3161</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2261</v>
      </c>
      <c r="I73" s="44" t="s">
        <v>1743</v>
      </c>
      <c r="J73" s="45" t="s">
        <v>949</v>
      </c>
      <c r="K73" s="46" t="s">
        <v>950</v>
      </c>
      <c r="L73" s="47" t="s">
        <v>2837</v>
      </c>
      <c r="M73" s="48" t="s">
        <v>2855</v>
      </c>
      <c r="N73" s="49"/>
      <c r="O73" s="50" t="s">
        <v>3232</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2268</v>
      </c>
      <c r="J74" s="45" t="s">
        <v>2269</v>
      </c>
      <c r="K74" s="46" t="s">
        <v>2270</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951</v>
      </c>
      <c r="H75" s="43" t="s">
        <v>953</v>
      </c>
      <c r="I75" s="44" t="s">
        <v>952</v>
      </c>
      <c r="J75" s="45" t="s">
        <v>954</v>
      </c>
      <c r="K75" s="46" t="s">
        <v>955</v>
      </c>
      <c r="L75" s="47" t="s">
        <v>2838</v>
      </c>
      <c r="M75" s="48" t="s">
        <v>2854</v>
      </c>
      <c r="N75" s="49"/>
      <c r="O75" s="50" t="s">
        <v>3233</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956</v>
      </c>
      <c r="H76" s="43" t="s">
        <v>957</v>
      </c>
      <c r="I76" s="44" t="s">
        <v>958</v>
      </c>
      <c r="J76" s="45" t="s">
        <v>959</v>
      </c>
      <c r="K76" s="46" t="s">
        <v>960</v>
      </c>
      <c r="L76" s="47" t="s">
        <v>2852</v>
      </c>
      <c r="M76" s="48" t="s">
        <v>2853</v>
      </c>
      <c r="N76" s="49"/>
      <c r="O76" s="50" t="s">
        <v>3234</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1732</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2283</v>
      </c>
      <c r="J78" s="45" t="s">
        <v>528</v>
      </c>
      <c r="K78" s="46" t="s">
        <v>63</v>
      </c>
      <c r="L78" s="47" t="s">
        <v>2370</v>
      </c>
      <c r="M78" s="48" t="s">
        <v>2371</v>
      </c>
      <c r="N78" s="49"/>
      <c r="O78" s="50" t="s">
        <v>3231</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2285</v>
      </c>
      <c r="J79" s="45" t="s">
        <v>1600</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961</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962</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2851</v>
      </c>
      <c r="H82" s="43" t="s">
        <v>616</v>
      </c>
      <c r="I82" s="44" t="s">
        <v>618</v>
      </c>
      <c r="J82" s="45" t="s">
        <v>619</v>
      </c>
      <c r="K82" s="46" t="s">
        <v>60</v>
      </c>
      <c r="L82" s="47" t="s">
        <v>2849</v>
      </c>
      <c r="M82" s="48" t="s">
        <v>2850</v>
      </c>
      <c r="N82" s="49"/>
      <c r="O82" s="50" t="s">
        <v>3472</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963</v>
      </c>
      <c r="H83" s="43" t="s">
        <v>2000</v>
      </c>
      <c r="I83" s="44" t="s">
        <v>964</v>
      </c>
      <c r="J83" s="45" t="s">
        <v>965</v>
      </c>
      <c r="K83" s="46" t="s">
        <v>966</v>
      </c>
      <c r="L83" s="47" t="s">
        <v>2847</v>
      </c>
      <c r="M83" s="48" t="s">
        <v>2848</v>
      </c>
      <c r="N83" s="49"/>
      <c r="O83" s="50" t="s">
        <v>3227</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2262</v>
      </c>
      <c r="I84" s="44" t="s">
        <v>2267</v>
      </c>
      <c r="J84" s="45" t="s">
        <v>967</v>
      </c>
      <c r="K84" s="46" t="s">
        <v>968</v>
      </c>
      <c r="L84" s="47" t="s">
        <v>2846</v>
      </c>
      <c r="M84" s="48" t="s">
        <v>2845</v>
      </c>
      <c r="N84" s="49"/>
      <c r="O84" s="50" t="s">
        <v>3228</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2299</v>
      </c>
      <c r="J85" s="45" t="s">
        <v>2265</v>
      </c>
      <c r="K85" s="46" t="s">
        <v>2266</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2001</v>
      </c>
      <c r="H86" s="43" t="s">
        <v>77</v>
      </c>
      <c r="I86" s="44" t="s">
        <v>49</v>
      </c>
      <c r="J86" s="45" t="s">
        <v>399</v>
      </c>
      <c r="K86" s="46" t="s">
        <v>61</v>
      </c>
      <c r="L86" s="47" t="s">
        <v>2844</v>
      </c>
      <c r="M86" s="48" t="s">
        <v>2843</v>
      </c>
      <c r="N86" s="49"/>
      <c r="O86" s="50" t="s">
        <v>3229</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2353</v>
      </c>
      <c r="M87" s="48" t="s">
        <v>2395</v>
      </c>
      <c r="N87" s="49"/>
      <c r="O87" s="50" t="s">
        <v>3230</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1732</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2283</v>
      </c>
      <c r="J89" s="45" t="s">
        <v>528</v>
      </c>
      <c r="K89" s="46" t="s">
        <v>63</v>
      </c>
      <c r="L89" s="47" t="s">
        <v>2370</v>
      </c>
      <c r="M89" s="48" t="s">
        <v>2371</v>
      </c>
      <c r="N89" s="49"/>
      <c r="O89" s="50" t="s">
        <v>3231</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2285</v>
      </c>
      <c r="J90" s="45" t="s">
        <v>1600</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969</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962</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2284</v>
      </c>
      <c r="K95" s="46" t="s">
        <v>86</v>
      </c>
      <c r="L95" s="47" t="s">
        <v>2397</v>
      </c>
      <c r="M95" s="48" t="s">
        <v>2332</v>
      </c>
      <c r="N95" s="49"/>
      <c r="O95" s="50" t="s">
        <v>3161</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974</v>
      </c>
      <c r="I96" s="44" t="s">
        <v>89</v>
      </c>
      <c r="J96" s="45" t="s">
        <v>90</v>
      </c>
      <c r="K96" s="46" t="s">
        <v>91</v>
      </c>
      <c r="L96" s="47" t="s">
        <v>2839</v>
      </c>
      <c r="M96" s="48" t="s">
        <v>2863</v>
      </c>
      <c r="N96" s="49"/>
      <c r="O96" s="50" t="s">
        <v>3345</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970</v>
      </c>
      <c r="H97" s="43" t="s">
        <v>971</v>
      </c>
      <c r="I97" s="44" t="s">
        <v>972</v>
      </c>
      <c r="J97" s="45" t="s">
        <v>1587</v>
      </c>
      <c r="K97" s="46" t="s">
        <v>973</v>
      </c>
      <c r="L97" s="47" t="s">
        <v>2840</v>
      </c>
      <c r="M97" s="48" t="s">
        <v>2864</v>
      </c>
      <c r="N97" s="49"/>
      <c r="O97" s="50" t="s">
        <v>3219</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2002</v>
      </c>
      <c r="I98" s="44" t="s">
        <v>1744</v>
      </c>
      <c r="J98" s="45" t="s">
        <v>529</v>
      </c>
      <c r="K98" s="46" t="s">
        <v>93</v>
      </c>
      <c r="L98" s="47" t="s">
        <v>2841</v>
      </c>
      <c r="M98" s="48" t="s">
        <v>2865</v>
      </c>
      <c r="N98" s="49"/>
      <c r="O98" s="50" t="s">
        <v>3220</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1783</v>
      </c>
      <c r="H99" s="43" t="s">
        <v>1784</v>
      </c>
      <c r="I99" s="44" t="s">
        <v>1785</v>
      </c>
      <c r="J99" s="45" t="s">
        <v>1786</v>
      </c>
      <c r="K99" s="46" t="s">
        <v>1787</v>
      </c>
      <c r="L99" s="47" t="s">
        <v>2866</v>
      </c>
      <c r="M99" s="48" t="s">
        <v>2842</v>
      </c>
      <c r="N99" s="49"/>
      <c r="O99" s="50" t="s">
        <v>3221</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975</v>
      </c>
      <c r="H100" s="43" t="s">
        <v>978</v>
      </c>
      <c r="I100" s="44" t="s">
        <v>980</v>
      </c>
      <c r="J100" s="45" t="s">
        <v>982</v>
      </c>
      <c r="K100" s="46" t="s">
        <v>985</v>
      </c>
      <c r="L100" s="47" t="s">
        <v>2375</v>
      </c>
      <c r="M100" s="48" t="s">
        <v>2376</v>
      </c>
      <c r="N100" s="49"/>
      <c r="O100" s="50" t="s">
        <v>3222</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976</v>
      </c>
      <c r="H101" s="43" t="s">
        <v>979</v>
      </c>
      <c r="I101" s="44" t="s">
        <v>981</v>
      </c>
      <c r="J101" s="45" t="s">
        <v>983</v>
      </c>
      <c r="K101" s="46" t="s">
        <v>986</v>
      </c>
      <c r="L101" s="47" t="s">
        <v>2377</v>
      </c>
      <c r="M101" s="48" t="s">
        <v>2378</v>
      </c>
      <c r="N101" s="49"/>
      <c r="O101" s="50" t="s">
        <v>3223</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977</v>
      </c>
      <c r="H102" s="43" t="s">
        <v>978</v>
      </c>
      <c r="I102" s="44" t="s">
        <v>980</v>
      </c>
      <c r="J102" s="45" t="s">
        <v>984</v>
      </c>
      <c r="K102" s="46" t="s">
        <v>987</v>
      </c>
      <c r="L102" s="47" t="s">
        <v>2379</v>
      </c>
      <c r="M102" s="48" t="s">
        <v>2380</v>
      </c>
      <c r="N102" s="49"/>
      <c r="O102" s="50" t="s">
        <v>3224</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2213</v>
      </c>
      <c r="H103" s="43" t="s">
        <v>2214</v>
      </c>
      <c r="I103" s="44" t="s">
        <v>1745</v>
      </c>
      <c r="J103" s="45" t="s">
        <v>94</v>
      </c>
      <c r="K103" s="46" t="s">
        <v>95</v>
      </c>
      <c r="L103" s="47" t="s">
        <v>2381</v>
      </c>
      <c r="M103" s="48" t="s">
        <v>2867</v>
      </c>
      <c r="N103" s="49"/>
      <c r="O103" s="50" t="s">
        <v>3225</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2370</v>
      </c>
      <c r="M104" s="48" t="s">
        <v>2525</v>
      </c>
      <c r="N104" s="49"/>
      <c r="O104" s="50" t="s">
        <v>3226</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988</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2397</v>
      </c>
      <c r="M106" s="48" t="s">
        <v>2332</v>
      </c>
      <c r="N106" s="49"/>
      <c r="O106" s="50" t="s">
        <v>3168</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995</v>
      </c>
      <c r="H107" s="43" t="s">
        <v>996</v>
      </c>
      <c r="I107" s="44" t="s">
        <v>997</v>
      </c>
      <c r="J107" s="45" t="s">
        <v>998</v>
      </c>
      <c r="K107" s="46" t="s">
        <v>999</v>
      </c>
      <c r="L107" s="47" t="s">
        <v>2868</v>
      </c>
      <c r="M107" s="48" t="s">
        <v>2869</v>
      </c>
      <c r="N107" s="49"/>
      <c r="O107" s="50" t="s">
        <v>3217</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989</v>
      </c>
      <c r="H108" s="43" t="s">
        <v>990</v>
      </c>
      <c r="I108" s="44" t="s">
        <v>991</v>
      </c>
      <c r="J108" s="45" t="s">
        <v>992</v>
      </c>
      <c r="K108" s="46" t="s">
        <v>993</v>
      </c>
      <c r="L108" s="47" t="s">
        <v>2870</v>
      </c>
      <c r="M108" s="48" t="s">
        <v>2871</v>
      </c>
      <c r="N108" s="49"/>
      <c r="O108" s="50" t="s">
        <v>3218</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994</v>
      </c>
      <c r="J109" s="45" t="s">
        <v>54</v>
      </c>
      <c r="K109" s="46" t="s">
        <v>59</v>
      </c>
      <c r="L109" s="47" t="s">
        <v>2524</v>
      </c>
      <c r="M109" s="48" t="s">
        <v>2525</v>
      </c>
      <c r="N109" s="49"/>
      <c r="O109" s="50" t="s">
        <v>3168</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1000</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2397</v>
      </c>
      <c r="M111" s="48" t="s">
        <v>2332</v>
      </c>
      <c r="N111" s="49"/>
      <c r="O111" s="50" t="s">
        <v>3161</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1011</v>
      </c>
      <c r="H112" s="43" t="s">
        <v>1010</v>
      </c>
      <c r="I112" s="44" t="s">
        <v>1012</v>
      </c>
      <c r="J112" s="45" t="s">
        <v>1588</v>
      </c>
      <c r="K112" s="46" t="s">
        <v>1013</v>
      </c>
      <c r="L112" s="47" t="s">
        <v>2876</v>
      </c>
      <c r="M112" s="48" t="s">
        <v>2878</v>
      </c>
      <c r="N112" s="49"/>
      <c r="O112" s="50" t="s">
        <v>3214</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1001</v>
      </c>
      <c r="H113" s="43" t="s">
        <v>1002</v>
      </c>
      <c r="I113" s="44" t="s">
        <v>1003</v>
      </c>
      <c r="J113" s="45" t="s">
        <v>1004</v>
      </c>
      <c r="K113" s="46" t="s">
        <v>1005</v>
      </c>
      <c r="L113" s="47" t="s">
        <v>2872</v>
      </c>
      <c r="M113" s="48" t="s">
        <v>2873</v>
      </c>
      <c r="N113" s="49"/>
      <c r="O113" s="50" t="s">
        <v>3215</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1006</v>
      </c>
      <c r="H114" s="43" t="s">
        <v>1007</v>
      </c>
      <c r="I114" s="44" t="s">
        <v>1644</v>
      </c>
      <c r="J114" s="45" t="s">
        <v>1008</v>
      </c>
      <c r="K114" s="46" t="s">
        <v>1009</v>
      </c>
      <c r="L114" s="47" t="s">
        <v>2874</v>
      </c>
      <c r="M114" s="48" t="s">
        <v>2875</v>
      </c>
      <c r="N114" s="49"/>
      <c r="O114" s="50" t="s">
        <v>3216</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2524</v>
      </c>
      <c r="M115" s="48" t="s">
        <v>2525</v>
      </c>
      <c r="N115" s="49"/>
      <c r="O115" s="50" t="s">
        <v>3168</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1014</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2397</v>
      </c>
      <c r="M117" s="48" t="s">
        <v>2332</v>
      </c>
      <c r="N117" s="49"/>
      <c r="O117" s="50" t="s">
        <v>3161</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1015</v>
      </c>
      <c r="H118" s="43" t="s">
        <v>2003</v>
      </c>
      <c r="I118" s="44" t="s">
        <v>1016</v>
      </c>
      <c r="J118" s="45" t="s">
        <v>1017</v>
      </c>
      <c r="K118" s="46" t="s">
        <v>1018</v>
      </c>
      <c r="L118" s="47" t="s">
        <v>2877</v>
      </c>
      <c r="M118" s="48" t="s">
        <v>2879</v>
      </c>
      <c r="N118" s="49"/>
      <c r="O118" s="50" t="s">
        <v>3213</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2524</v>
      </c>
      <c r="M119" s="48" t="s">
        <v>2525</v>
      </c>
      <c r="N119" s="49"/>
      <c r="O119" s="50" t="s">
        <v>3168</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1019</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2397</v>
      </c>
      <c r="M121" s="48" t="s">
        <v>2332</v>
      </c>
      <c r="N121" s="49"/>
      <c r="O121" s="50" t="s">
        <v>3161</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1020</v>
      </c>
      <c r="H122" s="43" t="s">
        <v>1021</v>
      </c>
      <c r="I122" s="44" t="s">
        <v>1022</v>
      </c>
      <c r="J122" s="45" t="s">
        <v>1023</v>
      </c>
      <c r="K122" s="46" t="s">
        <v>1024</v>
      </c>
      <c r="L122" s="47" t="s">
        <v>2880</v>
      </c>
      <c r="M122" s="48" t="s">
        <v>2881</v>
      </c>
      <c r="N122" s="49"/>
      <c r="O122" s="50" t="s">
        <v>3211</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1025</v>
      </c>
      <c r="H123" s="43" t="s">
        <v>1026</v>
      </c>
      <c r="I123" s="44" t="s">
        <v>1027</v>
      </c>
      <c r="J123" s="45" t="s">
        <v>1028</v>
      </c>
      <c r="K123" s="46" t="s">
        <v>1029</v>
      </c>
      <c r="L123" s="47" t="s">
        <v>2882</v>
      </c>
      <c r="M123" s="48" t="s">
        <v>2883</v>
      </c>
      <c r="N123" s="49"/>
      <c r="O123" s="50" t="s">
        <v>3212</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535</v>
      </c>
      <c r="H124" s="43" t="s">
        <v>536</v>
      </c>
      <c r="I124" s="44" t="s">
        <v>503</v>
      </c>
      <c r="J124" s="45" t="s">
        <v>504</v>
      </c>
      <c r="K124" s="46" t="s">
        <v>1030</v>
      </c>
      <c r="L124" s="47" t="s">
        <v>2884</v>
      </c>
      <c r="M124" s="48" t="s">
        <v>2807</v>
      </c>
      <c r="N124" s="49"/>
      <c r="O124" s="50" t="s">
        <v>3239</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2524</v>
      </c>
      <c r="M125" s="48" t="s">
        <v>2525</v>
      </c>
      <c r="N125" s="49"/>
      <c r="O125" s="50" t="s">
        <v>3168</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1031</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2397</v>
      </c>
      <c r="M128" s="48" t="s">
        <v>2332</v>
      </c>
      <c r="N128" s="49"/>
      <c r="O128" s="50" t="s">
        <v>3161</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1032</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1033</v>
      </c>
      <c r="H130" s="43" t="s">
        <v>1034</v>
      </c>
      <c r="I130" s="44" t="s">
        <v>1645</v>
      </c>
      <c r="J130" s="45" t="s">
        <v>1035</v>
      </c>
      <c r="K130" s="46" t="s">
        <v>1036</v>
      </c>
      <c r="L130" s="47" t="s">
        <v>2885</v>
      </c>
      <c r="M130" s="48" t="s">
        <v>2886</v>
      </c>
      <c r="N130" s="49"/>
      <c r="O130" s="50" t="s">
        <v>3207</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1037</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1038</v>
      </c>
      <c r="H132" s="43" t="s">
        <v>1039</v>
      </c>
      <c r="I132" s="44" t="s">
        <v>1040</v>
      </c>
      <c r="J132" s="45" t="s">
        <v>1041</v>
      </c>
      <c r="K132" s="46" t="s">
        <v>1042</v>
      </c>
      <c r="L132" s="47" t="s">
        <v>2887</v>
      </c>
      <c r="M132" s="48" t="s">
        <v>2888</v>
      </c>
      <c r="N132" s="49"/>
      <c r="O132" s="50" t="s">
        <v>3208</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2004</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1043</v>
      </c>
      <c r="H134" s="43" t="s">
        <v>1044</v>
      </c>
      <c r="I134" s="44" t="s">
        <v>1646</v>
      </c>
      <c r="J134" s="45" t="s">
        <v>1045</v>
      </c>
      <c r="K134" s="46" t="s">
        <v>1046</v>
      </c>
      <c r="L134" s="47" t="s">
        <v>2889</v>
      </c>
      <c r="M134" s="48" t="s">
        <v>2890</v>
      </c>
      <c r="N134" s="49"/>
      <c r="O134" s="50" t="s">
        <v>3209</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1050</v>
      </c>
      <c r="H135" s="43" t="s">
        <v>1051</v>
      </c>
      <c r="I135" s="44" t="s">
        <v>1052</v>
      </c>
      <c r="J135" s="45" t="s">
        <v>1053</v>
      </c>
      <c r="K135" s="46" t="s">
        <v>1054</v>
      </c>
      <c r="L135" s="47" t="s">
        <v>2891</v>
      </c>
      <c r="M135" s="48" t="s">
        <v>2892</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1055</v>
      </c>
      <c r="H136" s="43" t="s">
        <v>1056</v>
      </c>
      <c r="I136" s="44" t="s">
        <v>1057</v>
      </c>
      <c r="J136" s="45" t="s">
        <v>1058</v>
      </c>
      <c r="K136" s="46" t="s">
        <v>1059</v>
      </c>
      <c r="L136" s="47" t="s">
        <v>2893</v>
      </c>
      <c r="M136" s="48" t="s">
        <v>2894</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1047</v>
      </c>
      <c r="H137" s="43" t="s">
        <v>2263</v>
      </c>
      <c r="I137" s="44" t="s">
        <v>1746</v>
      </c>
      <c r="J137" s="45" t="s">
        <v>1048</v>
      </c>
      <c r="K137" s="46" t="s">
        <v>1049</v>
      </c>
      <c r="L137" s="47" t="s">
        <v>2895</v>
      </c>
      <c r="M137" s="48" t="s">
        <v>2896</v>
      </c>
      <c r="N137" s="49"/>
      <c r="O137" s="50" t="s">
        <v>3210</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2524</v>
      </c>
      <c r="M138" s="48" t="s">
        <v>2525</v>
      </c>
      <c r="N138" s="49"/>
      <c r="O138" s="50" t="s">
        <v>3168</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1060</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2397</v>
      </c>
      <c r="M140" s="48" t="s">
        <v>2332</v>
      </c>
      <c r="N140" s="49"/>
      <c r="O140" s="50" t="s">
        <v>3161</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1061</v>
      </c>
      <c r="H141" s="43" t="s">
        <v>1062</v>
      </c>
      <c r="I141" s="44" t="s">
        <v>1063</v>
      </c>
      <c r="J141" s="45" t="s">
        <v>1065</v>
      </c>
      <c r="K141" s="46" t="s">
        <v>1064</v>
      </c>
      <c r="L141" s="47" t="s">
        <v>2897</v>
      </c>
      <c r="M141" s="48" t="s">
        <v>2898</v>
      </c>
      <c r="N141" s="49"/>
      <c r="O141" s="50" t="s">
        <v>3206</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2524</v>
      </c>
      <c r="M142" s="48" t="s">
        <v>2525</v>
      </c>
      <c r="N142" s="49"/>
      <c r="O142" s="50" t="s">
        <v>3168</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1066</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2397</v>
      </c>
      <c r="M144" s="48" t="s">
        <v>2332</v>
      </c>
      <c r="N144" s="49"/>
      <c r="O144" s="50" t="s">
        <v>3161</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2005</v>
      </c>
      <c r="H145" s="43" t="s">
        <v>2006</v>
      </c>
      <c r="I145" s="44" t="s">
        <v>2007</v>
      </c>
      <c r="J145" s="45" t="s">
        <v>2008</v>
      </c>
      <c r="K145" s="46" t="s">
        <v>2327</v>
      </c>
      <c r="L145" s="47" t="s">
        <v>2903</v>
      </c>
      <c r="M145" s="48" t="s">
        <v>2904</v>
      </c>
      <c r="N145" s="49"/>
      <c r="O145" s="50" t="s">
        <v>3205</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1067</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2009</v>
      </c>
      <c r="H147" s="43" t="s">
        <v>2010</v>
      </c>
      <c r="I147" s="44" t="s">
        <v>2011</v>
      </c>
      <c r="J147" s="45" t="s">
        <v>2012</v>
      </c>
      <c r="K147" s="46" t="s">
        <v>2013</v>
      </c>
      <c r="L147" s="47" t="s">
        <v>2899</v>
      </c>
      <c r="M147" s="48" t="s">
        <v>2900</v>
      </c>
      <c r="N147" s="49"/>
      <c r="O147" s="50" t="s">
        <v>3203</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1068</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2014</v>
      </c>
      <c r="H149" s="43" t="s">
        <v>2015</v>
      </c>
      <c r="I149" s="44" t="s">
        <v>2016</v>
      </c>
      <c r="J149" s="45" t="s">
        <v>2017</v>
      </c>
      <c r="K149" s="46" t="s">
        <v>2018</v>
      </c>
      <c r="L149" s="47" t="s">
        <v>2901</v>
      </c>
      <c r="M149" s="48" t="s">
        <v>2902</v>
      </c>
      <c r="N149" s="49"/>
      <c r="O149" s="50" t="s">
        <v>3204</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684</v>
      </c>
      <c r="H150" s="43" t="s">
        <v>26</v>
      </c>
      <c r="I150" s="44" t="s">
        <v>48</v>
      </c>
      <c r="J150" s="45" t="s">
        <v>384</v>
      </c>
      <c r="K150" s="46" t="s">
        <v>59</v>
      </c>
      <c r="L150" s="47" t="s">
        <v>2524</v>
      </c>
      <c r="M150" s="48" t="s">
        <v>2525</v>
      </c>
      <c r="N150" s="49"/>
      <c r="O150" s="50" t="s">
        <v>3168</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1069</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2397</v>
      </c>
      <c r="M152" s="48" t="s">
        <v>2332</v>
      </c>
      <c r="N152" s="49"/>
      <c r="O152" s="50" t="s">
        <v>3161</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1070</v>
      </c>
      <c r="H153" s="43" t="s">
        <v>2264</v>
      </c>
      <c r="I153" s="44" t="s">
        <v>1747</v>
      </c>
      <c r="J153" s="45" t="s">
        <v>1071</v>
      </c>
      <c r="K153" s="46" t="s">
        <v>1072</v>
      </c>
      <c r="L153" s="47" t="s">
        <v>2905</v>
      </c>
      <c r="M153" s="48" t="s">
        <v>2910</v>
      </c>
      <c r="N153" s="49"/>
      <c r="O153" s="50" t="s">
        <v>3200</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1073</v>
      </c>
      <c r="H154" s="43" t="s">
        <v>1074</v>
      </c>
      <c r="I154" s="44" t="s">
        <v>1075</v>
      </c>
      <c r="J154" s="45" t="s">
        <v>1076</v>
      </c>
      <c r="K154" s="46" t="s">
        <v>1077</v>
      </c>
      <c r="L154" s="47" t="s">
        <v>2906</v>
      </c>
      <c r="M154" s="48" t="s">
        <v>2907</v>
      </c>
      <c r="N154" s="49"/>
      <c r="O154" s="50" t="s">
        <v>3201</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1078</v>
      </c>
      <c r="H155" s="43" t="s">
        <v>1079</v>
      </c>
      <c r="I155" s="44" t="s">
        <v>1080</v>
      </c>
      <c r="J155" s="45" t="s">
        <v>1081</v>
      </c>
      <c r="K155" s="46" t="s">
        <v>1082</v>
      </c>
      <c r="L155" s="47" t="s">
        <v>2908</v>
      </c>
      <c r="M155" s="48" t="s">
        <v>2909</v>
      </c>
      <c r="N155" s="49"/>
      <c r="O155" s="50" t="s">
        <v>3202</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2524</v>
      </c>
      <c r="M156" s="48" t="s">
        <v>2525</v>
      </c>
      <c r="N156" s="49"/>
      <c r="O156" s="50" t="s">
        <v>3168</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1083</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1084</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2397</v>
      </c>
      <c r="M159" s="48" t="s">
        <v>2332</v>
      </c>
      <c r="N159" s="49"/>
      <c r="O159" s="50" t="s">
        <v>3161</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1085</v>
      </c>
      <c r="H160" s="43" t="s">
        <v>1086</v>
      </c>
      <c r="I160" s="44" t="s">
        <v>1647</v>
      </c>
      <c r="J160" s="45" t="s">
        <v>1087</v>
      </c>
      <c r="K160" s="46" t="s">
        <v>1088</v>
      </c>
      <c r="L160" s="47" t="s">
        <v>2911</v>
      </c>
      <c r="M160" s="48" t="s">
        <v>2912</v>
      </c>
      <c r="N160" s="49"/>
      <c r="O160" s="50" t="s">
        <v>3199</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535</v>
      </c>
      <c r="H161" s="43" t="s">
        <v>536</v>
      </c>
      <c r="I161" s="44" t="s">
        <v>503</v>
      </c>
      <c r="J161" s="45" t="s">
        <v>504</v>
      </c>
      <c r="K161" s="46" t="s">
        <v>1030</v>
      </c>
      <c r="L161" s="47" t="s">
        <v>2913</v>
      </c>
      <c r="M161" s="48" t="s">
        <v>2914</v>
      </c>
      <c r="N161" s="49"/>
      <c r="O161" s="50" t="s">
        <v>3198</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2524</v>
      </c>
      <c r="M162" s="48" t="s">
        <v>2525</v>
      </c>
      <c r="N162" s="49"/>
      <c r="O162" s="50" t="s">
        <v>3168</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1089</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1090</v>
      </c>
      <c r="K164" s="46" t="s">
        <v>86</v>
      </c>
      <c r="L164" s="47" t="s">
        <v>2397</v>
      </c>
      <c r="M164" s="48" t="s">
        <v>2332</v>
      </c>
      <c r="N164" s="49"/>
      <c r="O164" s="50" t="s">
        <v>3161</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2019</v>
      </c>
      <c r="H165" s="43" t="s">
        <v>2020</v>
      </c>
      <c r="I165" s="44" t="s">
        <v>2021</v>
      </c>
      <c r="J165" s="45" t="s">
        <v>2022</v>
      </c>
      <c r="K165" s="46" t="s">
        <v>2023</v>
      </c>
      <c r="L165" s="47" t="s">
        <v>2915</v>
      </c>
      <c r="M165" s="48" t="s">
        <v>2916</v>
      </c>
      <c r="N165" s="49"/>
      <c r="O165" s="50" t="s">
        <v>3195</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1091</v>
      </c>
      <c r="H166" s="43" t="s">
        <v>1092</v>
      </c>
      <c r="I166" s="44" t="s">
        <v>2300</v>
      </c>
      <c r="J166" s="45" t="s">
        <v>2024</v>
      </c>
      <c r="K166" s="46" t="s">
        <v>2025</v>
      </c>
      <c r="L166" s="47" t="s">
        <v>2917</v>
      </c>
      <c r="M166" s="48" t="s">
        <v>2918</v>
      </c>
      <c r="N166" s="49"/>
      <c r="O166" s="50" t="s">
        <v>3196</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1093</v>
      </c>
      <c r="H167" s="43" t="s">
        <v>1094</v>
      </c>
      <c r="I167" s="44" t="s">
        <v>1095</v>
      </c>
      <c r="J167" s="45" t="s">
        <v>1096</v>
      </c>
      <c r="K167" s="46" t="s">
        <v>1097</v>
      </c>
      <c r="L167" s="47" t="s">
        <v>2919</v>
      </c>
      <c r="M167" s="48" t="s">
        <v>2920</v>
      </c>
      <c r="N167" s="49"/>
      <c r="O167" s="50" t="s">
        <v>3197</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535</v>
      </c>
      <c r="H168" s="43" t="s">
        <v>536</v>
      </c>
      <c r="I168" s="44" t="s">
        <v>503</v>
      </c>
      <c r="J168" s="45" t="s">
        <v>504</v>
      </c>
      <c r="K168" s="46" t="s">
        <v>537</v>
      </c>
      <c r="L168" s="47" t="s">
        <v>2913</v>
      </c>
      <c r="M168" s="48" t="s">
        <v>2914</v>
      </c>
      <c r="N168" s="49"/>
      <c r="O168" s="50" t="s">
        <v>3198</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2524</v>
      </c>
      <c r="M169" s="48" t="s">
        <v>2525</v>
      </c>
      <c r="N169" s="49"/>
      <c r="O169" s="50" t="s">
        <v>3168</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1098</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1090</v>
      </c>
      <c r="K171" s="46" t="s">
        <v>86</v>
      </c>
      <c r="L171" s="47" t="s">
        <v>2397</v>
      </c>
      <c r="M171" s="48" t="s">
        <v>2332</v>
      </c>
      <c r="N171" s="49"/>
      <c r="O171" s="50" t="s">
        <v>3161</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1099</v>
      </c>
      <c r="H172" s="43" t="s">
        <v>2149</v>
      </c>
      <c r="I172" s="44" t="s">
        <v>1748</v>
      </c>
      <c r="J172" s="45" t="s">
        <v>1100</v>
      </c>
      <c r="K172" s="46" t="s">
        <v>1749</v>
      </c>
      <c r="L172" s="47" t="s">
        <v>2921</v>
      </c>
      <c r="M172" s="48" t="s">
        <v>2922</v>
      </c>
      <c r="N172" s="49"/>
      <c r="O172" s="50" t="s">
        <v>3346</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535</v>
      </c>
      <c r="H173" s="43" t="s">
        <v>536</v>
      </c>
      <c r="I173" s="44" t="s">
        <v>503</v>
      </c>
      <c r="J173" s="45" t="s">
        <v>504</v>
      </c>
      <c r="K173" s="46" t="s">
        <v>537</v>
      </c>
      <c r="L173" s="47" t="s">
        <v>2913</v>
      </c>
      <c r="M173" s="48" t="s">
        <v>2914</v>
      </c>
      <c r="N173" s="49"/>
      <c r="O173" s="50" t="s">
        <v>3178</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2524</v>
      </c>
      <c r="M174" s="48" t="s">
        <v>2525</v>
      </c>
      <c r="N174" s="49"/>
      <c r="O174" s="50" t="s">
        <v>3168</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1101</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862</v>
      </c>
      <c r="I176" s="44" t="s">
        <v>84</v>
      </c>
      <c r="J176" s="45" t="s">
        <v>85</v>
      </c>
      <c r="K176" s="46" t="s">
        <v>86</v>
      </c>
      <c r="L176" s="47" t="s">
        <v>2397</v>
      </c>
      <c r="M176" s="48" t="s">
        <v>2332</v>
      </c>
      <c r="N176" s="49"/>
      <c r="O176" s="50" t="s">
        <v>3161</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2026</v>
      </c>
      <c r="H177" s="43" t="s">
        <v>2027</v>
      </c>
      <c r="I177" s="44" t="s">
        <v>2028</v>
      </c>
      <c r="J177" s="45" t="s">
        <v>2029</v>
      </c>
      <c r="K177" s="46" t="s">
        <v>2030</v>
      </c>
      <c r="L177" s="47" t="s">
        <v>2923</v>
      </c>
      <c r="M177" s="48" t="s">
        <v>2926</v>
      </c>
      <c r="N177" s="49"/>
      <c r="O177" s="50" t="s">
        <v>3191</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1102</v>
      </c>
      <c r="H178" s="43" t="s">
        <v>1103</v>
      </c>
      <c r="I178" s="44" t="s">
        <v>1104</v>
      </c>
      <c r="J178" s="45" t="s">
        <v>1105</v>
      </c>
      <c r="K178" s="46" t="s">
        <v>1106</v>
      </c>
      <c r="L178" s="47" t="s">
        <v>2924</v>
      </c>
      <c r="M178" s="48" t="s">
        <v>2928</v>
      </c>
      <c r="N178" s="49"/>
      <c r="O178" s="50" t="s">
        <v>3193</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1107</v>
      </c>
      <c r="H179" s="43" t="s">
        <v>1108</v>
      </c>
      <c r="I179" s="44" t="s">
        <v>1750</v>
      </c>
      <c r="J179" s="45" t="s">
        <v>1109</v>
      </c>
      <c r="K179" s="46" t="s">
        <v>1110</v>
      </c>
      <c r="L179" s="47" t="s">
        <v>2925</v>
      </c>
      <c r="M179" s="48" t="s">
        <v>2927</v>
      </c>
      <c r="N179" s="49"/>
      <c r="O179" s="50" t="s">
        <v>3192</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3194</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535</v>
      </c>
      <c r="H181" s="43" t="s">
        <v>536</v>
      </c>
      <c r="I181" s="44" t="s">
        <v>503</v>
      </c>
      <c r="J181" s="45" t="s">
        <v>504</v>
      </c>
      <c r="K181" s="46" t="s">
        <v>537</v>
      </c>
      <c r="L181" s="47" t="s">
        <v>2913</v>
      </c>
      <c r="M181" s="48" t="s">
        <v>2914</v>
      </c>
      <c r="N181" s="49"/>
      <c r="O181" s="50" t="s">
        <v>3178</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2524</v>
      </c>
      <c r="M182" s="48" t="s">
        <v>2525</v>
      </c>
      <c r="N182" s="49"/>
      <c r="O182" s="50" t="s">
        <v>3168</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1111</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808</v>
      </c>
      <c r="K184" s="46" t="s">
        <v>86</v>
      </c>
      <c r="L184" s="47" t="s">
        <v>2397</v>
      </c>
      <c r="M184" s="48" t="s">
        <v>2332</v>
      </c>
      <c r="N184" s="49"/>
      <c r="O184" s="50" t="s">
        <v>3161</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1112</v>
      </c>
      <c r="H185" s="43" t="s">
        <v>1113</v>
      </c>
      <c r="I185" s="44" t="s">
        <v>1114</v>
      </c>
      <c r="J185" s="45" t="s">
        <v>1115</v>
      </c>
      <c r="K185" s="46" t="s">
        <v>1116</v>
      </c>
      <c r="L185" s="47" t="s">
        <v>2929</v>
      </c>
      <c r="M185" s="48" t="s">
        <v>2930</v>
      </c>
      <c r="N185" s="49"/>
      <c r="O185" s="50" t="s">
        <v>3190</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2524</v>
      </c>
      <c r="M186" s="48" t="s">
        <v>2525</v>
      </c>
      <c r="N186" s="49"/>
      <c r="O186" s="50" t="s">
        <v>3168</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1117</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2397</v>
      </c>
      <c r="M188" s="48" t="s">
        <v>2332</v>
      </c>
      <c r="N188" s="49"/>
      <c r="O188" s="50" t="s">
        <v>3161</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1118</v>
      </c>
      <c r="H189" s="43" t="s">
        <v>1119</v>
      </c>
      <c r="I189" s="44" t="s">
        <v>1120</v>
      </c>
      <c r="J189" s="45" t="s">
        <v>1121</v>
      </c>
      <c r="K189" s="46" t="s">
        <v>1122</v>
      </c>
      <c r="L189" s="47" t="s">
        <v>2931</v>
      </c>
      <c r="M189" s="48" t="s">
        <v>2932</v>
      </c>
      <c r="N189" s="49"/>
      <c r="O189" s="50" t="s">
        <v>3188</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1123</v>
      </c>
      <c r="H190" s="43" t="s">
        <v>1124</v>
      </c>
      <c r="I190" s="44" t="s">
        <v>1125</v>
      </c>
      <c r="J190" s="45" t="s">
        <v>1126</v>
      </c>
      <c r="K190" s="46" t="s">
        <v>1127</v>
      </c>
      <c r="L190" s="47" t="s">
        <v>2931</v>
      </c>
      <c r="M190" s="48" t="s">
        <v>2933</v>
      </c>
      <c r="N190" s="49"/>
      <c r="O190" s="50" t="s">
        <v>3189</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1128</v>
      </c>
      <c r="H191" s="43" t="s">
        <v>1129</v>
      </c>
      <c r="I191" s="44" t="s">
        <v>1130</v>
      </c>
      <c r="J191" s="45" t="s">
        <v>1131</v>
      </c>
      <c r="K191" s="46" t="s">
        <v>1132</v>
      </c>
      <c r="L191" s="47" t="s">
        <v>2934</v>
      </c>
      <c r="M191" s="48" t="s">
        <v>2935</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2524</v>
      </c>
      <c r="M192" s="48" t="s">
        <v>2525</v>
      </c>
      <c r="N192" s="49"/>
      <c r="O192" s="50" t="s">
        <v>3168</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1133</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862</v>
      </c>
      <c r="I194" s="44" t="s">
        <v>84</v>
      </c>
      <c r="J194" s="45" t="s">
        <v>85</v>
      </c>
      <c r="K194" s="46" t="s">
        <v>86</v>
      </c>
      <c r="L194" s="47" t="s">
        <v>2397</v>
      </c>
      <c r="M194" s="48" t="s">
        <v>2332</v>
      </c>
      <c r="N194" s="49"/>
      <c r="O194" s="50" t="s">
        <v>3161</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1134</v>
      </c>
      <c r="H195" s="43" t="s">
        <v>1135</v>
      </c>
      <c r="I195" s="44" t="s">
        <v>1648</v>
      </c>
      <c r="J195" s="45" t="s">
        <v>1589</v>
      </c>
      <c r="K195" s="46" t="s">
        <v>1590</v>
      </c>
      <c r="L195" s="47" t="s">
        <v>2936</v>
      </c>
      <c r="M195" s="48" t="s">
        <v>2937</v>
      </c>
      <c r="N195" s="49"/>
      <c r="O195" s="50" t="s">
        <v>3181</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1136</v>
      </c>
      <c r="H196" s="43" t="s">
        <v>1137</v>
      </c>
      <c r="I196" s="44" t="s">
        <v>1591</v>
      </c>
      <c r="J196" s="45" t="s">
        <v>1765</v>
      </c>
      <c r="K196" s="46" t="s">
        <v>1138</v>
      </c>
      <c r="L196" s="47" t="s">
        <v>2938</v>
      </c>
      <c r="M196" s="48" t="s">
        <v>2939</v>
      </c>
      <c r="N196" s="49"/>
      <c r="O196" s="50" t="s">
        <v>3182</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1139</v>
      </c>
      <c r="H197" s="43" t="s">
        <v>1140</v>
      </c>
      <c r="I197" s="44" t="s">
        <v>1592</v>
      </c>
      <c r="J197" s="45" t="s">
        <v>1141</v>
      </c>
      <c r="K197" s="46" t="s">
        <v>1142</v>
      </c>
      <c r="L197" s="47" t="s">
        <v>2940</v>
      </c>
      <c r="M197" s="48" t="s">
        <v>2940</v>
      </c>
      <c r="N197" s="49"/>
      <c r="O197" s="50" t="s">
        <v>3183</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2031</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1143</v>
      </c>
      <c r="H199" s="43" t="s">
        <v>1144</v>
      </c>
      <c r="I199" s="44" t="s">
        <v>1145</v>
      </c>
      <c r="J199" s="45" t="s">
        <v>1593</v>
      </c>
      <c r="K199" s="46" t="s">
        <v>1594</v>
      </c>
      <c r="L199" s="47" t="s">
        <v>2941</v>
      </c>
      <c r="M199" s="48" t="s">
        <v>2942</v>
      </c>
      <c r="N199" s="49"/>
      <c r="O199" s="50" t="s">
        <v>3184</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1146</v>
      </c>
      <c r="H200" s="43" t="s">
        <v>1147</v>
      </c>
      <c r="I200" s="44" t="s">
        <v>1751</v>
      </c>
      <c r="J200" s="45" t="s">
        <v>1595</v>
      </c>
      <c r="K200" s="46" t="s">
        <v>1706</v>
      </c>
      <c r="L200" s="47" t="s">
        <v>2943</v>
      </c>
      <c r="M200" s="48" t="s">
        <v>2944</v>
      </c>
      <c r="N200" s="49"/>
      <c r="O200" s="50" t="s">
        <v>3185</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1148</v>
      </c>
      <c r="H201" s="43" t="s">
        <v>1149</v>
      </c>
      <c r="I201" s="44" t="s">
        <v>1649</v>
      </c>
      <c r="J201" s="45" t="s">
        <v>1596</v>
      </c>
      <c r="K201" s="46" t="s">
        <v>1707</v>
      </c>
      <c r="L201" s="47" t="s">
        <v>2945</v>
      </c>
      <c r="M201" s="48" t="s">
        <v>2946</v>
      </c>
      <c r="N201" s="49"/>
      <c r="O201" s="50" t="s">
        <v>3186</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1150</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1151</v>
      </c>
      <c r="H203" s="43" t="s">
        <v>1152</v>
      </c>
      <c r="I203" s="44" t="s">
        <v>1153</v>
      </c>
      <c r="J203" s="45" t="s">
        <v>1597</v>
      </c>
      <c r="K203" s="46" t="s">
        <v>1598</v>
      </c>
      <c r="L203" s="47" t="s">
        <v>2947</v>
      </c>
      <c r="M203" s="48" t="s">
        <v>2948</v>
      </c>
      <c r="N203" s="49"/>
      <c r="O203" s="50" t="s">
        <v>3187</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2524</v>
      </c>
      <c r="M204" s="48" t="s">
        <v>2525</v>
      </c>
      <c r="N204" s="49"/>
      <c r="O204" s="50" t="s">
        <v>3168</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1154</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862</v>
      </c>
      <c r="I206" s="44" t="s">
        <v>84</v>
      </c>
      <c r="J206" s="45" t="s">
        <v>85</v>
      </c>
      <c r="K206" s="46" t="s">
        <v>86</v>
      </c>
      <c r="L206" s="47" t="s">
        <v>2397</v>
      </c>
      <c r="M206" s="48" t="s">
        <v>2332</v>
      </c>
      <c r="N206" s="49"/>
      <c r="O206" s="50" t="s">
        <v>3161</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1155</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1156</v>
      </c>
      <c r="H208" s="43" t="s">
        <v>2136</v>
      </c>
      <c r="I208" s="44" t="s">
        <v>1650</v>
      </c>
      <c r="J208" s="45" t="s">
        <v>1157</v>
      </c>
      <c r="K208" s="46" t="s">
        <v>1158</v>
      </c>
      <c r="L208" s="47" t="s">
        <v>2950</v>
      </c>
      <c r="M208" s="48" t="s">
        <v>2949</v>
      </c>
      <c r="N208" s="49"/>
      <c r="O208" s="50" t="s">
        <v>3179</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2524</v>
      </c>
      <c r="M209" s="48" t="s">
        <v>2525</v>
      </c>
      <c r="N209" s="49"/>
      <c r="O209" s="50" t="s">
        <v>3168</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1159</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1599</v>
      </c>
      <c r="H211" s="43" t="s">
        <v>2137</v>
      </c>
      <c r="I211" s="44" t="s">
        <v>1651</v>
      </c>
      <c r="J211" s="45" t="s">
        <v>1160</v>
      </c>
      <c r="K211" s="46" t="s">
        <v>1161</v>
      </c>
      <c r="L211" s="47" t="s">
        <v>2951</v>
      </c>
      <c r="M211" s="48" t="s">
        <v>2952</v>
      </c>
      <c r="N211" s="49"/>
      <c r="O211" s="50" t="s">
        <v>3180</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2524</v>
      </c>
      <c r="M212" s="48" t="s">
        <v>2525</v>
      </c>
      <c r="N212" s="49"/>
      <c r="O212" s="50" t="s">
        <v>3168</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1162</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862</v>
      </c>
      <c r="I214" s="44" t="s">
        <v>84</v>
      </c>
      <c r="J214" s="45" t="s">
        <v>1090</v>
      </c>
      <c r="K214" s="46" t="s">
        <v>86</v>
      </c>
      <c r="L214" s="47" t="s">
        <v>2397</v>
      </c>
      <c r="M214" s="48" t="s">
        <v>2332</v>
      </c>
      <c r="N214" s="49"/>
      <c r="O214" s="50" t="s">
        <v>3161</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2032</v>
      </c>
      <c r="H215" s="43" t="s">
        <v>2033</v>
      </c>
      <c r="I215" s="44" t="s">
        <v>2034</v>
      </c>
      <c r="J215" s="45" t="s">
        <v>2035</v>
      </c>
      <c r="K215" s="46" t="s">
        <v>2036</v>
      </c>
      <c r="L215" s="47" t="s">
        <v>2991</v>
      </c>
      <c r="M215" s="48" t="s">
        <v>2958</v>
      </c>
      <c r="N215" s="49"/>
      <c r="O215" s="50" t="s">
        <v>3176</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2048</v>
      </c>
      <c r="H216" s="43" t="s">
        <v>2049</v>
      </c>
      <c r="I216" s="44" t="s">
        <v>2041</v>
      </c>
      <c r="J216" s="45" t="s">
        <v>2043</v>
      </c>
      <c r="K216" s="46" t="s">
        <v>2045</v>
      </c>
      <c r="L216" s="47" t="s">
        <v>2808</v>
      </c>
      <c r="M216" s="48" t="s">
        <v>2959</v>
      </c>
      <c r="N216" s="49"/>
      <c r="O216" s="50" t="s">
        <v>3172</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2038</v>
      </c>
      <c r="H217" s="43" t="s">
        <v>2040</v>
      </c>
      <c r="I217" s="44" t="s">
        <v>2042</v>
      </c>
      <c r="J217" s="45" t="s">
        <v>2044</v>
      </c>
      <c r="K217" s="46" t="s">
        <v>2046</v>
      </c>
      <c r="L217" s="47" t="s">
        <v>2953</v>
      </c>
      <c r="M217" s="48" t="s">
        <v>2960</v>
      </c>
      <c r="N217" s="49"/>
      <c r="O217" s="50" t="s">
        <v>3173</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1165</v>
      </c>
      <c r="H218" s="43" t="s">
        <v>1166</v>
      </c>
      <c r="I218" s="44" t="s">
        <v>1167</v>
      </c>
      <c r="J218" s="45" t="s">
        <v>1168</v>
      </c>
      <c r="K218" s="46" t="s">
        <v>1169</v>
      </c>
      <c r="L218" s="47" t="s">
        <v>2954</v>
      </c>
      <c r="M218" s="48" t="s">
        <v>2955</v>
      </c>
      <c r="N218" s="49"/>
      <c r="O218" s="50" t="s">
        <v>3174</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1170</v>
      </c>
      <c r="H219" s="43" t="s">
        <v>1171</v>
      </c>
      <c r="I219" s="44" t="s">
        <v>1172</v>
      </c>
      <c r="J219" s="45" t="s">
        <v>1708</v>
      </c>
      <c r="K219" s="46" t="s">
        <v>1173</v>
      </c>
      <c r="L219" s="47" t="s">
        <v>2962</v>
      </c>
      <c r="M219" s="48" t="s">
        <v>2961</v>
      </c>
      <c r="N219" s="49"/>
      <c r="O219" s="50" t="s">
        <v>3175</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1174</v>
      </c>
      <c r="H220" s="43" t="s">
        <v>2047</v>
      </c>
      <c r="I220" s="44" t="s">
        <v>1175</v>
      </c>
      <c r="J220" s="45" t="s">
        <v>1176</v>
      </c>
      <c r="K220" s="46" t="s">
        <v>1730</v>
      </c>
      <c r="L220" s="47" t="s">
        <v>2956</v>
      </c>
      <c r="M220" s="48" t="s">
        <v>2957</v>
      </c>
      <c r="N220" s="49"/>
      <c r="O220" s="50" t="s">
        <v>3177</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535</v>
      </c>
      <c r="H221" s="43" t="s">
        <v>536</v>
      </c>
      <c r="I221" s="44" t="s">
        <v>503</v>
      </c>
      <c r="J221" s="45" t="s">
        <v>504</v>
      </c>
      <c r="K221" s="46" t="s">
        <v>537</v>
      </c>
      <c r="L221" s="47" t="s">
        <v>2913</v>
      </c>
      <c r="M221" s="48" t="s">
        <v>2914</v>
      </c>
      <c r="N221" s="49"/>
      <c r="O221" s="50" t="s">
        <v>3178</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561</v>
      </c>
      <c r="H222" s="43" t="s">
        <v>26</v>
      </c>
      <c r="I222" s="44" t="s">
        <v>48</v>
      </c>
      <c r="J222" s="45" t="s">
        <v>54</v>
      </c>
      <c r="K222" s="46" t="s">
        <v>59</v>
      </c>
      <c r="L222" s="47" t="s">
        <v>2524</v>
      </c>
      <c r="M222" s="48" t="s">
        <v>2525</v>
      </c>
      <c r="N222" s="49"/>
      <c r="O222" s="50" t="s">
        <v>3168</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1177</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2397</v>
      </c>
      <c r="M224" s="48" t="s">
        <v>2332</v>
      </c>
      <c r="N224" s="49"/>
      <c r="O224" s="50" t="s">
        <v>3161</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1178</v>
      </c>
      <c r="H225" s="43" t="s">
        <v>1179</v>
      </c>
      <c r="I225" s="44" t="s">
        <v>1180</v>
      </c>
      <c r="J225" s="45" t="s">
        <v>1181</v>
      </c>
      <c r="K225" s="46" t="s">
        <v>1182</v>
      </c>
      <c r="L225" s="47"/>
      <c r="M225" s="48"/>
      <c r="N225" s="49"/>
      <c r="O225" s="50" t="s">
        <v>3169</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1183</v>
      </c>
      <c r="H226" s="43" t="s">
        <v>1184</v>
      </c>
      <c r="I226" s="44" t="s">
        <v>1185</v>
      </c>
      <c r="J226" s="45" t="s">
        <v>1186</v>
      </c>
      <c r="K226" s="46" t="s">
        <v>1187</v>
      </c>
      <c r="L226" s="47"/>
      <c r="M226" s="48"/>
      <c r="N226" s="49"/>
      <c r="O226" s="50" t="s">
        <v>3170</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535</v>
      </c>
      <c r="H227" s="43" t="s">
        <v>536</v>
      </c>
      <c r="I227" s="44" t="s">
        <v>503</v>
      </c>
      <c r="J227" s="45" t="s">
        <v>504</v>
      </c>
      <c r="K227" s="46" t="s">
        <v>537</v>
      </c>
      <c r="L227" s="47"/>
      <c r="M227" s="48"/>
      <c r="N227" s="49"/>
      <c r="O227" s="50" t="s">
        <v>3171</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2524</v>
      </c>
      <c r="M228" s="48" t="s">
        <v>2525</v>
      </c>
      <c r="N228" s="49"/>
      <c r="O228" s="50" t="s">
        <v>3168</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760</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1188</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2397</v>
      </c>
      <c r="M231" s="48" t="s">
        <v>2332</v>
      </c>
      <c r="N231" s="49"/>
      <c r="O231" s="50" t="s">
        <v>3161</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1189</v>
      </c>
      <c r="H232" s="43" t="s">
        <v>1190</v>
      </c>
      <c r="I232" s="44" t="s">
        <v>1652</v>
      </c>
      <c r="J232" s="45" t="s">
        <v>1191</v>
      </c>
      <c r="K232" s="46" t="s">
        <v>1192</v>
      </c>
      <c r="L232" s="47" t="s">
        <v>2963</v>
      </c>
      <c r="M232" s="48" t="s">
        <v>2964</v>
      </c>
      <c r="N232" s="49"/>
      <c r="O232" s="50" t="s">
        <v>3166</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1193</v>
      </c>
      <c r="H233" s="43" t="s">
        <v>1194</v>
      </c>
      <c r="I233" s="44" t="s">
        <v>1195</v>
      </c>
      <c r="J233" s="45" t="s">
        <v>1196</v>
      </c>
      <c r="K233" s="46" t="s">
        <v>1197</v>
      </c>
      <c r="L233" s="47" t="s">
        <v>2965</v>
      </c>
      <c r="M233" s="48" t="s">
        <v>2966</v>
      </c>
      <c r="N233" s="49"/>
      <c r="O233" s="50" t="s">
        <v>3167</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2524</v>
      </c>
      <c r="M234" s="48" t="s">
        <v>2525</v>
      </c>
      <c r="N234" s="49"/>
      <c r="O234" s="50" t="s">
        <v>3168</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1198</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851</v>
      </c>
      <c r="I236" s="44" t="s">
        <v>84</v>
      </c>
      <c r="J236" s="45" t="s">
        <v>85</v>
      </c>
      <c r="K236" s="46" t="s">
        <v>86</v>
      </c>
      <c r="L236" s="47" t="s">
        <v>2397</v>
      </c>
      <c r="M236" s="48" t="s">
        <v>2332</v>
      </c>
      <c r="N236" s="49"/>
      <c r="O236" s="50" t="s">
        <v>3161</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1199</v>
      </c>
      <c r="H237" s="43" t="s">
        <v>1200</v>
      </c>
      <c r="I237" s="44" t="s">
        <v>1654</v>
      </c>
      <c r="J237" s="45" t="s">
        <v>1201</v>
      </c>
      <c r="K237" s="46" t="s">
        <v>1202</v>
      </c>
      <c r="L237" s="47" t="s">
        <v>2967</v>
      </c>
      <c r="M237" s="48" t="s">
        <v>2968</v>
      </c>
      <c r="N237" s="49"/>
      <c r="O237" s="50" t="s">
        <v>3164</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1203</v>
      </c>
      <c r="H238" s="43" t="s">
        <v>1204</v>
      </c>
      <c r="I238" s="44" t="s">
        <v>1653</v>
      </c>
      <c r="J238" s="45" t="s">
        <v>1205</v>
      </c>
      <c r="K238" s="46" t="s">
        <v>1206</v>
      </c>
      <c r="L238" s="47" t="s">
        <v>2969</v>
      </c>
      <c r="M238" s="48" t="s">
        <v>2970</v>
      </c>
      <c r="N238" s="49"/>
      <c r="O238" s="50" t="s">
        <v>3165</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2524</v>
      </c>
      <c r="M239" s="48" t="s">
        <v>2525</v>
      </c>
      <c r="N239" s="49"/>
      <c r="O239" s="50" t="s">
        <v>3168</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3510</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3151</v>
      </c>
      <c r="L241" s="47" t="s">
        <v>3155</v>
      </c>
      <c r="M241" s="48" t="s">
        <v>3156</v>
      </c>
      <c r="N241" s="49"/>
      <c r="O241" s="50" t="s">
        <v>3161</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t="str">
        <f t="shared" si="15"/>
        <v/>
      </c>
      <c r="G242" s="42" t="s">
        <v>3146</v>
      </c>
      <c r="H242" s="43" t="s">
        <v>3518</v>
      </c>
      <c r="I242" s="44" t="s">
        <v>3149</v>
      </c>
      <c r="J242" s="45" t="s">
        <v>3154</v>
      </c>
      <c r="K242" s="46" t="s">
        <v>3152</v>
      </c>
      <c r="L242" s="47" t="s">
        <v>3158</v>
      </c>
      <c r="M242" s="48" t="s">
        <v>3157</v>
      </c>
      <c r="N242" s="49"/>
      <c r="O242" s="50" t="s">
        <v>3162</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3147</v>
      </c>
      <c r="H243" s="43" t="s">
        <v>3148</v>
      </c>
      <c r="I243" s="44" t="s">
        <v>3150</v>
      </c>
      <c r="J243" s="45" t="s">
        <v>54</v>
      </c>
      <c r="K243" s="46" t="s">
        <v>3153</v>
      </c>
      <c r="L243" s="47" t="s">
        <v>3159</v>
      </c>
      <c r="M243" s="48" t="s">
        <v>3160</v>
      </c>
      <c r="N243" s="49"/>
      <c r="O243" s="50" t="s">
        <v>3163</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2050</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1485</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1486</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1487</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1207</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1208</v>
      </c>
      <c r="K8" s="46" t="s">
        <v>86</v>
      </c>
      <c r="L8" s="47" t="s">
        <v>2397</v>
      </c>
      <c r="M8" s="48" t="s">
        <v>2332</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1209</v>
      </c>
      <c r="H9" s="43" t="s">
        <v>1210</v>
      </c>
      <c r="I9" s="44" t="s">
        <v>1211</v>
      </c>
      <c r="J9" s="45" t="s">
        <v>1212</v>
      </c>
      <c r="K9" s="46" t="s">
        <v>1213</v>
      </c>
      <c r="L9" s="47" t="s">
        <v>2992</v>
      </c>
      <c r="M9" s="48" t="s">
        <v>2971</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1214</v>
      </c>
      <c r="H10" s="43" t="s">
        <v>1215</v>
      </c>
      <c r="I10" s="44" t="s">
        <v>1216</v>
      </c>
      <c r="J10" s="45" t="s">
        <v>1217</v>
      </c>
      <c r="K10" s="46" t="s">
        <v>1218</v>
      </c>
      <c r="L10" s="47" t="s">
        <v>2972</v>
      </c>
      <c r="M10" s="48" t="s">
        <v>2973</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2051</v>
      </c>
      <c r="H11" s="43" t="s">
        <v>2052</v>
      </c>
      <c r="I11" s="44" t="s">
        <v>2053</v>
      </c>
      <c r="J11" s="45" t="s">
        <v>2054</v>
      </c>
      <c r="K11" s="46" t="s">
        <v>2055</v>
      </c>
      <c r="L11" s="47" t="s">
        <v>2993</v>
      </c>
      <c r="M11" s="48" t="s">
        <v>2994</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2056</v>
      </c>
      <c r="H12" s="43" t="s">
        <v>2059</v>
      </c>
      <c r="I12" s="44" t="s">
        <v>2062</v>
      </c>
      <c r="J12" s="45" t="s">
        <v>2065</v>
      </c>
      <c r="K12" s="46" t="s">
        <v>2068</v>
      </c>
      <c r="L12" s="47" t="s">
        <v>2995</v>
      </c>
      <c r="M12" s="48" t="s">
        <v>2996</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2057</v>
      </c>
      <c r="H13" s="43" t="s">
        <v>2060</v>
      </c>
      <c r="I13" s="44" t="s">
        <v>2063</v>
      </c>
      <c r="J13" s="45" t="s">
        <v>2066</v>
      </c>
      <c r="K13" s="46" t="s">
        <v>2069</v>
      </c>
      <c r="L13" s="47" t="s">
        <v>2974</v>
      </c>
      <c r="M13" s="48" t="s">
        <v>2975</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2058</v>
      </c>
      <c r="H14" s="43" t="s">
        <v>2061</v>
      </c>
      <c r="I14" s="44" t="s">
        <v>2064</v>
      </c>
      <c r="J14" s="45" t="s">
        <v>2067</v>
      </c>
      <c r="K14" s="46" t="s">
        <v>2070</v>
      </c>
      <c r="L14" s="47" t="s">
        <v>2976</v>
      </c>
      <c r="M14" s="48" t="s">
        <v>2977</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2071</v>
      </c>
      <c r="H15" s="43" t="s">
        <v>2072</v>
      </c>
      <c r="I15" s="44" t="s">
        <v>2073</v>
      </c>
      <c r="J15" s="45" t="s">
        <v>2074</v>
      </c>
      <c r="K15" s="46" t="s">
        <v>2075</v>
      </c>
      <c r="L15" s="47" t="s">
        <v>2997</v>
      </c>
      <c r="M15" s="48" t="s">
        <v>2978</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2076</v>
      </c>
      <c r="H16" s="43" t="s">
        <v>2077</v>
      </c>
      <c r="I16" s="44" t="s">
        <v>2078</v>
      </c>
      <c r="J16" s="45" t="s">
        <v>2079</v>
      </c>
      <c r="K16" s="46" t="s">
        <v>2080</v>
      </c>
      <c r="L16" s="47" t="s">
        <v>2998</v>
      </c>
      <c r="M16" s="48" t="s">
        <v>2999</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2081</v>
      </c>
      <c r="H17" s="43" t="s">
        <v>2082</v>
      </c>
      <c r="I17" s="44" t="s">
        <v>2083</v>
      </c>
      <c r="J17" s="45" t="s">
        <v>2084</v>
      </c>
      <c r="K17" s="46" t="s">
        <v>2085</v>
      </c>
      <c r="L17" s="47" t="s">
        <v>2979</v>
      </c>
      <c r="M17" s="48" t="s">
        <v>2980</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1237</v>
      </c>
      <c r="H18" s="43" t="s">
        <v>1238</v>
      </c>
      <c r="I18" s="44" t="s">
        <v>1236</v>
      </c>
      <c r="J18" s="45" t="s">
        <v>1239</v>
      </c>
      <c r="K18" s="46" t="s">
        <v>1559</v>
      </c>
      <c r="L18" s="47" t="s">
        <v>2981</v>
      </c>
      <c r="M18" s="48" t="s">
        <v>2982</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1222</v>
      </c>
      <c r="H19" s="43" t="s">
        <v>1223</v>
      </c>
      <c r="I19" s="44" t="s">
        <v>1224</v>
      </c>
      <c r="J19" s="45" t="s">
        <v>1225</v>
      </c>
      <c r="K19" s="46" t="s">
        <v>1560</v>
      </c>
      <c r="L19" s="47" t="s">
        <v>2983</v>
      </c>
      <c r="M19" s="48" t="s">
        <v>2984</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1226</v>
      </c>
      <c r="H20" s="43" t="s">
        <v>1227</v>
      </c>
      <c r="I20" s="44" t="s">
        <v>1228</v>
      </c>
      <c r="J20" s="45" t="s">
        <v>1229</v>
      </c>
      <c r="K20" s="46" t="s">
        <v>1230</v>
      </c>
      <c r="L20" s="47" t="s">
        <v>2985</v>
      </c>
      <c r="M20" s="48" t="s">
        <v>2986</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1231</v>
      </c>
      <c r="H21" s="43" t="s">
        <v>1232</v>
      </c>
      <c r="I21" s="44" t="s">
        <v>1655</v>
      </c>
      <c r="J21" s="45" t="s">
        <v>1561</v>
      </c>
      <c r="K21" s="46" t="s">
        <v>1562</v>
      </c>
      <c r="L21" s="47" t="s">
        <v>2987</v>
      </c>
      <c r="M21" s="48" t="s">
        <v>2988</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1233</v>
      </c>
      <c r="H22" s="43" t="s">
        <v>1234</v>
      </c>
      <c r="I22" s="44" t="s">
        <v>1656</v>
      </c>
      <c r="J22" s="45" t="s">
        <v>1563</v>
      </c>
      <c r="K22" s="46" t="s">
        <v>1235</v>
      </c>
      <c r="L22" s="47" t="s">
        <v>2989</v>
      </c>
      <c r="M22" s="48" t="s">
        <v>2990</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1483</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1484</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1240</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1241</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1208</v>
      </c>
      <c r="K27" s="46" t="s">
        <v>86</v>
      </c>
      <c r="L27" s="47" t="s">
        <v>2397</v>
      </c>
      <c r="M27" s="48" t="s">
        <v>2332</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2086</v>
      </c>
      <c r="H28" s="43" t="s">
        <v>2087</v>
      </c>
      <c r="I28" s="44" t="s">
        <v>2088</v>
      </c>
      <c r="J28" s="45" t="s">
        <v>2089</v>
      </c>
      <c r="K28" s="46" t="s">
        <v>2090</v>
      </c>
      <c r="L28" s="47" t="s">
        <v>3000</v>
      </c>
      <c r="M28" s="48" t="s">
        <v>3001</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2091</v>
      </c>
      <c r="H29" s="43" t="s">
        <v>2092</v>
      </c>
      <c r="I29" s="44" t="s">
        <v>2093</v>
      </c>
      <c r="J29" s="45" t="s">
        <v>2094</v>
      </c>
      <c r="K29" s="46" t="s">
        <v>2095</v>
      </c>
      <c r="L29" s="47" t="s">
        <v>3002</v>
      </c>
      <c r="M29" s="48" t="s">
        <v>3003</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2096</v>
      </c>
      <c r="H30" s="43" t="s">
        <v>2097</v>
      </c>
      <c r="I30" s="44" t="s">
        <v>2098</v>
      </c>
      <c r="J30" s="45" t="s">
        <v>2099</v>
      </c>
      <c r="K30" s="46" t="s">
        <v>2100</v>
      </c>
      <c r="L30" s="47" t="s">
        <v>3004</v>
      </c>
      <c r="M30" s="48" t="s">
        <v>3005</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1242</v>
      </c>
      <c r="H31" s="43" t="s">
        <v>1243</v>
      </c>
      <c r="I31" s="44" t="s">
        <v>1657</v>
      </c>
      <c r="J31" s="45" t="s">
        <v>1244</v>
      </c>
      <c r="K31" s="46" t="s">
        <v>1245</v>
      </c>
      <c r="L31" s="47" t="s">
        <v>3006</v>
      </c>
      <c r="M31" s="48" t="s">
        <v>3007</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1246</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1247</v>
      </c>
      <c r="H33" s="43" t="s">
        <v>1248</v>
      </c>
      <c r="I33" s="44" t="s">
        <v>1658</v>
      </c>
      <c r="J33" s="45" t="s">
        <v>1564</v>
      </c>
      <c r="K33" s="46" t="s">
        <v>1249</v>
      </c>
      <c r="L33" s="47" t="s">
        <v>3008</v>
      </c>
      <c r="M33" s="48" t="s">
        <v>3009</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1250</v>
      </c>
      <c r="H34" s="43" t="s">
        <v>1251</v>
      </c>
      <c r="I34" s="44" t="s">
        <v>1659</v>
      </c>
      <c r="J34" s="45" t="s">
        <v>1252</v>
      </c>
      <c r="K34" s="46" t="s">
        <v>1253</v>
      </c>
      <c r="L34" s="47" t="s">
        <v>3010</v>
      </c>
      <c r="M34" s="48" t="s">
        <v>3011</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1254</v>
      </c>
      <c r="H35" s="43" t="s">
        <v>1255</v>
      </c>
      <c r="I35" s="44" t="s">
        <v>1660</v>
      </c>
      <c r="J35" s="45" t="s">
        <v>1565</v>
      </c>
      <c r="K35" s="46" t="s">
        <v>1256</v>
      </c>
      <c r="L35" s="47" t="s">
        <v>3012</v>
      </c>
      <c r="M35" s="48" t="s">
        <v>3013</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2321</v>
      </c>
      <c r="H36" s="43" t="s">
        <v>2322</v>
      </c>
      <c r="I36" s="44" t="s">
        <v>2323</v>
      </c>
      <c r="J36" s="45" t="s">
        <v>2324</v>
      </c>
      <c r="K36" s="46" t="s">
        <v>2325</v>
      </c>
      <c r="L36" s="47" t="s">
        <v>3021</v>
      </c>
      <c r="M36" s="48" t="s">
        <v>3022</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1257</v>
      </c>
      <c r="H37" s="43" t="s">
        <v>1258</v>
      </c>
      <c r="I37" s="44" t="s">
        <v>2305</v>
      </c>
      <c r="J37" s="45" t="s">
        <v>1766</v>
      </c>
      <c r="K37" s="46" t="s">
        <v>1259</v>
      </c>
      <c r="L37" s="47" t="s">
        <v>3014</v>
      </c>
      <c r="M37" s="48" t="s">
        <v>3015</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1260</v>
      </c>
      <c r="H38" s="43" t="s">
        <v>1261</v>
      </c>
      <c r="I38" s="44" t="s">
        <v>1661</v>
      </c>
      <c r="J38" s="45" t="s">
        <v>1566</v>
      </c>
      <c r="K38" s="46" t="s">
        <v>1262</v>
      </c>
      <c r="L38" s="47" t="s">
        <v>3023</v>
      </c>
      <c r="M38" s="48" t="s">
        <v>3016</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1263</v>
      </c>
      <c r="H39" s="43" t="s">
        <v>1264</v>
      </c>
      <c r="I39" s="44" t="s">
        <v>1662</v>
      </c>
      <c r="J39" s="45" t="s">
        <v>1567</v>
      </c>
      <c r="K39" s="46" t="s">
        <v>1265</v>
      </c>
      <c r="L39" s="47" t="s">
        <v>3017</v>
      </c>
      <c r="M39" s="48" t="s">
        <v>3018</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1266</v>
      </c>
      <c r="H40" s="43" t="s">
        <v>1267</v>
      </c>
      <c r="I40" s="44" t="s">
        <v>1663</v>
      </c>
      <c r="J40" s="45" t="s">
        <v>1268</v>
      </c>
      <c r="K40" s="46" t="s">
        <v>1269</v>
      </c>
      <c r="L40" s="47" t="s">
        <v>3019</v>
      </c>
      <c r="M40" s="48" t="s">
        <v>3020</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2101</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1270</v>
      </c>
      <c r="H43" s="43" t="s">
        <v>1271</v>
      </c>
      <c r="I43" s="44" t="s">
        <v>1305</v>
      </c>
      <c r="J43" s="45" t="s">
        <v>1273</v>
      </c>
      <c r="K43" s="46" t="s">
        <v>1274</v>
      </c>
      <c r="L43" s="47" t="s">
        <v>3024</v>
      </c>
      <c r="M43" s="48" t="s">
        <v>3025</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1275</v>
      </c>
      <c r="H44" s="43" t="s">
        <v>1276</v>
      </c>
      <c r="I44" s="44" t="s">
        <v>1277</v>
      </c>
      <c r="J44" s="45" t="s">
        <v>1278</v>
      </c>
      <c r="K44" s="46" t="s">
        <v>1279</v>
      </c>
      <c r="L44" s="47" t="s">
        <v>3026</v>
      </c>
      <c r="M44" s="48" t="s">
        <v>3027</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1280</v>
      </c>
      <c r="I45" s="44" t="s">
        <v>185</v>
      </c>
      <c r="J45" s="45" t="s">
        <v>1281</v>
      </c>
      <c r="K45" s="46" t="s">
        <v>1282</v>
      </c>
      <c r="L45" s="47" t="s">
        <v>3028</v>
      </c>
      <c r="M45" s="48" t="s">
        <v>3029</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1283</v>
      </c>
      <c r="J46" s="45" t="s">
        <v>1284</v>
      </c>
      <c r="K46" s="46" t="s">
        <v>128</v>
      </c>
      <c r="L46" s="47" t="s">
        <v>2406</v>
      </c>
      <c r="M46" s="48" t="s">
        <v>2407</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1285</v>
      </c>
      <c r="H47" s="43" t="s">
        <v>2150</v>
      </c>
      <c r="I47" s="44" t="s">
        <v>1752</v>
      </c>
      <c r="J47" s="45" t="s">
        <v>2271</v>
      </c>
      <c r="K47" s="46" t="s">
        <v>1286</v>
      </c>
      <c r="L47" s="47" t="s">
        <v>3030</v>
      </c>
      <c r="M47" s="48" t="s">
        <v>3031</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1287</v>
      </c>
      <c r="H48" s="43" t="s">
        <v>1288</v>
      </c>
      <c r="I48" s="44" t="s">
        <v>1289</v>
      </c>
      <c r="J48" s="45" t="s">
        <v>1290</v>
      </c>
      <c r="K48" s="46" t="s">
        <v>1291</v>
      </c>
      <c r="L48" s="47" t="s">
        <v>3032</v>
      </c>
      <c r="M48" s="48" t="s">
        <v>3033</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1292</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1293</v>
      </c>
      <c r="H50" s="43" t="s">
        <v>1294</v>
      </c>
      <c r="I50" s="44" t="s">
        <v>1664</v>
      </c>
      <c r="J50" s="45" t="s">
        <v>1295</v>
      </c>
      <c r="K50" s="46" t="s">
        <v>1296</v>
      </c>
      <c r="L50" s="47" t="s">
        <v>3034</v>
      </c>
      <c r="M50" s="48" t="s">
        <v>3035</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1297</v>
      </c>
      <c r="H51" s="43" t="s">
        <v>1298</v>
      </c>
      <c r="I51" s="44" t="s">
        <v>1670</v>
      </c>
      <c r="J51" s="45" t="s">
        <v>1568</v>
      </c>
      <c r="K51" s="46" t="s">
        <v>1299</v>
      </c>
      <c r="L51" s="47" t="s">
        <v>3036</v>
      </c>
      <c r="M51" s="48" t="s">
        <v>3037</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1300</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1301</v>
      </c>
      <c r="H53" s="43" t="s">
        <v>1302</v>
      </c>
      <c r="I53" s="44" t="s">
        <v>1665</v>
      </c>
      <c r="J53" s="45" t="s">
        <v>1586</v>
      </c>
      <c r="K53" s="46" t="s">
        <v>1303</v>
      </c>
      <c r="L53" s="47" t="s">
        <v>3038</v>
      </c>
      <c r="M53" s="48" t="s">
        <v>3039</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1304</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1270</v>
      </c>
      <c r="H55" s="43" t="s">
        <v>1271</v>
      </c>
      <c r="I55" s="44" t="s">
        <v>1305</v>
      </c>
      <c r="J55" s="45" t="s">
        <v>1273</v>
      </c>
      <c r="K55" s="46" t="s">
        <v>1306</v>
      </c>
      <c r="L55" s="47" t="s">
        <v>3024</v>
      </c>
      <c r="M55" s="48" t="s">
        <v>3025</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1307</v>
      </c>
      <c r="H56" s="43" t="s">
        <v>1276</v>
      </c>
      <c r="I56" s="44" t="s">
        <v>1308</v>
      </c>
      <c r="J56" s="45" t="s">
        <v>1278</v>
      </c>
      <c r="K56" s="46" t="s">
        <v>1309</v>
      </c>
      <c r="L56" s="47" t="s">
        <v>3026</v>
      </c>
      <c r="M56" s="48" t="s">
        <v>3027</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1310</v>
      </c>
      <c r="J57" s="45" t="s">
        <v>1311</v>
      </c>
      <c r="K57" s="46" t="s">
        <v>1312</v>
      </c>
      <c r="L57" s="47" t="s">
        <v>3028</v>
      </c>
      <c r="M57" s="48" t="s">
        <v>3029</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1313</v>
      </c>
      <c r="H58" s="43" t="s">
        <v>1314</v>
      </c>
      <c r="I58" s="44" t="s">
        <v>1315</v>
      </c>
      <c r="J58" s="45" t="s">
        <v>1316</v>
      </c>
      <c r="K58" s="46" t="s">
        <v>1317</v>
      </c>
      <c r="L58" s="47" t="s">
        <v>3040</v>
      </c>
      <c r="M58" s="48" t="s">
        <v>3041</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1318</v>
      </c>
      <c r="J59" s="45" t="s">
        <v>1284</v>
      </c>
      <c r="K59" s="46" t="s">
        <v>198</v>
      </c>
      <c r="L59" s="47" t="s">
        <v>2406</v>
      </c>
      <c r="M59" s="48" t="s">
        <v>2407</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1285</v>
      </c>
      <c r="H60" s="43" t="s">
        <v>2150</v>
      </c>
      <c r="I60" s="44" t="s">
        <v>1753</v>
      </c>
      <c r="J60" s="45" t="s">
        <v>1569</v>
      </c>
      <c r="K60" s="46" t="s">
        <v>1286</v>
      </c>
      <c r="L60" s="47" t="s">
        <v>3030</v>
      </c>
      <c r="M60" s="48" t="s">
        <v>3031</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1319</v>
      </c>
      <c r="H61" s="43" t="s">
        <v>1288</v>
      </c>
      <c r="I61" s="44" t="s">
        <v>1666</v>
      </c>
      <c r="J61" s="45" t="s">
        <v>1320</v>
      </c>
      <c r="K61" s="46" t="s">
        <v>1321</v>
      </c>
      <c r="L61" s="47" t="s">
        <v>3032</v>
      </c>
      <c r="M61" s="48" t="s">
        <v>3033</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1322</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1293</v>
      </c>
      <c r="H63" s="43" t="s">
        <v>1294</v>
      </c>
      <c r="I63" s="44" t="s">
        <v>1667</v>
      </c>
      <c r="J63" s="45" t="s">
        <v>1295</v>
      </c>
      <c r="K63" s="46" t="s">
        <v>1296</v>
      </c>
      <c r="L63" s="47" t="s">
        <v>3034</v>
      </c>
      <c r="M63" s="48" t="s">
        <v>3035</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1297</v>
      </c>
      <c r="H64" s="43" t="s">
        <v>1323</v>
      </c>
      <c r="I64" s="44" t="s">
        <v>1668</v>
      </c>
      <c r="J64" s="45" t="s">
        <v>1570</v>
      </c>
      <c r="K64" s="46" t="s">
        <v>1299</v>
      </c>
      <c r="L64" s="47" t="s">
        <v>3036</v>
      </c>
      <c r="M64" s="48" t="s">
        <v>3037</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1324</v>
      </c>
      <c r="H65" s="43" t="s">
        <v>2272</v>
      </c>
      <c r="I65" s="44" t="s">
        <v>1754</v>
      </c>
      <c r="J65" s="45" t="s">
        <v>1325</v>
      </c>
      <c r="K65" s="46" t="s">
        <v>1326</v>
      </c>
      <c r="L65" s="47" t="s">
        <v>3042</v>
      </c>
      <c r="M65" s="48" t="s">
        <v>3043</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1327</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1328</v>
      </c>
      <c r="H67" s="43" t="s">
        <v>1329</v>
      </c>
      <c r="I67" s="44" t="s">
        <v>1669</v>
      </c>
      <c r="J67" s="45" t="s">
        <v>1330</v>
      </c>
      <c r="K67" s="46" t="s">
        <v>1331</v>
      </c>
      <c r="L67" s="47" t="s">
        <v>3044</v>
      </c>
      <c r="M67" s="48" t="s">
        <v>3045</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1297</v>
      </c>
      <c r="H68" s="43" t="s">
        <v>1323</v>
      </c>
      <c r="I68" s="44" t="s">
        <v>1670</v>
      </c>
      <c r="J68" s="45" t="s">
        <v>1571</v>
      </c>
      <c r="K68" s="46" t="s">
        <v>1299</v>
      </c>
      <c r="L68" s="47" t="s">
        <v>3046</v>
      </c>
      <c r="M68" s="48" t="s">
        <v>3037</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1332</v>
      </c>
      <c r="H69" s="43" t="s">
        <v>2273</v>
      </c>
      <c r="I69" s="44" t="s">
        <v>1755</v>
      </c>
      <c r="J69" s="45" t="s">
        <v>1333</v>
      </c>
      <c r="K69" s="46" t="s">
        <v>1334</v>
      </c>
      <c r="L69" s="47" t="s">
        <v>3036</v>
      </c>
      <c r="M69" s="48" t="s">
        <v>3047</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1335</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1301</v>
      </c>
      <c r="H71" s="43" t="s">
        <v>1302</v>
      </c>
      <c r="I71" s="44" t="s">
        <v>1671</v>
      </c>
      <c r="J71" s="45" t="s">
        <v>1336</v>
      </c>
      <c r="K71" s="46" t="s">
        <v>1303</v>
      </c>
      <c r="L71" s="47" t="s">
        <v>3048</v>
      </c>
      <c r="M71" s="48" t="s">
        <v>3049</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1337</v>
      </c>
      <c r="H72" s="43" t="s">
        <v>2126</v>
      </c>
      <c r="I72" s="44" t="s">
        <v>1756</v>
      </c>
      <c r="J72" s="45" t="s">
        <v>1338</v>
      </c>
      <c r="K72" s="46" t="s">
        <v>1339</v>
      </c>
      <c r="L72" s="47" t="s">
        <v>3050</v>
      </c>
      <c r="M72" s="48" t="s">
        <v>3051</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1340</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1270</v>
      </c>
      <c r="H74" s="43" t="s">
        <v>1271</v>
      </c>
      <c r="I74" s="44" t="s">
        <v>1272</v>
      </c>
      <c r="J74" s="45" t="s">
        <v>1273</v>
      </c>
      <c r="K74" s="46" t="s">
        <v>1274</v>
      </c>
      <c r="L74" s="47" t="s">
        <v>3024</v>
      </c>
      <c r="M74" s="48" t="s">
        <v>3025</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1307</v>
      </c>
      <c r="H75" s="43" t="s">
        <v>1276</v>
      </c>
      <c r="I75" s="44" t="s">
        <v>1308</v>
      </c>
      <c r="J75" s="45" t="s">
        <v>1341</v>
      </c>
      <c r="K75" s="46" t="s">
        <v>1309</v>
      </c>
      <c r="L75" s="47" t="s">
        <v>3026</v>
      </c>
      <c r="M75" s="48" t="s">
        <v>3027</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1310</v>
      </c>
      <c r="J76" s="45" t="s">
        <v>1311</v>
      </c>
      <c r="K76" s="46" t="s">
        <v>1342</v>
      </c>
      <c r="L76" s="47" t="s">
        <v>2404</v>
      </c>
      <c r="M76" s="48" t="s">
        <v>2418</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1343</v>
      </c>
      <c r="J77" s="45" t="s">
        <v>1344</v>
      </c>
      <c r="K77" s="46" t="s">
        <v>1345</v>
      </c>
      <c r="L77" s="47" t="s">
        <v>2436</v>
      </c>
      <c r="M77" s="48" t="s">
        <v>2437</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1346</v>
      </c>
      <c r="J78" s="45" t="s">
        <v>1347</v>
      </c>
      <c r="K78" s="46" t="s">
        <v>1348</v>
      </c>
      <c r="L78" s="47" t="s">
        <v>2440</v>
      </c>
      <c r="M78" s="48" t="s">
        <v>2420</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1318</v>
      </c>
      <c r="J79" s="45" t="s">
        <v>1284</v>
      </c>
      <c r="K79" s="46" t="s">
        <v>198</v>
      </c>
      <c r="L79" s="47" t="s">
        <v>2421</v>
      </c>
      <c r="M79" s="48" t="s">
        <v>2422</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1285</v>
      </c>
      <c r="H80" s="43" t="s">
        <v>2150</v>
      </c>
      <c r="I80" s="44" t="s">
        <v>1757</v>
      </c>
      <c r="J80" s="45" t="s">
        <v>1569</v>
      </c>
      <c r="K80" s="46" t="s">
        <v>1349</v>
      </c>
      <c r="L80" s="47" t="s">
        <v>3052</v>
      </c>
      <c r="M80" s="48" t="s">
        <v>3053</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1319</v>
      </c>
      <c r="H81" s="43" t="s">
        <v>1288</v>
      </c>
      <c r="I81" s="44" t="s">
        <v>1672</v>
      </c>
      <c r="J81" s="45" t="s">
        <v>1320</v>
      </c>
      <c r="K81" s="46" t="s">
        <v>1321</v>
      </c>
      <c r="L81" s="47" t="s">
        <v>3054</v>
      </c>
      <c r="M81" s="48" t="s">
        <v>3055</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1350</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1293</v>
      </c>
      <c r="H83" s="43" t="s">
        <v>1294</v>
      </c>
      <c r="I83" s="44" t="s">
        <v>1667</v>
      </c>
      <c r="J83" s="45" t="s">
        <v>1295</v>
      </c>
      <c r="K83" s="46" t="s">
        <v>1296</v>
      </c>
      <c r="L83" s="47" t="s">
        <v>3034</v>
      </c>
      <c r="M83" s="48" t="s">
        <v>3035</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1297</v>
      </c>
      <c r="H84" s="43" t="s">
        <v>1351</v>
      </c>
      <c r="I84" s="44" t="s">
        <v>1668</v>
      </c>
      <c r="J84" s="45" t="s">
        <v>1572</v>
      </c>
      <c r="K84" s="46" t="s">
        <v>1299</v>
      </c>
      <c r="L84" s="47" t="s">
        <v>3046</v>
      </c>
      <c r="M84" s="48" t="s">
        <v>3037</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1352</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1353</v>
      </c>
      <c r="H86" s="43" t="s">
        <v>1302</v>
      </c>
      <c r="I86" s="44" t="s">
        <v>1673</v>
      </c>
      <c r="J86" s="45" t="s">
        <v>1354</v>
      </c>
      <c r="K86" s="46" t="s">
        <v>1303</v>
      </c>
      <c r="L86" s="47" t="s">
        <v>3048</v>
      </c>
      <c r="M86" s="48" t="s">
        <v>3049</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1355</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1356</v>
      </c>
      <c r="H88" s="43" t="s">
        <v>1357</v>
      </c>
      <c r="I88" s="44" t="s">
        <v>1674</v>
      </c>
      <c r="J88" s="45" t="s">
        <v>1358</v>
      </c>
      <c r="K88" s="46" t="s">
        <v>1359</v>
      </c>
      <c r="L88" s="47" t="s">
        <v>3056</v>
      </c>
      <c r="M88" s="48" t="s">
        <v>3057</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1360</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1361</v>
      </c>
      <c r="H90" s="43" t="s">
        <v>1362</v>
      </c>
      <c r="I90" s="44" t="s">
        <v>1675</v>
      </c>
      <c r="J90" s="45" t="s">
        <v>1573</v>
      </c>
      <c r="K90" s="46" t="s">
        <v>1363</v>
      </c>
      <c r="L90" s="47" t="s">
        <v>3058</v>
      </c>
      <c r="M90" s="48" t="s">
        <v>3059</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1789</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1270</v>
      </c>
      <c r="H92" s="43" t="s">
        <v>1271</v>
      </c>
      <c r="I92" s="44" t="s">
        <v>1305</v>
      </c>
      <c r="J92" s="45" t="s">
        <v>1273</v>
      </c>
      <c r="K92" s="46" t="s">
        <v>1274</v>
      </c>
      <c r="L92" s="47" t="s">
        <v>3024</v>
      </c>
      <c r="M92" s="48" t="s">
        <v>3025</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1307</v>
      </c>
      <c r="H93" s="43" t="s">
        <v>1276</v>
      </c>
      <c r="I93" s="44" t="s">
        <v>1364</v>
      </c>
      <c r="J93" s="45" t="s">
        <v>1365</v>
      </c>
      <c r="K93" s="46" t="s">
        <v>1279</v>
      </c>
      <c r="L93" s="47" t="s">
        <v>3026</v>
      </c>
      <c r="M93" s="48" t="s">
        <v>3027</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1366</v>
      </c>
      <c r="H94" s="43" t="s">
        <v>235</v>
      </c>
      <c r="I94" s="44" t="s">
        <v>1367</v>
      </c>
      <c r="J94" s="45" t="s">
        <v>1368</v>
      </c>
      <c r="K94" s="46" t="s">
        <v>1369</v>
      </c>
      <c r="L94" s="47" t="s">
        <v>2448</v>
      </c>
      <c r="M94" s="48" t="s">
        <v>2449</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1574</v>
      </c>
      <c r="H95" s="43" t="s">
        <v>1370</v>
      </c>
      <c r="I95" s="44" t="s">
        <v>1371</v>
      </c>
      <c r="J95" s="45" t="s">
        <v>1372</v>
      </c>
      <c r="K95" s="46" t="s">
        <v>1373</v>
      </c>
      <c r="L95" s="47" t="s">
        <v>2450</v>
      </c>
      <c r="M95" s="48" t="s">
        <v>2451</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1374</v>
      </c>
      <c r="H96" s="43" t="s">
        <v>244</v>
      </c>
      <c r="I96" s="44" t="s">
        <v>245</v>
      </c>
      <c r="J96" s="45" t="s">
        <v>1375</v>
      </c>
      <c r="K96" s="46" t="s">
        <v>247</v>
      </c>
      <c r="L96" s="47" t="s">
        <v>2452</v>
      </c>
      <c r="M96" s="48" t="s">
        <v>2453</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1285</v>
      </c>
      <c r="H97" s="43" t="s">
        <v>2150</v>
      </c>
      <c r="I97" s="44" t="s">
        <v>1752</v>
      </c>
      <c r="J97" s="45" t="s">
        <v>1376</v>
      </c>
      <c r="K97" s="46" t="s">
        <v>1349</v>
      </c>
      <c r="L97" s="47" t="s">
        <v>3052</v>
      </c>
      <c r="M97" s="48" t="s">
        <v>3053</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1377</v>
      </c>
      <c r="H98" s="43" t="s">
        <v>1288</v>
      </c>
      <c r="I98" s="44" t="s">
        <v>1378</v>
      </c>
      <c r="J98" s="45" t="s">
        <v>1320</v>
      </c>
      <c r="K98" s="46" t="s">
        <v>1321</v>
      </c>
      <c r="L98" s="47" t="s">
        <v>3054</v>
      </c>
      <c r="M98" s="48" t="s">
        <v>3055</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1292</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1293</v>
      </c>
      <c r="H100" s="43" t="s">
        <v>1294</v>
      </c>
      <c r="I100" s="44" t="s">
        <v>1667</v>
      </c>
      <c r="J100" s="45" t="s">
        <v>1295</v>
      </c>
      <c r="K100" s="46" t="s">
        <v>1296</v>
      </c>
      <c r="L100" s="47" t="s">
        <v>3034</v>
      </c>
      <c r="M100" s="48" t="s">
        <v>3035</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1297</v>
      </c>
      <c r="H101" s="43" t="s">
        <v>1351</v>
      </c>
      <c r="I101" s="44" t="s">
        <v>1668</v>
      </c>
      <c r="J101" s="45" t="s">
        <v>1379</v>
      </c>
      <c r="K101" s="46" t="s">
        <v>1299</v>
      </c>
      <c r="L101" s="47" t="s">
        <v>3046</v>
      </c>
      <c r="M101" s="48" t="s">
        <v>3037</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1300</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1380</v>
      </c>
      <c r="H103" s="43" t="s">
        <v>1381</v>
      </c>
      <c r="I103" s="44" t="s">
        <v>1676</v>
      </c>
      <c r="J103" s="45" t="s">
        <v>1382</v>
      </c>
      <c r="K103" s="46" t="s">
        <v>1383</v>
      </c>
      <c r="L103" s="47" t="s">
        <v>3060</v>
      </c>
      <c r="M103" s="48" t="s">
        <v>3061</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1384</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1385</v>
      </c>
      <c r="I105" s="44" t="s">
        <v>1677</v>
      </c>
      <c r="J105" s="45" t="s">
        <v>1386</v>
      </c>
      <c r="K105" s="46" t="s">
        <v>1387</v>
      </c>
      <c r="L105" s="47" t="s">
        <v>2472</v>
      </c>
      <c r="M105" s="48" t="s">
        <v>2473</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1388</v>
      </c>
      <c r="H106" s="43" t="s">
        <v>1389</v>
      </c>
      <c r="I106" s="44" t="s">
        <v>1678</v>
      </c>
      <c r="J106" s="45" t="s">
        <v>1390</v>
      </c>
      <c r="K106" s="46" t="s">
        <v>1391</v>
      </c>
      <c r="L106" s="47" t="s">
        <v>3062</v>
      </c>
      <c r="M106" s="48" t="s">
        <v>3063</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1392</v>
      </c>
      <c r="H107" s="43" t="s">
        <v>1393</v>
      </c>
      <c r="I107" s="44" t="s">
        <v>1679</v>
      </c>
      <c r="J107" s="45" t="s">
        <v>1394</v>
      </c>
      <c r="K107" s="46" t="s">
        <v>1395</v>
      </c>
      <c r="L107" s="47" t="s">
        <v>3064</v>
      </c>
      <c r="M107" s="48" t="s">
        <v>3065</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1396</v>
      </c>
      <c r="H108" s="43" t="s">
        <v>1397</v>
      </c>
      <c r="I108" s="44" t="s">
        <v>1758</v>
      </c>
      <c r="J108" s="45" t="s">
        <v>1575</v>
      </c>
      <c r="K108" s="46" t="s">
        <v>1398</v>
      </c>
      <c r="L108" s="47" t="s">
        <v>3066</v>
      </c>
      <c r="M108" s="48" t="s">
        <v>3067</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1399</v>
      </c>
      <c r="H109" s="43" t="s">
        <v>1400</v>
      </c>
      <c r="I109" s="44" t="s">
        <v>1401</v>
      </c>
      <c r="J109" s="45" t="s">
        <v>1402</v>
      </c>
      <c r="K109" s="46" t="s">
        <v>1403</v>
      </c>
      <c r="L109" s="47" t="s">
        <v>3068</v>
      </c>
      <c r="M109" s="48" t="s">
        <v>3069</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1404</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1405</v>
      </c>
      <c r="H111" s="43" t="s">
        <v>1406</v>
      </c>
      <c r="I111" s="44" t="s">
        <v>1680</v>
      </c>
      <c r="J111" s="45" t="s">
        <v>1407</v>
      </c>
      <c r="K111" s="46" t="s">
        <v>1408</v>
      </c>
      <c r="L111" s="47" t="s">
        <v>3070</v>
      </c>
      <c r="M111" s="48" t="s">
        <v>3071</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1399</v>
      </c>
      <c r="H112" s="43" t="s">
        <v>1400</v>
      </c>
      <c r="I112" s="44" t="s">
        <v>1401</v>
      </c>
      <c r="J112" s="45" t="s">
        <v>1402</v>
      </c>
      <c r="K112" s="46" t="s">
        <v>1403</v>
      </c>
      <c r="L112" s="47" t="s">
        <v>3068</v>
      </c>
      <c r="M112" s="48" t="s">
        <v>3069</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1409</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1410</v>
      </c>
      <c r="H114" s="43" t="s">
        <v>1411</v>
      </c>
      <c r="I114" s="44" t="s">
        <v>1759</v>
      </c>
      <c r="J114" s="45" t="s">
        <v>1412</v>
      </c>
      <c r="K114" s="46" t="s">
        <v>1413</v>
      </c>
      <c r="L114" s="47" t="s">
        <v>3072</v>
      </c>
      <c r="M114" s="48" t="s">
        <v>3073</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1414</v>
      </c>
      <c r="H115" s="43" t="s">
        <v>2127</v>
      </c>
      <c r="I115" s="44" t="s">
        <v>1681</v>
      </c>
      <c r="J115" s="45" t="s">
        <v>1415</v>
      </c>
      <c r="K115" s="46" t="s">
        <v>1416</v>
      </c>
      <c r="L115" s="47" t="s">
        <v>3074</v>
      </c>
      <c r="M115" s="48" t="s">
        <v>3075</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1417</v>
      </c>
      <c r="H116" s="43" t="s">
        <v>1418</v>
      </c>
      <c r="I116" s="44" t="s">
        <v>1419</v>
      </c>
      <c r="J116" s="45" t="s">
        <v>1420</v>
      </c>
      <c r="K116" s="46" t="s">
        <v>1421</v>
      </c>
      <c r="L116" s="47" t="s">
        <v>3076</v>
      </c>
      <c r="M116" s="48" t="s">
        <v>3077</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1422</v>
      </c>
      <c r="H117" s="43" t="s">
        <v>1423</v>
      </c>
      <c r="I117" s="44" t="s">
        <v>1682</v>
      </c>
      <c r="J117" s="45" t="s">
        <v>1576</v>
      </c>
      <c r="K117" s="46" t="s">
        <v>1424</v>
      </c>
      <c r="L117" s="47" t="s">
        <v>3078</v>
      </c>
      <c r="M117" s="48" t="s">
        <v>3079</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1425</v>
      </c>
      <c r="H118" s="43" t="s">
        <v>1426</v>
      </c>
      <c r="I118" s="44" t="s">
        <v>1683</v>
      </c>
      <c r="J118" s="45" t="s">
        <v>1427</v>
      </c>
      <c r="K118" s="46" t="s">
        <v>1428</v>
      </c>
      <c r="L118" s="47" t="s">
        <v>3080</v>
      </c>
      <c r="M118" s="48" t="s">
        <v>3081</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1429</v>
      </c>
      <c r="H119" s="43" t="s">
        <v>1430</v>
      </c>
      <c r="I119" s="44" t="s">
        <v>1684</v>
      </c>
      <c r="J119" s="45" t="s">
        <v>1431</v>
      </c>
      <c r="K119" s="46" t="s">
        <v>1432</v>
      </c>
      <c r="L119" s="47" t="s">
        <v>3082</v>
      </c>
      <c r="M119" s="48" t="s">
        <v>3083</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1433</v>
      </c>
      <c r="H120" s="43" t="s">
        <v>1434</v>
      </c>
      <c r="I120" s="44" t="s">
        <v>1685</v>
      </c>
      <c r="J120" s="45" t="s">
        <v>1577</v>
      </c>
      <c r="K120" s="46" t="s">
        <v>1435</v>
      </c>
      <c r="L120" s="47" t="s">
        <v>3084</v>
      </c>
      <c r="M120" s="48" t="s">
        <v>3085</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1436</v>
      </c>
      <c r="H121" s="43" t="s">
        <v>1437</v>
      </c>
      <c r="I121" s="44" t="s">
        <v>1686</v>
      </c>
      <c r="J121" s="45" t="s">
        <v>1438</v>
      </c>
      <c r="K121" s="46" t="s">
        <v>1439</v>
      </c>
      <c r="L121" s="47" t="s">
        <v>3086</v>
      </c>
      <c r="M121" s="48" t="s">
        <v>3087</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1440</v>
      </c>
      <c r="H122" s="43" t="s">
        <v>1441</v>
      </c>
      <c r="I122" s="44" t="s">
        <v>1687</v>
      </c>
      <c r="J122" s="45" t="s">
        <v>1578</v>
      </c>
      <c r="K122" s="46" t="s">
        <v>1442</v>
      </c>
      <c r="L122" s="47" t="s">
        <v>3088</v>
      </c>
      <c r="M122" s="48" t="s">
        <v>3089</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1443</v>
      </c>
      <c r="H123" s="43" t="s">
        <v>1444</v>
      </c>
      <c r="I123" s="44" t="s">
        <v>1688</v>
      </c>
      <c r="J123" s="45" t="s">
        <v>1445</v>
      </c>
      <c r="K123" s="46" t="s">
        <v>1446</v>
      </c>
      <c r="L123" s="47" t="s">
        <v>3090</v>
      </c>
      <c r="M123" s="48" t="s">
        <v>3091</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1447</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1448</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1449</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1450</v>
      </c>
      <c r="H127" s="43" t="s">
        <v>1451</v>
      </c>
      <c r="I127" s="44" t="s">
        <v>1689</v>
      </c>
      <c r="J127" s="45" t="s">
        <v>1452</v>
      </c>
      <c r="K127" s="46" t="s">
        <v>1453</v>
      </c>
      <c r="L127" s="47" t="s">
        <v>3092</v>
      </c>
      <c r="M127" s="48" t="s">
        <v>3093</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1454</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1455</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1450</v>
      </c>
      <c r="H130" s="43" t="s">
        <v>1451</v>
      </c>
      <c r="I130" s="44" t="s">
        <v>1690</v>
      </c>
      <c r="J130" s="45" t="s">
        <v>1452</v>
      </c>
      <c r="K130" s="46" t="s">
        <v>1453</v>
      </c>
      <c r="L130" s="47" t="s">
        <v>3092</v>
      </c>
      <c r="M130" s="48" t="s">
        <v>3093</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1456</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1457</v>
      </c>
      <c r="H132" s="43" t="s">
        <v>1458</v>
      </c>
      <c r="I132" s="44" t="s">
        <v>1691</v>
      </c>
      <c r="J132" s="45" t="s">
        <v>1579</v>
      </c>
      <c r="K132" s="46" t="s">
        <v>1459</v>
      </c>
      <c r="L132" s="47" t="s">
        <v>3094</v>
      </c>
      <c r="M132" s="48" t="s">
        <v>3095</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1789</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1460</v>
      </c>
      <c r="H134" s="43" t="s">
        <v>1461</v>
      </c>
      <c r="I134" s="44" t="s">
        <v>1692</v>
      </c>
      <c r="J134" s="45" t="s">
        <v>1580</v>
      </c>
      <c r="K134" s="46" t="s">
        <v>1462</v>
      </c>
      <c r="L134" s="47" t="s">
        <v>3094</v>
      </c>
      <c r="M134" s="48" t="s">
        <v>3095</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1463</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1464</v>
      </c>
      <c r="H136" s="43" t="s">
        <v>1465</v>
      </c>
      <c r="I136" s="44" t="s">
        <v>1693</v>
      </c>
      <c r="J136" s="45" t="s">
        <v>1581</v>
      </c>
      <c r="K136" s="46" t="s">
        <v>1466</v>
      </c>
      <c r="L136" s="47" t="s">
        <v>3096</v>
      </c>
      <c r="M136" s="48" t="s">
        <v>3097</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2123</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1467</v>
      </c>
      <c r="H138" s="43" t="s">
        <v>1468</v>
      </c>
      <c r="I138" s="44" t="s">
        <v>1694</v>
      </c>
      <c r="J138" s="45" t="s">
        <v>1469</v>
      </c>
      <c r="K138" s="46" t="s">
        <v>1470</v>
      </c>
      <c r="L138" s="47" t="s">
        <v>3098</v>
      </c>
      <c r="M138" s="48" t="s">
        <v>3101</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1471</v>
      </c>
      <c r="H139" s="43" t="s">
        <v>1472</v>
      </c>
      <c r="I139" s="44" t="s">
        <v>1695</v>
      </c>
      <c r="J139" s="45" t="s">
        <v>1473</v>
      </c>
      <c r="K139" s="46" t="s">
        <v>1474</v>
      </c>
      <c r="L139" s="47" t="s">
        <v>3099</v>
      </c>
      <c r="M139" s="48" t="s">
        <v>3100</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1475</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1476</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1477</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1478</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1479</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2102</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1480</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1481</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1482</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1488</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1521</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1208</v>
      </c>
      <c r="K151" s="46" t="s">
        <v>86</v>
      </c>
      <c r="L151" s="47" t="s">
        <v>2397</v>
      </c>
      <c r="M151" s="48" t="s">
        <v>2332</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1489</v>
      </c>
      <c r="H152" s="43" t="s">
        <v>1490</v>
      </c>
      <c r="I152" s="44" t="s">
        <v>1760</v>
      </c>
      <c r="J152" s="45" t="s">
        <v>1491</v>
      </c>
      <c r="K152" s="46" t="s">
        <v>1492</v>
      </c>
      <c r="L152" s="47" t="s">
        <v>3102</v>
      </c>
      <c r="M152" s="48" t="s">
        <v>3103</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1493</v>
      </c>
      <c r="H153" s="43" t="s">
        <v>1494</v>
      </c>
      <c r="I153" s="44" t="s">
        <v>1761</v>
      </c>
      <c r="J153" s="45" t="s">
        <v>1495</v>
      </c>
      <c r="K153" s="46" t="s">
        <v>1496</v>
      </c>
      <c r="L153" s="47" t="s">
        <v>3104</v>
      </c>
      <c r="M153" s="48" t="s">
        <v>3105</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1497</v>
      </c>
      <c r="H154" s="43" t="s">
        <v>1498</v>
      </c>
      <c r="I154" s="44" t="s">
        <v>1762</v>
      </c>
      <c r="J154" s="45" t="s">
        <v>1499</v>
      </c>
      <c r="K154" s="46" t="s">
        <v>1500</v>
      </c>
      <c r="L154" s="47" t="s">
        <v>3106</v>
      </c>
      <c r="M154" s="48" t="s">
        <v>3107</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1501</v>
      </c>
      <c r="H155" s="43" t="s">
        <v>1502</v>
      </c>
      <c r="I155" s="44" t="s">
        <v>1696</v>
      </c>
      <c r="J155" s="45" t="s">
        <v>1503</v>
      </c>
      <c r="K155" s="46" t="s">
        <v>1504</v>
      </c>
      <c r="L155" s="47" t="s">
        <v>3108</v>
      </c>
      <c r="M155" s="48" t="s">
        <v>3109</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1505</v>
      </c>
      <c r="H156" s="43" t="s">
        <v>2326</v>
      </c>
      <c r="I156" s="44" t="s">
        <v>1697</v>
      </c>
      <c r="J156" s="45" t="s">
        <v>1506</v>
      </c>
      <c r="K156" s="46" t="s">
        <v>1507</v>
      </c>
      <c r="L156" s="47" t="s">
        <v>3110</v>
      </c>
      <c r="M156" s="48" t="s">
        <v>3111</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1522</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1208</v>
      </c>
      <c r="K158" s="46" t="s">
        <v>86</v>
      </c>
      <c r="L158" s="47" t="s">
        <v>2397</v>
      </c>
      <c r="M158" s="48" t="s">
        <v>2332</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2103</v>
      </c>
      <c r="H159" s="43" t="s">
        <v>2104</v>
      </c>
      <c r="I159" s="44" t="s">
        <v>2105</v>
      </c>
      <c r="J159" s="45" t="s">
        <v>2106</v>
      </c>
      <c r="K159" s="46" t="s">
        <v>2107</v>
      </c>
      <c r="L159" s="47" t="s">
        <v>3112</v>
      </c>
      <c r="M159" s="48" t="s">
        <v>3124</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2108</v>
      </c>
      <c r="H160" s="43" t="s">
        <v>2112</v>
      </c>
      <c r="I160" s="44" t="s">
        <v>2109</v>
      </c>
      <c r="J160" s="45" t="s">
        <v>2110</v>
      </c>
      <c r="K160" s="46" t="s">
        <v>2111</v>
      </c>
      <c r="L160" s="47" t="s">
        <v>3113</v>
      </c>
      <c r="M160" s="48" t="s">
        <v>3114</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1512</v>
      </c>
      <c r="H161" s="43" t="s">
        <v>1513</v>
      </c>
      <c r="I161" s="44" t="s">
        <v>1514</v>
      </c>
      <c r="J161" s="45" t="s">
        <v>1515</v>
      </c>
      <c r="K161" s="46" t="s">
        <v>1516</v>
      </c>
      <c r="L161" s="47" t="s">
        <v>3115</v>
      </c>
      <c r="M161" s="48" t="s">
        <v>3116</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1508</v>
      </c>
      <c r="H162" s="43" t="s">
        <v>1509</v>
      </c>
      <c r="I162" s="44" t="s">
        <v>1698</v>
      </c>
      <c r="J162" s="45" t="s">
        <v>1510</v>
      </c>
      <c r="K162" s="46" t="s">
        <v>1511</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1219</v>
      </c>
      <c r="H163" s="43" t="s">
        <v>1220</v>
      </c>
      <c r="I163" s="44" t="s">
        <v>1221</v>
      </c>
      <c r="J163" s="45" t="s">
        <v>1517</v>
      </c>
      <c r="K163" s="46" t="s">
        <v>1518</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1519</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1520</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1733</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1523</v>
      </c>
      <c r="K167" s="46" t="s">
        <v>86</v>
      </c>
      <c r="L167" s="47" t="s">
        <v>2397</v>
      </c>
      <c r="M167" s="48" t="s">
        <v>2332</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1734</v>
      </c>
      <c r="H168" s="43" t="s">
        <v>1735</v>
      </c>
      <c r="I168" s="44" t="s">
        <v>1736</v>
      </c>
      <c r="J168" s="45" t="s">
        <v>1737</v>
      </c>
      <c r="K168" s="46" t="s">
        <v>1738</v>
      </c>
      <c r="L168" s="47" t="s">
        <v>3125</v>
      </c>
      <c r="M168" s="48" t="s">
        <v>3126</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2113</v>
      </c>
      <c r="H169" s="43" t="s">
        <v>2151</v>
      </c>
      <c r="I169" s="44" t="s">
        <v>2306</v>
      </c>
      <c r="J169" s="45" t="s">
        <v>2114</v>
      </c>
      <c r="K169" s="46" t="s">
        <v>2115</v>
      </c>
      <c r="L169" s="47" t="s">
        <v>3117</v>
      </c>
      <c r="M169" s="48" t="s">
        <v>3127</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2116</v>
      </c>
      <c r="H170" s="43" t="s">
        <v>2117</v>
      </c>
      <c r="I170" s="44" t="s">
        <v>2118</v>
      </c>
      <c r="J170" s="45" t="s">
        <v>2119</v>
      </c>
      <c r="K170" s="46" t="s">
        <v>2120</v>
      </c>
      <c r="L170" s="47" t="s">
        <v>3118</v>
      </c>
      <c r="M170" s="48" t="s">
        <v>3119</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1529</v>
      </c>
      <c r="H171" s="43" t="s">
        <v>1530</v>
      </c>
      <c r="I171" s="44" t="s">
        <v>1699</v>
      </c>
      <c r="J171" s="45" t="s">
        <v>1531</v>
      </c>
      <c r="K171" s="46" t="s">
        <v>1532</v>
      </c>
      <c r="L171" s="47" t="s">
        <v>3120</v>
      </c>
      <c r="M171" s="48" t="s">
        <v>3121</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1524</v>
      </c>
      <c r="H172" s="43" t="s">
        <v>1525</v>
      </c>
      <c r="I172" s="44" t="s">
        <v>1526</v>
      </c>
      <c r="J172" s="45" t="s">
        <v>1527</v>
      </c>
      <c r="K172" s="46" t="s">
        <v>1528</v>
      </c>
      <c r="L172" s="47" t="s">
        <v>3122</v>
      </c>
      <c r="M172" s="48" t="s">
        <v>3123</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1533</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1208</v>
      </c>
      <c r="K174" s="46" t="s">
        <v>86</v>
      </c>
      <c r="L174" s="47" t="s">
        <v>2397</v>
      </c>
      <c r="M174" s="48" t="s">
        <v>2332</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1542</v>
      </c>
      <c r="H175" s="43" t="s">
        <v>1543</v>
      </c>
      <c r="I175" s="44" t="s">
        <v>1544</v>
      </c>
      <c r="J175" s="45" t="s">
        <v>1545</v>
      </c>
      <c r="K175" s="46" t="s">
        <v>1546</v>
      </c>
      <c r="L175" s="47" t="s">
        <v>3128</v>
      </c>
      <c r="M175" s="48" t="s">
        <v>3135</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1534</v>
      </c>
      <c r="H176" s="43" t="s">
        <v>1535</v>
      </c>
      <c r="I176" s="44" t="s">
        <v>1700</v>
      </c>
      <c r="J176" s="45" t="s">
        <v>1582</v>
      </c>
      <c r="K176" s="46" t="s">
        <v>1536</v>
      </c>
      <c r="L176" s="47" t="s">
        <v>3129</v>
      </c>
      <c r="M176" s="48" t="s">
        <v>3130</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1233</v>
      </c>
      <c r="H177" s="43" t="s">
        <v>1537</v>
      </c>
      <c r="I177" s="44" t="s">
        <v>1701</v>
      </c>
      <c r="J177" s="45" t="s">
        <v>1563</v>
      </c>
      <c r="K177" s="46" t="s">
        <v>1538</v>
      </c>
      <c r="L177" s="47" t="s">
        <v>3131</v>
      </c>
      <c r="M177" s="48" t="s">
        <v>3132</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1539</v>
      </c>
      <c r="H178" s="43" t="s">
        <v>1540</v>
      </c>
      <c r="I178" s="44" t="s">
        <v>1702</v>
      </c>
      <c r="J178" s="45" t="s">
        <v>1583</v>
      </c>
      <c r="K178" s="46" t="s">
        <v>1541</v>
      </c>
      <c r="L178" s="47" t="s">
        <v>3133</v>
      </c>
      <c r="M178" s="48" t="s">
        <v>3134</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1547</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2397</v>
      </c>
      <c r="M180" s="48" t="s">
        <v>2332</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822</v>
      </c>
      <c r="H181" s="43" t="s">
        <v>409</v>
      </c>
      <c r="I181" s="44" t="s">
        <v>2121</v>
      </c>
      <c r="J181" s="45" t="s">
        <v>1618</v>
      </c>
      <c r="K181" s="46" t="s">
        <v>823</v>
      </c>
      <c r="L181" s="47" t="s">
        <v>3136</v>
      </c>
      <c r="M181" s="48" t="s">
        <v>3144</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1548</v>
      </c>
      <c r="H182" s="43" t="s">
        <v>1549</v>
      </c>
      <c r="I182" s="44" t="s">
        <v>1703</v>
      </c>
      <c r="J182" s="45" t="s">
        <v>1550</v>
      </c>
      <c r="K182" s="46" t="s">
        <v>1551</v>
      </c>
      <c r="L182" s="47" t="s">
        <v>3137</v>
      </c>
      <c r="M182" s="48" t="s">
        <v>3138</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1552</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1893</v>
      </c>
      <c r="H184" s="43" t="s">
        <v>1894</v>
      </c>
      <c r="I184" s="44" t="s">
        <v>1895</v>
      </c>
      <c r="J184" s="45" t="s">
        <v>2122</v>
      </c>
      <c r="K184" s="46" t="s">
        <v>1897</v>
      </c>
      <c r="L184" s="47" t="s">
        <v>3145</v>
      </c>
      <c r="M184" s="48" t="s">
        <v>3139</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1553</v>
      </c>
      <c r="H185" s="43" t="s">
        <v>1554</v>
      </c>
      <c r="I185" s="44" t="s">
        <v>1704</v>
      </c>
      <c r="J185" s="45" t="s">
        <v>1584</v>
      </c>
      <c r="K185" s="46" t="s">
        <v>1555</v>
      </c>
      <c r="L185" s="47" t="s">
        <v>3140</v>
      </c>
      <c r="M185" s="48" t="s">
        <v>3141</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1556</v>
      </c>
      <c r="H186" s="43" t="s">
        <v>1557</v>
      </c>
      <c r="I186" s="44" t="s">
        <v>1705</v>
      </c>
      <c r="J186" s="45" t="s">
        <v>1585</v>
      </c>
      <c r="K186" s="46" t="s">
        <v>1558</v>
      </c>
      <c r="L186" s="47" t="s">
        <v>3142</v>
      </c>
      <c r="M186" s="48" t="s">
        <v>3143</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3492</v>
      </c>
      <c r="B14" t="s">
        <v>3493</v>
      </c>
      <c r="C14" t="s">
        <v>3498</v>
      </c>
      <c r="D14" t="s">
        <v>3494</v>
      </c>
      <c r="E14" t="s">
        <v>3495</v>
      </c>
      <c r="F14" t="s">
        <v>3496</v>
      </c>
    </row>
    <row r="15" spans="1:6" x14ac:dyDescent="0.25">
      <c r="A15">
        <v>1</v>
      </c>
      <c r="B15" s="79" t="s">
        <v>64</v>
      </c>
      <c r="C15" s="79" t="s">
        <v>3499</v>
      </c>
      <c r="D15">
        <v>0</v>
      </c>
      <c r="E15">
        <v>0</v>
      </c>
      <c r="F15">
        <v>0</v>
      </c>
    </row>
    <row r="16" spans="1:6" x14ac:dyDescent="0.25">
      <c r="A16">
        <v>2</v>
      </c>
      <c r="B16" s="80" t="s">
        <v>65</v>
      </c>
      <c r="C16" s="80" t="s">
        <v>3500</v>
      </c>
      <c r="D16">
        <v>83</v>
      </c>
      <c r="E16">
        <v>141</v>
      </c>
      <c r="F16">
        <v>213</v>
      </c>
    </row>
    <row r="17" spans="1:6" x14ac:dyDescent="0.25">
      <c r="A17">
        <v>3</v>
      </c>
      <c r="B17" s="81" t="s">
        <v>66</v>
      </c>
      <c r="C17" s="81" t="s">
        <v>3501</v>
      </c>
      <c r="D17">
        <v>150</v>
      </c>
      <c r="E17">
        <v>54</v>
      </c>
      <c r="F17">
        <v>52</v>
      </c>
    </row>
    <row r="18" spans="1:6" x14ac:dyDescent="0.25">
      <c r="A18">
        <v>4</v>
      </c>
      <c r="B18" s="82" t="s">
        <v>67</v>
      </c>
      <c r="C18" s="82" t="s">
        <v>3502</v>
      </c>
      <c r="D18">
        <v>118</v>
      </c>
      <c r="E18">
        <v>147</v>
      </c>
      <c r="F18">
        <v>60</v>
      </c>
    </row>
    <row r="19" spans="1:6" x14ac:dyDescent="0.25">
      <c r="A19">
        <v>5</v>
      </c>
      <c r="B19" s="83" t="s">
        <v>68</v>
      </c>
      <c r="C19" s="83" t="s">
        <v>3503</v>
      </c>
      <c r="D19">
        <v>151</v>
      </c>
      <c r="E19">
        <v>71</v>
      </c>
      <c r="F19">
        <v>6</v>
      </c>
    </row>
    <row r="20" spans="1:6" x14ac:dyDescent="0.25">
      <c r="A20">
        <v>6</v>
      </c>
      <c r="B20" s="84" t="s">
        <v>69</v>
      </c>
      <c r="C20" s="84" t="s">
        <v>3504</v>
      </c>
      <c r="D20">
        <v>24</v>
      </c>
      <c r="E20">
        <v>120</v>
      </c>
      <c r="F20">
        <v>32</v>
      </c>
    </row>
    <row r="21" spans="1:6" x14ac:dyDescent="0.25">
      <c r="A21">
        <v>7</v>
      </c>
      <c r="B21" s="85" t="s">
        <v>2330</v>
      </c>
      <c r="C21" s="85" t="s">
        <v>3505</v>
      </c>
      <c r="D21">
        <v>128</v>
      </c>
      <c r="E21">
        <v>24</v>
      </c>
      <c r="F21">
        <v>192</v>
      </c>
    </row>
    <row r="22" spans="1:6" x14ac:dyDescent="0.25">
      <c r="A22">
        <v>8</v>
      </c>
      <c r="B22" s="86" t="s">
        <v>70</v>
      </c>
      <c r="C22" s="86" t="s">
        <v>3506</v>
      </c>
      <c r="D22">
        <v>102</v>
      </c>
      <c r="E22">
        <v>80</v>
      </c>
      <c r="F22">
        <v>0</v>
      </c>
    </row>
    <row r="23" spans="1:6" x14ac:dyDescent="0.25">
      <c r="A23">
        <v>9</v>
      </c>
      <c r="B23" s="87" t="s">
        <v>3497</v>
      </c>
      <c r="C23" s="87" t="s">
        <v>3507</v>
      </c>
      <c r="D23">
        <v>0</v>
      </c>
      <c r="E23">
        <v>160</v>
      </c>
      <c r="F23">
        <v>156</v>
      </c>
    </row>
    <row r="24" spans="1:6" x14ac:dyDescent="0.25">
      <c r="A24">
        <v>10</v>
      </c>
      <c r="B24" s="88" t="s">
        <v>71</v>
      </c>
      <c r="C24" s="88" t="s">
        <v>3508</v>
      </c>
      <c r="D24">
        <v>102</v>
      </c>
      <c r="E24">
        <v>112</v>
      </c>
      <c r="F24">
        <v>154</v>
      </c>
    </row>
    <row r="25" spans="1:6" x14ac:dyDescent="0.25">
      <c r="A25">
        <v>11</v>
      </c>
      <c r="B25" s="85" t="s">
        <v>72</v>
      </c>
      <c r="C25" s="85" t="s">
        <v>3509</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2016-03-14T09:15:07Z</dcterms:modified>
</cp:coreProperties>
</file>